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defaultThemeVersion="166925"/>
  <mc:AlternateContent xmlns:mc="http://schemas.openxmlformats.org/markup-compatibility/2006">
    <mc:Choice Requires="x15">
      <x15ac:absPath xmlns:x15ac="http://schemas.microsoft.com/office/spreadsheetml/2010/11/ac" url="U:\Personal\GitHub\Fall2025_DataProcessing_GraphicCreation\"/>
    </mc:Choice>
  </mc:AlternateContent>
  <xr:revisionPtr revIDLastSave="0" documentId="8_{9A17AB35-0AE2-4DD0-B459-B157FCC8FAA0}" xr6:coauthVersionLast="47" xr6:coauthVersionMax="47" xr10:uidLastSave="{00000000-0000-0000-0000-000000000000}"/>
  <bookViews>
    <workbookView xWindow="-120" yWindow="-120" windowWidth="19440" windowHeight="14880" activeTab="2" xr2:uid="{4ABC50A2-D1DC-44E8-A227-EC9CD6767C02}"/>
  </bookViews>
  <sheets>
    <sheet name="Code" sheetId="1" r:id="rId1"/>
    <sheet name="Samples Taken 2024" sheetId="2" r:id="rId2"/>
    <sheet name="Full List of Data" sheetId="8" r:id="rId3"/>
    <sheet name="YSI2023_Sorted" sheetId="44" r:id="rId4"/>
    <sheet name="YSI2023" sheetId="42" r:id="rId5"/>
    <sheet name="YSI2024" sheetId="41" r:id="rId6"/>
    <sheet name="YSI2025" sheetId="39" r:id="rId7"/>
    <sheet name="Distance" sheetId="38" r:id="rId8"/>
    <sheet name="FLIR" sheetId="37" r:id="rId9"/>
    <sheet name="Surface2025YSI" sheetId="36" r:id="rId10"/>
    <sheet name="Sheet1" sheetId="35" r:id="rId11"/>
    <sheet name="MICrocystin" sheetId="34" r:id="rId12"/>
    <sheet name="Sheet3" sheetId="31" r:id="rId13"/>
    <sheet name="TP" sheetId="29" r:id="rId14"/>
    <sheet name="Investigative TP" sheetId="32" r:id="rId15"/>
    <sheet name="NH4,PO4,NOX" sheetId="30" r:id="rId16"/>
    <sheet name="2025_field" sheetId="33" r:id="rId1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D140" i="39" l="1"/>
  <c r="AD95" i="39"/>
  <c r="AD96" i="39"/>
  <c r="AD97" i="39"/>
  <c r="AD98" i="39"/>
  <c r="AD99" i="39"/>
  <c r="AD100" i="39"/>
  <c r="AD103" i="39"/>
  <c r="AD102" i="39"/>
  <c r="AD101" i="39"/>
  <c r="AD141" i="39"/>
  <c r="AD110" i="39"/>
  <c r="AD111" i="39"/>
  <c r="AD112" i="39"/>
  <c r="AD113" i="39"/>
  <c r="AD114" i="39"/>
  <c r="AD115" i="39"/>
  <c r="AD116" i="39"/>
  <c r="AD117" i="39"/>
  <c r="AD118" i="39"/>
  <c r="AD142" i="39"/>
  <c r="AD123" i="39"/>
  <c r="AD124" i="39"/>
  <c r="AD125" i="39"/>
  <c r="AD126" i="39"/>
  <c r="AD127" i="39"/>
  <c r="AD128" i="39"/>
  <c r="AD129" i="39"/>
  <c r="AD130" i="39"/>
  <c r="AD131" i="39"/>
  <c r="AD143" i="39"/>
  <c r="AD41" i="39"/>
  <c r="AD42" i="39"/>
  <c r="AD43" i="39"/>
  <c r="AD44" i="39"/>
  <c r="AD45" i="39"/>
  <c r="AD46" i="39"/>
  <c r="AD144" i="39"/>
  <c r="AD47" i="39"/>
  <c r="AD48" i="39"/>
  <c r="AD49" i="39"/>
  <c r="AD50" i="39"/>
  <c r="AD145" i="39"/>
  <c r="AD69" i="39"/>
  <c r="AD70" i="39"/>
  <c r="AD71" i="39"/>
  <c r="AD72" i="39"/>
  <c r="AD3" i="39"/>
  <c r="AD4" i="39"/>
  <c r="AD5" i="39"/>
  <c r="AD6" i="39"/>
  <c r="AD7" i="39"/>
  <c r="AD8" i="39"/>
  <c r="AD9" i="39"/>
  <c r="AD10" i="39"/>
  <c r="AD136" i="39"/>
  <c r="AD15" i="39"/>
  <c r="AD16" i="39"/>
  <c r="AD17" i="39"/>
  <c r="AD18" i="39"/>
  <c r="AD19" i="39"/>
  <c r="AD20" i="39"/>
  <c r="AD21" i="39"/>
  <c r="AD22" i="39"/>
  <c r="AD23" i="39"/>
  <c r="AD137" i="39"/>
  <c r="AD28" i="39"/>
  <c r="AD29" i="39"/>
  <c r="AD30" i="39"/>
  <c r="AD31" i="39"/>
  <c r="AD32" i="39"/>
  <c r="AD33" i="39"/>
  <c r="AD34" i="39"/>
  <c r="AD35" i="39"/>
  <c r="AD36" i="39"/>
  <c r="AD138" i="39"/>
  <c r="AD56" i="39"/>
  <c r="AD57" i="39"/>
  <c r="AD58" i="39"/>
  <c r="AD59" i="39"/>
  <c r="AD60" i="39"/>
  <c r="AD61" i="39"/>
  <c r="AD62" i="39"/>
  <c r="AD63" i="39"/>
  <c r="AD64" i="39"/>
  <c r="AD139" i="39"/>
  <c r="AD79" i="39"/>
  <c r="AD80" i="39"/>
  <c r="AD81" i="39"/>
  <c r="AD82" i="39"/>
  <c r="AD83" i="39"/>
  <c r="AD84" i="39"/>
  <c r="AD85" i="39"/>
  <c r="AD86" i="39"/>
  <c r="AD87" i="39"/>
  <c r="AD2" i="39"/>
  <c r="M2" i="8"/>
  <c r="N2" i="8"/>
  <c r="O2" i="8"/>
  <c r="M3" i="8"/>
  <c r="N3" i="8"/>
  <c r="O3" i="8"/>
  <c r="M4" i="8"/>
  <c r="N4" i="8"/>
  <c r="O4" i="8"/>
  <c r="M5" i="8"/>
  <c r="N5" i="8"/>
  <c r="O5" i="8"/>
  <c r="M6" i="8"/>
  <c r="N6" i="8"/>
  <c r="O6" i="8"/>
  <c r="M7" i="8"/>
  <c r="N7" i="8"/>
  <c r="O7" i="8"/>
  <c r="M8" i="8"/>
  <c r="N8" i="8"/>
  <c r="O8" i="8"/>
  <c r="M9" i="8"/>
  <c r="N9" i="8"/>
  <c r="O9" i="8"/>
  <c r="M10" i="8"/>
  <c r="N10" i="8"/>
  <c r="O10" i="8"/>
  <c r="M11" i="8"/>
  <c r="N11" i="8"/>
  <c r="O11" i="8"/>
  <c r="M12" i="8"/>
  <c r="N12" i="8"/>
  <c r="O12" i="8"/>
  <c r="M13" i="8"/>
  <c r="N13" i="8"/>
  <c r="O13" i="8"/>
  <c r="M14" i="8"/>
  <c r="N14" i="8"/>
  <c r="O14" i="8"/>
  <c r="M15" i="8"/>
  <c r="N15" i="8"/>
  <c r="O15" i="8"/>
  <c r="M16" i="8"/>
  <c r="N16" i="8"/>
  <c r="O16" i="8"/>
  <c r="M17" i="8"/>
  <c r="N17" i="8"/>
  <c r="O17" i="8"/>
  <c r="M18" i="8"/>
  <c r="N18" i="8"/>
  <c r="O18" i="8"/>
  <c r="M19" i="8"/>
  <c r="N19" i="8"/>
  <c r="O19" i="8"/>
  <c r="M20" i="8"/>
  <c r="N20" i="8"/>
  <c r="O20" i="8"/>
  <c r="M21" i="8"/>
  <c r="N21" i="8"/>
  <c r="O21" i="8"/>
  <c r="M22" i="8"/>
  <c r="N22" i="8"/>
  <c r="O22" i="8"/>
  <c r="M23" i="8"/>
  <c r="N23" i="8"/>
  <c r="O23" i="8"/>
  <c r="M24" i="8"/>
  <c r="N24" i="8"/>
  <c r="O24" i="8"/>
  <c r="M25" i="8"/>
  <c r="N25" i="8"/>
  <c r="O25" i="8"/>
  <c r="M26" i="8"/>
  <c r="N26" i="8"/>
  <c r="O26" i="8"/>
  <c r="M27" i="8"/>
  <c r="N27" i="8"/>
  <c r="O27" i="8"/>
  <c r="M28" i="8"/>
  <c r="N28" i="8"/>
  <c r="O28" i="8"/>
  <c r="M29" i="8"/>
  <c r="N29" i="8"/>
  <c r="O29" i="8"/>
  <c r="M30" i="8"/>
  <c r="N30" i="8"/>
  <c r="O30" i="8"/>
  <c r="M31" i="8"/>
  <c r="N31" i="8"/>
  <c r="O31" i="8"/>
  <c r="M32" i="8"/>
  <c r="N32" i="8"/>
  <c r="O32" i="8"/>
  <c r="M33" i="8"/>
  <c r="N33" i="8"/>
  <c r="O33" i="8"/>
  <c r="M34" i="8"/>
  <c r="N34" i="8"/>
  <c r="O34" i="8"/>
  <c r="M35" i="8"/>
  <c r="N35" i="8"/>
  <c r="O35" i="8"/>
  <c r="M36" i="8"/>
  <c r="N36" i="8"/>
  <c r="O36" i="8"/>
  <c r="M37" i="8"/>
  <c r="N37" i="8"/>
  <c r="O37" i="8"/>
  <c r="M38" i="8"/>
  <c r="N38" i="8"/>
  <c r="O38" i="8"/>
  <c r="M39" i="8"/>
  <c r="N39" i="8"/>
  <c r="O39" i="8"/>
  <c r="M40" i="8"/>
  <c r="N40" i="8"/>
  <c r="O40" i="8"/>
  <c r="M41" i="8"/>
  <c r="N41" i="8"/>
  <c r="O41" i="8"/>
  <c r="M42" i="8"/>
  <c r="N42" i="8"/>
  <c r="O42" i="8"/>
  <c r="M43" i="8"/>
  <c r="N43" i="8"/>
  <c r="O43" i="8"/>
  <c r="M44" i="8"/>
  <c r="N44" i="8"/>
  <c r="O44" i="8"/>
  <c r="M45" i="8"/>
  <c r="N45" i="8"/>
  <c r="O45" i="8"/>
  <c r="M46" i="8"/>
  <c r="N46" i="8"/>
  <c r="O46" i="8"/>
  <c r="M47" i="8"/>
  <c r="N47" i="8"/>
  <c r="O47" i="8"/>
  <c r="M48" i="8"/>
  <c r="N48" i="8"/>
  <c r="O48" i="8"/>
  <c r="M49" i="8"/>
  <c r="N49" i="8"/>
  <c r="O49" i="8"/>
  <c r="M50" i="8"/>
  <c r="N50" i="8"/>
  <c r="O50" i="8"/>
  <c r="M51" i="8"/>
  <c r="N51" i="8"/>
  <c r="O51" i="8"/>
  <c r="M52" i="8"/>
  <c r="N52" i="8"/>
  <c r="O52" i="8"/>
  <c r="M53" i="8"/>
  <c r="N53" i="8"/>
  <c r="O53" i="8"/>
  <c r="M54" i="8"/>
  <c r="N54" i="8"/>
  <c r="O54" i="8"/>
  <c r="M55" i="8"/>
  <c r="N55" i="8"/>
  <c r="O55" i="8"/>
  <c r="M56" i="8"/>
  <c r="N56" i="8"/>
  <c r="O56" i="8"/>
  <c r="M57" i="8"/>
  <c r="N57" i="8"/>
  <c r="O57" i="8"/>
  <c r="M58" i="8"/>
  <c r="N58" i="8"/>
  <c r="O58" i="8"/>
  <c r="M59" i="8"/>
  <c r="N59" i="8"/>
  <c r="O59" i="8"/>
  <c r="M60" i="8"/>
  <c r="N60" i="8"/>
  <c r="O60" i="8"/>
  <c r="M61" i="8"/>
  <c r="N61" i="8"/>
  <c r="O61" i="8"/>
  <c r="M62" i="8"/>
  <c r="N62" i="8"/>
  <c r="O62" i="8"/>
  <c r="M63" i="8"/>
  <c r="N63" i="8"/>
  <c r="O63" i="8"/>
  <c r="M64" i="8"/>
  <c r="N64" i="8"/>
  <c r="O64" i="8"/>
  <c r="M65" i="8"/>
  <c r="N65" i="8"/>
  <c r="O65" i="8"/>
  <c r="M66" i="8"/>
  <c r="N66" i="8"/>
  <c r="O66" i="8"/>
  <c r="M67" i="8"/>
  <c r="N67" i="8"/>
  <c r="O67" i="8"/>
  <c r="M68" i="8"/>
  <c r="N68" i="8"/>
  <c r="O68" i="8"/>
  <c r="M69" i="8"/>
  <c r="N69" i="8"/>
  <c r="O69" i="8"/>
  <c r="M70" i="8"/>
  <c r="N70" i="8"/>
  <c r="O70" i="8"/>
  <c r="M71" i="8"/>
  <c r="N71" i="8"/>
  <c r="O71" i="8"/>
  <c r="M72" i="8"/>
  <c r="N72" i="8"/>
  <c r="O72" i="8"/>
  <c r="M73" i="8"/>
  <c r="N73" i="8"/>
  <c r="O73" i="8"/>
  <c r="M74" i="8"/>
  <c r="N74" i="8"/>
  <c r="O74" i="8"/>
  <c r="M75" i="8"/>
  <c r="N75" i="8"/>
  <c r="O75" i="8"/>
  <c r="M76" i="8"/>
  <c r="N76" i="8"/>
  <c r="O76" i="8"/>
  <c r="M77" i="8"/>
  <c r="N77" i="8"/>
  <c r="O77" i="8"/>
  <c r="M78" i="8"/>
  <c r="N78" i="8"/>
  <c r="O78" i="8"/>
  <c r="M79" i="8"/>
  <c r="N79" i="8"/>
  <c r="O79" i="8"/>
  <c r="M80" i="8"/>
  <c r="N80" i="8"/>
  <c r="O80" i="8"/>
  <c r="M81" i="8"/>
  <c r="N81" i="8"/>
  <c r="O81" i="8"/>
  <c r="M82" i="8"/>
  <c r="N82" i="8"/>
  <c r="O82" i="8"/>
  <c r="M83" i="8"/>
  <c r="N83" i="8"/>
  <c r="O83" i="8"/>
  <c r="M84" i="8"/>
  <c r="N84" i="8"/>
  <c r="O84" i="8"/>
  <c r="M85" i="8"/>
  <c r="N85" i="8"/>
  <c r="O85" i="8"/>
  <c r="M86" i="8"/>
  <c r="N86" i="8"/>
  <c r="O86" i="8"/>
  <c r="M87" i="8"/>
  <c r="N87" i="8"/>
  <c r="O87" i="8"/>
  <c r="M88" i="8"/>
  <c r="N88" i="8"/>
  <c r="O88" i="8"/>
  <c r="M89" i="8"/>
  <c r="N89" i="8"/>
  <c r="O89" i="8"/>
  <c r="M90" i="8"/>
  <c r="N90" i="8"/>
  <c r="O90" i="8"/>
  <c r="M91" i="8"/>
  <c r="N91" i="8"/>
  <c r="O91" i="8"/>
  <c r="M92" i="8"/>
  <c r="N92" i="8"/>
  <c r="O92" i="8"/>
  <c r="M93" i="8"/>
  <c r="N93" i="8"/>
  <c r="O93" i="8"/>
  <c r="M94" i="8"/>
  <c r="N94" i="8"/>
  <c r="O94" i="8"/>
  <c r="M95" i="8"/>
  <c r="N95" i="8"/>
  <c r="O95" i="8"/>
  <c r="M96" i="8"/>
  <c r="N96" i="8"/>
  <c r="O96" i="8"/>
  <c r="M97" i="8"/>
  <c r="N97" i="8"/>
  <c r="O97" i="8"/>
  <c r="M98" i="8"/>
  <c r="N98" i="8"/>
  <c r="O98" i="8"/>
  <c r="M99" i="8"/>
  <c r="N99" i="8"/>
  <c r="O99" i="8"/>
  <c r="M100" i="8"/>
  <c r="N100" i="8"/>
  <c r="O100" i="8"/>
  <c r="M101" i="8"/>
  <c r="N101" i="8"/>
  <c r="O101" i="8"/>
  <c r="M102" i="8"/>
  <c r="N102" i="8"/>
  <c r="O102" i="8"/>
  <c r="M103" i="8"/>
  <c r="N103" i="8"/>
  <c r="O103" i="8"/>
  <c r="M104" i="8"/>
  <c r="N104" i="8"/>
  <c r="O104" i="8"/>
  <c r="M105" i="8"/>
  <c r="N105" i="8"/>
  <c r="O105" i="8"/>
  <c r="M106" i="8"/>
  <c r="N106" i="8"/>
  <c r="O106" i="8"/>
  <c r="M107" i="8"/>
  <c r="N107" i="8"/>
  <c r="O107" i="8"/>
  <c r="M108" i="8"/>
  <c r="N108" i="8"/>
  <c r="O108" i="8"/>
  <c r="M109" i="8"/>
  <c r="N109" i="8"/>
  <c r="O109" i="8"/>
  <c r="M110" i="8"/>
  <c r="N110" i="8"/>
  <c r="O110" i="8"/>
  <c r="M111" i="8"/>
  <c r="N111" i="8"/>
  <c r="O111" i="8"/>
  <c r="M112" i="8"/>
  <c r="N112" i="8"/>
  <c r="O112" i="8"/>
  <c r="M113" i="8"/>
  <c r="N113" i="8"/>
  <c r="O113" i="8"/>
  <c r="M114" i="8"/>
  <c r="N114" i="8"/>
  <c r="O114" i="8"/>
  <c r="M115" i="8"/>
  <c r="N115" i="8"/>
  <c r="O115" i="8"/>
  <c r="M116" i="8"/>
  <c r="N116" i="8"/>
  <c r="O116" i="8"/>
  <c r="M117" i="8"/>
  <c r="N117" i="8"/>
  <c r="O117" i="8"/>
  <c r="M118" i="8"/>
  <c r="N118" i="8"/>
  <c r="O118" i="8"/>
  <c r="M119" i="8"/>
  <c r="N119" i="8"/>
  <c r="O119" i="8"/>
  <c r="M120" i="8"/>
  <c r="N120" i="8"/>
  <c r="O120" i="8"/>
  <c r="M121" i="8"/>
  <c r="N121" i="8"/>
  <c r="O121" i="8"/>
  <c r="M122" i="8"/>
  <c r="N122" i="8"/>
  <c r="O122" i="8"/>
  <c r="M123" i="8"/>
  <c r="N123" i="8"/>
  <c r="O123" i="8"/>
  <c r="M124" i="8"/>
  <c r="N124" i="8"/>
  <c r="O124" i="8"/>
  <c r="M125" i="8"/>
  <c r="N125" i="8"/>
  <c r="O125" i="8"/>
  <c r="M126" i="8"/>
  <c r="N126" i="8"/>
  <c r="O126" i="8"/>
  <c r="M127" i="8"/>
  <c r="N127" i="8"/>
  <c r="O127" i="8"/>
  <c r="M128" i="8"/>
  <c r="N128" i="8"/>
  <c r="O128" i="8"/>
  <c r="M129" i="8"/>
  <c r="N129" i="8"/>
  <c r="O129" i="8"/>
  <c r="M130" i="8"/>
  <c r="N130" i="8"/>
  <c r="O130" i="8"/>
  <c r="M131" i="8"/>
  <c r="N131" i="8"/>
  <c r="O131" i="8"/>
  <c r="M132" i="8"/>
  <c r="N132" i="8"/>
  <c r="O132" i="8"/>
  <c r="M133" i="8"/>
  <c r="N133" i="8"/>
  <c r="O133" i="8"/>
  <c r="M134" i="8"/>
  <c r="N134" i="8"/>
  <c r="O134" i="8"/>
  <c r="M135" i="8"/>
  <c r="N135" i="8"/>
  <c r="O135" i="8"/>
  <c r="M136" i="8"/>
  <c r="N136" i="8"/>
  <c r="O136" i="8"/>
  <c r="M137" i="8"/>
  <c r="N137" i="8"/>
  <c r="O137" i="8"/>
  <c r="M138" i="8"/>
  <c r="N138" i="8"/>
  <c r="O138" i="8"/>
  <c r="M139" i="8"/>
  <c r="N139" i="8"/>
  <c r="O139" i="8"/>
  <c r="M140" i="8"/>
  <c r="N140" i="8"/>
  <c r="O140" i="8"/>
  <c r="M141" i="8"/>
  <c r="N141" i="8"/>
  <c r="O141" i="8"/>
  <c r="M142" i="8"/>
  <c r="N142" i="8"/>
  <c r="O142" i="8"/>
  <c r="M143" i="8"/>
  <c r="N143" i="8"/>
  <c r="O143" i="8"/>
  <c r="M144" i="8"/>
  <c r="N144" i="8"/>
  <c r="O144" i="8"/>
  <c r="M145" i="8"/>
  <c r="N145" i="8"/>
  <c r="O145" i="8"/>
  <c r="M146" i="8"/>
  <c r="N146" i="8"/>
  <c r="O146" i="8"/>
  <c r="M147" i="8"/>
  <c r="N147" i="8"/>
  <c r="O147" i="8"/>
  <c r="M148" i="8"/>
  <c r="N148" i="8"/>
  <c r="O148" i="8"/>
  <c r="M149" i="8"/>
  <c r="N149" i="8"/>
  <c r="O149" i="8"/>
  <c r="M150" i="8"/>
  <c r="N150" i="8"/>
  <c r="O150" i="8"/>
  <c r="M151" i="8"/>
  <c r="N151" i="8"/>
  <c r="O151" i="8"/>
  <c r="M152" i="8"/>
  <c r="N152" i="8"/>
  <c r="O152" i="8"/>
  <c r="M153" i="8"/>
  <c r="N153" i="8"/>
  <c r="O153" i="8"/>
  <c r="M154" i="8"/>
  <c r="N154" i="8"/>
  <c r="O154" i="8"/>
  <c r="M155" i="8"/>
  <c r="N155" i="8"/>
  <c r="O155" i="8"/>
  <c r="M156" i="8"/>
  <c r="N156" i="8"/>
  <c r="O156" i="8"/>
  <c r="M157" i="8"/>
  <c r="N157" i="8"/>
  <c r="O157" i="8"/>
  <c r="M158" i="8"/>
  <c r="N158" i="8"/>
  <c r="O158" i="8"/>
  <c r="M159" i="8"/>
  <c r="N159" i="8"/>
  <c r="O159" i="8"/>
  <c r="M160" i="8"/>
  <c r="N160" i="8"/>
  <c r="O160" i="8"/>
  <c r="M161" i="8"/>
  <c r="N161" i="8"/>
  <c r="O161" i="8"/>
  <c r="M162" i="8"/>
  <c r="N162" i="8"/>
  <c r="O162" i="8"/>
  <c r="M163" i="8"/>
  <c r="N163" i="8"/>
  <c r="O163" i="8"/>
  <c r="M164" i="8"/>
  <c r="N164" i="8"/>
  <c r="O164" i="8"/>
  <c r="M165" i="8"/>
  <c r="N165" i="8"/>
  <c r="O165" i="8"/>
  <c r="M166" i="8"/>
  <c r="N166" i="8"/>
  <c r="O166" i="8"/>
  <c r="M167" i="8"/>
  <c r="N167" i="8"/>
  <c r="O167" i="8"/>
  <c r="M168" i="8"/>
  <c r="N168" i="8"/>
  <c r="O168" i="8"/>
  <c r="M169" i="8"/>
  <c r="N169" i="8"/>
  <c r="O169" i="8"/>
  <c r="M170" i="8"/>
  <c r="N170" i="8"/>
  <c r="O170" i="8"/>
  <c r="M171" i="8"/>
  <c r="N171" i="8"/>
  <c r="O171" i="8"/>
  <c r="M172" i="8"/>
  <c r="N172" i="8"/>
  <c r="O172" i="8"/>
  <c r="M173" i="8"/>
  <c r="N173" i="8"/>
  <c r="O173" i="8"/>
  <c r="M174" i="8"/>
  <c r="N174" i="8"/>
  <c r="O174" i="8"/>
  <c r="M175" i="8"/>
  <c r="N175" i="8"/>
  <c r="O175" i="8"/>
  <c r="M176" i="8"/>
  <c r="N176" i="8"/>
  <c r="O176" i="8"/>
  <c r="M177" i="8"/>
  <c r="N177" i="8"/>
  <c r="O177" i="8"/>
  <c r="M178" i="8"/>
  <c r="N178" i="8"/>
  <c r="O178" i="8"/>
  <c r="M179" i="8"/>
  <c r="N179" i="8"/>
  <c r="O179" i="8"/>
  <c r="M180" i="8"/>
  <c r="N180" i="8"/>
  <c r="O180" i="8"/>
  <c r="M181" i="8"/>
  <c r="N181" i="8"/>
  <c r="O181" i="8"/>
  <c r="M182" i="8"/>
  <c r="N182" i="8"/>
  <c r="O182" i="8"/>
  <c r="M183" i="8"/>
  <c r="N183" i="8"/>
  <c r="O183" i="8"/>
  <c r="M184" i="8"/>
  <c r="N184" i="8"/>
  <c r="O184" i="8"/>
  <c r="M185" i="8"/>
  <c r="N185" i="8"/>
  <c r="O185" i="8"/>
  <c r="M186" i="8"/>
  <c r="N186" i="8"/>
  <c r="O186" i="8"/>
  <c r="M187" i="8"/>
  <c r="N187" i="8"/>
  <c r="O187" i="8"/>
  <c r="M188" i="8"/>
  <c r="N188" i="8"/>
  <c r="O188" i="8"/>
  <c r="M189" i="8"/>
  <c r="N189" i="8"/>
  <c r="O189" i="8"/>
  <c r="M190" i="8"/>
  <c r="N190" i="8"/>
  <c r="O190" i="8"/>
  <c r="M191" i="8"/>
  <c r="N191" i="8"/>
  <c r="O191" i="8"/>
  <c r="M192" i="8"/>
  <c r="N192" i="8"/>
  <c r="O192" i="8"/>
  <c r="M193" i="8"/>
  <c r="N193" i="8"/>
  <c r="O193" i="8"/>
  <c r="M194" i="8"/>
  <c r="N194" i="8"/>
  <c r="O194" i="8"/>
  <c r="M195" i="8"/>
  <c r="N195" i="8"/>
  <c r="O195" i="8"/>
  <c r="M196" i="8"/>
  <c r="N196" i="8"/>
  <c r="O196" i="8"/>
  <c r="M197" i="8"/>
  <c r="N197" i="8"/>
  <c r="O197" i="8"/>
  <c r="M198" i="8"/>
  <c r="N198" i="8"/>
  <c r="O198" i="8"/>
  <c r="M199" i="8"/>
  <c r="N199" i="8"/>
  <c r="O199" i="8"/>
  <c r="M200" i="8"/>
  <c r="N200" i="8"/>
  <c r="O200" i="8"/>
  <c r="M201" i="8"/>
  <c r="N201" i="8"/>
  <c r="O201" i="8"/>
  <c r="M202" i="8"/>
  <c r="N202" i="8"/>
  <c r="O202" i="8"/>
  <c r="M203" i="8"/>
  <c r="N203" i="8"/>
  <c r="O203" i="8"/>
  <c r="M204" i="8"/>
  <c r="N204" i="8"/>
  <c r="O204" i="8"/>
  <c r="M205" i="8"/>
  <c r="N205" i="8"/>
  <c r="O205" i="8"/>
  <c r="M206" i="8"/>
  <c r="N206" i="8"/>
  <c r="O206" i="8"/>
  <c r="M207" i="8"/>
  <c r="N207" i="8"/>
  <c r="O207" i="8"/>
  <c r="M208" i="8"/>
  <c r="N208" i="8"/>
  <c r="O208" i="8"/>
  <c r="M209" i="8"/>
  <c r="N209" i="8"/>
  <c r="O209" i="8"/>
  <c r="M210" i="8"/>
  <c r="N210" i="8"/>
  <c r="O210" i="8"/>
  <c r="M211" i="8"/>
  <c r="N211" i="8"/>
  <c r="O211" i="8"/>
  <c r="M212" i="8"/>
  <c r="N212" i="8"/>
  <c r="O212" i="8"/>
  <c r="M213" i="8"/>
  <c r="N213" i="8"/>
  <c r="O213" i="8"/>
  <c r="M214" i="8"/>
  <c r="N214" i="8"/>
  <c r="O214" i="8"/>
  <c r="M215" i="8"/>
  <c r="N215" i="8"/>
  <c r="O215" i="8"/>
  <c r="M216" i="8"/>
  <c r="N216" i="8"/>
  <c r="O216" i="8"/>
  <c r="M217" i="8"/>
  <c r="N217" i="8"/>
  <c r="O217" i="8"/>
  <c r="M218" i="8"/>
  <c r="N218" i="8"/>
  <c r="O218" i="8"/>
  <c r="M219" i="8"/>
  <c r="N219" i="8"/>
  <c r="O219" i="8"/>
  <c r="M220" i="8"/>
  <c r="N220" i="8"/>
  <c r="O220" i="8"/>
  <c r="M221" i="8"/>
  <c r="N221" i="8"/>
  <c r="O221" i="8"/>
  <c r="M222" i="8"/>
  <c r="N222" i="8"/>
  <c r="O222" i="8"/>
  <c r="M223" i="8"/>
  <c r="N223" i="8"/>
  <c r="O223" i="8"/>
  <c r="M224" i="8"/>
  <c r="N224" i="8"/>
  <c r="O224" i="8"/>
  <c r="M225" i="8"/>
  <c r="N225" i="8"/>
  <c r="O225" i="8"/>
  <c r="M226" i="8"/>
  <c r="N226" i="8"/>
  <c r="O226" i="8"/>
  <c r="M227" i="8"/>
  <c r="N227" i="8"/>
  <c r="O227" i="8"/>
  <c r="M228" i="8"/>
  <c r="N228" i="8"/>
  <c r="O228" i="8"/>
  <c r="M229" i="8"/>
  <c r="N229" i="8"/>
  <c r="O229" i="8"/>
  <c r="M230" i="8"/>
  <c r="N230" i="8"/>
  <c r="O230" i="8"/>
  <c r="M231" i="8"/>
  <c r="N231" i="8"/>
  <c r="O231" i="8"/>
  <c r="M232" i="8"/>
  <c r="N232" i="8"/>
  <c r="O232" i="8"/>
  <c r="M233" i="8"/>
  <c r="N233" i="8"/>
  <c r="O233" i="8"/>
  <c r="M234" i="8"/>
  <c r="N234" i="8"/>
  <c r="O234" i="8"/>
  <c r="M235" i="8"/>
  <c r="N235" i="8"/>
  <c r="O235" i="8"/>
  <c r="M236" i="8"/>
  <c r="N236" i="8"/>
  <c r="O236" i="8"/>
  <c r="M237" i="8"/>
  <c r="N237" i="8"/>
  <c r="O237" i="8"/>
  <c r="M238" i="8"/>
  <c r="N238" i="8"/>
  <c r="O238" i="8"/>
  <c r="M239" i="8"/>
  <c r="N239" i="8"/>
  <c r="O239" i="8"/>
  <c r="M240" i="8"/>
  <c r="N240" i="8"/>
  <c r="O240" i="8"/>
  <c r="M241" i="8"/>
  <c r="N241" i="8"/>
  <c r="O241" i="8"/>
  <c r="M242" i="8"/>
  <c r="N242" i="8"/>
  <c r="O242" i="8"/>
  <c r="M243" i="8"/>
  <c r="N243" i="8"/>
  <c r="O243" i="8"/>
  <c r="M244" i="8"/>
  <c r="N244" i="8"/>
  <c r="O244" i="8"/>
  <c r="M245" i="8"/>
  <c r="N245" i="8"/>
  <c r="O245" i="8"/>
  <c r="M246" i="8"/>
  <c r="N246" i="8"/>
  <c r="O246" i="8"/>
  <c r="M247" i="8"/>
  <c r="N247" i="8"/>
  <c r="O247" i="8"/>
  <c r="M248" i="8"/>
  <c r="N248" i="8"/>
  <c r="O248" i="8"/>
  <c r="M249" i="8"/>
  <c r="N249" i="8"/>
  <c r="O249" i="8"/>
  <c r="M250" i="8"/>
  <c r="N250" i="8"/>
  <c r="O250" i="8"/>
  <c r="M251" i="8"/>
  <c r="N251" i="8"/>
  <c r="O251" i="8"/>
  <c r="M252" i="8"/>
  <c r="N252" i="8"/>
  <c r="O252" i="8"/>
  <c r="M253" i="8"/>
  <c r="N253" i="8"/>
  <c r="O253" i="8"/>
  <c r="M254" i="8"/>
  <c r="N254" i="8"/>
  <c r="O254" i="8"/>
  <c r="M255" i="8"/>
  <c r="N255" i="8"/>
  <c r="O255" i="8"/>
  <c r="M256" i="8"/>
  <c r="N256" i="8"/>
  <c r="O256" i="8"/>
  <c r="M257" i="8"/>
  <c r="N257" i="8"/>
  <c r="O257" i="8"/>
  <c r="M258" i="8"/>
  <c r="N258" i="8"/>
  <c r="O258" i="8"/>
  <c r="M259" i="8"/>
  <c r="N259" i="8"/>
  <c r="O259" i="8"/>
  <c r="M260" i="8"/>
  <c r="N260" i="8"/>
  <c r="O260" i="8"/>
  <c r="M261" i="8"/>
  <c r="N261" i="8"/>
  <c r="O261" i="8"/>
  <c r="M262" i="8"/>
  <c r="N262" i="8"/>
  <c r="O262" i="8"/>
  <c r="M263" i="8"/>
  <c r="N263" i="8"/>
  <c r="O263" i="8"/>
  <c r="M264" i="8"/>
  <c r="N264" i="8"/>
  <c r="O264" i="8"/>
  <c r="M265" i="8"/>
  <c r="N265" i="8"/>
  <c r="O265" i="8"/>
  <c r="M266" i="8"/>
  <c r="N266" i="8"/>
  <c r="O266" i="8"/>
  <c r="M267" i="8"/>
  <c r="N267" i="8"/>
  <c r="O267" i="8"/>
  <c r="M268" i="8"/>
  <c r="N268" i="8"/>
  <c r="O268" i="8"/>
  <c r="M269" i="8"/>
  <c r="N269" i="8"/>
  <c r="O269" i="8"/>
  <c r="M270" i="8"/>
  <c r="N270" i="8"/>
  <c r="O270" i="8"/>
  <c r="M271" i="8"/>
  <c r="N271" i="8"/>
  <c r="O271" i="8"/>
  <c r="M272" i="8"/>
  <c r="N272" i="8"/>
  <c r="O272" i="8"/>
  <c r="M273" i="8"/>
  <c r="N273" i="8"/>
  <c r="O273" i="8"/>
  <c r="M274" i="8"/>
  <c r="N274" i="8"/>
  <c r="O274" i="8"/>
  <c r="M275" i="8"/>
  <c r="N275" i="8"/>
  <c r="O275" i="8"/>
  <c r="M276" i="8"/>
  <c r="N276" i="8"/>
  <c r="O276" i="8"/>
  <c r="M277" i="8"/>
  <c r="N277" i="8"/>
  <c r="O277" i="8"/>
  <c r="M278" i="8"/>
  <c r="N278" i="8"/>
  <c r="O278" i="8"/>
  <c r="M279" i="8"/>
  <c r="N279" i="8"/>
  <c r="O279" i="8"/>
  <c r="M280" i="8"/>
  <c r="N280" i="8"/>
  <c r="O280" i="8"/>
  <c r="M281" i="8"/>
  <c r="N281" i="8"/>
  <c r="O281" i="8"/>
  <c r="M282" i="8"/>
  <c r="N282" i="8"/>
  <c r="O282" i="8"/>
  <c r="M283" i="8"/>
  <c r="N283" i="8"/>
  <c r="O283" i="8"/>
  <c r="M284" i="8"/>
  <c r="N284" i="8"/>
  <c r="O284" i="8"/>
  <c r="M285" i="8"/>
  <c r="N285" i="8"/>
  <c r="O285" i="8"/>
  <c r="M286" i="8"/>
  <c r="N286" i="8"/>
  <c r="O286" i="8"/>
  <c r="M287" i="8"/>
  <c r="N287" i="8"/>
  <c r="O287" i="8"/>
  <c r="M288" i="8"/>
  <c r="N288" i="8"/>
  <c r="O288" i="8"/>
  <c r="M289" i="8"/>
  <c r="N289" i="8"/>
  <c r="O289" i="8"/>
  <c r="M290" i="8"/>
  <c r="N290" i="8"/>
  <c r="O290" i="8"/>
  <c r="M291" i="8"/>
  <c r="N291" i="8"/>
  <c r="O291" i="8"/>
  <c r="M292" i="8"/>
  <c r="N292" i="8"/>
  <c r="O292" i="8"/>
  <c r="M293" i="8"/>
  <c r="N293" i="8"/>
  <c r="O293" i="8"/>
  <c r="M294" i="8"/>
  <c r="N294" i="8"/>
  <c r="O294" i="8"/>
  <c r="M295" i="8"/>
  <c r="N295" i="8"/>
  <c r="O295" i="8"/>
  <c r="M296" i="8"/>
  <c r="N296" i="8"/>
  <c r="O296" i="8"/>
  <c r="M297" i="8"/>
  <c r="N297" i="8"/>
  <c r="O297" i="8"/>
  <c r="M298" i="8"/>
  <c r="N298" i="8"/>
  <c r="O298" i="8"/>
  <c r="M299" i="8"/>
  <c r="N299" i="8"/>
  <c r="O299" i="8"/>
  <c r="M300" i="8"/>
  <c r="N300" i="8"/>
  <c r="O300" i="8"/>
  <c r="M301" i="8"/>
  <c r="N301" i="8"/>
  <c r="O301" i="8"/>
  <c r="M302" i="8"/>
  <c r="N302" i="8"/>
  <c r="O302" i="8"/>
  <c r="M303" i="8"/>
  <c r="N303" i="8"/>
  <c r="O303" i="8"/>
  <c r="M304" i="8"/>
  <c r="N304" i="8"/>
  <c r="O304" i="8"/>
  <c r="M305" i="8"/>
  <c r="N305" i="8"/>
  <c r="O305" i="8"/>
  <c r="M306" i="8"/>
  <c r="N306" i="8"/>
  <c r="O306" i="8"/>
  <c r="M307" i="8"/>
  <c r="N307" i="8"/>
  <c r="O307" i="8"/>
  <c r="M308" i="8"/>
  <c r="N308" i="8"/>
  <c r="O308" i="8"/>
  <c r="M309" i="8"/>
  <c r="N309" i="8"/>
  <c r="O309" i="8"/>
  <c r="M310" i="8"/>
  <c r="N310" i="8"/>
  <c r="O310" i="8"/>
  <c r="M311" i="8"/>
  <c r="N311" i="8"/>
  <c r="O311" i="8"/>
  <c r="M312" i="8"/>
  <c r="N312" i="8"/>
  <c r="O312" i="8"/>
  <c r="M313" i="8"/>
  <c r="N313" i="8"/>
  <c r="O313" i="8"/>
  <c r="M314" i="8"/>
  <c r="N314" i="8"/>
  <c r="O314" i="8"/>
  <c r="M315" i="8"/>
  <c r="N315" i="8"/>
  <c r="O315" i="8"/>
  <c r="M316" i="8"/>
  <c r="N316" i="8"/>
  <c r="O316" i="8"/>
  <c r="M317" i="8"/>
  <c r="N317" i="8"/>
  <c r="O317" i="8"/>
  <c r="M318" i="8"/>
  <c r="N318" i="8"/>
  <c r="O318" i="8"/>
  <c r="M319" i="8"/>
  <c r="N319" i="8"/>
  <c r="O319" i="8"/>
  <c r="M320" i="8"/>
  <c r="N320" i="8"/>
  <c r="O320" i="8"/>
  <c r="M321" i="8"/>
  <c r="N321" i="8"/>
  <c r="O321" i="8"/>
  <c r="M322" i="8"/>
  <c r="N322" i="8"/>
  <c r="O322" i="8"/>
  <c r="M323" i="8"/>
  <c r="N323" i="8"/>
  <c r="O323" i="8"/>
  <c r="M324" i="8"/>
  <c r="N324" i="8"/>
  <c r="O324" i="8"/>
  <c r="M325" i="8"/>
  <c r="N325" i="8"/>
  <c r="O325" i="8"/>
  <c r="M326" i="8"/>
  <c r="N326" i="8"/>
  <c r="O326" i="8"/>
  <c r="M327" i="8"/>
  <c r="N327" i="8"/>
  <c r="O327" i="8"/>
  <c r="M328" i="8"/>
  <c r="N328" i="8"/>
  <c r="O328" i="8"/>
  <c r="M329" i="8"/>
  <c r="N329" i="8"/>
  <c r="O329" i="8"/>
  <c r="M330" i="8"/>
  <c r="N330" i="8"/>
  <c r="O330" i="8"/>
  <c r="M331" i="8"/>
  <c r="N331" i="8"/>
  <c r="O331" i="8"/>
  <c r="M332" i="8"/>
  <c r="N332" i="8"/>
  <c r="O332" i="8"/>
  <c r="M333" i="8"/>
  <c r="N333" i="8"/>
  <c r="O333" i="8"/>
  <c r="M334" i="8"/>
  <c r="N334" i="8"/>
  <c r="O334" i="8"/>
  <c r="M335" i="8"/>
  <c r="N335" i="8"/>
  <c r="O335" i="8"/>
  <c r="M336" i="8"/>
  <c r="N336" i="8"/>
  <c r="O336" i="8"/>
  <c r="M337" i="8"/>
  <c r="N337" i="8"/>
  <c r="O337" i="8"/>
  <c r="M338" i="8"/>
  <c r="N338" i="8"/>
  <c r="O338" i="8"/>
  <c r="M339" i="8"/>
  <c r="N339" i="8"/>
  <c r="O339" i="8"/>
  <c r="M340" i="8"/>
  <c r="N340" i="8"/>
  <c r="O340" i="8"/>
  <c r="M341" i="8"/>
  <c r="N341" i="8"/>
  <c r="O341" i="8"/>
  <c r="M342" i="8"/>
  <c r="N342" i="8"/>
  <c r="O342" i="8"/>
  <c r="M343" i="8"/>
  <c r="N343" i="8"/>
  <c r="O343" i="8"/>
  <c r="M344" i="8"/>
  <c r="N344" i="8"/>
  <c r="O344" i="8"/>
  <c r="M345" i="8"/>
  <c r="N345" i="8"/>
  <c r="O345" i="8"/>
  <c r="M346" i="8"/>
  <c r="N346" i="8"/>
  <c r="O346" i="8"/>
  <c r="M347" i="8"/>
  <c r="N347" i="8"/>
  <c r="O347" i="8"/>
  <c r="M348" i="8"/>
  <c r="N348" i="8"/>
  <c r="O348" i="8"/>
  <c r="M349" i="8"/>
  <c r="N349" i="8"/>
  <c r="O349" i="8"/>
  <c r="M350" i="8"/>
  <c r="N350" i="8"/>
  <c r="O350" i="8"/>
  <c r="M351" i="8"/>
  <c r="N351" i="8"/>
  <c r="O351" i="8"/>
  <c r="M352" i="8"/>
  <c r="N352" i="8"/>
  <c r="O352" i="8"/>
  <c r="M353" i="8"/>
  <c r="N353" i="8"/>
  <c r="O353" i="8"/>
  <c r="M354" i="8"/>
  <c r="N354" i="8"/>
  <c r="O354" i="8"/>
  <c r="M355" i="8"/>
  <c r="N355" i="8"/>
  <c r="O355" i="8"/>
  <c r="M356" i="8"/>
  <c r="N356" i="8"/>
  <c r="O356" i="8"/>
  <c r="M357" i="8"/>
  <c r="N357" i="8"/>
  <c r="O357" i="8"/>
  <c r="M358" i="8"/>
  <c r="N358" i="8"/>
  <c r="O358" i="8"/>
  <c r="M359" i="8"/>
  <c r="N359" i="8"/>
  <c r="O359" i="8"/>
  <c r="M360" i="8"/>
  <c r="N360" i="8"/>
  <c r="O360" i="8"/>
  <c r="M361" i="8"/>
  <c r="N361" i="8"/>
  <c r="O361" i="8"/>
  <c r="M362" i="8"/>
  <c r="N362" i="8"/>
  <c r="O362" i="8"/>
  <c r="M363" i="8"/>
  <c r="N363" i="8"/>
  <c r="O363" i="8"/>
  <c r="M364" i="8"/>
  <c r="N364" i="8"/>
  <c r="O364" i="8"/>
  <c r="M365" i="8"/>
  <c r="N365" i="8"/>
  <c r="O365" i="8"/>
  <c r="M366" i="8"/>
  <c r="N366" i="8"/>
  <c r="O366" i="8"/>
  <c r="M367" i="8"/>
  <c r="N367" i="8"/>
  <c r="O367" i="8"/>
  <c r="M368" i="8"/>
  <c r="N368" i="8"/>
  <c r="O368" i="8"/>
  <c r="M369" i="8"/>
  <c r="N369" i="8"/>
  <c r="O369" i="8"/>
  <c r="M370" i="8"/>
  <c r="N370" i="8"/>
  <c r="O370" i="8"/>
  <c r="M371" i="8"/>
  <c r="N371" i="8"/>
  <c r="O371" i="8"/>
  <c r="M372" i="8"/>
  <c r="N372" i="8"/>
  <c r="O372" i="8"/>
  <c r="M373" i="8"/>
  <c r="N373" i="8"/>
  <c r="O373" i="8"/>
  <c r="M374" i="8"/>
  <c r="N374" i="8"/>
  <c r="O374" i="8"/>
  <c r="M375" i="8"/>
  <c r="N375" i="8"/>
  <c r="O375" i="8"/>
  <c r="M376" i="8"/>
  <c r="N376" i="8"/>
  <c r="O376" i="8"/>
  <c r="M377" i="8"/>
  <c r="N377" i="8"/>
  <c r="O377" i="8"/>
  <c r="M378" i="8"/>
  <c r="N378" i="8"/>
  <c r="O378" i="8"/>
  <c r="M379" i="8"/>
  <c r="N379" i="8"/>
  <c r="O379" i="8"/>
  <c r="M380" i="8"/>
  <c r="N380" i="8"/>
  <c r="O380" i="8"/>
  <c r="M381" i="8"/>
  <c r="N381" i="8"/>
  <c r="O381" i="8"/>
  <c r="M382" i="8"/>
  <c r="N382" i="8"/>
  <c r="O382" i="8"/>
  <c r="M383" i="8"/>
  <c r="N383" i="8"/>
  <c r="O383" i="8"/>
  <c r="M384" i="8"/>
  <c r="N384" i="8"/>
  <c r="O384" i="8"/>
  <c r="M385" i="8"/>
  <c r="N385" i="8"/>
  <c r="O385" i="8"/>
  <c r="M386" i="8"/>
  <c r="N386" i="8"/>
  <c r="O386" i="8"/>
  <c r="M387" i="8"/>
  <c r="N387" i="8"/>
  <c r="O387" i="8"/>
  <c r="M388" i="8"/>
  <c r="N388" i="8"/>
  <c r="O388" i="8"/>
  <c r="M389" i="8"/>
  <c r="N389" i="8"/>
  <c r="O389" i="8"/>
  <c r="M390" i="8"/>
  <c r="N390" i="8"/>
  <c r="O390" i="8"/>
  <c r="M391" i="8"/>
  <c r="N391" i="8"/>
  <c r="O391" i="8"/>
  <c r="M392" i="8"/>
  <c r="N392" i="8"/>
  <c r="O392" i="8"/>
  <c r="M393" i="8"/>
  <c r="N393" i="8"/>
  <c r="O393" i="8"/>
  <c r="M394" i="8"/>
  <c r="N394" i="8"/>
  <c r="O394" i="8"/>
  <c r="M395" i="8"/>
  <c r="N395" i="8"/>
  <c r="O395" i="8"/>
  <c r="M396" i="8"/>
  <c r="N396" i="8"/>
  <c r="O396" i="8"/>
  <c r="M397" i="8"/>
  <c r="N397" i="8"/>
  <c r="O397" i="8"/>
  <c r="M398" i="8"/>
  <c r="N398" i="8"/>
  <c r="O398" i="8"/>
  <c r="M399" i="8"/>
  <c r="N399" i="8"/>
  <c r="O399" i="8"/>
  <c r="M400" i="8"/>
  <c r="N400" i="8"/>
  <c r="O400" i="8"/>
  <c r="M401" i="8"/>
  <c r="N401" i="8"/>
  <c r="O401" i="8"/>
  <c r="M402" i="8"/>
  <c r="N402" i="8"/>
  <c r="O402" i="8"/>
  <c r="M403" i="8"/>
  <c r="N403" i="8"/>
  <c r="O403" i="8"/>
  <c r="M404" i="8"/>
  <c r="N404" i="8"/>
  <c r="O404" i="8"/>
  <c r="M405" i="8"/>
  <c r="N405" i="8"/>
  <c r="O405" i="8"/>
  <c r="M406" i="8"/>
  <c r="N406" i="8"/>
  <c r="O406" i="8"/>
  <c r="M407" i="8"/>
  <c r="N407" i="8"/>
  <c r="O407" i="8"/>
  <c r="M408" i="8"/>
  <c r="N408" i="8"/>
  <c r="O408" i="8"/>
  <c r="M409" i="8"/>
  <c r="N409" i="8"/>
  <c r="O409" i="8"/>
  <c r="M410" i="8"/>
  <c r="N410" i="8"/>
  <c r="O410" i="8"/>
  <c r="M411" i="8"/>
  <c r="N411" i="8"/>
  <c r="O411" i="8"/>
  <c r="M412" i="8"/>
  <c r="N412" i="8"/>
  <c r="O412" i="8"/>
  <c r="M413" i="8"/>
  <c r="N413" i="8"/>
  <c r="O413" i="8"/>
  <c r="M414" i="8"/>
  <c r="N414" i="8"/>
  <c r="O414" i="8"/>
  <c r="M415" i="8"/>
  <c r="N415" i="8"/>
  <c r="O415" i="8"/>
  <c r="M416" i="8"/>
  <c r="N416" i="8"/>
  <c r="O416" i="8"/>
  <c r="M417" i="8"/>
  <c r="N417" i="8"/>
  <c r="O417" i="8"/>
  <c r="M418" i="8"/>
  <c r="N418" i="8"/>
  <c r="O418" i="8"/>
  <c r="M419" i="8"/>
  <c r="N419" i="8"/>
  <c r="O419" i="8"/>
  <c r="M420" i="8"/>
  <c r="N420" i="8"/>
  <c r="O420" i="8"/>
  <c r="M421" i="8"/>
  <c r="N421" i="8"/>
  <c r="O421" i="8"/>
  <c r="M422" i="8"/>
  <c r="N422" i="8"/>
  <c r="O422" i="8"/>
  <c r="M423" i="8"/>
  <c r="N423" i="8"/>
  <c r="O423" i="8"/>
  <c r="M424" i="8"/>
  <c r="N424" i="8"/>
  <c r="O424" i="8"/>
  <c r="M425" i="8"/>
  <c r="N425" i="8"/>
  <c r="O425" i="8"/>
  <c r="M426" i="8"/>
  <c r="N426" i="8"/>
  <c r="O426" i="8"/>
  <c r="M427" i="8"/>
  <c r="N427" i="8"/>
  <c r="O427" i="8"/>
  <c r="M428" i="8"/>
  <c r="N428" i="8"/>
  <c r="O428" i="8"/>
  <c r="M429" i="8"/>
  <c r="N429" i="8"/>
  <c r="O429" i="8"/>
  <c r="M430" i="8"/>
  <c r="N430" i="8"/>
  <c r="O430" i="8"/>
  <c r="M431" i="8"/>
  <c r="N431" i="8"/>
  <c r="O431" i="8"/>
  <c r="M432" i="8"/>
  <c r="N432" i="8"/>
  <c r="O432" i="8"/>
  <c r="M433" i="8"/>
  <c r="N433" i="8"/>
  <c r="O433" i="8"/>
  <c r="M434" i="8"/>
  <c r="N434" i="8"/>
  <c r="O434" i="8"/>
  <c r="M435" i="8"/>
  <c r="N435" i="8"/>
  <c r="O435" i="8"/>
  <c r="M436" i="8"/>
  <c r="N436" i="8"/>
  <c r="O436" i="8"/>
  <c r="M437" i="8"/>
  <c r="N437" i="8"/>
  <c r="O437" i="8"/>
  <c r="M438" i="8"/>
  <c r="N438" i="8"/>
  <c r="O438" i="8"/>
  <c r="M439" i="8"/>
  <c r="N439" i="8"/>
  <c r="O439" i="8"/>
  <c r="M440" i="8"/>
  <c r="N440" i="8"/>
  <c r="O440" i="8"/>
  <c r="M441" i="8"/>
  <c r="N441" i="8"/>
  <c r="O441" i="8"/>
  <c r="M442" i="8"/>
  <c r="N442" i="8"/>
  <c r="O442" i="8"/>
  <c r="M443" i="8"/>
  <c r="N443" i="8"/>
  <c r="O443" i="8"/>
  <c r="M444" i="8"/>
  <c r="N444" i="8"/>
  <c r="O444" i="8"/>
  <c r="M445" i="8"/>
  <c r="N445" i="8"/>
  <c r="O445" i="8"/>
  <c r="M446" i="8"/>
  <c r="N446" i="8"/>
  <c r="O446" i="8"/>
  <c r="M447" i="8"/>
  <c r="N447" i="8"/>
  <c r="O447" i="8"/>
  <c r="M448" i="8"/>
  <c r="N448" i="8"/>
  <c r="O448" i="8"/>
  <c r="M449" i="8"/>
  <c r="N449" i="8"/>
  <c r="O449" i="8"/>
  <c r="M450" i="8"/>
  <c r="N450" i="8"/>
  <c r="O450" i="8"/>
  <c r="M451" i="8"/>
  <c r="N451" i="8"/>
  <c r="O451" i="8"/>
  <c r="M452" i="8"/>
  <c r="N452" i="8"/>
  <c r="O452" i="8"/>
  <c r="M453" i="8"/>
  <c r="N453" i="8"/>
  <c r="O453" i="8"/>
  <c r="M454" i="8"/>
  <c r="N454" i="8"/>
  <c r="O454" i="8"/>
  <c r="M455" i="8"/>
  <c r="N455" i="8"/>
  <c r="O455" i="8"/>
  <c r="M456" i="8"/>
  <c r="N456" i="8"/>
  <c r="O456" i="8"/>
  <c r="M457" i="8"/>
  <c r="N457" i="8"/>
  <c r="O457" i="8"/>
  <c r="M458" i="8"/>
  <c r="N458" i="8"/>
  <c r="O458" i="8"/>
  <c r="M459" i="8"/>
  <c r="N459" i="8"/>
  <c r="O459" i="8"/>
  <c r="M460" i="8"/>
  <c r="N460" i="8"/>
  <c r="O460" i="8"/>
  <c r="M461" i="8"/>
  <c r="N461" i="8"/>
  <c r="O461" i="8"/>
  <c r="M462" i="8"/>
  <c r="N462" i="8"/>
  <c r="O462" i="8"/>
  <c r="M463" i="8"/>
  <c r="N463" i="8"/>
  <c r="O463" i="8"/>
  <c r="M464" i="8"/>
  <c r="N464" i="8"/>
  <c r="O464" i="8"/>
  <c r="M465" i="8"/>
  <c r="N465" i="8"/>
  <c r="O465" i="8"/>
  <c r="M466" i="8"/>
  <c r="N466" i="8"/>
  <c r="O466" i="8"/>
  <c r="M467" i="8"/>
  <c r="N467" i="8"/>
  <c r="O467" i="8"/>
  <c r="M468" i="8"/>
  <c r="N468" i="8"/>
  <c r="O468" i="8"/>
  <c r="M469" i="8"/>
  <c r="N469" i="8"/>
  <c r="O469" i="8"/>
  <c r="M470" i="8"/>
  <c r="N470" i="8"/>
  <c r="O470" i="8"/>
  <c r="M471" i="8"/>
  <c r="N471" i="8"/>
  <c r="O471" i="8"/>
  <c r="M472" i="8"/>
  <c r="N472" i="8"/>
  <c r="O472" i="8"/>
  <c r="M473" i="8"/>
  <c r="N473" i="8"/>
  <c r="O473" i="8"/>
  <c r="M474" i="8"/>
  <c r="N474" i="8"/>
  <c r="O474" i="8"/>
  <c r="M475" i="8"/>
  <c r="N475" i="8"/>
  <c r="O475" i="8"/>
  <c r="M476" i="8"/>
  <c r="N476" i="8"/>
  <c r="O476" i="8"/>
  <c r="M477" i="8"/>
  <c r="N477" i="8"/>
  <c r="O477" i="8"/>
  <c r="M478" i="8"/>
  <c r="N478" i="8"/>
  <c r="O478" i="8"/>
  <c r="M479" i="8"/>
  <c r="N479" i="8"/>
  <c r="O479" i="8"/>
  <c r="M480" i="8"/>
  <c r="N480" i="8"/>
  <c r="O480" i="8"/>
  <c r="M481" i="8"/>
  <c r="N481" i="8"/>
  <c r="O481" i="8"/>
  <c r="M482" i="8"/>
  <c r="N482" i="8"/>
  <c r="O482" i="8"/>
  <c r="M483" i="8"/>
  <c r="N483" i="8"/>
  <c r="O483" i="8"/>
  <c r="M484" i="8"/>
  <c r="N484" i="8"/>
  <c r="O484" i="8"/>
  <c r="M485" i="8"/>
  <c r="N485" i="8"/>
  <c r="O485" i="8"/>
  <c r="M486" i="8"/>
  <c r="N486" i="8"/>
  <c r="O486" i="8"/>
  <c r="M487" i="8"/>
  <c r="N487" i="8"/>
  <c r="O487" i="8"/>
  <c r="M488" i="8"/>
  <c r="N488" i="8"/>
  <c r="O488" i="8"/>
  <c r="M489" i="8"/>
  <c r="N489" i="8"/>
  <c r="O489" i="8"/>
  <c r="M490" i="8"/>
  <c r="N490" i="8"/>
  <c r="O490" i="8"/>
  <c r="M491" i="8"/>
  <c r="N491" i="8"/>
  <c r="O491" i="8"/>
  <c r="M492" i="8"/>
  <c r="N492" i="8"/>
  <c r="O492" i="8"/>
  <c r="M493" i="8"/>
  <c r="N493" i="8"/>
  <c r="O493" i="8"/>
  <c r="M494" i="8"/>
  <c r="N494" i="8"/>
  <c r="O494" i="8"/>
  <c r="M495" i="8"/>
  <c r="N495" i="8"/>
  <c r="O495" i="8"/>
  <c r="M496" i="8"/>
  <c r="N496" i="8"/>
  <c r="O496" i="8"/>
  <c r="M497" i="8"/>
  <c r="N497" i="8"/>
  <c r="O497" i="8"/>
  <c r="M498" i="8"/>
  <c r="N498" i="8"/>
  <c r="O498" i="8"/>
  <c r="M499" i="8"/>
  <c r="N499" i="8"/>
  <c r="O499" i="8"/>
  <c r="M500" i="8"/>
  <c r="N500" i="8"/>
  <c r="O500" i="8"/>
  <c r="M501" i="8"/>
  <c r="N501" i="8"/>
  <c r="O501" i="8"/>
  <c r="M502" i="8"/>
  <c r="N502" i="8"/>
  <c r="O502" i="8"/>
  <c r="M503" i="8"/>
  <c r="N503" i="8"/>
  <c r="O503" i="8"/>
  <c r="M504" i="8"/>
  <c r="N504" i="8"/>
  <c r="O504" i="8"/>
  <c r="M505" i="8"/>
  <c r="N505" i="8"/>
  <c r="O505" i="8"/>
  <c r="M506" i="8"/>
  <c r="N506" i="8"/>
  <c r="O506" i="8"/>
  <c r="M507" i="8"/>
  <c r="N507" i="8"/>
  <c r="O507" i="8"/>
  <c r="M508" i="8"/>
  <c r="N508" i="8"/>
  <c r="O508" i="8"/>
  <c r="M509" i="8"/>
  <c r="N509" i="8"/>
  <c r="O509" i="8"/>
  <c r="M510" i="8"/>
  <c r="N510" i="8"/>
  <c r="O510" i="8"/>
  <c r="M511" i="8"/>
  <c r="N511" i="8"/>
  <c r="O511" i="8"/>
  <c r="M512" i="8"/>
  <c r="N512" i="8"/>
  <c r="O512" i="8"/>
  <c r="M513" i="8"/>
  <c r="N513" i="8"/>
  <c r="O513" i="8"/>
  <c r="M514" i="8"/>
  <c r="N514" i="8"/>
  <c r="O514" i="8"/>
  <c r="M515" i="8"/>
  <c r="N515" i="8"/>
  <c r="O515" i="8"/>
  <c r="M516" i="8"/>
  <c r="N516" i="8"/>
  <c r="O516" i="8"/>
  <c r="M517" i="8"/>
  <c r="N517" i="8"/>
  <c r="O517" i="8"/>
  <c r="M518" i="8"/>
  <c r="N518" i="8"/>
  <c r="O518" i="8"/>
  <c r="M519" i="8"/>
  <c r="N519" i="8"/>
  <c r="O519" i="8"/>
  <c r="M520" i="8"/>
  <c r="N520" i="8"/>
  <c r="O520" i="8"/>
  <c r="M521" i="8"/>
  <c r="N521" i="8"/>
  <c r="O521" i="8"/>
  <c r="M522" i="8"/>
  <c r="N522" i="8"/>
  <c r="O522" i="8"/>
  <c r="M523" i="8"/>
  <c r="N523" i="8"/>
  <c r="O523" i="8"/>
  <c r="M524" i="8"/>
  <c r="N524" i="8"/>
  <c r="O524" i="8"/>
  <c r="M525" i="8"/>
  <c r="N525" i="8"/>
  <c r="O525" i="8"/>
  <c r="M526" i="8"/>
  <c r="N526" i="8"/>
  <c r="O526" i="8"/>
  <c r="M527" i="8"/>
  <c r="N527" i="8"/>
  <c r="O527" i="8"/>
  <c r="M528" i="8"/>
  <c r="N528" i="8"/>
  <c r="O528" i="8"/>
  <c r="M529" i="8"/>
  <c r="N529" i="8"/>
  <c r="O529" i="8"/>
  <c r="M530" i="8"/>
  <c r="N530" i="8"/>
  <c r="O530" i="8"/>
  <c r="M531" i="8"/>
  <c r="N531" i="8"/>
  <c r="O531" i="8"/>
  <c r="M532" i="8"/>
  <c r="N532" i="8"/>
  <c r="O532" i="8"/>
  <c r="M533" i="8"/>
  <c r="N533" i="8"/>
  <c r="O533" i="8"/>
  <c r="M534" i="8"/>
  <c r="N534" i="8"/>
  <c r="O534" i="8"/>
  <c r="M535" i="8"/>
  <c r="N535" i="8"/>
  <c r="O535" i="8"/>
  <c r="M536" i="8"/>
  <c r="N536" i="8"/>
  <c r="O536" i="8"/>
  <c r="M537" i="8"/>
  <c r="N537" i="8"/>
  <c r="O537" i="8"/>
  <c r="M538" i="8"/>
  <c r="N538" i="8"/>
  <c r="O538" i="8"/>
  <c r="M539" i="8"/>
  <c r="N539" i="8"/>
  <c r="O539" i="8"/>
  <c r="M540" i="8"/>
  <c r="N540" i="8"/>
  <c r="O540" i="8"/>
  <c r="M541" i="8"/>
  <c r="N541" i="8"/>
  <c r="O541" i="8"/>
  <c r="M542" i="8"/>
  <c r="N542" i="8"/>
  <c r="O542" i="8"/>
  <c r="M543" i="8"/>
  <c r="N543" i="8"/>
  <c r="O543" i="8"/>
  <c r="M544" i="8"/>
  <c r="N544" i="8"/>
  <c r="O544" i="8"/>
  <c r="M545" i="8"/>
  <c r="N545" i="8"/>
  <c r="O545" i="8"/>
  <c r="M546" i="8"/>
  <c r="N546" i="8"/>
  <c r="O546" i="8"/>
  <c r="M547" i="8"/>
  <c r="N547" i="8"/>
  <c r="O547" i="8"/>
  <c r="M548" i="8"/>
  <c r="N548" i="8"/>
  <c r="O548" i="8"/>
  <c r="M549" i="8"/>
  <c r="N549" i="8"/>
  <c r="O549" i="8"/>
  <c r="M550" i="8"/>
  <c r="N550" i="8"/>
  <c r="O550" i="8"/>
  <c r="M551" i="8"/>
  <c r="N551" i="8"/>
  <c r="O551" i="8"/>
  <c r="M552" i="8"/>
  <c r="N552" i="8"/>
  <c r="O552" i="8"/>
  <c r="M553" i="8"/>
  <c r="N553" i="8"/>
  <c r="O553" i="8"/>
  <c r="M554" i="8"/>
  <c r="N554" i="8"/>
  <c r="O554" i="8"/>
  <c r="M555" i="8"/>
  <c r="N555" i="8"/>
  <c r="O555" i="8"/>
  <c r="M556" i="8"/>
  <c r="N556" i="8"/>
  <c r="O556" i="8"/>
  <c r="M557" i="8"/>
  <c r="N557" i="8"/>
  <c r="O557" i="8"/>
  <c r="M558" i="8"/>
  <c r="N558" i="8"/>
  <c r="O558" i="8"/>
  <c r="M559" i="8"/>
  <c r="N559" i="8"/>
  <c r="O559" i="8"/>
  <c r="M560" i="8"/>
  <c r="N560" i="8"/>
  <c r="O560" i="8"/>
  <c r="M561" i="8"/>
  <c r="N561" i="8"/>
  <c r="O561" i="8"/>
  <c r="M562" i="8"/>
  <c r="N562" i="8"/>
  <c r="O562" i="8"/>
  <c r="M563" i="8"/>
  <c r="N563" i="8"/>
  <c r="O563" i="8"/>
  <c r="M564" i="8"/>
  <c r="N564" i="8"/>
  <c r="O564" i="8"/>
  <c r="M565" i="8"/>
  <c r="N565" i="8"/>
  <c r="O565" i="8"/>
  <c r="M566" i="8"/>
  <c r="N566" i="8"/>
  <c r="O566" i="8"/>
  <c r="M567" i="8"/>
  <c r="N567" i="8"/>
  <c r="O567" i="8"/>
  <c r="M568" i="8"/>
  <c r="N568" i="8"/>
  <c r="O568" i="8"/>
  <c r="M569" i="8"/>
  <c r="N569" i="8"/>
  <c r="O569" i="8"/>
  <c r="M570" i="8"/>
  <c r="N570" i="8"/>
  <c r="O570" i="8"/>
  <c r="M571" i="8"/>
  <c r="N571" i="8"/>
  <c r="O571" i="8"/>
  <c r="M572" i="8"/>
  <c r="N572" i="8"/>
  <c r="O572" i="8"/>
  <c r="M573" i="8"/>
  <c r="N573" i="8"/>
  <c r="O573" i="8"/>
  <c r="M574" i="8"/>
  <c r="N574" i="8"/>
  <c r="O574" i="8"/>
  <c r="M575" i="8"/>
  <c r="N575" i="8"/>
  <c r="O575" i="8"/>
  <c r="M576" i="8"/>
  <c r="N576" i="8"/>
  <c r="O576" i="8"/>
  <c r="M577" i="8"/>
  <c r="N577" i="8"/>
  <c r="O577" i="8"/>
  <c r="M578" i="8"/>
  <c r="N578" i="8"/>
  <c r="O578" i="8"/>
  <c r="M579" i="8"/>
  <c r="N579" i="8"/>
  <c r="O579" i="8"/>
  <c r="M580" i="8"/>
  <c r="N580" i="8"/>
  <c r="O580" i="8"/>
  <c r="M581" i="8"/>
  <c r="N581" i="8"/>
  <c r="O581" i="8"/>
  <c r="M582" i="8"/>
  <c r="N582" i="8"/>
  <c r="O582" i="8"/>
  <c r="M583" i="8"/>
  <c r="N583" i="8"/>
  <c r="O583" i="8"/>
  <c r="M584" i="8"/>
  <c r="N584" i="8"/>
  <c r="O584" i="8"/>
  <c r="M585" i="8"/>
  <c r="N585" i="8"/>
  <c r="O585" i="8"/>
  <c r="M586" i="8"/>
  <c r="N586" i="8"/>
  <c r="O586" i="8"/>
  <c r="M587" i="8"/>
  <c r="N587" i="8"/>
  <c r="O587" i="8"/>
  <c r="M588" i="8"/>
  <c r="N588" i="8"/>
  <c r="O588" i="8"/>
  <c r="M589" i="8"/>
  <c r="N589" i="8"/>
  <c r="O589" i="8"/>
  <c r="M590" i="8"/>
  <c r="N590" i="8"/>
  <c r="O590" i="8"/>
  <c r="M591" i="8"/>
  <c r="N591" i="8"/>
  <c r="O591" i="8"/>
  <c r="M592" i="8"/>
  <c r="N592" i="8"/>
  <c r="O592" i="8"/>
  <c r="M593" i="8"/>
  <c r="N593" i="8"/>
  <c r="O593" i="8"/>
  <c r="M594" i="8"/>
  <c r="N594" i="8"/>
  <c r="O594" i="8"/>
  <c r="M595" i="8"/>
  <c r="N595" i="8"/>
  <c r="O595" i="8"/>
  <c r="M596" i="8"/>
  <c r="N596" i="8"/>
  <c r="O596" i="8"/>
  <c r="M597" i="8"/>
  <c r="N597" i="8"/>
  <c r="O597" i="8"/>
  <c r="M598" i="8"/>
  <c r="N598" i="8"/>
  <c r="O598" i="8"/>
  <c r="M599" i="8"/>
  <c r="N599" i="8"/>
  <c r="O599" i="8"/>
  <c r="M600" i="8"/>
  <c r="N600" i="8"/>
  <c r="O600" i="8"/>
  <c r="M601" i="8"/>
  <c r="N601" i="8"/>
  <c r="O601" i="8"/>
  <c r="M602" i="8"/>
  <c r="N602" i="8"/>
  <c r="O602" i="8"/>
  <c r="M603" i="8"/>
  <c r="N603" i="8"/>
  <c r="O603" i="8"/>
  <c r="M604" i="8"/>
  <c r="N604" i="8"/>
  <c r="O604"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C3" i="29"/>
  <c r="C4" i="29"/>
  <c r="C5" i="29"/>
  <c r="C6" i="29"/>
  <c r="C7" i="29"/>
  <c r="C8" i="29"/>
  <c r="C9" i="29"/>
  <c r="C10" i="29"/>
  <c r="C15" i="29"/>
  <c r="C16" i="29"/>
  <c r="C17" i="29"/>
  <c r="C18" i="29"/>
  <c r="C19" i="29"/>
  <c r="C20" i="29"/>
  <c r="C21" i="29"/>
  <c r="C22" i="29"/>
  <c r="C23" i="29"/>
  <c r="C24" i="29"/>
  <c r="C30" i="29"/>
  <c r="C31" i="29"/>
  <c r="C32" i="29"/>
  <c r="C33" i="29"/>
  <c r="C34" i="29"/>
  <c r="C35" i="29"/>
  <c r="C36" i="29"/>
  <c r="C37" i="29"/>
  <c r="C38" i="29"/>
  <c r="C43" i="29"/>
  <c r="C44" i="29"/>
  <c r="C45" i="29"/>
  <c r="C46" i="29"/>
  <c r="C54" i="29"/>
  <c r="C55" i="29"/>
  <c r="C56" i="29"/>
  <c r="C57" i="29"/>
  <c r="C58" i="29"/>
  <c r="C59" i="29"/>
  <c r="C60" i="29"/>
  <c r="C61" i="29"/>
  <c r="C69" i="29"/>
  <c r="C70" i="29"/>
  <c r="C71" i="29"/>
  <c r="C72" i="29"/>
  <c r="C73" i="29"/>
  <c r="C74" i="29"/>
  <c r="C75" i="29"/>
  <c r="C76" i="29"/>
  <c r="C77" i="29"/>
  <c r="C84" i="29"/>
  <c r="C86" i="29"/>
  <c r="C87" i="29"/>
  <c r="C88" i="29"/>
  <c r="C89" i="29"/>
  <c r="C90" i="29"/>
  <c r="C91" i="29"/>
  <c r="C92" i="29"/>
  <c r="C85" i="29"/>
  <c r="C97" i="29"/>
  <c r="C98" i="29"/>
  <c r="C99" i="29"/>
  <c r="C100" i="29"/>
  <c r="C101" i="29"/>
  <c r="C102" i="29"/>
  <c r="C103" i="29"/>
  <c r="C104" i="29"/>
  <c r="C105" i="29"/>
  <c r="C2" i="29"/>
  <c r="Y498" i="8"/>
  <c r="Z498" i="8"/>
  <c r="AA498" i="8"/>
  <c r="Y499" i="8"/>
  <c r="Z499" i="8"/>
  <c r="AA499" i="8"/>
  <c r="Y500" i="8"/>
  <c r="Z500" i="8"/>
  <c r="AA500" i="8"/>
  <c r="Y501" i="8"/>
  <c r="Z501" i="8"/>
  <c r="AA501" i="8"/>
  <c r="Y502" i="8"/>
  <c r="Z502" i="8"/>
  <c r="AA502" i="8"/>
  <c r="Y503" i="8"/>
  <c r="Z503" i="8"/>
  <c r="AA503" i="8"/>
  <c r="Y504" i="8"/>
  <c r="Z504" i="8"/>
  <c r="AA504" i="8"/>
  <c r="Y505" i="8"/>
  <c r="Z505" i="8"/>
  <c r="AA505" i="8"/>
  <c r="Y506" i="8"/>
  <c r="Z506" i="8"/>
  <c r="AA506" i="8"/>
  <c r="Y507" i="8"/>
  <c r="Z507" i="8"/>
  <c r="AA507" i="8"/>
  <c r="Y508" i="8"/>
  <c r="Z508" i="8"/>
  <c r="AA508" i="8"/>
  <c r="Y509" i="8"/>
  <c r="Z509" i="8"/>
  <c r="AA509" i="8"/>
  <c r="Y510" i="8"/>
  <c r="Z510" i="8"/>
  <c r="AA510" i="8"/>
  <c r="Y511" i="8"/>
  <c r="Z511" i="8"/>
  <c r="AA511" i="8"/>
  <c r="Y512" i="8"/>
  <c r="Z512" i="8"/>
  <c r="AA512" i="8"/>
  <c r="Y513" i="8"/>
  <c r="Z513" i="8"/>
  <c r="AA513" i="8"/>
  <c r="Y514" i="8"/>
  <c r="Z514" i="8"/>
  <c r="AA514" i="8"/>
  <c r="Y515" i="8"/>
  <c r="Z515" i="8"/>
  <c r="AA515" i="8"/>
  <c r="Y516" i="8"/>
  <c r="Z516" i="8"/>
  <c r="AA516" i="8"/>
  <c r="Y517" i="8"/>
  <c r="Z517" i="8"/>
  <c r="AA517" i="8"/>
  <c r="Y518" i="8"/>
  <c r="Z518" i="8"/>
  <c r="AA518" i="8"/>
  <c r="Y519" i="8"/>
  <c r="Z519" i="8"/>
  <c r="AA519" i="8"/>
  <c r="Y520" i="8"/>
  <c r="Z520" i="8"/>
  <c r="AA520" i="8"/>
  <c r="Y521" i="8"/>
  <c r="Z521" i="8"/>
  <c r="AA521" i="8"/>
  <c r="Y522" i="8"/>
  <c r="Z522" i="8"/>
  <c r="AA522" i="8"/>
  <c r="Y523" i="8"/>
  <c r="Z523" i="8"/>
  <c r="AA523" i="8"/>
  <c r="Y524" i="8"/>
  <c r="Z524" i="8"/>
  <c r="AA524" i="8"/>
  <c r="Y525" i="8"/>
  <c r="Z525" i="8"/>
  <c r="AA525" i="8"/>
  <c r="Y526" i="8"/>
  <c r="Z526" i="8"/>
  <c r="AA526" i="8"/>
  <c r="Y527" i="8"/>
  <c r="Z527" i="8"/>
  <c r="AA527" i="8"/>
  <c r="Y528" i="8"/>
  <c r="Z528" i="8"/>
  <c r="AA528" i="8"/>
  <c r="Y529" i="8"/>
  <c r="Z529" i="8"/>
  <c r="AA529" i="8"/>
  <c r="Y530" i="8"/>
  <c r="Z530" i="8"/>
  <c r="AA530" i="8"/>
  <c r="Y531" i="8"/>
  <c r="Z531" i="8"/>
  <c r="AA531" i="8"/>
  <c r="Y532" i="8"/>
  <c r="Z532" i="8"/>
  <c r="AA532" i="8"/>
  <c r="Y533" i="8"/>
  <c r="Z533" i="8"/>
  <c r="AA533" i="8"/>
  <c r="Y534" i="8"/>
  <c r="Z534" i="8"/>
  <c r="AA534" i="8"/>
  <c r="Y535" i="8"/>
  <c r="Z535" i="8"/>
  <c r="AA535" i="8"/>
  <c r="Y536" i="8"/>
  <c r="Z536" i="8"/>
  <c r="AA536" i="8"/>
  <c r="Y537" i="8"/>
  <c r="Z537" i="8"/>
  <c r="AA537" i="8"/>
  <c r="Y538" i="8"/>
  <c r="Z538" i="8"/>
  <c r="AA538" i="8"/>
  <c r="Y539" i="8"/>
  <c r="Z539" i="8"/>
  <c r="AA539" i="8"/>
  <c r="Y540" i="8"/>
  <c r="Z540" i="8"/>
  <c r="AA540" i="8"/>
  <c r="Y541" i="8"/>
  <c r="Z541" i="8"/>
  <c r="AA541" i="8"/>
  <c r="Y542" i="8"/>
  <c r="Z542" i="8"/>
  <c r="AA542" i="8"/>
  <c r="Y543" i="8"/>
  <c r="Z543" i="8"/>
  <c r="AA543" i="8"/>
  <c r="Y544" i="8"/>
  <c r="Z544" i="8"/>
  <c r="AA544" i="8"/>
  <c r="Y545" i="8"/>
  <c r="Z545" i="8"/>
  <c r="AA545" i="8"/>
  <c r="Y546" i="8"/>
  <c r="Z546" i="8"/>
  <c r="AA546" i="8"/>
  <c r="Y547" i="8"/>
  <c r="Z547" i="8"/>
  <c r="AA547" i="8"/>
  <c r="Y548" i="8"/>
  <c r="Z548" i="8"/>
  <c r="AA548" i="8"/>
  <c r="Y549" i="8"/>
  <c r="Z549" i="8"/>
  <c r="AA549" i="8"/>
  <c r="Y550" i="8"/>
  <c r="Z550" i="8"/>
  <c r="AA550" i="8"/>
  <c r="Y551" i="8"/>
  <c r="Z551" i="8"/>
  <c r="AA551" i="8"/>
  <c r="Y552" i="8"/>
  <c r="Z552" i="8"/>
  <c r="AA552" i="8"/>
  <c r="Y553" i="8"/>
  <c r="Z553" i="8"/>
  <c r="AA553" i="8"/>
  <c r="Y554" i="8"/>
  <c r="Z554" i="8"/>
  <c r="AA554" i="8"/>
  <c r="Y555" i="8"/>
  <c r="Z555" i="8"/>
  <c r="AA555" i="8"/>
  <c r="Y556" i="8"/>
  <c r="Z556" i="8"/>
  <c r="AA556" i="8"/>
  <c r="Y557" i="8"/>
  <c r="Z557" i="8"/>
  <c r="AA557" i="8"/>
  <c r="Y558" i="8"/>
  <c r="Z558" i="8"/>
  <c r="AA558" i="8"/>
  <c r="Y559" i="8"/>
  <c r="Z559" i="8"/>
  <c r="AA559" i="8"/>
  <c r="Y560" i="8"/>
  <c r="Z560" i="8"/>
  <c r="AA560" i="8"/>
  <c r="Y561" i="8"/>
  <c r="Z561" i="8"/>
  <c r="AA561" i="8"/>
  <c r="Y562" i="8"/>
  <c r="Z562" i="8"/>
  <c r="AA562" i="8"/>
  <c r="Y563" i="8"/>
  <c r="Z563" i="8"/>
  <c r="AA563" i="8"/>
  <c r="Y564" i="8"/>
  <c r="Z564" i="8"/>
  <c r="AA564" i="8"/>
  <c r="Y565" i="8"/>
  <c r="Z565" i="8"/>
  <c r="AA565" i="8"/>
  <c r="Y566" i="8"/>
  <c r="Z566" i="8"/>
  <c r="AA566" i="8"/>
  <c r="Y567" i="8"/>
  <c r="Z567" i="8"/>
  <c r="AA567" i="8"/>
  <c r="Y568" i="8"/>
  <c r="Z568" i="8"/>
  <c r="AA568" i="8"/>
  <c r="Y569" i="8"/>
  <c r="Z569" i="8"/>
  <c r="AA569" i="8"/>
  <c r="Y570" i="8"/>
  <c r="Z570" i="8"/>
  <c r="AA570" i="8"/>
  <c r="Y571" i="8"/>
  <c r="Z571" i="8"/>
  <c r="AA571" i="8"/>
  <c r="Y572" i="8"/>
  <c r="Z572" i="8"/>
  <c r="AA572" i="8"/>
  <c r="Y573" i="8"/>
  <c r="Z573" i="8"/>
  <c r="AA573" i="8"/>
  <c r="Y574" i="8"/>
  <c r="Z574" i="8"/>
  <c r="AA574" i="8"/>
  <c r="Y575" i="8"/>
  <c r="Z575" i="8"/>
  <c r="AA575" i="8"/>
  <c r="Y576" i="8"/>
  <c r="Z576" i="8"/>
  <c r="AA576" i="8"/>
  <c r="Y577" i="8"/>
  <c r="Z577" i="8"/>
  <c r="AA577" i="8"/>
  <c r="Y578" i="8"/>
  <c r="Z578" i="8"/>
  <c r="AA578" i="8"/>
  <c r="Y579" i="8"/>
  <c r="Z579" i="8"/>
  <c r="AA579" i="8"/>
  <c r="Y580" i="8"/>
  <c r="Z580" i="8"/>
  <c r="AA580" i="8"/>
  <c r="Y581" i="8"/>
  <c r="Z581" i="8"/>
  <c r="AA581" i="8"/>
  <c r="Y582" i="8"/>
  <c r="Z582" i="8"/>
  <c r="AA582" i="8"/>
  <c r="Y583" i="8"/>
  <c r="Z583" i="8"/>
  <c r="AA583" i="8"/>
  <c r="Y584" i="8"/>
  <c r="Z584" i="8"/>
  <c r="AA584" i="8"/>
  <c r="Y585" i="8"/>
  <c r="Z585" i="8"/>
  <c r="AA585" i="8"/>
  <c r="Y586" i="8"/>
  <c r="Z586" i="8"/>
  <c r="AA586" i="8"/>
  <c r="Y587" i="8"/>
  <c r="Z587" i="8"/>
  <c r="AA587" i="8"/>
  <c r="Y588" i="8"/>
  <c r="Z588" i="8"/>
  <c r="AA588" i="8"/>
  <c r="Y589" i="8"/>
  <c r="Z589" i="8"/>
  <c r="AA589" i="8"/>
  <c r="Y590" i="8"/>
  <c r="Z590" i="8"/>
  <c r="AA590" i="8"/>
  <c r="Y591" i="8"/>
  <c r="Z591" i="8"/>
  <c r="AA591" i="8"/>
  <c r="Y592" i="8"/>
  <c r="Z592" i="8"/>
  <c r="AA592" i="8"/>
  <c r="Y593" i="8"/>
  <c r="Z593" i="8"/>
  <c r="AA593" i="8"/>
  <c r="Y594" i="8"/>
  <c r="Z594" i="8"/>
  <c r="AA594" i="8"/>
  <c r="Y595" i="8"/>
  <c r="Z595" i="8"/>
  <c r="AA595" i="8"/>
  <c r="Y596" i="8"/>
  <c r="Z596" i="8"/>
  <c r="AA596" i="8"/>
  <c r="Y597" i="8"/>
  <c r="Z597" i="8"/>
  <c r="AA597" i="8"/>
  <c r="Y598" i="8"/>
  <c r="Z598" i="8"/>
  <c r="AA598" i="8"/>
  <c r="Y599" i="8"/>
  <c r="Z599" i="8"/>
  <c r="AA599" i="8"/>
  <c r="Y600" i="8"/>
  <c r="Z600" i="8"/>
  <c r="AA600" i="8"/>
  <c r="Y601" i="8"/>
  <c r="Z601" i="8"/>
  <c r="AA601" i="8"/>
  <c r="Y602" i="8"/>
  <c r="Z602" i="8"/>
  <c r="AA602" i="8"/>
  <c r="Y603" i="8"/>
  <c r="Z603" i="8"/>
  <c r="AA603" i="8"/>
  <c r="Y604" i="8"/>
  <c r="Z604" i="8"/>
  <c r="AA604" i="8"/>
  <c r="Y497" i="8"/>
  <c r="Z497" i="8"/>
  <c r="AA497" i="8"/>
  <c r="G4" i="30"/>
  <c r="G5" i="30"/>
  <c r="G6" i="30"/>
  <c r="G7" i="30"/>
  <c r="G8" i="30"/>
  <c r="G9" i="30"/>
  <c r="G10" i="30"/>
  <c r="G15" i="30"/>
  <c r="G24" i="30"/>
  <c r="G25" i="30"/>
  <c r="G26" i="30"/>
  <c r="G27" i="30"/>
  <c r="G16" i="30"/>
  <c r="G17" i="30"/>
  <c r="G18" i="30"/>
  <c r="G19" i="30"/>
  <c r="G20" i="30"/>
  <c r="G21" i="30"/>
  <c r="G22" i="30"/>
  <c r="G23" i="30"/>
  <c r="G28" i="30"/>
  <c r="G37" i="30"/>
  <c r="G38" i="30"/>
  <c r="G39" i="30"/>
  <c r="G40" i="30"/>
  <c r="G41" i="30"/>
  <c r="G42" i="30"/>
  <c r="G43" i="30"/>
  <c r="G29" i="30"/>
  <c r="G30" i="30"/>
  <c r="G31" i="30"/>
  <c r="G32" i="30"/>
  <c r="G33" i="30"/>
  <c r="G34" i="30"/>
  <c r="G35" i="30"/>
  <c r="G36" i="30"/>
  <c r="G44" i="30"/>
  <c r="G53" i="30"/>
  <c r="G54" i="30"/>
  <c r="G55" i="30"/>
  <c r="G56" i="30"/>
  <c r="G57" i="30"/>
  <c r="G58" i="30"/>
  <c r="G45" i="30"/>
  <c r="G46" i="30"/>
  <c r="G47" i="30"/>
  <c r="G48" i="30"/>
  <c r="G49" i="30"/>
  <c r="G50" i="30"/>
  <c r="G51" i="30"/>
  <c r="G52" i="30"/>
  <c r="G59" i="30"/>
  <c r="G68" i="30"/>
  <c r="G69" i="30"/>
  <c r="G70" i="30"/>
  <c r="G71" i="30"/>
  <c r="G60" i="30"/>
  <c r="G61" i="30"/>
  <c r="G62" i="30"/>
  <c r="G63" i="30"/>
  <c r="G64" i="30"/>
  <c r="G65" i="30"/>
  <c r="G66" i="30"/>
  <c r="G67" i="30"/>
  <c r="G72" i="30"/>
  <c r="G81" i="30"/>
  <c r="G82" i="30"/>
  <c r="G83" i="30"/>
  <c r="G84" i="30"/>
  <c r="G73" i="30"/>
  <c r="G74" i="30"/>
  <c r="G75" i="30"/>
  <c r="G76" i="30"/>
  <c r="G77" i="30"/>
  <c r="G78" i="30"/>
  <c r="G79" i="30"/>
  <c r="G80" i="30"/>
  <c r="G85" i="30"/>
  <c r="G86" i="30"/>
  <c r="G87" i="30"/>
  <c r="G88" i="30"/>
  <c r="G89" i="30"/>
  <c r="G90" i="30"/>
  <c r="G95" i="30"/>
  <c r="G96" i="30"/>
  <c r="G97" i="30"/>
  <c r="G98" i="30"/>
  <c r="G99" i="30"/>
  <c r="G91" i="30"/>
  <c r="G92" i="30"/>
  <c r="G93" i="30"/>
  <c r="G94" i="30"/>
  <c r="G104" i="30"/>
  <c r="G105" i="30"/>
  <c r="G106" i="30"/>
  <c r="G107" i="30"/>
  <c r="G108" i="30"/>
  <c r="G109" i="30"/>
  <c r="G100" i="30"/>
  <c r="G101" i="30"/>
  <c r="G102" i="30"/>
  <c r="G103" i="30"/>
  <c r="G3" i="30"/>
  <c r="R605" i="8"/>
  <c r="R606" i="8" s="1"/>
  <c r="T623" i="8"/>
  <c r="T626" i="8" s="1"/>
  <c r="U623" i="8"/>
  <c r="U629" i="8" s="1"/>
  <c r="J623" i="8"/>
  <c r="J624" i="8" s="1"/>
  <c r="K623" i="8"/>
  <c r="K624" i="8" s="1"/>
  <c r="L623" i="8"/>
  <c r="L624" i="8" s="1"/>
  <c r="Q623" i="8"/>
  <c r="Q624" i="8" s="1"/>
  <c r="R623" i="8"/>
  <c r="R624" i="8" s="1"/>
  <c r="S623" i="8"/>
  <c r="S624" i="8" s="1"/>
  <c r="I623" i="8"/>
  <c r="I624" i="8" s="1"/>
  <c r="U628" i="8"/>
  <c r="T628" i="8"/>
  <c r="S628" i="8"/>
  <c r="R628" i="8"/>
  <c r="Q628" i="8"/>
  <c r="L628" i="8"/>
  <c r="K628" i="8"/>
  <c r="J628" i="8"/>
  <c r="I628" i="8"/>
  <c r="I605" i="8"/>
  <c r="I606" i="8" s="1"/>
  <c r="J605" i="8"/>
  <c r="J606" i="8" s="1"/>
  <c r="K605" i="8"/>
  <c r="K606" i="8" s="1"/>
  <c r="K608" i="8" s="1"/>
  <c r="L605" i="8"/>
  <c r="L606" i="8" s="1"/>
  <c r="L611" i="8" s="1"/>
  <c r="Q605" i="8"/>
  <c r="Q606" i="8" s="1"/>
  <c r="S605" i="8"/>
  <c r="S606" i="8" s="1"/>
  <c r="S608" i="8" s="1"/>
  <c r="T605" i="8"/>
  <c r="T606" i="8" s="1"/>
  <c r="U605" i="8"/>
  <c r="U606" i="8" s="1"/>
  <c r="U608" i="8" s="1"/>
  <c r="I610" i="8"/>
  <c r="J610" i="8"/>
  <c r="K610" i="8"/>
  <c r="L610" i="8"/>
  <c r="Q610" i="8"/>
  <c r="R610" i="8"/>
  <c r="S610" i="8"/>
  <c r="T610" i="8"/>
  <c r="U610" i="8"/>
  <c r="I613" i="8"/>
  <c r="J613" i="8"/>
  <c r="K613" i="8"/>
  <c r="I614" i="8"/>
  <c r="I615" i="8" s="1"/>
  <c r="J614" i="8"/>
  <c r="J615" i="8" s="1"/>
  <c r="K614" i="8"/>
  <c r="K615" i="8" s="1"/>
  <c r="L614" i="8"/>
  <c r="L615" i="8" s="1"/>
  <c r="Q614" i="8"/>
  <c r="Q615" i="8" s="1"/>
  <c r="R614" i="8"/>
  <c r="R615" i="8" s="1"/>
  <c r="S614" i="8"/>
  <c r="S615" i="8" s="1"/>
  <c r="T614" i="8"/>
  <c r="T615" i="8" s="1"/>
  <c r="U614" i="8"/>
  <c r="U615" i="8" s="1"/>
  <c r="Q618" i="8"/>
  <c r="Q619" i="8" s="1"/>
  <c r="R618" i="8"/>
  <c r="R619" i="8" s="1"/>
  <c r="S618" i="8"/>
  <c r="S619" i="8" s="1"/>
  <c r="T618" i="8"/>
  <c r="T619" i="8" s="1"/>
  <c r="U618" i="8"/>
  <c r="U619" i="8" s="1"/>
  <c r="I619" i="8"/>
  <c r="J619" i="8"/>
  <c r="K619" i="8"/>
  <c r="L619" i="8"/>
  <c r="Q621" i="8"/>
  <c r="I622" i="8"/>
  <c r="J622" i="8"/>
  <c r="K622" i="8"/>
  <c r="L622" i="8"/>
  <c r="P383" i="8"/>
  <c r="P382" i="8"/>
  <c r="P381" i="8"/>
  <c r="P380" i="8"/>
  <c r="P388" i="8"/>
  <c r="P387" i="8"/>
  <c r="P386" i="8"/>
  <c r="P385" i="8"/>
  <c r="P384" i="8"/>
  <c r="P379" i="8"/>
  <c r="Y485" i="8"/>
  <c r="Z485" i="8"/>
  <c r="AA485" i="8"/>
  <c r="Y486" i="8"/>
  <c r="Z486" i="8"/>
  <c r="AA486" i="8"/>
  <c r="Y487" i="8"/>
  <c r="Z487" i="8"/>
  <c r="AA487" i="8"/>
  <c r="Y488" i="8"/>
  <c r="Z488" i="8"/>
  <c r="AA488" i="8"/>
  <c r="Y489" i="8"/>
  <c r="Z489" i="8"/>
  <c r="AA489" i="8"/>
  <c r="Y490" i="8"/>
  <c r="Z490" i="8"/>
  <c r="AA490" i="8"/>
  <c r="Y491" i="8"/>
  <c r="Z491" i="8"/>
  <c r="AA491" i="8"/>
  <c r="Y492" i="8"/>
  <c r="Z492" i="8"/>
  <c r="AA492" i="8"/>
  <c r="Y493" i="8"/>
  <c r="Z493" i="8"/>
  <c r="AA493" i="8"/>
  <c r="Y494" i="8"/>
  <c r="Z494" i="8"/>
  <c r="AA494" i="8"/>
  <c r="Y495" i="8"/>
  <c r="Z495" i="8"/>
  <c r="AA495" i="8"/>
  <c r="Y496" i="8"/>
  <c r="Z496" i="8"/>
  <c r="AA496" i="8"/>
  <c r="Y484" i="8"/>
  <c r="Z484" i="8"/>
  <c r="AA484" i="8"/>
  <c r="Y474" i="8"/>
  <c r="Z474" i="8"/>
  <c r="AA474" i="8"/>
  <c r="Y475" i="8"/>
  <c r="Z475" i="8"/>
  <c r="AA475" i="8"/>
  <c r="Y476" i="8"/>
  <c r="Z476" i="8"/>
  <c r="AA476" i="8"/>
  <c r="Y477" i="8"/>
  <c r="Z477" i="8"/>
  <c r="AA477" i="8"/>
  <c r="Y478" i="8"/>
  <c r="Z478" i="8"/>
  <c r="AA478" i="8"/>
  <c r="Y479" i="8"/>
  <c r="Z479" i="8"/>
  <c r="AA479" i="8"/>
  <c r="Y480" i="8"/>
  <c r="Z480" i="8"/>
  <c r="AA480" i="8"/>
  <c r="Y481" i="8"/>
  <c r="Z481" i="8"/>
  <c r="AA481" i="8"/>
  <c r="Y482" i="8"/>
  <c r="Z482" i="8"/>
  <c r="AA482" i="8"/>
  <c r="Y483" i="8"/>
  <c r="Z483" i="8"/>
  <c r="AA483" i="8"/>
  <c r="Y462" i="8"/>
  <c r="Z462" i="8"/>
  <c r="AA462" i="8"/>
  <c r="Y463" i="8"/>
  <c r="Z463" i="8"/>
  <c r="AA463" i="8"/>
  <c r="Y464" i="8"/>
  <c r="Z464" i="8"/>
  <c r="AA464" i="8"/>
  <c r="Y465" i="8"/>
  <c r="Z465" i="8"/>
  <c r="AA465" i="8"/>
  <c r="Y466" i="8"/>
  <c r="Z466" i="8"/>
  <c r="AA466" i="8"/>
  <c r="Y467" i="8"/>
  <c r="Z467" i="8"/>
  <c r="AA467" i="8"/>
  <c r="Y468" i="8"/>
  <c r="Z468" i="8"/>
  <c r="AA468" i="8"/>
  <c r="Y469" i="8"/>
  <c r="Z469" i="8"/>
  <c r="AA469" i="8"/>
  <c r="Y470" i="8"/>
  <c r="Z470" i="8"/>
  <c r="AA470" i="8"/>
  <c r="Y471" i="8"/>
  <c r="Z471" i="8"/>
  <c r="AA471" i="8"/>
  <c r="Y472" i="8"/>
  <c r="Z472" i="8"/>
  <c r="AA472" i="8"/>
  <c r="Y473" i="8"/>
  <c r="Z473" i="8"/>
  <c r="AA473" i="8"/>
  <c r="X7" i="8"/>
  <c r="Y437" i="8"/>
  <c r="AA438" i="8"/>
  <c r="AA439" i="8"/>
  <c r="AA440" i="8"/>
  <c r="AA441" i="8"/>
  <c r="AA442" i="8"/>
  <c r="AA443" i="8"/>
  <c r="AA444" i="8"/>
  <c r="AA445" i="8"/>
  <c r="AA446" i="8"/>
  <c r="AA447" i="8"/>
  <c r="AA448" i="8"/>
  <c r="AA449" i="8"/>
  <c r="AA450" i="8"/>
  <c r="AA451" i="8"/>
  <c r="AA452" i="8"/>
  <c r="AA453" i="8"/>
  <c r="AA454" i="8"/>
  <c r="AA455" i="8"/>
  <c r="AA456" i="8"/>
  <c r="AA457" i="8"/>
  <c r="AA458" i="8"/>
  <c r="AA459" i="8"/>
  <c r="AA460" i="8"/>
  <c r="AA461" i="8"/>
  <c r="Z438" i="8"/>
  <c r="Z439" i="8"/>
  <c r="Z440" i="8"/>
  <c r="Z441" i="8"/>
  <c r="Z442" i="8"/>
  <c r="Z443" i="8"/>
  <c r="Z444" i="8"/>
  <c r="Z445" i="8"/>
  <c r="Z446" i="8"/>
  <c r="Z447" i="8"/>
  <c r="Z448" i="8"/>
  <c r="Z449" i="8"/>
  <c r="Z450" i="8"/>
  <c r="Z451" i="8"/>
  <c r="Z452" i="8"/>
  <c r="Z453" i="8"/>
  <c r="Z454" i="8"/>
  <c r="Z455" i="8"/>
  <c r="Z456" i="8"/>
  <c r="Z457" i="8"/>
  <c r="Z458" i="8"/>
  <c r="Z459" i="8"/>
  <c r="Z460" i="8"/>
  <c r="Z461" i="8"/>
  <c r="Y438" i="8"/>
  <c r="Y439" i="8"/>
  <c r="Y440" i="8"/>
  <c r="Y441" i="8"/>
  <c r="Y442" i="8"/>
  <c r="Y443" i="8"/>
  <c r="Y444" i="8"/>
  <c r="Y445" i="8"/>
  <c r="Y446" i="8"/>
  <c r="Y447" i="8"/>
  <c r="Y448" i="8"/>
  <c r="Y449" i="8"/>
  <c r="Y450" i="8"/>
  <c r="Y451" i="8"/>
  <c r="Y452" i="8"/>
  <c r="Y453" i="8"/>
  <c r="Y454" i="8"/>
  <c r="Y455" i="8"/>
  <c r="Y456" i="8"/>
  <c r="Y457" i="8"/>
  <c r="Y458" i="8"/>
  <c r="Y459" i="8"/>
  <c r="Y460" i="8"/>
  <c r="Y461" i="8"/>
  <c r="AA269" i="8"/>
  <c r="AA270" i="8"/>
  <c r="AA271" i="8"/>
  <c r="AA272" i="8"/>
  <c r="AA273" i="8"/>
  <c r="AA274" i="8"/>
  <c r="AA275" i="8"/>
  <c r="AA276" i="8"/>
  <c r="AA277" i="8"/>
  <c r="AA278" i="8"/>
  <c r="AA279" i="8"/>
  <c r="AA280" i="8"/>
  <c r="AA281" i="8"/>
  <c r="AA282" i="8"/>
  <c r="AA283" i="8"/>
  <c r="AA284" i="8"/>
  <c r="AA285" i="8"/>
  <c r="AA286" i="8"/>
  <c r="AA287" i="8"/>
  <c r="AA288" i="8"/>
  <c r="AA289" i="8"/>
  <c r="AA290" i="8"/>
  <c r="AA291" i="8"/>
  <c r="AA292" i="8"/>
  <c r="AA293" i="8"/>
  <c r="AA294" i="8"/>
  <c r="AA295" i="8"/>
  <c r="AA296" i="8"/>
  <c r="AA297" i="8"/>
  <c r="AA298" i="8"/>
  <c r="AA299" i="8"/>
  <c r="AA300" i="8"/>
  <c r="AA301" i="8"/>
  <c r="AA302" i="8"/>
  <c r="AA303" i="8"/>
  <c r="AA304" i="8"/>
  <c r="AA305" i="8"/>
  <c r="AA306" i="8"/>
  <c r="AA307" i="8"/>
  <c r="AA308" i="8"/>
  <c r="AA309" i="8"/>
  <c r="AA310" i="8"/>
  <c r="AA311" i="8"/>
  <c r="AA312" i="8"/>
  <c r="AA313" i="8"/>
  <c r="AA314" i="8"/>
  <c r="AA315" i="8"/>
  <c r="AA316" i="8"/>
  <c r="AA317" i="8"/>
  <c r="AA318" i="8"/>
  <c r="AA319" i="8"/>
  <c r="AA320" i="8"/>
  <c r="AA321" i="8"/>
  <c r="AA322" i="8"/>
  <c r="AA323" i="8"/>
  <c r="AA324" i="8"/>
  <c r="AA325" i="8"/>
  <c r="AA326" i="8"/>
  <c r="AA327" i="8"/>
  <c r="AA328" i="8"/>
  <c r="AA329" i="8"/>
  <c r="AA330" i="8"/>
  <c r="AA331" i="8"/>
  <c r="AA332" i="8"/>
  <c r="AA333" i="8"/>
  <c r="AA334" i="8"/>
  <c r="AA335" i="8"/>
  <c r="AA336" i="8"/>
  <c r="AA337" i="8"/>
  <c r="AA338" i="8"/>
  <c r="AA339" i="8"/>
  <c r="AA340" i="8"/>
  <c r="AA341" i="8"/>
  <c r="AA342" i="8"/>
  <c r="AA343" i="8"/>
  <c r="AA344" i="8"/>
  <c r="AA345" i="8"/>
  <c r="AA346" i="8"/>
  <c r="AA347" i="8"/>
  <c r="AA348" i="8"/>
  <c r="AA349" i="8"/>
  <c r="AA350" i="8"/>
  <c r="AA351" i="8"/>
  <c r="AA352" i="8"/>
  <c r="AA353" i="8"/>
  <c r="AA354" i="8"/>
  <c r="AA355" i="8"/>
  <c r="AA356" i="8"/>
  <c r="AA357" i="8"/>
  <c r="AA358" i="8"/>
  <c r="AA359" i="8"/>
  <c r="AA360" i="8"/>
  <c r="AA361" i="8"/>
  <c r="AA362" i="8"/>
  <c r="AA363" i="8"/>
  <c r="AA364" i="8"/>
  <c r="AA365" i="8"/>
  <c r="AA366" i="8"/>
  <c r="AA367" i="8"/>
  <c r="AA368" i="8"/>
  <c r="AA369" i="8"/>
  <c r="AA370" i="8"/>
  <c r="AA371" i="8"/>
  <c r="AA372" i="8"/>
  <c r="AA373" i="8"/>
  <c r="AA374" i="8"/>
  <c r="AA375" i="8"/>
  <c r="AA376" i="8"/>
  <c r="AA377" i="8"/>
  <c r="AA378" i="8"/>
  <c r="AA379" i="8"/>
  <c r="AA380" i="8"/>
  <c r="AA381" i="8"/>
  <c r="AA382" i="8"/>
  <c r="AA383" i="8"/>
  <c r="AA384" i="8"/>
  <c r="AA385" i="8"/>
  <c r="AA386" i="8"/>
  <c r="AA387" i="8"/>
  <c r="AA388" i="8"/>
  <c r="AA389" i="8"/>
  <c r="AA390" i="8"/>
  <c r="AA391" i="8"/>
  <c r="AA392" i="8"/>
  <c r="AA393" i="8"/>
  <c r="AA394" i="8"/>
  <c r="AA395" i="8"/>
  <c r="AA396" i="8"/>
  <c r="AA397" i="8"/>
  <c r="AA398" i="8"/>
  <c r="AA399" i="8"/>
  <c r="AA400" i="8"/>
  <c r="AA401" i="8"/>
  <c r="AA402" i="8"/>
  <c r="AA403" i="8"/>
  <c r="AA404" i="8"/>
  <c r="AA405" i="8"/>
  <c r="AA406" i="8"/>
  <c r="AA407" i="8"/>
  <c r="AA408" i="8"/>
  <c r="AA409" i="8"/>
  <c r="AA410" i="8"/>
  <c r="AA411" i="8"/>
  <c r="AA412" i="8"/>
  <c r="AA413" i="8"/>
  <c r="AA414" i="8"/>
  <c r="AA415" i="8"/>
  <c r="AA416" i="8"/>
  <c r="AA417" i="8"/>
  <c r="AA418" i="8"/>
  <c r="AA419" i="8"/>
  <c r="AA420" i="8"/>
  <c r="AA421" i="8"/>
  <c r="AA422" i="8"/>
  <c r="AA423" i="8"/>
  <c r="AA424" i="8"/>
  <c r="AA425" i="8"/>
  <c r="AA426" i="8"/>
  <c r="AA427" i="8"/>
  <c r="AA428" i="8"/>
  <c r="AA429" i="8"/>
  <c r="AA430" i="8"/>
  <c r="AA431" i="8"/>
  <c r="AA432" i="8"/>
  <c r="AA433" i="8"/>
  <c r="AA435" i="8"/>
  <c r="AA436" i="8"/>
  <c r="AA437"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5" i="8"/>
  <c r="Z436" i="8"/>
  <c r="Z437" i="8"/>
  <c r="Y269" i="8"/>
  <c r="Y270" i="8"/>
  <c r="Y271" i="8"/>
  <c r="Y272" i="8"/>
  <c r="Y273" i="8"/>
  <c r="Y274" i="8"/>
  <c r="Y275" i="8"/>
  <c r="Y276" i="8"/>
  <c r="Y277" i="8"/>
  <c r="Y278" i="8"/>
  <c r="Y279" i="8"/>
  <c r="Y280" i="8"/>
  <c r="Y281" i="8"/>
  <c r="Y282" i="8"/>
  <c r="Y283" i="8"/>
  <c r="Y284" i="8"/>
  <c r="Y285" i="8"/>
  <c r="Y286" i="8"/>
  <c r="Y287" i="8"/>
  <c r="Y288" i="8"/>
  <c r="Y289" i="8"/>
  <c r="Y290" i="8"/>
  <c r="Y291" i="8"/>
  <c r="Y292" i="8"/>
  <c r="Y293" i="8"/>
  <c r="Y294" i="8"/>
  <c r="Y295" i="8"/>
  <c r="Y296" i="8"/>
  <c r="Y297" i="8"/>
  <c r="Y298" i="8"/>
  <c r="Y299" i="8"/>
  <c r="Y300" i="8"/>
  <c r="Y301" i="8"/>
  <c r="Y302" i="8"/>
  <c r="Y303" i="8"/>
  <c r="Y304" i="8"/>
  <c r="Y305" i="8"/>
  <c r="Y306" i="8"/>
  <c r="Y307" i="8"/>
  <c r="Y308" i="8"/>
  <c r="Y309" i="8"/>
  <c r="Y310" i="8"/>
  <c r="Y311" i="8"/>
  <c r="Y312" i="8"/>
  <c r="Y313" i="8"/>
  <c r="Y314" i="8"/>
  <c r="Y315" i="8"/>
  <c r="Y316" i="8"/>
  <c r="Y317" i="8"/>
  <c r="Y318" i="8"/>
  <c r="Y319" i="8"/>
  <c r="Y320" i="8"/>
  <c r="Y321" i="8"/>
  <c r="Y322" i="8"/>
  <c r="Y323" i="8"/>
  <c r="Y324" i="8"/>
  <c r="Y325" i="8"/>
  <c r="Y326" i="8"/>
  <c r="Y327" i="8"/>
  <c r="Y328" i="8"/>
  <c r="Y329" i="8"/>
  <c r="Y330" i="8"/>
  <c r="Y331" i="8"/>
  <c r="Y332" i="8"/>
  <c r="Y333" i="8"/>
  <c r="Y334" i="8"/>
  <c r="Y335" i="8"/>
  <c r="Y336" i="8"/>
  <c r="Y337" i="8"/>
  <c r="Y338" i="8"/>
  <c r="Y339" i="8"/>
  <c r="Y340" i="8"/>
  <c r="Y341" i="8"/>
  <c r="Y342" i="8"/>
  <c r="Y343" i="8"/>
  <c r="Y344" i="8"/>
  <c r="Y345" i="8"/>
  <c r="Y346" i="8"/>
  <c r="Y347" i="8"/>
  <c r="Y348" i="8"/>
  <c r="Y349" i="8"/>
  <c r="Y350" i="8"/>
  <c r="Y351" i="8"/>
  <c r="Y352" i="8"/>
  <c r="Y353" i="8"/>
  <c r="Y354" i="8"/>
  <c r="Y355" i="8"/>
  <c r="Y356" i="8"/>
  <c r="Y357" i="8"/>
  <c r="Y358" i="8"/>
  <c r="Y359" i="8"/>
  <c r="Y360" i="8"/>
  <c r="Y361" i="8"/>
  <c r="Y362" i="8"/>
  <c r="Y363" i="8"/>
  <c r="Y364" i="8"/>
  <c r="Y365" i="8"/>
  <c r="Y366" i="8"/>
  <c r="Y367" i="8"/>
  <c r="Y368" i="8"/>
  <c r="Y369" i="8"/>
  <c r="Y370" i="8"/>
  <c r="Y371" i="8"/>
  <c r="Y372" i="8"/>
  <c r="Y373" i="8"/>
  <c r="Y374" i="8"/>
  <c r="Y375" i="8"/>
  <c r="Y376" i="8"/>
  <c r="Y377" i="8"/>
  <c r="Y378" i="8"/>
  <c r="Y379" i="8"/>
  <c r="Y380" i="8"/>
  <c r="Y381" i="8"/>
  <c r="Y382" i="8"/>
  <c r="Y383" i="8"/>
  <c r="Y384" i="8"/>
  <c r="Y385" i="8"/>
  <c r="Y386" i="8"/>
  <c r="Y387" i="8"/>
  <c r="Y388" i="8"/>
  <c r="Y389" i="8"/>
  <c r="Y390" i="8"/>
  <c r="Y391" i="8"/>
  <c r="Y392" i="8"/>
  <c r="Y393" i="8"/>
  <c r="Y394" i="8"/>
  <c r="Y395" i="8"/>
  <c r="Y396" i="8"/>
  <c r="Y397" i="8"/>
  <c r="Y398" i="8"/>
  <c r="Y399" i="8"/>
  <c r="Y400" i="8"/>
  <c r="Y401" i="8"/>
  <c r="Y402" i="8"/>
  <c r="Y403" i="8"/>
  <c r="Y404" i="8"/>
  <c r="Y405" i="8"/>
  <c r="Y406" i="8"/>
  <c r="Y407" i="8"/>
  <c r="Y408" i="8"/>
  <c r="Y409" i="8"/>
  <c r="Y410" i="8"/>
  <c r="Y411" i="8"/>
  <c r="Y412" i="8"/>
  <c r="Y413" i="8"/>
  <c r="Y414" i="8"/>
  <c r="Y415" i="8"/>
  <c r="Y416" i="8"/>
  <c r="Y417" i="8"/>
  <c r="Y418" i="8"/>
  <c r="Y419" i="8"/>
  <c r="Y420" i="8"/>
  <c r="Y421" i="8"/>
  <c r="Y422" i="8"/>
  <c r="Y423" i="8"/>
  <c r="Y424" i="8"/>
  <c r="Y425" i="8"/>
  <c r="Y426" i="8"/>
  <c r="Y427" i="8"/>
  <c r="Y428" i="8"/>
  <c r="Y429" i="8"/>
  <c r="Y430" i="8"/>
  <c r="Y431" i="8"/>
  <c r="Y432" i="8"/>
  <c r="Y433" i="8"/>
  <c r="Y435" i="8"/>
  <c r="Y436" i="8"/>
  <c r="AA268" i="8"/>
  <c r="Z268" i="8"/>
  <c r="Y268" i="8"/>
  <c r="E238" i="8"/>
  <c r="E207" i="8"/>
  <c r="E206" i="8"/>
  <c r="E205" i="8"/>
  <c r="E204" i="8"/>
  <c r="E203" i="8"/>
  <c r="E202" i="8"/>
  <c r="E201" i="8"/>
  <c r="E200" i="8"/>
  <c r="E199" i="8"/>
  <c r="E198" i="8"/>
  <c r="E197" i="8"/>
  <c r="E196" i="8"/>
  <c r="E195" i="8"/>
  <c r="E194" i="8"/>
  <c r="E193" i="8"/>
  <c r="E192" i="8"/>
  <c r="E181" i="8"/>
  <c r="E180" i="8"/>
  <c r="E179" i="8"/>
  <c r="E178" i="8"/>
  <c r="E177" i="8"/>
  <c r="E176" i="8"/>
  <c r="E175" i="8"/>
  <c r="E174" i="8"/>
  <c r="E173" i="8"/>
  <c r="E172" i="8"/>
  <c r="E171" i="8"/>
  <c r="E170" i="8"/>
  <c r="E169" i="8"/>
  <c r="E168" i="8"/>
  <c r="E167" i="8"/>
  <c r="E166" i="8"/>
  <c r="E165" i="8"/>
  <c r="E164" i="8"/>
  <c r="E163" i="8"/>
  <c r="E162" i="8"/>
  <c r="E161" i="8"/>
  <c r="E160" i="8"/>
  <c r="E159"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3" i="8"/>
  <c r="E114" i="8"/>
  <c r="E112" i="8"/>
  <c r="E111" i="8"/>
  <c r="E110" i="8"/>
  <c r="E109" i="8"/>
  <c r="E108" i="8"/>
  <c r="E107" i="8"/>
  <c r="E106" i="8"/>
  <c r="E105" i="8"/>
  <c r="E104" i="8"/>
  <c r="E103" i="8"/>
  <c r="E91" i="8"/>
  <c r="E90" i="8"/>
  <c r="E89" i="8"/>
  <c r="E88" i="8"/>
  <c r="E87" i="8"/>
  <c r="E86" i="8"/>
  <c r="E85" i="8"/>
  <c r="E84" i="8"/>
  <c r="E83" i="8"/>
  <c r="E82" i="8"/>
  <c r="E81" i="8"/>
  <c r="E80" i="8"/>
  <c r="E79" i="8"/>
  <c r="E78" i="8"/>
  <c r="E77" i="8"/>
  <c r="E76" i="8"/>
  <c r="E75" i="8"/>
  <c r="E74" i="8"/>
  <c r="E73" i="8"/>
  <c r="E72" i="8"/>
  <c r="E71" i="8"/>
  <c r="E70" i="8"/>
  <c r="E69" i="8"/>
  <c r="E59" i="8"/>
  <c r="E58" i="8"/>
  <c r="E57" i="8"/>
  <c r="E56" i="8"/>
  <c r="E55" i="8"/>
  <c r="E54" i="8"/>
  <c r="E53" i="8"/>
  <c r="E52" i="8"/>
  <c r="E51" i="8"/>
  <c r="E50" i="8"/>
  <c r="E49" i="8"/>
  <c r="E48" i="8"/>
  <c r="E47" i="8"/>
  <c r="E46" i="8"/>
  <c r="E45" i="8"/>
  <c r="E32" i="8"/>
  <c r="E31" i="8"/>
  <c r="E30" i="8"/>
  <c r="E29" i="8"/>
  <c r="E28" i="8"/>
  <c r="E27" i="8"/>
  <c r="E26" i="8"/>
  <c r="E25" i="8"/>
  <c r="E24" i="8"/>
  <c r="E23" i="8"/>
  <c r="E22" i="8"/>
  <c r="E21" i="8"/>
  <c r="E20" i="8"/>
  <c r="E19" i="8"/>
  <c r="E18" i="8"/>
  <c r="E17" i="8"/>
  <c r="E16" i="8"/>
  <c r="E15" i="8"/>
  <c r="E14" i="8"/>
  <c r="E13" i="8"/>
  <c r="E12" i="8"/>
  <c r="E11" i="8"/>
  <c r="E10" i="8"/>
  <c r="E9" i="8"/>
  <c r="E8" i="8"/>
  <c r="E7" i="8"/>
  <c r="E6" i="8"/>
  <c r="F15" i="2"/>
  <c r="P605" i="8" l="1"/>
  <c r="P606" i="8" s="1"/>
  <c r="O605" i="8"/>
  <c r="O606" i="8" s="1"/>
  <c r="N605" i="8"/>
  <c r="N606" i="8" s="1"/>
  <c r="M605" i="8"/>
  <c r="M606" i="8" s="1"/>
  <c r="P623" i="8"/>
  <c r="R620" i="8"/>
  <c r="L608" i="8"/>
  <c r="K629" i="8"/>
  <c r="K626" i="8"/>
  <c r="L626" i="8"/>
  <c r="L629" i="8"/>
  <c r="I629" i="8"/>
  <c r="I626" i="8"/>
  <c r="J626" i="8"/>
  <c r="J629" i="8"/>
  <c r="Q629" i="8"/>
  <c r="Q626" i="8"/>
  <c r="R629" i="8"/>
  <c r="R626" i="8"/>
  <c r="S629" i="8"/>
  <c r="S626" i="8"/>
  <c r="U626" i="8"/>
  <c r="T629" i="8"/>
  <c r="Q620" i="8"/>
  <c r="Q617" i="8"/>
  <c r="L620" i="8"/>
  <c r="L617" i="8"/>
  <c r="K620" i="8"/>
  <c r="K617" i="8"/>
  <c r="K611" i="8"/>
  <c r="T620" i="8"/>
  <c r="J617" i="8"/>
  <c r="J620" i="8"/>
  <c r="Q611" i="8"/>
  <c r="Q608" i="8"/>
  <c r="I617" i="8"/>
  <c r="I620" i="8"/>
  <c r="T608" i="8"/>
  <c r="T611" i="8"/>
  <c r="U620" i="8"/>
  <c r="U617" i="8"/>
  <c r="S620" i="8"/>
  <c r="S617" i="8"/>
  <c r="R608" i="8"/>
  <c r="R611" i="8"/>
  <c r="J611" i="8"/>
  <c r="J608" i="8"/>
  <c r="I608" i="8"/>
  <c r="I611" i="8"/>
  <c r="U611" i="8"/>
  <c r="S611" i="8"/>
  <c r="T617" i="8"/>
  <c r="R617" i="8"/>
  <c r="W608" i="8" l="1"/>
  <c r="W617" i="8"/>
</calcChain>
</file>

<file path=xl/sharedStrings.xml><?xml version="1.0" encoding="utf-8"?>
<sst xmlns="http://schemas.openxmlformats.org/spreadsheetml/2006/main" count="18932" uniqueCount="1888">
  <si>
    <t>Digit 1</t>
  </si>
  <si>
    <t>Digit 2</t>
  </si>
  <si>
    <t>Digit 3</t>
  </si>
  <si>
    <t>Digit 4</t>
  </si>
  <si>
    <t>Freeman</t>
  </si>
  <si>
    <t>Missisinewa</t>
  </si>
  <si>
    <t>Salamonie</t>
  </si>
  <si>
    <t>Schafer</t>
  </si>
  <si>
    <t>Boat</t>
  </si>
  <si>
    <t>Shore</t>
  </si>
  <si>
    <t>Example:</t>
  </si>
  <si>
    <t>Mississinewa</t>
  </si>
  <si>
    <t>Sample Location</t>
  </si>
  <si>
    <t>Sample Type</t>
  </si>
  <si>
    <t>Lake</t>
  </si>
  <si>
    <t>Number:</t>
  </si>
  <si>
    <t>Date</t>
  </si>
  <si>
    <t>Sample Code</t>
  </si>
  <si>
    <t>Planet</t>
  </si>
  <si>
    <t>MISS</t>
  </si>
  <si>
    <t>SHAF</t>
  </si>
  <si>
    <t>Lake CODE</t>
  </si>
  <si>
    <t>SALA</t>
  </si>
  <si>
    <t>CODED CODE</t>
  </si>
  <si>
    <t>Needs to be 4105, B5, the point is not B4…..</t>
  </si>
  <si>
    <t>*GPS is incorrect, used point gps, not sample gps coords, paper copy values had to be submitted, 4110 didn't get submitted on SURVEY123</t>
  </si>
  <si>
    <t>UniqueID</t>
  </si>
  <si>
    <t>BottleNo</t>
  </si>
  <si>
    <t>10202022FM1</t>
  </si>
  <si>
    <t>10202022FM2</t>
  </si>
  <si>
    <t>10202022FM3</t>
  </si>
  <si>
    <t>10202022FM4</t>
  </si>
  <si>
    <t>20230310-1</t>
  </si>
  <si>
    <t>20230310-2</t>
  </si>
  <si>
    <t>20230310-3</t>
  </si>
  <si>
    <t>20230310-4</t>
  </si>
  <si>
    <t>20230310-5</t>
  </si>
  <si>
    <t>20230310-6</t>
  </si>
  <si>
    <t>20230310-7</t>
  </si>
  <si>
    <t>20230310-8</t>
  </si>
  <si>
    <t>20230310-9</t>
  </si>
  <si>
    <t>20230310-10</t>
  </si>
  <si>
    <t>20230310-11</t>
  </si>
  <si>
    <t>20230310-12</t>
  </si>
  <si>
    <t>20230310-13</t>
  </si>
  <si>
    <t>20230310-14</t>
  </si>
  <si>
    <t>20230310-15</t>
  </si>
  <si>
    <t>20230310-16</t>
  </si>
  <si>
    <t>20230310-17</t>
  </si>
  <si>
    <t>20230310-18</t>
  </si>
  <si>
    <t>20230310-19</t>
  </si>
  <si>
    <t>20230407-1</t>
  </si>
  <si>
    <t>20230407-2</t>
  </si>
  <si>
    <t>20230407-3</t>
  </si>
  <si>
    <t>20230407-4</t>
  </si>
  <si>
    <t>20230407-5</t>
  </si>
  <si>
    <t>20230407-6</t>
  </si>
  <si>
    <t>20230407-7</t>
  </si>
  <si>
    <t>20230407-8</t>
  </si>
  <si>
    <t>20230424-1</t>
  </si>
  <si>
    <t>20230424-2</t>
  </si>
  <si>
    <t>20230424-3</t>
  </si>
  <si>
    <t>20230424-4</t>
  </si>
  <si>
    <t>20230424-5</t>
  </si>
  <si>
    <t>20230424-6</t>
  </si>
  <si>
    <t>20230424-7</t>
  </si>
  <si>
    <t>20230424-8</t>
  </si>
  <si>
    <t>20230424-9</t>
  </si>
  <si>
    <t>20230424-10</t>
  </si>
  <si>
    <t>20230424-11</t>
  </si>
  <si>
    <t>20230424-12</t>
  </si>
  <si>
    <t>20230424-13</t>
  </si>
  <si>
    <t>20230510-S1</t>
  </si>
  <si>
    <t>20230510-S2</t>
  </si>
  <si>
    <t>20230510-S3</t>
  </si>
  <si>
    <t>20230510-S4</t>
  </si>
  <si>
    <t>20230510-S5</t>
  </si>
  <si>
    <t>20230510-S6</t>
  </si>
  <si>
    <t>20230510-S7</t>
  </si>
  <si>
    <t>20230510-S8</t>
  </si>
  <si>
    <t>20230510-S9</t>
  </si>
  <si>
    <t>20230510-S10</t>
  </si>
  <si>
    <t>20230510-S11</t>
  </si>
  <si>
    <t>20230510-S12</t>
  </si>
  <si>
    <t>20230510-AS21</t>
  </si>
  <si>
    <t>20230510-AS22</t>
  </si>
  <si>
    <t>20230517-1</t>
  </si>
  <si>
    <t>20230517-2</t>
  </si>
  <si>
    <t>20230517-3</t>
  </si>
  <si>
    <t>20230517-4</t>
  </si>
  <si>
    <t>20230517-5</t>
  </si>
  <si>
    <t>20230517-6</t>
  </si>
  <si>
    <t>20230517-7</t>
  </si>
  <si>
    <t>20230517-8</t>
  </si>
  <si>
    <t>20230517-9</t>
  </si>
  <si>
    <t>20230522-K1</t>
  </si>
  <si>
    <t>20230522-K2</t>
  </si>
  <si>
    <t>20230522-K4</t>
  </si>
  <si>
    <t>20230522-K5</t>
  </si>
  <si>
    <t>20230522-K6</t>
  </si>
  <si>
    <t>20230522-K7</t>
  </si>
  <si>
    <t>20230522-K8</t>
  </si>
  <si>
    <t>20230522-K9</t>
  </si>
  <si>
    <t>20230522-10</t>
  </si>
  <si>
    <t>20230522-11</t>
  </si>
  <si>
    <t>20230522-12</t>
  </si>
  <si>
    <t>20230522-13</t>
  </si>
  <si>
    <t>20230522-14</t>
  </si>
  <si>
    <t>20230522-15</t>
  </si>
  <si>
    <t>20230522-16</t>
  </si>
  <si>
    <t>20230522-17</t>
  </si>
  <si>
    <t>20230522-18</t>
  </si>
  <si>
    <t>20230522-19</t>
  </si>
  <si>
    <t>20230522-20</t>
  </si>
  <si>
    <t>20230522-21</t>
  </si>
  <si>
    <t/>
  </si>
  <si>
    <t>20230525-1</t>
  </si>
  <si>
    <t>20230525-2</t>
  </si>
  <si>
    <t>20230525-3</t>
  </si>
  <si>
    <t>20230525-4</t>
  </si>
  <si>
    <t>20230525-6</t>
  </si>
  <si>
    <t>20230525-7</t>
  </si>
  <si>
    <t>20230525-8</t>
  </si>
  <si>
    <t>20230525-9</t>
  </si>
  <si>
    <t>20230525-10</t>
  </si>
  <si>
    <t>20230525-11</t>
  </si>
  <si>
    <t>20230525-13</t>
  </si>
  <si>
    <t>20230525-14</t>
  </si>
  <si>
    <t>20230525-15</t>
  </si>
  <si>
    <t>20230525-16</t>
  </si>
  <si>
    <t>20230531-1</t>
  </si>
  <si>
    <t>20230531-2</t>
  </si>
  <si>
    <t>20230531-3</t>
  </si>
  <si>
    <t>20230531-4</t>
  </si>
  <si>
    <t>20230531-5</t>
  </si>
  <si>
    <t>20230531-6</t>
  </si>
  <si>
    <t>20230531-7</t>
  </si>
  <si>
    <t>20230531-8</t>
  </si>
  <si>
    <t>20230608-SALA-S1</t>
  </si>
  <si>
    <t>20230608-SALA-S2</t>
  </si>
  <si>
    <t>20230608-SALA-S3</t>
  </si>
  <si>
    <t>20230608-SALA-S4</t>
  </si>
  <si>
    <t>20230608-SALA-S5</t>
  </si>
  <si>
    <t>20230608-SALA-S6</t>
  </si>
  <si>
    <t>20230608-SALA-S7</t>
  </si>
  <si>
    <t>20230608-SALA-S8</t>
  </si>
  <si>
    <t>20230609-FREE-S1</t>
  </si>
  <si>
    <t>20230609-FREE-S2</t>
  </si>
  <si>
    <t>20230609-FREE-S3</t>
  </si>
  <si>
    <t>20230609-FREE-S4</t>
  </si>
  <si>
    <t>20230609-FREE-S5</t>
  </si>
  <si>
    <t>20230609-FREE-BR1</t>
  </si>
  <si>
    <t>20230615-1</t>
  </si>
  <si>
    <t>20230615-2</t>
  </si>
  <si>
    <t>20230615-3</t>
  </si>
  <si>
    <t>20230615-4</t>
  </si>
  <si>
    <t>20230615-5</t>
  </si>
  <si>
    <t>20230615-6</t>
  </si>
  <si>
    <t>20230615-7</t>
  </si>
  <si>
    <t>20230615-8</t>
  </si>
  <si>
    <t>20230620-SHAF-S2</t>
  </si>
  <si>
    <t>20230620-SHAF-S3</t>
  </si>
  <si>
    <t>20230620-SHAF-S4</t>
  </si>
  <si>
    <t>20230620-FREE-S1</t>
  </si>
  <si>
    <t>20230620-FREE-S2</t>
  </si>
  <si>
    <t>20230620-FREE-S3</t>
  </si>
  <si>
    <t>20230620-FREE-S4</t>
  </si>
  <si>
    <t>20230620-FREE-S5</t>
  </si>
  <si>
    <t>20230623-SALA-B1</t>
  </si>
  <si>
    <t>20230623-SALA-B2</t>
  </si>
  <si>
    <t>20230623-SALA-B3</t>
  </si>
  <si>
    <t>20230623-SALA-B4</t>
  </si>
  <si>
    <t>20230623-SALA-B5</t>
  </si>
  <si>
    <t>20230623-SALA-B6</t>
  </si>
  <si>
    <t>20230623-SALA-B7</t>
  </si>
  <si>
    <t>20230623-SALA-B8</t>
  </si>
  <si>
    <t>20230623-SALA-B9</t>
  </si>
  <si>
    <t>20230623-SALA-B10</t>
  </si>
  <si>
    <t>20230623-SALA-B11</t>
  </si>
  <si>
    <t>20230623-SALA-B12</t>
  </si>
  <si>
    <t>20230623-SALA-B13</t>
  </si>
  <si>
    <t>20230627-MISS-S1</t>
  </si>
  <si>
    <t>20230627-MISS-S2</t>
  </si>
  <si>
    <t>20230627-MISS-S3</t>
  </si>
  <si>
    <t>20230627-MISS-S4</t>
  </si>
  <si>
    <t>20230627-MISS-S5</t>
  </si>
  <si>
    <t>20230627-MISS-S6</t>
  </si>
  <si>
    <t>20230627-MISS-S7</t>
  </si>
  <si>
    <t>20230627-MISS-S8</t>
  </si>
  <si>
    <t>20230630-SHAF-S2</t>
  </si>
  <si>
    <t>20230630-SHAF-S3</t>
  </si>
  <si>
    <t>20230630-SHAF-S4</t>
  </si>
  <si>
    <t>20230630-FREE-S1</t>
  </si>
  <si>
    <t>20230630-FREE-S2</t>
  </si>
  <si>
    <t>20230630-FREE-S3</t>
  </si>
  <si>
    <t>20230630-FREE-S4</t>
  </si>
  <si>
    <t>20230630-FREE-S5</t>
  </si>
  <si>
    <t>20230706-SALA-S1</t>
  </si>
  <si>
    <t>20230706-SALA-S2</t>
  </si>
  <si>
    <t>20230706-SALA-S3</t>
  </si>
  <si>
    <t>20230706-SALA-S4</t>
  </si>
  <si>
    <t>20230706-SALA-S6</t>
  </si>
  <si>
    <t>20230706-SALA-S7</t>
  </si>
  <si>
    <t>20230706-SALA-S8</t>
  </si>
  <si>
    <t>20230711-MISS-B1</t>
  </si>
  <si>
    <t>20230711-MISS-B2</t>
  </si>
  <si>
    <t>20230711-MISS-B3</t>
  </si>
  <si>
    <t>20230711-MISS-B4</t>
  </si>
  <si>
    <t>20230711-MISS-B5</t>
  </si>
  <si>
    <t>20230711-MISS-B6</t>
  </si>
  <si>
    <t>20230711-MISS-B7</t>
  </si>
  <si>
    <t>20230711-MISS-B8</t>
  </si>
  <si>
    <t>20230711-MISS-B9</t>
  </si>
  <si>
    <t>20230711-MISS-B10</t>
  </si>
  <si>
    <t>20230713-SHAF-S2</t>
  </si>
  <si>
    <t>20230713-SHAF-S3</t>
  </si>
  <si>
    <t>20230713-SHAF-S4</t>
  </si>
  <si>
    <t>20230713-FREE-S1</t>
  </si>
  <si>
    <t>20230713-FREE-S2</t>
  </si>
  <si>
    <t>20230713-FREE-S3</t>
  </si>
  <si>
    <t>20230713-FREE-S4</t>
  </si>
  <si>
    <t>20230713-FREE-S5</t>
  </si>
  <si>
    <t>20230718-SHAF-S2</t>
  </si>
  <si>
    <t>20230718-SHAF-S3</t>
  </si>
  <si>
    <t>20230718-SHAF-S4</t>
  </si>
  <si>
    <t>20230718-FREE-S1</t>
  </si>
  <si>
    <t>20230718-FREE-S2</t>
  </si>
  <si>
    <t>20230718-FREE-S3</t>
  </si>
  <si>
    <t>20230718-FREE-S4</t>
  </si>
  <si>
    <t>20230718-FREE-S5</t>
  </si>
  <si>
    <t>20230721-SALA-B1</t>
  </si>
  <si>
    <t>20230721-SALA-B2</t>
  </si>
  <si>
    <t>20230721-SALA-B3</t>
  </si>
  <si>
    <t>20230721-SALA-B4</t>
  </si>
  <si>
    <t>20230721-SALA-B5</t>
  </si>
  <si>
    <t>20230721-SALA-B6</t>
  </si>
  <si>
    <t>20230721-SALA-B7</t>
  </si>
  <si>
    <t>20230721-SALA-B8</t>
  </si>
  <si>
    <t>20230721-SALA-B9</t>
  </si>
  <si>
    <t>20230721-SALA-B10</t>
  </si>
  <si>
    <t>20230721-SALA-B11</t>
  </si>
  <si>
    <t>20230721-SALA-B12</t>
  </si>
  <si>
    <t>20230721-SALA-B13</t>
  </si>
  <si>
    <t>20230727-MISS-B1</t>
  </si>
  <si>
    <t>20230727-MISS-B2</t>
  </si>
  <si>
    <t>20230727-MISS-B3</t>
  </si>
  <si>
    <t>20230727-MISS-B4</t>
  </si>
  <si>
    <t>20230727-MISS-B5</t>
  </si>
  <si>
    <t>20230727-MISS-B6</t>
  </si>
  <si>
    <t>20230727-MISS-B7</t>
  </si>
  <si>
    <t>20230727-MISS-B8</t>
  </si>
  <si>
    <t>20230727-MISS-B9</t>
  </si>
  <si>
    <t>20230727-MISS-B10</t>
  </si>
  <si>
    <t>20230727-MISS-B11</t>
  </si>
  <si>
    <t>20230727-MISS-B12</t>
  </si>
  <si>
    <t>20230727-MISS-B13</t>
  </si>
  <si>
    <t>20230727-MISS-B14</t>
  </si>
  <si>
    <t>20230727-MISS-B15</t>
  </si>
  <si>
    <t>20230801-FREE-B1</t>
  </si>
  <si>
    <t>20230801-FREE-B2</t>
  </si>
  <si>
    <t>20230801-FREE-B3</t>
  </si>
  <si>
    <t>20230801-FREE-B4</t>
  </si>
  <si>
    <t>20230801-FREE-B5</t>
  </si>
  <si>
    <t>20230801-FREE-B6</t>
  </si>
  <si>
    <t>20230801-FREE-B7</t>
  </si>
  <si>
    <t>20230801-FREE-B8</t>
  </si>
  <si>
    <t>20230801-FREE-B9</t>
  </si>
  <si>
    <t>20230801-FREE-B10</t>
  </si>
  <si>
    <t>20230801-FREE-B11</t>
  </si>
  <si>
    <t>20230801-FREE-B12</t>
  </si>
  <si>
    <t>20230801-FREE-B13</t>
  </si>
  <si>
    <t>20230801-FREE-B14</t>
  </si>
  <si>
    <t>20230801-FREE-B15</t>
  </si>
  <si>
    <t>20230804-SALA-B1</t>
  </si>
  <si>
    <t>20230804-SALA-B2</t>
  </si>
  <si>
    <t>20230804-SALA-B3</t>
  </si>
  <si>
    <t>20230804-SALA-B4</t>
  </si>
  <si>
    <t>20230804-SALA-B5</t>
  </si>
  <si>
    <t>20230804-SALA-B6</t>
  </si>
  <si>
    <t>20230804-SALA-B7</t>
  </si>
  <si>
    <t>20230804-SALA-B8</t>
  </si>
  <si>
    <t>20230804-SALA-B9</t>
  </si>
  <si>
    <t>20230804-SALA-B10</t>
  </si>
  <si>
    <t>20230804-SALA-B11</t>
  </si>
  <si>
    <t>20230804-SALA-B12</t>
  </si>
  <si>
    <t>20230804-SALA-B13</t>
  </si>
  <si>
    <t>2023922-FM-B1</t>
  </si>
  <si>
    <t>2023922-FM-B2</t>
  </si>
  <si>
    <t>2023922-FM-B3</t>
  </si>
  <si>
    <t>2023922-FM-B4</t>
  </si>
  <si>
    <t>Location No</t>
  </si>
  <si>
    <t>NumID</t>
  </si>
  <si>
    <t>True Bottle ID</t>
  </si>
  <si>
    <t>20240516-MISS-B1</t>
  </si>
  <si>
    <t>20240516-MISS-B2</t>
  </si>
  <si>
    <t>20240516-MISS-B3</t>
  </si>
  <si>
    <t>20240516-MISS-B4</t>
  </si>
  <si>
    <t>20240516-MISS-B5</t>
  </si>
  <si>
    <t>20240516-MISS-B6</t>
  </si>
  <si>
    <t>20240516-MISS-B7</t>
  </si>
  <si>
    <t>20240516-MISS-B8</t>
  </si>
  <si>
    <t>20240516-MISS-B9</t>
  </si>
  <si>
    <t>20240516-MISS-B10</t>
  </si>
  <si>
    <t>20240516-MISS-B11</t>
  </si>
  <si>
    <t>20240516-MISS-B12</t>
  </si>
  <si>
    <t>20240516-MISS-B13</t>
  </si>
  <si>
    <t>20240530-MISS-S1</t>
  </si>
  <si>
    <t>20240530-MISS-S2</t>
  </si>
  <si>
    <t>20240530-MISS-S3</t>
  </si>
  <si>
    <t>20240530-MISS-S4</t>
  </si>
  <si>
    <t>20240530-MISS-S5</t>
  </si>
  <si>
    <t>20240530-MISS-S6</t>
  </si>
  <si>
    <t>20240530-MISS-S7</t>
  </si>
  <si>
    <t>20240530-MISS-S8</t>
  </si>
  <si>
    <t>20240604-SHAF-B6</t>
  </si>
  <si>
    <t>20240604-SHAF-B8</t>
  </si>
  <si>
    <t>20240604-SHAF-B9</t>
  </si>
  <si>
    <t>20240604-SHAF-B10</t>
  </si>
  <si>
    <t>20240604-SHAF-B11</t>
  </si>
  <si>
    <t>20240604-SHAF-B12</t>
  </si>
  <si>
    <t>20240604-SHAF-B14</t>
  </si>
  <si>
    <t>20240604-SHAF-B15</t>
  </si>
  <si>
    <t>20240606-SALA-B1</t>
  </si>
  <si>
    <t>20240606-SALA-B2</t>
  </si>
  <si>
    <t>20240606-SALA-B3</t>
  </si>
  <si>
    <t>20240606-SALA-B4</t>
  </si>
  <si>
    <t>20240606-SALA-B5</t>
  </si>
  <si>
    <t>20240606-SALA-B6</t>
  </si>
  <si>
    <t>20240606-SALA-B7</t>
  </si>
  <si>
    <t>20240606-SALA-B8</t>
  </si>
  <si>
    <t>20240606-SALA-B9</t>
  </si>
  <si>
    <t>20240606-SALA-B10</t>
  </si>
  <si>
    <t>20240606-SALA-B13</t>
  </si>
  <si>
    <t>20240606-SALA-B14</t>
  </si>
  <si>
    <t>20240612-MISS-B1</t>
  </si>
  <si>
    <t>20240612-MISS-B2</t>
  </si>
  <si>
    <t>20240612-MISS-B3</t>
  </si>
  <si>
    <t>20240612-MISS-B4</t>
  </si>
  <si>
    <t>20240612-MISS-B5</t>
  </si>
  <si>
    <t>20240612-MISS-B6</t>
  </si>
  <si>
    <t>20240612-MISS-B7</t>
  </si>
  <si>
    <t>20240612-MISS-B8</t>
  </si>
  <si>
    <t>20240612-MISS-B9</t>
  </si>
  <si>
    <t>20240612-MISS-B10</t>
  </si>
  <si>
    <t>20240612-MISS-B11</t>
  </si>
  <si>
    <t>20240612-MISS-B12</t>
  </si>
  <si>
    <t>20240612-MISS-B13</t>
  </si>
  <si>
    <t>20240613-SHAF-B1</t>
  </si>
  <si>
    <t>20240613-SHAF-B5</t>
  </si>
  <si>
    <t>20240613-SHAF-B6</t>
  </si>
  <si>
    <t>20240613-SHAF-B8</t>
  </si>
  <si>
    <t>20240613-SHAF-B9</t>
  </si>
  <si>
    <t>20240613-SHAF-B10</t>
  </si>
  <si>
    <t>20240613-SHAF-B11</t>
  </si>
  <si>
    <t>20240613-SHAF-B12</t>
  </si>
  <si>
    <t>20240613-SHAF-B14</t>
  </si>
  <si>
    <t>20240613-SHAF-B15</t>
  </si>
  <si>
    <t>20240617-SALA-B1</t>
  </si>
  <si>
    <t>20240617-SALA-B2</t>
  </si>
  <si>
    <t>20240617-SALA-B3</t>
  </si>
  <si>
    <t>20240617-SALA-B4</t>
  </si>
  <si>
    <t>20240617-SALA-B5</t>
  </si>
  <si>
    <t>20240617-SALA-B6</t>
  </si>
  <si>
    <t>20240617-SALA-B7</t>
  </si>
  <si>
    <t>20240617-SALA-B8</t>
  </si>
  <si>
    <t>20240617-SALA-B9</t>
  </si>
  <si>
    <t>20240617-SALA-B10</t>
  </si>
  <si>
    <t>20240617-SALA-B13</t>
  </si>
  <si>
    <t>20240617-SALA-B14</t>
  </si>
  <si>
    <t>20240619-SHAF-B5</t>
  </si>
  <si>
    <t>20240619-SHAF-B6</t>
  </si>
  <si>
    <t>20240619-SHAF-B8</t>
  </si>
  <si>
    <t>20240619-SHAF-B9</t>
  </si>
  <si>
    <t>20240619-SHAF-B10</t>
  </si>
  <si>
    <t>20240619-SHAF-B11</t>
  </si>
  <si>
    <t>20240619-SHAF-B12</t>
  </si>
  <si>
    <t>20240619-SHAF-B14</t>
  </si>
  <si>
    <t>20240619-SHAF-B15</t>
  </si>
  <si>
    <t>20240624-MISS-B1</t>
  </si>
  <si>
    <t>20240624-MISS-B2</t>
  </si>
  <si>
    <t>20240624-MISS-B3</t>
  </si>
  <si>
    <t>20240624-MISS-B4</t>
  </si>
  <si>
    <t>20240624-MISS-B5</t>
  </si>
  <si>
    <t>20240624-MISS-B6</t>
  </si>
  <si>
    <t>20240624-MISS-B7</t>
  </si>
  <si>
    <t>20240624-MISS-B8</t>
  </si>
  <si>
    <t>20240624-MISS-B9</t>
  </si>
  <si>
    <t>20240624-MISS-B10</t>
  </si>
  <si>
    <t>20240624-MISS-B11</t>
  </si>
  <si>
    <t>20240624-MISS-B12</t>
  </si>
  <si>
    <t>20240624-MISS-B13</t>
  </si>
  <si>
    <t>20240627-SALA-B1</t>
  </si>
  <si>
    <t>20240627-SALA-B2</t>
  </si>
  <si>
    <t>20240627-SALA-B3</t>
  </si>
  <si>
    <t>20240627-SALA-B4</t>
  </si>
  <si>
    <t>20240627-SALA-B5</t>
  </si>
  <si>
    <t>20240627-SALA-B6</t>
  </si>
  <si>
    <t>20240627-SALA-B7</t>
  </si>
  <si>
    <t>20240627-SALA-B8</t>
  </si>
  <si>
    <t>20240627-SALA-B9</t>
  </si>
  <si>
    <t>20240627-SALA-B10</t>
  </si>
  <si>
    <t>20240627-SALA-B13</t>
  </si>
  <si>
    <t>20240627-SALA-B14</t>
  </si>
  <si>
    <t>20240701-SHAF-B1</t>
  </si>
  <si>
    <t>20240701-SHAF-B5</t>
  </si>
  <si>
    <t>20240701-SHAF-B6</t>
  </si>
  <si>
    <t>20240701-SHAF-B8</t>
  </si>
  <si>
    <t>20240701-SHAF-B9</t>
  </si>
  <si>
    <t>20240701-SHAF-B10</t>
  </si>
  <si>
    <t>20240701-SHAF-B11</t>
  </si>
  <si>
    <t>20240701-SHAF-B12</t>
  </si>
  <si>
    <t>20240701-SHAF-B14</t>
  </si>
  <si>
    <t>20240701-SHAF-B15</t>
  </si>
  <si>
    <t>20240711-MISS-S9</t>
  </si>
  <si>
    <t>20240711-MISS-S10</t>
  </si>
  <si>
    <t>20240711-MISS-S11</t>
  </si>
  <si>
    <t>20240711-MISS-S12</t>
  </si>
  <si>
    <t>20240717-SHAF-B5</t>
  </si>
  <si>
    <t>20240717-SHAF-B6</t>
  </si>
  <si>
    <t>20240717-SHAF-B8</t>
  </si>
  <si>
    <t>20240717-SHAF-B9</t>
  </si>
  <si>
    <t>20240717-SHAF-B10</t>
  </si>
  <si>
    <t>20240717-SHAF-B11</t>
  </si>
  <si>
    <t>20240717-SHAF-B12</t>
  </si>
  <si>
    <t>20240717-SHAF-B14</t>
  </si>
  <si>
    <t>20240717-SHAF-B15</t>
  </si>
  <si>
    <t>20240718-MISS-B1</t>
  </si>
  <si>
    <t>20240718-MISS-B2</t>
  </si>
  <si>
    <t>20240718-MISS-B3</t>
  </si>
  <si>
    <t>20240718-MISS-B4</t>
  </si>
  <si>
    <t>20240718-MISS-B5</t>
  </si>
  <si>
    <t>20240718-MISS-B6</t>
  </si>
  <si>
    <t>20240718-MISS-B7</t>
  </si>
  <si>
    <t>20240718-MISS-B8</t>
  </si>
  <si>
    <t>20240718-MISS-B9</t>
  </si>
  <si>
    <t>20240718-MISS-B10</t>
  </si>
  <si>
    <t>20240718-MISS-B11</t>
  </si>
  <si>
    <t>20240718-MISS-B12</t>
  </si>
  <si>
    <t>20240718-MISS-B13</t>
  </si>
  <si>
    <t>20240722-SHAF-B1</t>
  </si>
  <si>
    <t>20240722-SHAF-B5</t>
  </si>
  <si>
    <t>20240722-SHAF-B6</t>
  </si>
  <si>
    <t>20240722-SHAF-B8</t>
  </si>
  <si>
    <t>20240722-SHAF-B9</t>
  </si>
  <si>
    <t>20240722-SHAF-B10</t>
  </si>
  <si>
    <t>20240722-SHAF-B11</t>
  </si>
  <si>
    <t>20240722-SHAF-B12</t>
  </si>
  <si>
    <t>20240722-SHAF-B14</t>
  </si>
  <si>
    <t>20240722-SHAF-B15</t>
  </si>
  <si>
    <t>20240723-SALA-B1</t>
  </si>
  <si>
    <t>20240723-SALA-B2</t>
  </si>
  <si>
    <t>20240723-SALA-B3</t>
  </si>
  <si>
    <t>20240723-SALA-B4</t>
  </si>
  <si>
    <t>20240723-SALA-B5</t>
  </si>
  <si>
    <t>20240723-SALA-B6</t>
  </si>
  <si>
    <t>20240723-SALA-B7</t>
  </si>
  <si>
    <t>20240723-SALA-B8</t>
  </si>
  <si>
    <t>20240723-SALA-B9</t>
  </si>
  <si>
    <t>20240723-SALA-B10</t>
  </si>
  <si>
    <t>20240723-SALA-B13</t>
  </si>
  <si>
    <t>20240723-SALA-B14</t>
  </si>
  <si>
    <t>20230801-SHAF-B5</t>
  </si>
  <si>
    <t>2101</t>
  </si>
  <si>
    <t>2102</t>
  </si>
  <si>
    <t>2103</t>
  </si>
  <si>
    <t>2104</t>
  </si>
  <si>
    <t>2105</t>
  </si>
  <si>
    <t>2106</t>
  </si>
  <si>
    <t>2107</t>
  </si>
  <si>
    <t>2108</t>
  </si>
  <si>
    <t>2109</t>
  </si>
  <si>
    <t>2110</t>
  </si>
  <si>
    <t>2111</t>
  </si>
  <si>
    <t>2112</t>
  </si>
  <si>
    <t>2113</t>
  </si>
  <si>
    <t>2201</t>
  </si>
  <si>
    <t>2202</t>
  </si>
  <si>
    <t>2203</t>
  </si>
  <si>
    <t>2204</t>
  </si>
  <si>
    <t>2205</t>
  </si>
  <si>
    <t>2206</t>
  </si>
  <si>
    <t>2207</t>
  </si>
  <si>
    <t>2208</t>
  </si>
  <si>
    <t>4106</t>
  </si>
  <si>
    <t>4108</t>
  </si>
  <si>
    <t>4109</t>
  </si>
  <si>
    <t>4110</t>
  </si>
  <si>
    <t>4111</t>
  </si>
  <si>
    <t>4112</t>
  </si>
  <si>
    <t>4114</t>
  </si>
  <si>
    <t>4115</t>
  </si>
  <si>
    <t>3101</t>
  </si>
  <si>
    <t>3102</t>
  </si>
  <si>
    <t>3103</t>
  </si>
  <si>
    <t>3104</t>
  </si>
  <si>
    <t>3105</t>
  </si>
  <si>
    <t>3106</t>
  </si>
  <si>
    <t>3107</t>
  </si>
  <si>
    <t>3108</t>
  </si>
  <si>
    <t>3109</t>
  </si>
  <si>
    <t>3110</t>
  </si>
  <si>
    <t>3113</t>
  </si>
  <si>
    <t>3114</t>
  </si>
  <si>
    <t>4101</t>
  </si>
  <si>
    <t>4105</t>
  </si>
  <si>
    <t>2209</t>
  </si>
  <si>
    <t>2210</t>
  </si>
  <si>
    <t>2211</t>
  </si>
  <si>
    <t>2212</t>
  </si>
  <si>
    <t>4102</t>
  </si>
  <si>
    <t>Sampling Type (B/S)</t>
  </si>
  <si>
    <t>Lake ID (4 dig.)</t>
  </si>
  <si>
    <t>Bridge</t>
  </si>
  <si>
    <t>Kayak</t>
  </si>
  <si>
    <t>FREE</t>
  </si>
  <si>
    <t>NULL</t>
  </si>
  <si>
    <t>?</t>
  </si>
  <si>
    <t>20221020-FREE-B1</t>
  </si>
  <si>
    <t>20221020-FREE-B2</t>
  </si>
  <si>
    <t>20230310-SHAF-S?</t>
  </si>
  <si>
    <t>20230407-MISS-S?</t>
  </si>
  <si>
    <t>20230407-SALA-S?</t>
  </si>
  <si>
    <t>20230424-SHAF-B1</t>
  </si>
  <si>
    <t>20230424-SHAF-B2</t>
  </si>
  <si>
    <t>20230424-SHAF-B3</t>
  </si>
  <si>
    <t>20230424-SHAF-B4</t>
  </si>
  <si>
    <t>20230424-SHAF-B5</t>
  </si>
  <si>
    <t>20230424-SHAF-B8</t>
  </si>
  <si>
    <t>20230424-SHAF-B9</t>
  </si>
  <si>
    <t>20230424-SHAF-B10</t>
  </si>
  <si>
    <t>20230424-SHAF-B11</t>
  </si>
  <si>
    <t>20230424-SHAF-B12</t>
  </si>
  <si>
    <t>20230424-SHAF-S?</t>
  </si>
  <si>
    <t>20230510-MISS-S?</t>
  </si>
  <si>
    <t>20230517-FREE-B1</t>
  </si>
  <si>
    <t>20230517-FREE-B2</t>
  </si>
  <si>
    <t>20230517-FREE-B3</t>
  </si>
  <si>
    <t>20230522-SALA-S?</t>
  </si>
  <si>
    <t>-SALA-S?</t>
  </si>
  <si>
    <t>20230525-SHAF-B1</t>
  </si>
  <si>
    <t>20230525-SHAF-B2</t>
  </si>
  <si>
    <t>20230525-SHAF-B3</t>
  </si>
  <si>
    <t>20230525-SHAF-B4</t>
  </si>
  <si>
    <t>20230525-SHAF-B6</t>
  </si>
  <si>
    <t>20230525-SHAF-B7</t>
  </si>
  <si>
    <t>20230525-SHAF-B8</t>
  </si>
  <si>
    <t>20230525-SHAF-B9</t>
  </si>
  <si>
    <t>20230525-SHAF-B10</t>
  </si>
  <si>
    <t>20230525-SHAF-B11</t>
  </si>
  <si>
    <t>20230525-SHAF-B13</t>
  </si>
  <si>
    <t>20230525-SHAF-S?</t>
  </si>
  <si>
    <t>20230531-MISS-S?</t>
  </si>
  <si>
    <t>-MISS-S?</t>
  </si>
  <si>
    <t>20230608-SALA-S?</t>
  </si>
  <si>
    <t>20230609-FREE-S?</t>
  </si>
  <si>
    <t>20230615-MISS-S?</t>
  </si>
  <si>
    <t>20230620-SHAF-S?</t>
  </si>
  <si>
    <t>20230620-FREE-S?</t>
  </si>
  <si>
    <t>20230627-MISS-S?</t>
  </si>
  <si>
    <t>20230630-SHAF-S?</t>
  </si>
  <si>
    <t>20230630-FREE-S?</t>
  </si>
  <si>
    <t>20230706-SALA-S?</t>
  </si>
  <si>
    <t>20230713-SHAF-S?</t>
  </si>
  <si>
    <t>20230713-FREE-S?</t>
  </si>
  <si>
    <t>20230718-SHAF-S?</t>
  </si>
  <si>
    <t>20230718-FREE-S?</t>
  </si>
  <si>
    <t>20230801-SHAF-B2</t>
  </si>
  <si>
    <t>20230801-SHAF-BLL</t>
  </si>
  <si>
    <t>20230801-SHAF-B4</t>
  </si>
  <si>
    <t>20230801-SHAF-B6</t>
  </si>
  <si>
    <t>20230801-SHAF-B7</t>
  </si>
  <si>
    <t>20230801-SHAF-B8</t>
  </si>
  <si>
    <t>20230801-SHAF-B9</t>
  </si>
  <si>
    <t>20230801-SHAF-B10</t>
  </si>
  <si>
    <t>20230801-SHAF-B11</t>
  </si>
  <si>
    <t>20230801-SHAF-B12</t>
  </si>
  <si>
    <t>20230801-SHAF-B14</t>
  </si>
  <si>
    <t>20230801-SHAF-B15</t>
  </si>
  <si>
    <t>20230922-FREE-B1</t>
  </si>
  <si>
    <t>20230922-FREE-B2</t>
  </si>
  <si>
    <t>20230922-FREE-B3</t>
  </si>
  <si>
    <t>20230922-FREE-B11</t>
  </si>
  <si>
    <t>NH4Results</t>
  </si>
  <si>
    <t>NOxResults</t>
  </si>
  <si>
    <t>PO4Results</t>
  </si>
  <si>
    <t>TPResults</t>
  </si>
  <si>
    <t>Lat</t>
  </si>
  <si>
    <t>Long</t>
  </si>
  <si>
    <t>Month</t>
  </si>
  <si>
    <t>Day</t>
  </si>
  <si>
    <t>Year</t>
  </si>
  <si>
    <t>Exclude</t>
  </si>
  <si>
    <t>Microcystin Concentration</t>
  </si>
  <si>
    <t>20240731-MISS-B1</t>
  </si>
  <si>
    <t>20240731-MISS-B2</t>
  </si>
  <si>
    <t>20240731-MISS-B3</t>
  </si>
  <si>
    <t>20240731-MISS-B4</t>
  </si>
  <si>
    <t>20240731-MISS-B5</t>
  </si>
  <si>
    <t>20240731-MISS-B6</t>
  </si>
  <si>
    <t>20240731-MISS-B7</t>
  </si>
  <si>
    <t>20240731-MISS-B8</t>
  </si>
  <si>
    <t>20240731-MISS-B9</t>
  </si>
  <si>
    <t>20240731-MISS-B10</t>
  </si>
  <si>
    <t>20240731-MISS-B11</t>
  </si>
  <si>
    <t>20240731-MISS-B12</t>
  </si>
  <si>
    <t>20240731-MISS-B13</t>
  </si>
  <si>
    <t>20240730-SHAF-B1</t>
  </si>
  <si>
    <t>20240730-SHAF-B2</t>
  </si>
  <si>
    <t>20240730-SHAF-B5</t>
  </si>
  <si>
    <t>20240730-SHAF-B6</t>
  </si>
  <si>
    <t>20240730-SHAF-B8</t>
  </si>
  <si>
    <t>20240730-SHAF-B9</t>
  </si>
  <si>
    <t>20240730-SHAF-B10</t>
  </si>
  <si>
    <t>20240730-SHAF-B11</t>
  </si>
  <si>
    <t>20240730-SHAF-B12</t>
  </si>
  <si>
    <t>20240730-SHAF-B14</t>
  </si>
  <si>
    <t>20240730-SHAF-B15</t>
  </si>
  <si>
    <t>20240805-SALA-B1</t>
  </si>
  <si>
    <t>20240805-SALA-B2</t>
  </si>
  <si>
    <t>20240805-SALA-B3</t>
  </si>
  <si>
    <t>20240805-SALA-B4</t>
  </si>
  <si>
    <t>20240805-SALA-B5</t>
  </si>
  <si>
    <t>20240805-SALA-B6</t>
  </si>
  <si>
    <t>20240805-SALA-B7</t>
  </si>
  <si>
    <t>20240805-SALA-B8</t>
  </si>
  <si>
    <t>20240805-SALA-B9</t>
  </si>
  <si>
    <t>20240805-SALA-B10</t>
  </si>
  <si>
    <t>20240805-SALA-B13</t>
  </si>
  <si>
    <t>20240805-SALA-B14</t>
  </si>
  <si>
    <t>Chla (Avg 24 and on)</t>
  </si>
  <si>
    <t>Pheo (Avg 24 and on)</t>
  </si>
  <si>
    <t>20240604-SHAF-B5</t>
  </si>
  <si>
    <t>20240814-SHAF-B1</t>
  </si>
  <si>
    <t>20240814-SHAF-B5</t>
  </si>
  <si>
    <t>20240814-SHAF-B6</t>
  </si>
  <si>
    <t>20240814-SHAF-B8</t>
  </si>
  <si>
    <t>20240814-SHAF-B9</t>
  </si>
  <si>
    <t>20240814-SHAF-B10</t>
  </si>
  <si>
    <t>20240814-SHAF-B11</t>
  </si>
  <si>
    <t>20240814-SHAF-B12</t>
  </si>
  <si>
    <t>20240814-SHAF-B14</t>
  </si>
  <si>
    <t>20240814-SHAF-B15</t>
  </si>
  <si>
    <t>OUT OF</t>
  </si>
  <si>
    <t>20240723-SALA-B4 (Special/Algae)</t>
  </si>
  <si>
    <t>No DATA</t>
  </si>
  <si>
    <t>DATA</t>
  </si>
  <si>
    <t>Null Count</t>
  </si>
  <si>
    <t>Null %</t>
  </si>
  <si>
    <t>% Progress</t>
  </si>
  <si>
    <t># Data Points</t>
  </si>
  <si>
    <t>2024 Only</t>
  </si>
  <si>
    <t>below detected limit</t>
  </si>
  <si>
    <t>Sample ID</t>
  </si>
  <si>
    <t>Test</t>
  </si>
  <si>
    <t>Results</t>
  </si>
  <si>
    <t>Units</t>
  </si>
  <si>
    <t>Absorbance</t>
  </si>
  <si>
    <t>Date and Time</t>
  </si>
  <si>
    <t>Ammonia</t>
  </si>
  <si>
    <t>mg N/L</t>
  </si>
  <si>
    <t xml:space="preserve"> </t>
  </si>
  <si>
    <t>20240912-MISS-B11</t>
  </si>
  <si>
    <t>20240912-MISS-B3</t>
  </si>
  <si>
    <t>20240912-MISS-B9</t>
  </si>
  <si>
    <t>20240912-MISS-B13</t>
  </si>
  <si>
    <t>20240912-MISS-B7</t>
  </si>
  <si>
    <t>20240912-MISS-B5</t>
  </si>
  <si>
    <t>20240912-MISS-B10</t>
  </si>
  <si>
    <t>20240912-MISS-B6</t>
  </si>
  <si>
    <t>20240912-MISS-B4</t>
  </si>
  <si>
    <t>20240912-MISS-B8</t>
  </si>
  <si>
    <t>20240912-MISS-B12</t>
  </si>
  <si>
    <t>20240912-MISS-B1</t>
  </si>
  <si>
    <t>mg P/L</t>
  </si>
  <si>
    <t>20240912-MISS-B2</t>
  </si>
  <si>
    <t>Negative Values (b.d.l)</t>
  </si>
  <si>
    <t>NO DATA</t>
  </si>
  <si>
    <t>2023 Only</t>
  </si>
  <si>
    <t>TN (AVG) mg/L? [TOC]</t>
  </si>
  <si>
    <t>NPOC (AVG) mg/L? [TOC]</t>
  </si>
  <si>
    <t>TOTAL</t>
  </si>
  <si>
    <t>TP BDL</t>
  </si>
  <si>
    <t>Raccoon</t>
  </si>
  <si>
    <t>Shafer</t>
  </si>
  <si>
    <t>RACC</t>
  </si>
  <si>
    <t>20250510-MISS-B1</t>
  </si>
  <si>
    <t>20250510-MISS-B2</t>
  </si>
  <si>
    <t>20250510-MISS-B3</t>
  </si>
  <si>
    <t>20250510-MISS-B4</t>
  </si>
  <si>
    <t>20250510-MISS-B5</t>
  </si>
  <si>
    <t>20250510-MISS-B6</t>
  </si>
  <si>
    <t>20250510-MISS-B7</t>
  </si>
  <si>
    <t>20250510-MISS-B8</t>
  </si>
  <si>
    <t>20250510-MISS-B9</t>
  </si>
  <si>
    <t>20250510-MISS-B10</t>
  </si>
  <si>
    <t>20250510-MISS-B11</t>
  </si>
  <si>
    <t>20250510-MISS-B12</t>
  </si>
  <si>
    <t>20250510-MISS-B13</t>
  </si>
  <si>
    <t>20250708-RACC-B1</t>
  </si>
  <si>
    <t>20250708-RACC-B2</t>
  </si>
  <si>
    <t>20250708-RACC-B3</t>
  </si>
  <si>
    <t>20250708-RACC-B4</t>
  </si>
  <si>
    <t>20250708-RACC-B5</t>
  </si>
  <si>
    <t>20250708-RACC-B6</t>
  </si>
  <si>
    <t>20250714-SHAF-B5</t>
  </si>
  <si>
    <t>20250714-SHAF-B6</t>
  </si>
  <si>
    <t>20250714-SHAF-B8</t>
  </si>
  <si>
    <t>20250714-SHAF-B9</t>
  </si>
  <si>
    <t>20250714-SHAF-B10</t>
  </si>
  <si>
    <t>20250714-SHAF-B11</t>
  </si>
  <si>
    <t>20250714-SHAF-B12</t>
  </si>
  <si>
    <t>20250714-SHAF-B14</t>
  </si>
  <si>
    <t>20250714-SHAF-B15</t>
  </si>
  <si>
    <t>20250729-MISS-B1</t>
  </si>
  <si>
    <t>20250729-MISS-B2</t>
  </si>
  <si>
    <t>20250729-MISS-B3</t>
  </si>
  <si>
    <t>20250729-MISS-B4</t>
  </si>
  <si>
    <t>20250729-MISS-B5</t>
  </si>
  <si>
    <t>20250729-MISS-B6</t>
  </si>
  <si>
    <t>20250729-MISS-B7</t>
  </si>
  <si>
    <t>20250729-MISS-B8</t>
  </si>
  <si>
    <t>20250729-MISS-B9</t>
  </si>
  <si>
    <t>20250729-MISS-B10</t>
  </si>
  <si>
    <t>20250729-MISS-B11</t>
  </si>
  <si>
    <t>20250729-MISS-B12</t>
  </si>
  <si>
    <t>20250729-MISS-B13</t>
  </si>
  <si>
    <t>20250805-SHAF-B5</t>
  </si>
  <si>
    <t>20250805-SHAF-B6</t>
  </si>
  <si>
    <t>20250805-SHAF-B8</t>
  </si>
  <si>
    <t>20250805-SHAF-B9</t>
  </si>
  <si>
    <t>20250805-SHAF-B10</t>
  </si>
  <si>
    <t>20250805-SHAF-B11</t>
  </si>
  <si>
    <t>20250805-SHAF-B12</t>
  </si>
  <si>
    <t>20250805-SHAF-B14</t>
  </si>
  <si>
    <t>20250805-SHAF-B15</t>
  </si>
  <si>
    <t>20250805-SHAF-B16</t>
  </si>
  <si>
    <t>20250806-MISS-B1</t>
  </si>
  <si>
    <t>20250806-MISS-B2</t>
  </si>
  <si>
    <t>20250806-MISS-B3</t>
  </si>
  <si>
    <t>20250806-MISS-B4</t>
  </si>
  <si>
    <t>20250806-MISS-B5</t>
  </si>
  <si>
    <t>20250806-MISS-B6</t>
  </si>
  <si>
    <t>20250806-MISS-B7</t>
  </si>
  <si>
    <t>20250806-MISS-B8</t>
  </si>
  <si>
    <t>20250806-MISS-B9</t>
  </si>
  <si>
    <t>20250806-MISS-B10</t>
  </si>
  <si>
    <t>20250806-MISS-B11</t>
  </si>
  <si>
    <t>20250806-MISS-B12</t>
  </si>
  <si>
    <t>20250806-MISS-B13</t>
  </si>
  <si>
    <t>20250806-MISS-B14</t>
  </si>
  <si>
    <t>20250806-MISS-B15</t>
  </si>
  <si>
    <t>20250806-MISS-B16</t>
  </si>
  <si>
    <t>20250822-MISS-B1</t>
  </si>
  <si>
    <t>20250822-MISS-B2</t>
  </si>
  <si>
    <t>20250822-MISS-B3</t>
  </si>
  <si>
    <t>20250822-MISS-B4</t>
  </si>
  <si>
    <t>20250822-MISS-B5</t>
  </si>
  <si>
    <t>20250822-MISS-B6</t>
  </si>
  <si>
    <t>20250822-MISS-B7</t>
  </si>
  <si>
    <t>20250822-MISS-B8</t>
  </si>
  <si>
    <t>20250822-MISS-B9</t>
  </si>
  <si>
    <t>20250822-MISS-B10</t>
  </si>
  <si>
    <t>20250822-MISS-B11</t>
  </si>
  <si>
    <t>20250822-MISS-B12</t>
  </si>
  <si>
    <t>20250822-MISS-B13</t>
  </si>
  <si>
    <t>20250915-MISS-B1</t>
  </si>
  <si>
    <t>20250915-MISS-B2</t>
  </si>
  <si>
    <t>20250915-MISS-B3</t>
  </si>
  <si>
    <t>20250915-MISS-B4</t>
  </si>
  <si>
    <t>20250915-MISS-B5</t>
  </si>
  <si>
    <t>20250915-MISS-B6</t>
  </si>
  <si>
    <t>20250915-MISS-B7</t>
  </si>
  <si>
    <t>20250915-MISS-B8</t>
  </si>
  <si>
    <t>20250915-MISS-B9</t>
  </si>
  <si>
    <t>20250915-MISS-B10</t>
  </si>
  <si>
    <t>20250915-MISS-B11</t>
  </si>
  <si>
    <t>20250915-MISS-B12</t>
  </si>
  <si>
    <t>20250915-MISS-B13</t>
  </si>
  <si>
    <t>2025 Only</t>
  </si>
  <si>
    <t>2114</t>
  </si>
  <si>
    <t>2115</t>
  </si>
  <si>
    <t>2116</t>
  </si>
  <si>
    <t>20250813-MISS-B1</t>
  </si>
  <si>
    <t>20250813-MISS-B2</t>
  </si>
  <si>
    <t>20250813-MISS-B3</t>
  </si>
  <si>
    <t>20250813-MISS-B4</t>
  </si>
  <si>
    <t>20250813-MISS-B5</t>
  </si>
  <si>
    <t>20250813-MISS-B6</t>
  </si>
  <si>
    <t>20250813-MISS-B7</t>
  </si>
  <si>
    <t>20250813-MISS-B8</t>
  </si>
  <si>
    <t>20250813-MISS-B9</t>
  </si>
  <si>
    <t>20250813-MISS-B10</t>
  </si>
  <si>
    <t>20250813-MISS-B11</t>
  </si>
  <si>
    <t>20250813-MISS-B12</t>
  </si>
  <si>
    <t>20250813-MISS-B13</t>
  </si>
  <si>
    <t>20250813-MISS-B15</t>
  </si>
  <si>
    <t>20250813-MISS-B17</t>
  </si>
  <si>
    <t>T-Phos 1</t>
  </si>
  <si>
    <t>0805 S16</t>
  </si>
  <si>
    <t>0805 S8</t>
  </si>
  <si>
    <t>0805 S9</t>
  </si>
  <si>
    <t>0805 S14</t>
  </si>
  <si>
    <t>0806 M13</t>
  </si>
  <si>
    <t>0822 M6</t>
  </si>
  <si>
    <t>0822 M4</t>
  </si>
  <si>
    <t>0822 M9</t>
  </si>
  <si>
    <t>0915 M5</t>
  </si>
  <si>
    <t>0915 M13</t>
  </si>
  <si>
    <t>0915 M3</t>
  </si>
  <si>
    <t>0915 M11</t>
  </si>
  <si>
    <t>0915 M2</t>
  </si>
  <si>
    <t>0915 M8</t>
  </si>
  <si>
    <t>0915 M6</t>
  </si>
  <si>
    <t>0915 M1</t>
  </si>
  <si>
    <t>0915 M10</t>
  </si>
  <si>
    <t>0915 M12</t>
  </si>
  <si>
    <t>0915 M9</t>
  </si>
  <si>
    <t>0915 M4</t>
  </si>
  <si>
    <t>0915 M7</t>
  </si>
  <si>
    <t>0822 M8</t>
  </si>
  <si>
    <t>0822 M2</t>
  </si>
  <si>
    <t>0822 M10</t>
  </si>
  <si>
    <t>0822 M13</t>
  </si>
  <si>
    <t>0822 M3</t>
  </si>
  <si>
    <t>0822 M12</t>
  </si>
  <si>
    <t>0822 M11</t>
  </si>
  <si>
    <t>0822 M7</t>
  </si>
  <si>
    <t>0822 M1</t>
  </si>
  <si>
    <t>0806 M16</t>
  </si>
  <si>
    <t>0806 M3</t>
  </si>
  <si>
    <t>0806 M10</t>
  </si>
  <si>
    <t>0806 M2</t>
  </si>
  <si>
    <t>0806 M15</t>
  </si>
  <si>
    <t>0806 M7</t>
  </si>
  <si>
    <t>0806 M11</t>
  </si>
  <si>
    <t>0806 M6</t>
  </si>
  <si>
    <t>0806M 14</t>
  </si>
  <si>
    <t>0806 M12</t>
  </si>
  <si>
    <t>0806 M5</t>
  </si>
  <si>
    <t>0806 M4</t>
  </si>
  <si>
    <t>0806 M9</t>
  </si>
  <si>
    <t>0806 M8</t>
  </si>
  <si>
    <t>0510 M7</t>
  </si>
  <si>
    <t>0510 M3</t>
  </si>
  <si>
    <t>0510 M11</t>
  </si>
  <si>
    <t>0510 M2</t>
  </si>
  <si>
    <t>0510 M13</t>
  </si>
  <si>
    <t>0510 M1</t>
  </si>
  <si>
    <t>0510 M4</t>
  </si>
  <si>
    <t>0510 M12</t>
  </si>
  <si>
    <t>0510 M5</t>
  </si>
  <si>
    <t>0510 M8</t>
  </si>
  <si>
    <t>0813 M1</t>
  </si>
  <si>
    <t>0813 M2</t>
  </si>
  <si>
    <t>0813 M3</t>
  </si>
  <si>
    <t>0813 M4</t>
  </si>
  <si>
    <t>0813 M5</t>
  </si>
  <si>
    <t>0813 M6</t>
  </si>
  <si>
    <t>0813 M7</t>
  </si>
  <si>
    <t>0813 M8</t>
  </si>
  <si>
    <t>0813 M9</t>
  </si>
  <si>
    <t>0813 M10</t>
  </si>
  <si>
    <t>0813 M11</t>
  </si>
  <si>
    <t>0813 M12</t>
  </si>
  <si>
    <t>0813 M13</t>
  </si>
  <si>
    <t>0813 M15</t>
  </si>
  <si>
    <t>0813 M17</t>
  </si>
  <si>
    <t>Nitrate+Nitrite</t>
  </si>
  <si>
    <t>M0510 1</t>
  </si>
  <si>
    <t>M0510 2</t>
  </si>
  <si>
    <t>M0510 3</t>
  </si>
  <si>
    <t>M0510 4</t>
  </si>
  <si>
    <t>M0510 5</t>
  </si>
  <si>
    <t>M0510 6</t>
  </si>
  <si>
    <t>M0510 7</t>
  </si>
  <si>
    <t>M0510 8</t>
  </si>
  <si>
    <t>M0510 9</t>
  </si>
  <si>
    <t>M0510 10</t>
  </si>
  <si>
    <t>M0510 11</t>
  </si>
  <si>
    <t>M0510 12</t>
  </si>
  <si>
    <t>M0510 13</t>
  </si>
  <si>
    <t>M0729 3</t>
  </si>
  <si>
    <t>M0729 5</t>
  </si>
  <si>
    <t>M0729 6</t>
  </si>
  <si>
    <t>M0729 9</t>
  </si>
  <si>
    <t>M0729 11</t>
  </si>
  <si>
    <t>M0729 12</t>
  </si>
  <si>
    <t>M0806 2</t>
  </si>
  <si>
    <t>M0806 4</t>
  </si>
  <si>
    <t>M0806 16</t>
  </si>
  <si>
    <t>M0822 1</t>
  </si>
  <si>
    <t>M0822 6</t>
  </si>
  <si>
    <t>M0822 8</t>
  </si>
  <si>
    <t>M0822 9</t>
  </si>
  <si>
    <t>M0822 12</t>
  </si>
  <si>
    <t>M0915 1</t>
  </si>
  <si>
    <t>M0915 2</t>
  </si>
  <si>
    <t>M0915 3</t>
  </si>
  <si>
    <t>M0915 4</t>
  </si>
  <si>
    <t>M0915 9</t>
  </si>
  <si>
    <t>M0915 11</t>
  </si>
  <si>
    <t>M0915 13</t>
  </si>
  <si>
    <t>o-Phos</t>
  </si>
  <si>
    <t>M0729 1</t>
  </si>
  <si>
    <t>M0729 2</t>
  </si>
  <si>
    <t>M0729 4</t>
  </si>
  <si>
    <t>M0729 7</t>
  </si>
  <si>
    <t>M0729 8</t>
  </si>
  <si>
    <t>M0729 10</t>
  </si>
  <si>
    <t>M0729 13</t>
  </si>
  <si>
    <t>M0806 1</t>
  </si>
  <si>
    <t>M0806 3</t>
  </si>
  <si>
    <t>M0806 5</t>
  </si>
  <si>
    <t>M0806 6</t>
  </si>
  <si>
    <t>M0806 7</t>
  </si>
  <si>
    <t>M0806 8</t>
  </si>
  <si>
    <t>M0806 9</t>
  </si>
  <si>
    <t>M0806 10</t>
  </si>
  <si>
    <t>M0806 11</t>
  </si>
  <si>
    <t>M0806 12</t>
  </si>
  <si>
    <t>M0806 13</t>
  </si>
  <si>
    <t>M0806 14</t>
  </si>
  <si>
    <t>M0806 15</t>
  </si>
  <si>
    <t>M0822 2</t>
  </si>
  <si>
    <t>M0822 3</t>
  </si>
  <si>
    <t>M0822 4</t>
  </si>
  <si>
    <t>M0822 5</t>
  </si>
  <si>
    <t>M0822 7</t>
  </si>
  <si>
    <t>M0822 10</t>
  </si>
  <si>
    <t>M0822 11</t>
  </si>
  <si>
    <t>M0822 13</t>
  </si>
  <si>
    <t>M0915 5</t>
  </si>
  <si>
    <t>M0915 6</t>
  </si>
  <si>
    <t>M0915 7</t>
  </si>
  <si>
    <t>M0915 8</t>
  </si>
  <si>
    <t>M0915 10</t>
  </si>
  <si>
    <t>M0915 12</t>
  </si>
  <si>
    <t>R0708 1</t>
  </si>
  <si>
    <t>R0708 2</t>
  </si>
  <si>
    <t>R0708 3</t>
  </si>
  <si>
    <t>R0708 4</t>
  </si>
  <si>
    <t>R0708 5</t>
  </si>
  <si>
    <t>R0708 6</t>
  </si>
  <si>
    <t>S0714 5</t>
  </si>
  <si>
    <t>S0714 6</t>
  </si>
  <si>
    <t>S0714 8</t>
  </si>
  <si>
    <t>S0714 9</t>
  </si>
  <si>
    <t>S0714 10</t>
  </si>
  <si>
    <t>S0714 11</t>
  </si>
  <si>
    <t>S0714 12</t>
  </si>
  <si>
    <t>S0714 14</t>
  </si>
  <si>
    <t>S0714 15</t>
  </si>
  <si>
    <t>S0805 5</t>
  </si>
  <si>
    <t>S0805 6</t>
  </si>
  <si>
    <t>S0805 8</t>
  </si>
  <si>
    <t>S0805 9</t>
  </si>
  <si>
    <t>S0805 10</t>
  </si>
  <si>
    <t>S0805 11</t>
  </si>
  <si>
    <t>S0805 12</t>
  </si>
  <si>
    <t>S0805 14</t>
  </si>
  <si>
    <t>S0805 15</t>
  </si>
  <si>
    <t>S0805 16</t>
  </si>
  <si>
    <t>M0813 1</t>
  </si>
  <si>
    <t>M0813 2</t>
  </si>
  <si>
    <t>M0813 3</t>
  </si>
  <si>
    <t>M0813 4</t>
  </si>
  <si>
    <t>M0813 5</t>
  </si>
  <si>
    <t>M0813 6</t>
  </si>
  <si>
    <t>M0813 7</t>
  </si>
  <si>
    <t>M0813 8</t>
  </si>
  <si>
    <t>M0813 9</t>
  </si>
  <si>
    <t>M0813 10</t>
  </si>
  <si>
    <t>M0813 11</t>
  </si>
  <si>
    <t>M0813 12</t>
  </si>
  <si>
    <t>M0813 13</t>
  </si>
  <si>
    <t>M0813 15</t>
  </si>
  <si>
    <t>M0813 17</t>
  </si>
  <si>
    <t>0510 M10</t>
  </si>
  <si>
    <t>0510 M9</t>
  </si>
  <si>
    <t>0510 M6</t>
  </si>
  <si>
    <t>0805 S15</t>
  </si>
  <si>
    <t>0805 S6</t>
  </si>
  <si>
    <t>0805 S11</t>
  </si>
  <si>
    <t>0805 S10</t>
  </si>
  <si>
    <t>0805 S5</t>
  </si>
  <si>
    <t>0805 S12</t>
  </si>
  <si>
    <t>0714 S12</t>
  </si>
  <si>
    <t>0714 S15</t>
  </si>
  <si>
    <t>0714 S14</t>
  </si>
  <si>
    <t>0714 S10</t>
  </si>
  <si>
    <t>0714 S11</t>
  </si>
  <si>
    <t>0714 S8</t>
  </si>
  <si>
    <t>0714 S5</t>
  </si>
  <si>
    <t>0714 S9</t>
  </si>
  <si>
    <t>0714 S6</t>
  </si>
  <si>
    <t>0729 M7</t>
  </si>
  <si>
    <t>0729 M1</t>
  </si>
  <si>
    <t>0729 M3</t>
  </si>
  <si>
    <t>0729 M9</t>
  </si>
  <si>
    <t>0729 M6</t>
  </si>
  <si>
    <t>0729 M5</t>
  </si>
  <si>
    <t>0729 M13</t>
  </si>
  <si>
    <t>0729 M12</t>
  </si>
  <si>
    <t>0729 M4</t>
  </si>
  <si>
    <t>0729 M8</t>
  </si>
  <si>
    <t>0729 M11</t>
  </si>
  <si>
    <t>0729 M10</t>
  </si>
  <si>
    <t>0729 M2</t>
  </si>
  <si>
    <t>0708 R4</t>
  </si>
  <si>
    <t>0708 R1</t>
  </si>
  <si>
    <t>0708 R6</t>
  </si>
  <si>
    <t>0708 R5</t>
  </si>
  <si>
    <t>0708 R2</t>
  </si>
  <si>
    <t>0708 R3</t>
  </si>
  <si>
    <t>Index</t>
  </si>
  <si>
    <t>Number</t>
  </si>
  <si>
    <t>*probably 1</t>
  </si>
  <si>
    <t>Based off the order in which the samples were recorded and placed the original 'duplicate 0806 M13' is actually the real M13, the seecond recorded M13 right before the M16 is actually M1 for the same date. M13 was in a different group of samples in another Rack, the rest of the 15 were together and the order went 1,16,3,10 so I deduced that the M13 that is second is actually the M! that is within the pattern. Whew glad I figured it out!</t>
  </si>
  <si>
    <t>0806 M1</t>
  </si>
  <si>
    <t>NH4 BDL</t>
  </si>
  <si>
    <t>Nox BDL</t>
  </si>
  <si>
    <t>PO4 BDL</t>
  </si>
  <si>
    <t>ObjectID</t>
  </si>
  <si>
    <t>GlobalID</t>
  </si>
  <si>
    <t>CreationDate</t>
  </si>
  <si>
    <t>Creator</t>
  </si>
  <si>
    <t>EditDate</t>
  </si>
  <si>
    <t>Editor</t>
  </si>
  <si>
    <t>Reservoir</t>
  </si>
  <si>
    <t>Other - Reservoir</t>
  </si>
  <si>
    <t>Site Name</t>
  </si>
  <si>
    <t>Bottle Number</t>
  </si>
  <si>
    <t>Time</t>
  </si>
  <si>
    <t>Location</t>
  </si>
  <si>
    <t>Sampling Type</t>
  </si>
  <si>
    <t>Other - Sampling Type</t>
  </si>
  <si>
    <t>Notes</t>
  </si>
  <si>
    <t>SD</t>
  </si>
  <si>
    <t>GER Reference and Target File Numbers</t>
  </si>
  <si>
    <t>YSI Measurements</t>
  </si>
  <si>
    <t xml:space="preserve">Omegaette Measurements </t>
  </si>
  <si>
    <t>FLIR</t>
  </si>
  <si>
    <t xml:space="preserve">FLIR Measurements </t>
  </si>
  <si>
    <t>x</t>
  </si>
  <si>
    <t>y</t>
  </si>
  <si>
    <t>2355e894-4113-43bb-9cca-e50d0755a5a0</t>
  </si>
  <si>
    <t>ibradfo@purdue.edu_purdueuniversity</t>
  </si>
  <si>
    <t>other</t>
  </si>
  <si>
    <t>Field</t>
  </si>
  <si>
    <t xml:space="preserve">Some clouds, very bright day, low wind.
A point to test GER Surface Reflectance calculations </t>
  </si>
  <si>
    <t>NotAWaterSample</t>
  </si>
  <si>
    <t>NorAWaterSample</t>
  </si>
  <si>
    <t xml:space="preserve">00 - ref check
01,02 - 11%
          </t>
  </si>
  <si>
    <t>f2d74902-c043-46b7-9a46-4746d12f4afc</t>
  </si>
  <si>
    <t xml:space="preserve">SecchiD=.9m
No Rbr </t>
  </si>
  <si>
    <t>Sp: 00-02
W: 03-05
Sk: 06-08</t>
  </si>
  <si>
    <t>14:03, .33m
14:04. 1.37
14:07, 2.25
14:08, 3.29
14:09, 4.15</t>
  </si>
  <si>
    <t>28.2c
67.7rh</t>
  </si>
  <si>
    <t>28.7+/-.2</t>
  </si>
  <si>
    <t>2ceca688-2719-4ac1-8fe5-c1d641d76dbc</t>
  </si>
  <si>
    <t>SD: 0.75m</t>
  </si>
  <si>
    <t>So:10-12
W:14-16
Sk:17-19</t>
  </si>
  <si>
    <t>14:28, .28
14:29, 1.18
14:30, 2.26
14:31, 3.15
14:32, 4.57</t>
  </si>
  <si>
    <t>30.6c
61rh</t>
  </si>
  <si>
    <t>29.3+/-.3</t>
  </si>
  <si>
    <t>b44ccf61-a6d9-40ee-a128-4f24b14d3e72</t>
  </si>
  <si>
    <t>No Rbr
SD=.75m</t>
  </si>
  <si>
    <t>Sp:20-22
W: 23-25
Sk:26-28</t>
  </si>
  <si>
    <t>15:03, .44
15:04, 1.25
15:05, 2.19
15:06, 3.15
15:07, 4.45
15:08, 5.39
15:09, 6.32
15:10, 7.48
15:11, 8.43
15:12, 9.47
15:13, 10.56
15:14, 11.84
15:15, 12.75
15:16, 13.57
15:17, 14.81</t>
  </si>
  <si>
    <t>31.3c (bad)
47.2rh</t>
  </si>
  <si>
    <t>28.3+/-.3</t>
  </si>
  <si>
    <t>5a8e50cd-cb4e-424a-ac8e-aca99cf74974</t>
  </si>
  <si>
    <t>No Rbr
SD:.75m</t>
  </si>
  <si>
    <t>Sp: 33,37.38
Dark Current(Cap): 33,34,35
W: 39,40,41
Sk: 42,43,44</t>
  </si>
  <si>
    <t>15:47, 0.44
15:48, 1.15
15.49, 2.25
15:50, 3.28
15:51, 4.35
15:52, 5.43
15:53, 6.32
15:54, 7.44</t>
  </si>
  <si>
    <t>30.2c
54rh</t>
  </si>
  <si>
    <t>29.4+/-0.1</t>
  </si>
  <si>
    <t>19f683ae-14c5-4c34-9082-b18aebc6e903</t>
  </si>
  <si>
    <t>No Rbr 
SD: .6m</t>
  </si>
  <si>
    <t xml:space="preserve">Dc: 54,55,56
Sp:51,52,53
W: 58,58,60
Sk: 61,62,63
</t>
  </si>
  <si>
    <t>16:16, .37m
16:17, 1.41
16:18, 2.46
16:19, 3.32
16:20, 4.31
16:21, 5.34
16:22, 6.48
16:23, 7.51
16:24, 8.51
16:25, 9.69
16:26, 10.76</t>
  </si>
  <si>
    <t>30.9c
57.3rh</t>
  </si>
  <si>
    <t>30.1+/-.2</t>
  </si>
  <si>
    <t>db0bf9f4-89d1-43e6-9c9f-1bce066fb9ba</t>
  </si>
  <si>
    <t>No Rbr 
SD: .7m</t>
  </si>
  <si>
    <t>Sp: 64,65,66
Dc: 67,68,69
W: 70,71,72
Sk:73,74,75</t>
  </si>
  <si>
    <t>16:50, .30
16:51, 1.26
16:52, 2.31
16:53, 3.51
16:54, 4.43
16:55, 5.35
16:56, 6.54</t>
  </si>
  <si>
    <t>29.7c
56.5rh</t>
  </si>
  <si>
    <t>29.9+/-0.1</t>
  </si>
  <si>
    <t>2347c621-fd47-45a5-9ab9-015a49fef74c</t>
  </si>
  <si>
    <t>Sd: .6m
No Rbr
Isaac</t>
  </si>
  <si>
    <t>Sp:00-02
Dc:03-05
W:06-08
Sk:09-11</t>
  </si>
  <si>
    <t>13:31, .31m
13:32, 1.36
13:33, 2.25
13:34, 3.97</t>
  </si>
  <si>
    <t>25.8c
86.0rh</t>
  </si>
  <si>
    <t>28.6 +/- .2</t>
  </si>
  <si>
    <t>d58ee264-727a-49f1-bf2b-e985ba05a474</t>
  </si>
  <si>
    <t>No Rbr
As: .85m</t>
  </si>
  <si>
    <t>Sp: 12-14
Dc: 15-17
W: 18-20
Sk: 21-23</t>
  </si>
  <si>
    <t>13:52, .32m
13:53, 1.27
13:54, 2.16
13:55, 3.39
13:56, 4.3</t>
  </si>
  <si>
    <t>27.6c, 
76.8rh</t>
  </si>
  <si>
    <t>29.2+/- .2</t>
  </si>
  <si>
    <t>ce35b8f7-9f44-4e60-892e-7ee2804936cf</t>
  </si>
  <si>
    <t xml:space="preserve">No Rbr
Sd: .35m
</t>
  </si>
  <si>
    <t>So: 24-26
Dc:27-29
W: 31-33
Sk:34-36</t>
  </si>
  <si>
    <t>14:14, .2
14:15, 1.11
14:16, 2.4
14:17, 3.31</t>
  </si>
  <si>
    <t xml:space="preserve">29.9c
68.9rh
</t>
  </si>
  <si>
    <t>28.1+.2</t>
  </si>
  <si>
    <t>7f03d17c-5740-49c7-8d83-72fad4541970</t>
  </si>
  <si>
    <t>No Rbr:
Sd: .4m
Isaac</t>
  </si>
  <si>
    <t>Sp: 37-39
Dc: 40-42
W:44-46
Sk:47-49</t>
  </si>
  <si>
    <t>14:32, .4m
14:33, 1.2
14:34, 2.34</t>
  </si>
  <si>
    <t>30.7c
68.8rh</t>
  </si>
  <si>
    <t>28.9+/-.2</t>
  </si>
  <si>
    <t>0bf4defd-a575-47c6-903c-8ca11703dbc9</t>
  </si>
  <si>
    <t>No Rbr
Sd: .6 m</t>
  </si>
  <si>
    <t>Sp:50-52
Dc:54-56
W:57-59
Sk: 60-62</t>
  </si>
  <si>
    <t>14:53, .35
14:54, 1.26
14:55, 2.3
14:56, 3.48</t>
  </si>
  <si>
    <t>32.6c?
56.4rh</t>
  </si>
  <si>
    <t>28.2+/-.2</t>
  </si>
  <si>
    <t>7a84dc5f-9f8b-4a9e-90f2-8f4f67c58784</t>
  </si>
  <si>
    <t>No Rbr
Sd=.35</t>
  </si>
  <si>
    <t xml:space="preserve">So:63,64,66
D:67-69
W:70-72
Sk:73-75
</t>
  </si>
  <si>
    <t>15:14, .27
15:15, 1.26
15:16, 2.51
15:17, 3.26
15:18, 4.32</t>
  </si>
  <si>
    <t>34.0c
51.9rh</t>
  </si>
  <si>
    <t>28.1+/-.1</t>
  </si>
  <si>
    <t>c86af9f2-f796-42f8-a168-c7b568885d3e</t>
  </si>
  <si>
    <t>No Rbr
Sd: .3m</t>
  </si>
  <si>
    <t>So: 77-79
Dc:80-82
W: 83-85
Sk:86-88</t>
  </si>
  <si>
    <t>15:30, .34
15:31, 1.22
15:32, 2.2</t>
  </si>
  <si>
    <t xml:space="preserve">31.6c
58.7rh
</t>
  </si>
  <si>
    <t>29.2+/-.2</t>
  </si>
  <si>
    <t>28850955-e2f5-4e63-b22f-39cb07c9faa6</t>
  </si>
  <si>
    <t>No Rbr 
Sd: .2m
Green water
GER of water matches olamson’s spectra peaks</t>
  </si>
  <si>
    <t xml:space="preserve">Sp:89-91
Dc:92-94
W:95-97
Sk:98-100
</t>
  </si>
  <si>
    <t>16:00, .41
16:01, 1.18
16:02, 2.12</t>
  </si>
  <si>
    <t>29.1c
65.6rh</t>
  </si>
  <si>
    <t>28.1+/-.3</t>
  </si>
  <si>
    <t>fe167a1d-e74d-43a1-95d9-3ae6f3faec2f</t>
  </si>
  <si>
    <t>No Rbr 
Sd: .6m
Not super green, but some, source of algae other tributary</t>
  </si>
  <si>
    <t>First set: 101-112
Sp: 115-117
Dc: 118-120
W: 121-123
Sk: 124-126</t>
  </si>
  <si>
    <t xml:space="preserve">16:23, .4
16:24, 1.15
16:25, 2.06
16:26, </t>
  </si>
  <si>
    <t>27.8c
67.9rh</t>
  </si>
  <si>
    <t>29.7+/-.2</t>
  </si>
  <si>
    <t>bf4cfbb9-58f6-4fe3-a57c-bbff1b95500f</t>
  </si>
  <si>
    <t>Sd: .35m
Rbr yes
Isaac
Rental said water has been this green for a month</t>
  </si>
  <si>
    <t xml:space="preserve">Sp:0-2
Dc:3-5
W: 6-8
Sk: 9-12
</t>
  </si>
  <si>
    <t>14:19, .25
14:23, 1.209
14:24, 2.19
14:25, 3.25
14:26, 4.17
14:27, 5.2
14:28, 6.11
14:29, 7.97
14:30, 8.27
14:31, 9.61
14:32, 10.62
14:33, 11.39</t>
  </si>
  <si>
    <t>30.2c
78.1rh</t>
  </si>
  <si>
    <t>30.3+/-.1</t>
  </si>
  <si>
    <t>468151b7-179a-4088-aad7-af8939b4ad23</t>
  </si>
  <si>
    <t>Yes Rbr
Sd: .45m
Isaac</t>
  </si>
  <si>
    <t>Sp: 13-15
Dc: 16-18
W: 20-22
Sk:23-25</t>
  </si>
  <si>
    <t>14:46, .29
14:47, 1.33
48, 2.33
49, 3.18
50, 4.23
51, 5.3
52, 6.31
53, 7.32
54, 8.26
55, 9.24
55, 10.56</t>
  </si>
  <si>
    <t>36.2c
66.8rh</t>
  </si>
  <si>
    <t>30+/-0.2</t>
  </si>
  <si>
    <t>6825f4c7-4140-4f27-9a6c-6feaffa0734a</t>
  </si>
  <si>
    <t>Rbr yes
Sd: .45m
Isaac</t>
  </si>
  <si>
    <t>Sp: 26-28
Dc: 29-31
W: 32-34
Sk: 35-38</t>
  </si>
  <si>
    <t>15:05, .14
06, 1.21
07, 2.15
08, 3.11
10, 4.21
11, 6.13
12, 7.14
13, 8.03
14, 9.09
15,10.06
16, 11.14
15:17, 12.16
18, 13.18
19,14.27
20, 15.24</t>
  </si>
  <si>
    <t>37.7c?
54.2rh</t>
  </si>
  <si>
    <t>30.1+/-.1</t>
  </si>
  <si>
    <t>e0065ab6-d50a-4904-b423-adce0716bcef</t>
  </si>
  <si>
    <t>Rbr
Isaac 
Sd: .5m
Drifted fair distance towards dam</t>
  </si>
  <si>
    <t>Sp: 39-41
Dc: 42-44
W: 46-48
Sk:49-51</t>
  </si>
  <si>
    <t>15:32, .2
33, 1.32
34, 2.07
35, 3.14
36, 4.13
37, 5.19
38, 6.07</t>
  </si>
  <si>
    <t>32.7c
75.6rh</t>
  </si>
  <si>
    <t>29.8+/-.1</t>
  </si>
  <si>
    <t>616e9618-1076-4038-9ca3-0fc5b8f59d8f</t>
  </si>
  <si>
    <t>Rbr
Isaac
Sd: .45
Pic taken as driving away</t>
  </si>
  <si>
    <t>So:52,54,55
Dc:56,58,58
W:59,60,61
Sk:62,63,64</t>
  </si>
  <si>
    <t>15:47, 0.17
48, 1.16
49, 2.14
50, 3.35
51, 4.54
52, 5.33
53, 6.46
54, 7.45
55, 8.43
56, 9.37
57, 10.36</t>
  </si>
  <si>
    <t>34c
66.9rh</t>
  </si>
  <si>
    <t>fc41f00b-959e-40a3-bdb0-47d0e0e594c9</t>
  </si>
  <si>
    <t>Isaac
Rbr at 12:05
2 Rbr at 12:15 w/FLIR both 30.1+/-.1
Sd: .6m</t>
  </si>
  <si>
    <t>So:
Dc:
W:
Sk:</t>
  </si>
  <si>
    <t>16:07, 0.09
08, .17
09, .7
10, 1.07
11, 2.12
12, 3.08
13, 4.18
14, 5.09
15, 6.13
16,7.22
16, 8.29
17, 9.09
17, 10.02
18, 11.17
19, 12.06
20, 13.26
21, 14.09</t>
  </si>
  <si>
    <t>38.0?c
55rh</t>
  </si>
  <si>
    <t>30.5+/-.2</t>
  </si>
  <si>
    <t>9f4ae444-a02b-4499-9b39-dc6ee197d942</t>
  </si>
  <si>
    <t>Rbr
Sd: .3m
Isaac</t>
  </si>
  <si>
    <t>So:77-79
Dc: 81-83
W: 84-86
Sk: 87-89</t>
  </si>
  <si>
    <t>17:32, .28
33, 1.3
34, 2.29
35, 3.29
36, 4.34
37, 5.20
38, 6.40
39, 7.19
40, 8.28</t>
  </si>
  <si>
    <t>33c
63.5rh</t>
  </si>
  <si>
    <t>31.5+/-.1</t>
  </si>
  <si>
    <t>01cb98c9-6d97-4c6a-ad21-5a9bfc741ee9</t>
  </si>
  <si>
    <t>Isaac
Rbr
Sd:.3</t>
  </si>
  <si>
    <t>So: 95-97
Dc: 98-100
W: 101-103
Sk: 104-106</t>
  </si>
  <si>
    <t>17:41, 0.22
42, 1.92
43, 2.37
44, 3.41
45, 4.45
46, 5.46
47, 6.49
48, 6.74</t>
  </si>
  <si>
    <t>33.9c
62.7rh</t>
  </si>
  <si>
    <t>33.2+/-.1</t>
  </si>
  <si>
    <t>610cbbfe-a742-4829-9d99-31ec48bef698</t>
  </si>
  <si>
    <t>Image from driving away
Isaac
Rbr
Sd:.3m</t>
  </si>
  <si>
    <t>Sp: 107-109
Dc: 110-112
W: 113-115
Sk:116-118</t>
  </si>
  <si>
    <t>17:59, 0.28
00, 1.22
01, 2.06
02, 2.99
03, 3.50
04, 4.1</t>
  </si>
  <si>
    <t>34c
64.7rh</t>
  </si>
  <si>
    <t xml:space="preserve">31.3+/-.2
</t>
  </si>
  <si>
    <t>9f5b99c6-169c-4c2e-bb27-876ee3d138e0</t>
  </si>
  <si>
    <t>Rbr
Sd: 33 +/-.1
Isaac</t>
  </si>
  <si>
    <t>So: 127-129
Dc: 130-132
W: 133-135
Sk: 136-138</t>
  </si>
  <si>
    <t>18:17, 0.24
18:18, 1.27
19, 2.19
20, 3.43
21, 4.54
22, 5.49
23, 6.55
24, 7.57</t>
  </si>
  <si>
    <t xml:space="preserve">34.4c
58.7-59.1rh
</t>
  </si>
  <si>
    <t>33+/-.1</t>
  </si>
  <si>
    <t>a81dee68-7631-4580-8bf0-a6c3e97d2143</t>
  </si>
  <si>
    <t>Isaac
Rbr
Sd: .1m
Lots of algae</t>
  </si>
  <si>
    <t>So: 139-142
Dc: 143-145
W: 146-148
Sk: 149-151</t>
  </si>
  <si>
    <t>18:40, .25
41, 1.11
42, 2.11
43, 3.15
44, 4.21
45, 5.12
46, 6.25</t>
  </si>
  <si>
    <t>34.3c
60.1rh</t>
  </si>
  <si>
    <t>36.8+/-.3</t>
  </si>
  <si>
    <t>8c648342-7a13-4dc3-89c7-ae6c5390327d</t>
  </si>
  <si>
    <t>Picture while driving away
Isaac
Rbr
Sd:.12m</t>
  </si>
  <si>
    <t>So:152-154
Dc:155-157
W:159-161
Sk:162-164</t>
  </si>
  <si>
    <t>19:02, 0.26
03, 1.46
05, 2.3
06, 4.15
07, 4.39</t>
  </si>
  <si>
    <t>34c
63.1rh</t>
  </si>
  <si>
    <t>33+/-.2</t>
  </si>
  <si>
    <t>2264ab07-08b9-47e1-92b0-6a84bbe4bbc7</t>
  </si>
  <si>
    <t>Rbr
Isaac
Sd:.15m</t>
  </si>
  <si>
    <t>So: 165-167
Dc: 168-170
W: 171-173
Sk: 174-176</t>
  </si>
  <si>
    <t>19:21, .25
19:22, 1.05
19:23, 1.96
24, 3.14
25, 3.8</t>
  </si>
  <si>
    <t>36.2c
59.6rh</t>
  </si>
  <si>
    <t>e0cd8ff9-f80f-4ccd-9fd9-f21cfd85143b</t>
  </si>
  <si>
    <t>Image taken while driving away
Isaac
Rbr
Sd:.6m</t>
  </si>
  <si>
    <t>So: 00-02
Dc: 04-06
W: 07-09
Sk: 10-12</t>
  </si>
  <si>
    <t>13:56, .4
57, 1.1
59, 1.8
00, 2.5
01, 2.98</t>
  </si>
  <si>
    <t>23.7c
89.1rh</t>
  </si>
  <si>
    <t xml:space="preserve">24.7+/-.1
</t>
  </si>
  <si>
    <t>9dd48e64-91e8-47e9-b503-a366822a2c74</t>
  </si>
  <si>
    <t>Sd:.7
Rbr
Isaac</t>
  </si>
  <si>
    <t>So: 13-16
Dc: 17-19
W: 20-22
Sk: 22-25</t>
  </si>
  <si>
    <t>14:23, .41
24, 1.13
25, 1.95
27, 2.8
28, 3.81
29, 5.05</t>
  </si>
  <si>
    <t>28.5C
66rh</t>
  </si>
  <si>
    <t>24.3+/-.3</t>
  </si>
  <si>
    <t>5e43a216-a8f9-4869-b997-2423e2a21e61</t>
  </si>
  <si>
    <t>Isaac
Rbr
Sd: .6</t>
  </si>
  <si>
    <t>So, 
Dc,w,Sk: 26-37</t>
  </si>
  <si>
    <t>14:49, .4
50, 1.34
51, 2.4
52, 3.6</t>
  </si>
  <si>
    <t>30.1c, 51.7rh</t>
  </si>
  <si>
    <t>23.9+/-.3</t>
  </si>
  <si>
    <t>cba949bc-df28-4077-b355-f9d97b5b416b</t>
  </si>
  <si>
    <t>Rbr
Isaac
Sd: 0.6</t>
  </si>
  <si>
    <t>So,dc,w,sk:42-53</t>
  </si>
  <si>
    <t>15:09, .4
10, 1.33
11, 2.3
12, 2.7</t>
  </si>
  <si>
    <t>32.4c
52.2rh</t>
  </si>
  <si>
    <t>22.3+/-.1</t>
  </si>
  <si>
    <t>c1a2a161-aafd-4e05-a4c6-4e5be14d8d89</t>
  </si>
  <si>
    <t>Isaac
Rbr
Sd: .6m</t>
  </si>
  <si>
    <t>So, dc, w, sk: 57-68</t>
  </si>
  <si>
    <t xml:space="preserve">15:29, .4
30, 1.27
31, 2.3
32, 3.1
</t>
  </si>
  <si>
    <t>34.2c
48rh</t>
  </si>
  <si>
    <t>23.5+/-.4</t>
  </si>
  <si>
    <t>10893459-eaaf-479f-9e59-24874bb99727</t>
  </si>
  <si>
    <t xml:space="preserve">Isaac Rbr 
Sd: .6
Semi cloudy
Image taken at 2:23 after rest of lake </t>
  </si>
  <si>
    <t>So,dc,w,sk:69-80</t>
  </si>
  <si>
    <t>15:50, .33
51, 1.2
52, 2.1
53, 3.5
54,4.1</t>
  </si>
  <si>
    <t>36c ?
49rh</t>
  </si>
  <si>
    <t xml:space="preserve">24.4+/-.2
</t>
  </si>
  <si>
    <t>fef69173-8f5d-4e43-9ad2-3687c37cb7ea</t>
  </si>
  <si>
    <t>Sp, dc, w, sk: 81-92</t>
  </si>
  <si>
    <t>16:51, .29
52, 1.1
53, 2.2</t>
  </si>
  <si>
    <t>26.7c
77rh</t>
  </si>
  <si>
    <t>24.9+/-.2</t>
  </si>
  <si>
    <t>abda89ed-b8fb-46d1-93ef-3414516db6b6</t>
  </si>
  <si>
    <t>Isaac
Rbr
Sd: 1.0m</t>
  </si>
  <si>
    <t>Sp, dc, w, sk: 98-109</t>
  </si>
  <si>
    <t>16:17, .47
18, 1.4</t>
  </si>
  <si>
    <t>29.1c
68.8rh</t>
  </si>
  <si>
    <t>24.7+/-0.1</t>
  </si>
  <si>
    <t>02156125-d862-4bfe-ae21-2c046a30eb7c</t>
  </si>
  <si>
    <t>Isaac
Rbr
Sd: .45</t>
  </si>
  <si>
    <t>So, dc, w, sk: 112-123</t>
  </si>
  <si>
    <t>16:40, .33
16:41, 1.2
42, 2.3
43, 3.37</t>
  </si>
  <si>
    <t>25.2c
67rh</t>
  </si>
  <si>
    <t>26.7+/-.2</t>
  </si>
  <si>
    <t>62a64277-6715-433b-92b8-b8686eec6bbd</t>
  </si>
  <si>
    <t>Isaac
Rbr
Sd:.75m</t>
  </si>
  <si>
    <t>So:
Dc:
W:
Sk: was pointed at a cloud, higher band values show it
All: 125-136</t>
  </si>
  <si>
    <t>17:07, 0.4
08, 1.4</t>
  </si>
  <si>
    <t>30.6c, 61rh</t>
  </si>
  <si>
    <t>26.0+/-.1</t>
  </si>
  <si>
    <t>4ba08d6a-f37a-46b3-bf20-bda90bb1ea40</t>
  </si>
  <si>
    <t>Isaac
Rbr
Sd: .6m
Haze</t>
  </si>
  <si>
    <t>All: 00-11</t>
  </si>
  <si>
    <t>14:11, .58
12, 1.51
13, 2.48
14, 3.65
15, 4.55
16, 5.68
17, 6.67
18, 7.66
19, 8.52
20, 9.54
21, 10.50
22, 11.38
23 (14:20), 11.64
14:27, 10.29</t>
  </si>
  <si>
    <t>30.7c
70.6rh</t>
  </si>
  <si>
    <t>26.6+/-.1</t>
  </si>
  <si>
    <t>445740d4-a854-4b36-b28a-dcd09ea9a382</t>
  </si>
  <si>
    <t>Isaac 
Rbr
Sd:.7m</t>
  </si>
  <si>
    <t>All: 12-23</t>
  </si>
  <si>
    <t>14:32, .49
33, 1.48
34, 2.53
35, 3.63
36, 4.72
37, 5.75
38, 6.52
39, 7.53
40, 8.67
41,9.59
42, 10.42</t>
  </si>
  <si>
    <t>28.2c
80.8rh</t>
  </si>
  <si>
    <t>25.6+/-.1</t>
  </si>
  <si>
    <t>a61dc635-98cd-48b3-9bbe-501625b3df6e</t>
  </si>
  <si>
    <t>Isaac
Rbr
Sd: .7m
Has surface algae</t>
  </si>
  <si>
    <t>All: 24-35</t>
  </si>
  <si>
    <t>14:46, .52
47, 1.43
48, 2.65
49, 3.46
50, 4.54
51, 5.75
52, 6.47
53, 7.72
54, 8.95
55, 9.67
56, 10.80
57, 11.50
58, 12.53
59, 13.43
15:01, 14.28
02, 15.04</t>
  </si>
  <si>
    <t>27.2c
82.2rh</t>
  </si>
  <si>
    <t>26.2+/-.1</t>
  </si>
  <si>
    <t>fe18b710-a3d3-4cfc-a2a5-c8e1fdd081b6</t>
  </si>
  <si>
    <t>Isaac
Rbr
Sd: .7m</t>
  </si>
  <si>
    <t>So: 36-38
Dc: 39-41
W: 43-45
Sk: 46-48</t>
  </si>
  <si>
    <t>15:11, .48
12, 1.47
13, 2.61
14, 3.69
15, 4.74
16, 5.72
17, 6.91</t>
  </si>
  <si>
    <t>28.2c
80.7rh</t>
  </si>
  <si>
    <t>26.2+/-0.0</t>
  </si>
  <si>
    <t>a2c89f8a-414b-41bd-b6de-0aa0724e97d1</t>
  </si>
  <si>
    <t>Rbr
Isaac
Sd:.6</t>
  </si>
  <si>
    <t>All: 49-60</t>
  </si>
  <si>
    <t xml:space="preserve">15:20, .47
21, 0.7
22, 1.72
23, 2.75
24, 3.77
25, 4.76
26, 5.75
27, 6.75
28, 7.75
29, 8.74
30, 9.70
31, 10.71
32, 11.7
33, 12.17
</t>
  </si>
  <si>
    <t>30.6c
72.4rh</t>
  </si>
  <si>
    <t>26.4+/-72.4</t>
  </si>
  <si>
    <t>2cde3cd4-6cca-4ccd-a093-453eefaa82da</t>
  </si>
  <si>
    <t>Isaac Rbr
Sd: 0.6m</t>
  </si>
  <si>
    <t>20250805-MISS-B14</t>
  </si>
  <si>
    <t>All: 61-72</t>
  </si>
  <si>
    <t>15:42, .42
43, .78
44, 1.77
45, 2.78
46, 3.81
47, 4.79
48, 5.74
49, 6.77
50, 7.76
51, 8.51
52, 8.63</t>
  </si>
  <si>
    <t>29.9c
74.9rh</t>
  </si>
  <si>
    <t>27.3+/-.2</t>
  </si>
  <si>
    <t>13b0a2fe-0a64-4bd1-9c85-d6bf4fa79e4c</t>
  </si>
  <si>
    <t>Landsat Flyover: 12:15-12:26
Isaac
Rbr: (#1, 16:17, 28.0+/-.2, 28.1+/-0.0, #2, 16:20, 28.1+/-0.2)
Sd: .85m</t>
  </si>
  <si>
    <t>20250805-MISS-B12</t>
  </si>
  <si>
    <t>All: 73-84</t>
  </si>
  <si>
    <t>15:56, .42
57, 72
58, 1.76
59, 2.77
16:00, 3.76
01, 4.75
02, 5.73
03, 6.72
04, 7.76
05, 8.76
06, 9.75
07, 10.75
08, 11.73
09, 12.21
10, 12.72
11, 13.33
16:12, 13.70
16:13, 14.32
16:13, 14.53
16:13, 14.39</t>
  </si>
  <si>
    <t>30.1c
72.4rh</t>
  </si>
  <si>
    <t>27.9+/-.1</t>
  </si>
  <si>
    <t>00ab99c2-b0e2-40a1-871d-2cec8852d11d</t>
  </si>
  <si>
    <t>Isaac
Rbr
Sd:0.6</t>
  </si>
  <si>
    <t>20250805-MISS-B1</t>
  </si>
  <si>
    <t>So: 89-91
Dc: 92-94
W: 96-98
Sk: higher angle to avoid bridge 102-104</t>
  </si>
  <si>
    <t xml:space="preserve">17:22, .32
17:22, 0.73
17:23, 1.71
17:23, 2.70
17:24, 3.78
24, 4.78
25, 5.75
25, 6.74
26, 7.72
27, 8.74
</t>
  </si>
  <si>
    <t>30.8c
72.3rh</t>
  </si>
  <si>
    <t>26.6+/-0.2</t>
  </si>
  <si>
    <t>27caa20e-c252-47c4-8faf-93862c23a9ee</t>
  </si>
  <si>
    <t>Isaac
Rbr
Sd:0.5m</t>
  </si>
  <si>
    <t>20250805-MISS-B2</t>
  </si>
  <si>
    <t>so: 106-108
Dc: 109-111
W: 112-114
Cloud: 115-117
Off angle sky: 119-121</t>
  </si>
  <si>
    <t>17:45, .48
46, .73
46, 1.74
47, 2.74
48, 3.72
49, 4.68
50, 5.47
51, 6.74
52, 7.48
52, 8.19</t>
  </si>
  <si>
    <t>30.2c
73.5rh</t>
  </si>
  <si>
    <t>28.2+/-0.2</t>
  </si>
  <si>
    <t>32f34b10-8ebe-438c-8103-251bfe102d24</t>
  </si>
  <si>
    <t>Isaac
Rbr
Sd: .35m</t>
  </si>
  <si>
    <t>20250805-MISS-B3</t>
  </si>
  <si>
    <t>All: 131-142
Little cloud in sky reading</t>
  </si>
  <si>
    <t>18:04, .5
04, 0.75
05, 1.74
06, 2.74
06, 3.74
07, 4.75
08, 4.99</t>
  </si>
  <si>
    <t>32.6c
62.3rh</t>
  </si>
  <si>
    <t>28.6+/-0.1</t>
  </si>
  <si>
    <t>2746662b-10d8-4f3d-81f1-6e56e039e2ba</t>
  </si>
  <si>
    <t xml:space="preserve">Isaac
Rbr
Sd: 0.3m
</t>
  </si>
  <si>
    <t>All: 143-154</t>
  </si>
  <si>
    <t>18:31, .47
31, .77
32, 1.78
32, 2.78
33, 3.77
33, 4.74
34, 5.75
35, 5.94</t>
  </si>
  <si>
    <t>31.3c
70.0rh</t>
  </si>
  <si>
    <t>31.2 +/- 0.2</t>
  </si>
  <si>
    <t>5befbb19-121d-40fc-99de-0926629e3ddc</t>
  </si>
  <si>
    <t>Isaac
Rbr
Sd: 0.3m</t>
  </si>
  <si>
    <t>All: 155-156</t>
  </si>
  <si>
    <t>18:51, .49
52, .76
52, 1.77
53, 2.76
54, 3.76
54, 4.72
55, 5.20</t>
  </si>
  <si>
    <t>31.1c
68.1rh</t>
  </si>
  <si>
    <t>28.9 +/- 0.2</t>
  </si>
  <si>
    <t>2fe3ec90-3766-4bba-bceb-464a23968b55</t>
  </si>
  <si>
    <t>Isaac
Just a point of the ramp
Because of the algae and smell</t>
  </si>
  <si>
    <t>8525-BGA-01</t>
  </si>
  <si>
    <t>All: 168-179</t>
  </si>
  <si>
    <t xml:space="preserve">
</t>
  </si>
  <si>
    <t>33.1+/-.1</t>
  </si>
  <si>
    <t>f5e161fd-5366-4a37-8c46-9a601f5e1109</t>
  </si>
  <si>
    <t>Isaac
Rbr
Sd: .15</t>
  </si>
  <si>
    <t>20250805-MISS-B5</t>
  </si>
  <si>
    <t>Sp: 180-183
Dc: 184-186
W: 188-190
Sk (corrected to avoid cloud): 191-193</t>
  </si>
  <si>
    <t>19:32, .48
33, .74
33, 1.72
34, 2.71
35, 3.72
35, 4.66
36, 5.48
36, 6.51
37, 7.23
37, 7.36</t>
  </si>
  <si>
    <t>33.7c
62.8rh</t>
  </si>
  <si>
    <t>30.7 +/- 0.1</t>
  </si>
  <si>
    <t>5c6cb0f0-9541-4e9b-91ec-8c01aaad5caf</t>
  </si>
  <si>
    <t>Isaac
Rbr
SD:.1m</t>
  </si>
  <si>
    <t>20250805-MISS-B13</t>
  </si>
  <si>
    <t>Sp, DC: 194-199
W: 201-203
Sk: 204-206</t>
  </si>
  <si>
    <t>19:54, .44
54, .73
55, 1.72
55, 2.73
56, 3.65
56, 4.73
57, 5.73
58, 6.73
58, 6.45</t>
  </si>
  <si>
    <t>33.2c
62.3rh</t>
  </si>
  <si>
    <t>30.1 +/- 0.1</t>
  </si>
  <si>
    <t>fdcd67bb-33ff-4f17-82d2-dfe2c6e8a822</t>
  </si>
  <si>
    <t>Isaac
Rbr
Sd:.15m</t>
  </si>
  <si>
    <t>So, Dc: 207-212
W: 214-216
Sk: 217-219</t>
  </si>
  <si>
    <t>20:17, .45
18, 1.75
18, 2.73
19, 3.26
20, 3.57
20, 3.96
21, 4.59
22, 5.18
22, 5.64
23, 6.22</t>
  </si>
  <si>
    <t>36.1c
52.7rh</t>
  </si>
  <si>
    <t>29.7 +/- 0.2</t>
  </si>
  <si>
    <t>88391b8c-1f48-4b3f-a3d7-09ecfde748da</t>
  </si>
  <si>
    <t>Isaac
Rbr
Sd: 0.1m</t>
  </si>
  <si>
    <t>All: 220-231</t>
  </si>
  <si>
    <t>20:29, .41
30, 0.71
30, 1.71
31, 2.76
32, 3.74
33, 4.04
34, 4.15</t>
  </si>
  <si>
    <t>36.4c
55.5rh</t>
  </si>
  <si>
    <t>28.7 +/- 0.2</t>
  </si>
  <si>
    <t>e24ef490-3801-44fa-ab3c-a58d39e4a80b</t>
  </si>
  <si>
    <t>08052025-BGA-NB3</t>
  </si>
  <si>
    <t>So: 234-236
Dc: 237-239
W: 240-243
Sk: 244-246
BlugeGreenAlage: 247-249</t>
  </si>
  <si>
    <t>0af94584-8b81-4021-a097-344e6f255f81</t>
  </si>
  <si>
    <t>Isaac
Rbr
So cloudy
Sd: .55m</t>
  </si>
  <si>
    <t>08222025-MISS-B7</t>
  </si>
  <si>
    <t>All:03-14</t>
  </si>
  <si>
    <t>13:28, .3
13:29, 1.1
13:31, 2.3
13:32, 3.4
13:33, 4.3
13:34, 5.3
13:35, 6.7
13:36, 7.3
13:36, 8.5
13:37, 9.4
13:38, 10.7</t>
  </si>
  <si>
    <t>20.3c
96%</t>
  </si>
  <si>
    <t>25.6+/- .3</t>
  </si>
  <si>
    <t>4a83d72c-819d-484c-8774-25532f528524</t>
  </si>
  <si>
    <t>Isaac
Rbr
Sd: 0.3m
Cloudy still</t>
  </si>
  <si>
    <t>08222025-MISS-6</t>
  </si>
  <si>
    <t>So,Dc: 15-20
W: 23-25
Sk: 26-28</t>
  </si>
  <si>
    <t>14:22, .375
14:23, 1.2
14:24, 2.2
14:25, 3.3
14:26,4.2</t>
  </si>
  <si>
    <t>22.1c
95.2rh</t>
  </si>
  <si>
    <t>23.9 +/-0.3</t>
  </si>
  <si>
    <t>f5df96e5-7c6f-44ea-af1b-6baf08a351bb</t>
  </si>
  <si>
    <t xml:space="preserve">Isaac
Sd: .3m
Rbr
Still full overcast </t>
  </si>
  <si>
    <t>08222025-MISS-B5</t>
  </si>
  <si>
    <t>All:29-40</t>
  </si>
  <si>
    <t>14:48, .35
49, 1.2
49, 2.5
50, 3.5
50, 4.4
51, 5.6
52,6.6
52, 7.5</t>
  </si>
  <si>
    <t>22.2c
93.6rh</t>
  </si>
  <si>
    <t>26.0+/- .2</t>
  </si>
  <si>
    <t>e6cd551e-a9a4-47d5-92bc-d171904243f7</t>
  </si>
  <si>
    <t>Isaac
Rbr
Sd: .3
Cloudy</t>
  </si>
  <si>
    <t>08222025-MISS-B13</t>
  </si>
  <si>
    <t>All:41-52</t>
  </si>
  <si>
    <t>15:07, .24
08, 1.3
09, 2.4
10, 3.4
11, 4.3
12, 5.4</t>
  </si>
  <si>
    <t>23.8c
88.8rh</t>
  </si>
  <si>
    <t>25.6+/-.3</t>
  </si>
  <si>
    <t>5a7fd2e7-7caa-4514-b10e-84c2e9218137</t>
  </si>
  <si>
    <t>Isaac
Rbr
Sd: .3m
Cloudy</t>
  </si>
  <si>
    <t>08222025-MISS-B4</t>
  </si>
  <si>
    <t>All: 53-64</t>
  </si>
  <si>
    <t>15:32, .29
33, 1.26
34, 2.4
35, 3.6
36, 4.4
37, 5.39
38, 6.6</t>
  </si>
  <si>
    <t>24.8c
85.5rh</t>
  </si>
  <si>
    <t>25.3+/-0.3</t>
  </si>
  <si>
    <t>d7cea837-068c-4447-adac-4dba3958e924</t>
  </si>
  <si>
    <t>Isaac
Rbr
Sd:.3
Cloudy</t>
  </si>
  <si>
    <t>08222025-MISS-B3</t>
  </si>
  <si>
    <t>All:65-76</t>
  </si>
  <si>
    <t>15:49, 0.4
50, 1.2
51, 2.4
52, 3.4
53, 4.6</t>
  </si>
  <si>
    <t>24.8c
82.9rh</t>
  </si>
  <si>
    <t>25.7+/-.3</t>
  </si>
  <si>
    <t>c27a43e4-d98e-442c-8ea0-e3c0fc4d4860</t>
  </si>
  <si>
    <t>Isaac
Rbr
Sd: .45
Cloudy
Rbr: 17:24, flir: 26.9+/-.2
Rbr: 17:24, flir: 26.7 +/-.0</t>
  </si>
  <si>
    <t>So: 77,78,79
Dc: 80,81,82
W: 83,84,85
Sk: 86,87,88</t>
  </si>
  <si>
    <t>16:07, .36
08, 1.38
09, 2.34
10, 3.54
11, 4.54
12, 5.55
13, 6.53
14, 7.5</t>
  </si>
  <si>
    <t>24.2c
88.8rh</t>
  </si>
  <si>
    <t>25.7+/-0.2</t>
  </si>
  <si>
    <t>b42ac995-8423-4f27-9c73-04ea80a1f247</t>
  </si>
  <si>
    <t>Isaac
Rbr
Sd:.45
Cloudy</t>
  </si>
  <si>
    <t xml:space="preserve">So: 92,93,94
Dc: 95-97
W: 98-100
Sk: 102-104
</t>
  </si>
  <si>
    <t>17:04, 0.445
05, 1.38
06, 2.32
07, 3.65
08, 4.5
09, 5.7
10, 6.7
11, 7.49
12, 8.7</t>
  </si>
  <si>
    <t>28.3c
67.0rh</t>
  </si>
  <si>
    <t xml:space="preserve">26.0+/-.1
</t>
  </si>
  <si>
    <t>4a7c1447-a6fc-4f16-b89e-c320852eb48c</t>
  </si>
  <si>
    <t>Isaac
Rbr
Sd: .4m
Cloudy</t>
  </si>
  <si>
    <t>All:105-116</t>
  </si>
  <si>
    <t>17:32, 0.353
33, 1.43
34, 2.39
35, 3.61
36, 4.43
37, 5.54
38, 6.55
39, 7.58
40, 8.6
41, 9.7</t>
  </si>
  <si>
    <t>25.1c
73.0rh</t>
  </si>
  <si>
    <t>26.4 +/- .2</t>
  </si>
  <si>
    <t>ff993b4c-ad8a-47c5-a81b-3a20c500fa9e</t>
  </si>
  <si>
    <t>Isaac
Rbr
Sd: .5m
Cloudy</t>
  </si>
  <si>
    <t>Sp, dc: 120-125
W: 126-128
Sk: 129,131,132</t>
  </si>
  <si>
    <t>17:55, .325
56, 1.750
57, 2.44
58, 3.498
59, 4.66
18:00, 5.40
18:01, 6.58
18:02, 7.68
18:03, 8.67
18:04, 9.8
18:05, 10.6
18:06, 11.35
07, 12.44
08, 13.5
09, 14.57
11, 15.7</t>
  </si>
  <si>
    <t>29.1c
65.0rh</t>
  </si>
  <si>
    <t>b9b89b37-c833-42aa-a2c1-8f0a4c7fd94c</t>
  </si>
  <si>
    <t>Isaac
Rbr
Sd: .45m
Cloudy</t>
  </si>
  <si>
    <t>Sp: 133-135
Dc:136-139
W: 140-142
Sk: 145-147</t>
  </si>
  <si>
    <t>18:26, 0.313
27, 1.27
28, 2.51
29, 3.61
30, 4.53
31, 5.47
32, 6.56</t>
  </si>
  <si>
    <t>29.8c
55.7rh</t>
  </si>
  <si>
    <t>26.8+/-0</t>
  </si>
  <si>
    <t>c4caf016-9d93-4537-9f63-18486d19a0b9</t>
  </si>
  <si>
    <t>Isaac
Rbr
Sd: .65
Cloudy</t>
  </si>
  <si>
    <t>All:149-160</t>
  </si>
  <si>
    <t>18:46, 0.387
47, 1.58
48, 2.50
49, 3.45
50, 4.52
51, 5.54
52, 6.50
53, 7.62
54, 8.55
55, 9.39
56, 10.44
57, 11.48</t>
  </si>
  <si>
    <t>28.2c+/-66.2</t>
  </si>
  <si>
    <t>25.8+/-0.1</t>
  </si>
  <si>
    <t>1635c321-5408-47ee-99b9-e3224891cec1</t>
  </si>
  <si>
    <t>Isaac
Rbr
Sd: .6
Cloudy</t>
  </si>
  <si>
    <t>All: 161-173</t>
  </si>
  <si>
    <t>19:13, .304
14, 1.47
15, 2.37
16, 3.4
17, 4.39
18, 5.5
19, 6.6
20, 7.47
21, 8.56
22, 9.4
23, 10.33
24, 11.55
25, 12.54
26, 13.30</t>
  </si>
  <si>
    <t>29.4c
59.0rh</t>
  </si>
  <si>
    <t>25.8+/-0.0</t>
  </si>
  <si>
    <t>a44e2fbf-59ed-4f2b-9976-3b8216cc3265</t>
  </si>
  <si>
    <t>Isaac
Rbr
Sd=1.0m</t>
  </si>
  <si>
    <t>All: 0-11</t>
  </si>
  <si>
    <t>1347, 0.448
48, 1.7
49, 2.7
50, 3.6
51, 4.6
52, 5.7
53, 6.5
54, 7.4
55, 8.4
56, 9.5
57, 10.4</t>
  </si>
  <si>
    <t>22.7c
78.5rh</t>
  </si>
  <si>
    <t>20.3+/-.3</t>
  </si>
  <si>
    <t>1b437e6c-5ecd-49f0-bdd9-8262ae9b328f</t>
  </si>
  <si>
    <t>Isaac
Rbr
Sd=0.8m</t>
  </si>
  <si>
    <t xml:space="preserve">All:12-23
</t>
  </si>
  <si>
    <t>1406, 0.4
08, 1.3
09, 2.4
10, 3.6
11, 4.4
12, 5.5
13, 6.3
14, 7.3
15, 8.4
16, 9.5
17, 10.5</t>
  </si>
  <si>
    <t>25.7c
67.2rh</t>
  </si>
  <si>
    <t>19.9+/-.2c</t>
  </si>
  <si>
    <t>1e9c5034-ccd1-468f-b6e3-e90bea52c215</t>
  </si>
  <si>
    <t>Isaac
Rbr
Sd=.9</t>
  </si>
  <si>
    <t>1426, 0.3
28, 1.5
29, 2.5
30, 3.4
31, 4.3
32, 5.6
33, 6.3
34, 7.3
35, 8.6
36, 9.5
37, 10.5
38, 11.7
39, 12.3</t>
  </si>
  <si>
    <t>26.3c
71.7rh</t>
  </si>
  <si>
    <t>20.4+/-.4</t>
  </si>
  <si>
    <t>a8c50a0f-b5bb-4125-86e5-f9d727b69c5a</t>
  </si>
  <si>
    <t>So: 36-38
Rest: 40-48</t>
  </si>
  <si>
    <t>1449, 0.4
50, 1.5
51, 2.6
52, 3.6
53, 4.6
54, 5.5</t>
  </si>
  <si>
    <t>25.8c
68.5rh</t>
  </si>
  <si>
    <t xml:space="preserve">21.4+/-.3 </t>
  </si>
  <si>
    <t>a71be927-e63e-4471-9752-fa2ec5c477f8</t>
  </si>
  <si>
    <t>All:49-60</t>
  </si>
  <si>
    <t>1508, 0.4
09, 1.4
10, 2.5
11, 3.5
12, 4.5
13, 5.3
14, 6.7
15, 7.6
16, 8.5
17, 9.3
18, 10.5</t>
  </si>
  <si>
    <t>28.9c
63.1rh</t>
  </si>
  <si>
    <t>21.2+/-.2</t>
  </si>
  <si>
    <t>a36ad7ae-60fc-4f81-8b43-d3ee54aa4584</t>
  </si>
  <si>
    <t>Isaac
Rbr 
Sd=.75
Western drift slightly south
extra 1Flir:19.6+/-.3, 12,17
Extra 2 Flir;20.2+/-.3 12.20</t>
  </si>
  <si>
    <t>1558, 0.34
59, 1.2
1600, 2.5
01, 3.5
02, 4.6
03, 5.6
04, 6.5
05, 7.4
06, 8.4
07, 9.5
08, 10.3
09, 11.5
10, 12.5
11, 13.6</t>
  </si>
  <si>
    <t>32.4c
49.6rh</t>
  </si>
  <si>
    <t xml:space="preserve">21.2+/-.3
</t>
  </si>
  <si>
    <t>5cfb2c14-c324-42bc-86e4-e37bb6044587</t>
  </si>
  <si>
    <t>Isaac
Rbr
Sd=.6m</t>
  </si>
  <si>
    <t>All:73-84</t>
  </si>
  <si>
    <t>1655, 0.4
56, 1.4
57, 2.5
1700, 3.4
01, 4.2
02, 5.4
03, 6.5
04, 7.6
05, 8.8</t>
  </si>
  <si>
    <t>27.9c
60.5rh</t>
  </si>
  <si>
    <t>22.0+/-.2</t>
  </si>
  <si>
    <t>bb510915-a997-4d83-82fe-9f8b2237ca92</t>
  </si>
  <si>
    <t>Isaac
Rbr
Sd=.4</t>
  </si>
  <si>
    <t>All: 85-96</t>
  </si>
  <si>
    <t>1717, 0.3
18, 1.4
19, 2.7
20, 3.5
21, 4.5
22, 5.5
23, 6.4
24, 7.3</t>
  </si>
  <si>
    <t>30.3c
51.8rh</t>
  </si>
  <si>
    <t>22.9+/-.3</t>
  </si>
  <si>
    <t>96ab4ef1-6b69-4008-ab2d-c132ab704fb2</t>
  </si>
  <si>
    <t>Isaac 
Rbr
Sd=.3m</t>
  </si>
  <si>
    <t>All:97-108</t>
  </si>
  <si>
    <t>1735, 0.3
36, 1.4
37, 2.5
38, 3.5
39, 4.4</t>
  </si>
  <si>
    <t>31.4c
45.9rh</t>
  </si>
  <si>
    <t>22.5 +/- 0.3</t>
  </si>
  <si>
    <t>80180b69-36d7-4602-9daf-0b2f21b5ab9a</t>
  </si>
  <si>
    <t>Isaac
Rbr
Sd= .4m</t>
  </si>
  <si>
    <t>ALL:109-120</t>
  </si>
  <si>
    <t>1749, 0.3
50, 1.5
51, 2.6
52, 3.5
53, 4.7
54, 5.5
55, 6.5</t>
  </si>
  <si>
    <t>31.7c
54.3rh</t>
  </si>
  <si>
    <t>22.1+/-.1</t>
  </si>
  <si>
    <t>b188e69c-4d60-4bd4-a009-69249bfcc6e6</t>
  </si>
  <si>
    <t>Isaac
Rbr
Sd=.3m</t>
  </si>
  <si>
    <t>All:121-132</t>
  </si>
  <si>
    <t>1820, 0.42
21, 1.5
22, 2.7
23, 3.6
24, 4.6
25, 5.8
30, 6.8</t>
  </si>
  <si>
    <t>30.6c
51.5rh</t>
  </si>
  <si>
    <t>22.8+/-.3</t>
  </si>
  <si>
    <t>911a9bf4-aabe-49d4-8e30-7b0fcc13505c</t>
  </si>
  <si>
    <t>Isaac
Rbr
Sd=.3</t>
  </si>
  <si>
    <t>All:133-144</t>
  </si>
  <si>
    <t>1840, 0.4
41, 1.5
42, 2.3
43, 3.6
44, 4.6
45, 5.5
46, 6.5</t>
  </si>
  <si>
    <t>32.3c
48.7rh</t>
  </si>
  <si>
    <t>22+/-0.3</t>
  </si>
  <si>
    <t>348b7762-cad3-4ded-a4f7-250dd68b5537</t>
  </si>
  <si>
    <t>All: 145-156</t>
  </si>
  <si>
    <t>1859, 0.4
1900, 1.4
01, 2.4
02, 3.6</t>
  </si>
  <si>
    <t>31.6c
44.7rh</t>
  </si>
  <si>
    <t>22.4+/-0.2</t>
  </si>
  <si>
    <t>d1b04e5a-6cd5-47f2-abd6-817d6fd8f853</t>
  </si>
  <si>
    <t>pham69@purdue.edu_purdueuniversity</t>
  </si>
  <si>
    <t>B1</t>
  </si>
  <si>
    <t>000102
030405
060708
091011</t>
  </si>
  <si>
    <t>97d4fdf1-f2c6-46ab-b6de-17ab32b5e0db</t>
  </si>
  <si>
    <t>20250814-MISS-B2</t>
  </si>
  <si>
    <t>B2</t>
  </si>
  <si>
    <t>23825909-8c1a-4d66-b294-c82292bb6e72</t>
  </si>
  <si>
    <t>B3</t>
  </si>
  <si>
    <t>11bbe0b7-3d64-4f20-89f3-57a8e13b8e1c</t>
  </si>
  <si>
    <t>B4</t>
  </si>
  <si>
    <t>78a5bb47-0493-43e2-8f35-8f1f251b5f64</t>
  </si>
  <si>
    <t>B15</t>
  </si>
  <si>
    <t>d8bcd0ce-a8fd-4732-a38c-5944971ae727</t>
  </si>
  <si>
    <t>B5</t>
  </si>
  <si>
    <t>119902f6-89ab-470c-9fdf-95d2d2c15118</t>
  </si>
  <si>
    <t>B13</t>
  </si>
  <si>
    <t>52a926c1-0d0c-49ec-966b-e1a89db30149</t>
  </si>
  <si>
    <t>B6</t>
  </si>
  <si>
    <t>ddeb5ce4-1e7f-48a6-860a-4a354c0dee8d</t>
  </si>
  <si>
    <t>B17</t>
  </si>
  <si>
    <t>80a8ce16-a6bb-4fa6-a1fd-b4bd9153eacb</t>
  </si>
  <si>
    <t>B12</t>
  </si>
  <si>
    <t>8de93de1-f3fb-4552-9d6f-4b74017cdc82</t>
  </si>
  <si>
    <t>B11</t>
  </si>
  <si>
    <t>12ff5db1-dfe6-43c8-8297-479a7f98633d</t>
  </si>
  <si>
    <t>B9</t>
  </si>
  <si>
    <t>746d8432-50d7-482c-a02e-f42fd203154e</t>
  </si>
  <si>
    <t>B10</t>
  </si>
  <si>
    <t>28541e62-79f2-45a6-a4d8-33c019f90ada</t>
  </si>
  <si>
    <t>B8</t>
  </si>
  <si>
    <t>2e24e064-f2fa-4970-94e4-f697165b65a4</t>
  </si>
  <si>
    <t>B7</t>
  </si>
  <si>
    <t>0158ad49-f000-4b65-9692-a78ae9378868</t>
  </si>
  <si>
    <t>Isaac
GER calibration, non solar noon, near 12:00 noon</t>
  </si>
  <si>
    <t>20251003-ACRE-S1</t>
  </si>
  <si>
    <t>Refer: small spec
Spec: 0-2
Big Spec: 3-5
11%: 6-8
Dc: 9-11
30%: 12-14
56%15-17</t>
  </si>
  <si>
    <t>I</t>
  </si>
  <si>
    <t>fe88ce58-dfec-41b0-91ad-12071c15aa8d</t>
  </si>
  <si>
    <t>Isaac</t>
  </si>
  <si>
    <t xml:space="preserve">1:36
Ref: small spec
3 small spec 58-60
3 big spec 61-63
3: 11% 64-66
3: 30%  67-69
3: 56% 70,71,72,77,78
3: DC 73,74,76
1:26-1:30
Ref: small spec
3 small spec 39-42
3 big spec 43-45
3: 11% 46-48
3: 30% 49-51
3: 56% 52-54
3: DC 55-57
</t>
  </si>
  <si>
    <t>28.7</t>
  </si>
  <si>
    <t>29.3</t>
  </si>
  <si>
    <t>28.3</t>
  </si>
  <si>
    <t>29.4</t>
  </si>
  <si>
    <t>30.1</t>
  </si>
  <si>
    <t>29.9</t>
  </si>
  <si>
    <t>28.6</t>
  </si>
  <si>
    <t>29.2</t>
  </si>
  <si>
    <t>28.1</t>
  </si>
  <si>
    <t>28.9</t>
  </si>
  <si>
    <t>28.2</t>
  </si>
  <si>
    <t>29.7</t>
  </si>
  <si>
    <t>30.3</t>
  </si>
  <si>
    <t>30+/</t>
  </si>
  <si>
    <t>29.8</t>
  </si>
  <si>
    <t>30.5</t>
  </si>
  <si>
    <t>31.5</t>
  </si>
  <si>
    <t>33.2</t>
  </si>
  <si>
    <t>31.3</t>
  </si>
  <si>
    <t>33+/</t>
  </si>
  <si>
    <t>36.8</t>
  </si>
  <si>
    <t>24.7</t>
  </si>
  <si>
    <t>24.3</t>
  </si>
  <si>
    <t>23.9</t>
  </si>
  <si>
    <t>22.3</t>
  </si>
  <si>
    <t>23.5</t>
  </si>
  <si>
    <t>24.4</t>
  </si>
  <si>
    <t>24.9</t>
  </si>
  <si>
    <t>26.7</t>
  </si>
  <si>
    <t>26.0</t>
  </si>
  <si>
    <t>26.6</t>
  </si>
  <si>
    <t>25.6</t>
  </si>
  <si>
    <t>26.2</t>
  </si>
  <si>
    <t>26.4</t>
  </si>
  <si>
    <t>27.3</t>
  </si>
  <si>
    <t>27.9</t>
  </si>
  <si>
    <t>31.2</t>
  </si>
  <si>
    <t>33.1</t>
  </si>
  <si>
    <t>30.7</t>
  </si>
  <si>
    <t>25.3</t>
  </si>
  <si>
    <t>25.7</t>
  </si>
  <si>
    <t>26.8</t>
  </si>
  <si>
    <t>25.8</t>
  </si>
  <si>
    <t>20.3</t>
  </si>
  <si>
    <t>19.9</t>
  </si>
  <si>
    <t>20.4</t>
  </si>
  <si>
    <t>21.4</t>
  </si>
  <si>
    <t>21.2</t>
  </si>
  <si>
    <t>22.0</t>
  </si>
  <si>
    <t>22.9</t>
  </si>
  <si>
    <t>22.5</t>
  </si>
  <si>
    <t>22.1</t>
  </si>
  <si>
    <t>22.8</t>
  </si>
  <si>
    <t>22+/</t>
  </si>
  <si>
    <t>22.4</t>
  </si>
  <si>
    <t>Nhu</t>
  </si>
  <si>
    <t>Secchi Depth (m)</t>
  </si>
  <si>
    <t>Site name</t>
  </si>
  <si>
    <t>MC(ug L)</t>
  </si>
  <si>
    <t>sample ID</t>
  </si>
  <si>
    <t>MC ADDA (ug/L</t>
  </si>
  <si>
    <t>R1</t>
  </si>
  <si>
    <t>S5</t>
  </si>
  <si>
    <t>M1</t>
  </si>
  <si>
    <t>R2</t>
  </si>
  <si>
    <t>S6</t>
  </si>
  <si>
    <t>M3</t>
  </si>
  <si>
    <t>M2</t>
  </si>
  <si>
    <t>R3</t>
  </si>
  <si>
    <t>S8</t>
  </si>
  <si>
    <t>M4</t>
  </si>
  <si>
    <t>R4</t>
  </si>
  <si>
    <t>S9</t>
  </si>
  <si>
    <t>M5</t>
  </si>
  <si>
    <t>R5</t>
  </si>
  <si>
    <t>S10</t>
  </si>
  <si>
    <t>M6</t>
  </si>
  <si>
    <t>R6</t>
  </si>
  <si>
    <t>S11</t>
  </si>
  <si>
    <t>M11</t>
  </si>
  <si>
    <t>S12</t>
  </si>
  <si>
    <t>M8</t>
  </si>
  <si>
    <t>M7</t>
  </si>
  <si>
    <t>S8*</t>
  </si>
  <si>
    <t>S14</t>
  </si>
  <si>
    <t>M9</t>
  </si>
  <si>
    <t>S15</t>
  </si>
  <si>
    <t>M10</t>
  </si>
  <si>
    <t>S16</t>
  </si>
  <si>
    <t>M12</t>
  </si>
  <si>
    <t>M13</t>
  </si>
  <si>
    <t>S5*</t>
  </si>
  <si>
    <t>M14</t>
  </si>
  <si>
    <t>M15</t>
  </si>
  <si>
    <t>M16</t>
  </si>
  <si>
    <t>M3a</t>
  </si>
  <si>
    <t>M17</t>
  </si>
  <si>
    <t>TIMEHHMMSS</t>
  </si>
  <si>
    <t>DATEMMDDYYYY</t>
  </si>
  <si>
    <t>FILENAME</t>
  </si>
  <si>
    <t>FAULTCODE</t>
  </si>
  <si>
    <t>BAROMETERMMHG</t>
  </si>
  <si>
    <t>CONDSCM</t>
  </si>
  <si>
    <t>SPCONDSCM</t>
  </si>
  <si>
    <t>TDSMGL</t>
  </si>
  <si>
    <t>SALPSU</t>
  </si>
  <si>
    <t>NLFCONDSCM</t>
  </si>
  <si>
    <t>DEPTHM</t>
  </si>
  <si>
    <t>VERTICALPOSITIONM</t>
  </si>
  <si>
    <t>PRESSUREPSIA</t>
  </si>
  <si>
    <t>ODOSAT</t>
  </si>
  <si>
    <t>ODOMGL</t>
  </si>
  <si>
    <t>ODOCB</t>
  </si>
  <si>
    <t>GPSLATITUDE</t>
  </si>
  <si>
    <t>GPSLONGITUDE</t>
  </si>
  <si>
    <t>ALTITUDEM</t>
  </si>
  <si>
    <t>ORPMV</t>
  </si>
  <si>
    <t>PH</t>
  </si>
  <si>
    <t>PHMV</t>
  </si>
  <si>
    <t>CABLEPWRV</t>
  </si>
  <si>
    <t>BATTERYV</t>
  </si>
  <si>
    <t>TEMPC</t>
  </si>
  <si>
    <t>TURBIDITYFNU</t>
  </si>
  <si>
    <t>TSSMGL</t>
  </si>
  <si>
    <t>SITE</t>
  </si>
  <si>
    <t>MISS-B6</t>
  </si>
  <si>
    <t>MISS-B5</t>
  </si>
  <si>
    <t>MISS-B4</t>
  </si>
  <si>
    <t>MISS-B3</t>
  </si>
  <si>
    <t>MISS-B2</t>
  </si>
  <si>
    <t>MISS-B1</t>
  </si>
  <si>
    <t>MISS-B9</t>
  </si>
  <si>
    <t>MISS-B11</t>
  </si>
  <si>
    <t>MISS-B12</t>
  </si>
  <si>
    <t>MISS-B13</t>
  </si>
  <si>
    <t>MISS-B8</t>
  </si>
  <si>
    <t>MISS-B17</t>
  </si>
  <si>
    <t>MISS-B7</t>
  </si>
  <si>
    <t>MISS-B10</t>
  </si>
  <si>
    <t>MISS-B14</t>
  </si>
  <si>
    <t>MISS-B15</t>
  </si>
  <si>
    <t>MISS-B16</t>
  </si>
  <si>
    <t>RACC-B1</t>
  </si>
  <si>
    <t>RACC-B2</t>
  </si>
  <si>
    <t>RACC-B3</t>
  </si>
  <si>
    <t>RACC-B4</t>
  </si>
  <si>
    <t>RACC-B5</t>
  </si>
  <si>
    <t>RACC-B6</t>
  </si>
  <si>
    <t>SHAF-B5</t>
  </si>
  <si>
    <t>SHAF-B6</t>
  </si>
  <si>
    <t>SHAF-B8</t>
  </si>
  <si>
    <t>SHAF-B14</t>
  </si>
  <si>
    <t>SHAF-B9</t>
  </si>
  <si>
    <t>SHAF-B15</t>
  </si>
  <si>
    <t>SHAF-B10</t>
  </si>
  <si>
    <t>SHAF-B11</t>
  </si>
  <si>
    <t>SHAF-B12</t>
  </si>
  <si>
    <t>1</t>
  </si>
  <si>
    <t>2</t>
  </si>
  <si>
    <t>3</t>
  </si>
  <si>
    <t>4</t>
  </si>
  <si>
    <t>5</t>
  </si>
  <si>
    <t>6</t>
  </si>
  <si>
    <t>8</t>
  </si>
  <si>
    <t>9</t>
  </si>
  <si>
    <t>7</t>
  </si>
  <si>
    <t>ID</t>
  </si>
  <si>
    <t>Distance From Dam</t>
  </si>
  <si>
    <t>FULLDATETIME</t>
  </si>
  <si>
    <t>SHAF-B16</t>
  </si>
  <si>
    <t>DEPTH M</t>
  </si>
  <si>
    <t>BAROMETER MMHG</t>
  </si>
  <si>
    <t>COND ÂµS/CM</t>
  </si>
  <si>
    <t>SPCOND ÂµS/CM</t>
  </si>
  <si>
    <t>TDS MG/L</t>
  </si>
  <si>
    <t>SAL PSU</t>
  </si>
  <si>
    <t>NLF COND ÂµS/CM</t>
  </si>
  <si>
    <t>VERTICAL POSITION M</t>
  </si>
  <si>
    <t>PRESSURE PSI A</t>
  </si>
  <si>
    <t>ODO % SAT</t>
  </si>
  <si>
    <t>ODO MG/L</t>
  </si>
  <si>
    <t>ODO % CB</t>
  </si>
  <si>
    <t>ALTITUDE M</t>
  </si>
  <si>
    <t>ORP MV</t>
  </si>
  <si>
    <t>PH MV</t>
  </si>
  <si>
    <t>CABLE PWR V</t>
  </si>
  <si>
    <t>BATTERY V</t>
  </si>
  <si>
    <t>TEMP Â°C</t>
  </si>
  <si>
    <t>TURBIDITY FNU</t>
  </si>
  <si>
    <t>TSS MG/L</t>
  </si>
  <si>
    <t>Lat (SURVEY123)</t>
  </si>
  <si>
    <t>Long (SURVEY 123)</t>
  </si>
  <si>
    <t>NaN</t>
  </si>
  <si>
    <t>BAND 1</t>
  </si>
  <si>
    <t>BAND 2</t>
  </si>
  <si>
    <t>BAND 3</t>
  </si>
  <si>
    <t>BAND 4</t>
  </si>
  <si>
    <t>BAND 5</t>
  </si>
  <si>
    <t>BAND 6</t>
  </si>
  <si>
    <t>BAND 7</t>
  </si>
  <si>
    <t>BAND 8</t>
  </si>
  <si>
    <t>DateMMDDYYYY</t>
  </si>
  <si>
    <t>TimeHHmmss</t>
  </si>
  <si>
    <t>TimeFractSec</t>
  </si>
  <si>
    <t>CondScm</t>
  </si>
  <si>
    <t>DepthM</t>
  </si>
  <si>
    <t>nLFCondScm</t>
  </si>
  <si>
    <t>ODOSat</t>
  </si>
  <si>
    <t>ODOMgL</t>
  </si>
  <si>
    <t>PressurePsiA</t>
  </si>
  <si>
    <t>SalPsu</t>
  </si>
  <si>
    <t>SpCondScm</t>
  </si>
  <si>
    <t>TDSMgL</t>
  </si>
  <si>
    <t>TurbidityFNU</t>
  </si>
  <si>
    <t>TSSMgL</t>
  </si>
  <si>
    <t>pH</t>
  </si>
  <si>
    <t>pHMV</t>
  </si>
  <si>
    <t>TempC</t>
  </si>
  <si>
    <t>VerticalPositionM</t>
  </si>
  <si>
    <t>GPSLatitude</t>
  </si>
  <si>
    <t>GPSLongitude</t>
  </si>
  <si>
    <t>AltitudeM</t>
  </si>
  <si>
    <t>BatteryV</t>
  </si>
  <si>
    <t>CablePwrV</t>
  </si>
  <si>
    <t>BarometerMmHg</t>
  </si>
  <si>
    <t>FREE-B1</t>
  </si>
  <si>
    <t>FREE-B1A</t>
  </si>
  <si>
    <t>FREE-B1B</t>
  </si>
  <si>
    <t>FREE-B2</t>
  </si>
  <si>
    <t>FREE-B2A</t>
  </si>
  <si>
    <t>FREE-B2B</t>
  </si>
  <si>
    <t>FREE-B3</t>
  </si>
  <si>
    <t>FREE-B3A</t>
  </si>
  <si>
    <t>FREE-B3B</t>
  </si>
  <si>
    <t>FREE-S1</t>
  </si>
  <si>
    <t>FREE-S2</t>
  </si>
  <si>
    <t>FREE-S3</t>
  </si>
  <si>
    <t>FREE-S4</t>
  </si>
  <si>
    <t>FREE-BR1</t>
  </si>
  <si>
    <t>FREE-S5</t>
  </si>
  <si>
    <t>MISS-S7</t>
  </si>
  <si>
    <t>MISS-S8</t>
  </si>
  <si>
    <t>MISS-S4</t>
  </si>
  <si>
    <t>MISS-S8A</t>
  </si>
  <si>
    <t>MISS-S7A</t>
  </si>
  <si>
    <t>MISS-S7B</t>
  </si>
  <si>
    <t>MISS-S3A</t>
  </si>
  <si>
    <t>MISS-S3B</t>
  </si>
  <si>
    <t>MISS-S3D</t>
  </si>
  <si>
    <t>MISS-S3C</t>
  </si>
  <si>
    <t>MISS-S1</t>
  </si>
  <si>
    <t>MISS-S2</t>
  </si>
  <si>
    <t>MISS-S3</t>
  </si>
  <si>
    <t>MISS-S5</t>
  </si>
  <si>
    <t>MISS-S6</t>
  </si>
  <si>
    <t>SALA-S6</t>
  </si>
  <si>
    <t>SALA-S3</t>
  </si>
  <si>
    <t>SALA-K1</t>
  </si>
  <si>
    <t>SALA-K2</t>
  </si>
  <si>
    <t>SALA-K3</t>
  </si>
  <si>
    <t>SALA-K4</t>
  </si>
  <si>
    <t>SALA-K5</t>
  </si>
  <si>
    <t>SALA-K6</t>
  </si>
  <si>
    <t>SALA-K7</t>
  </si>
  <si>
    <t>SALA-K8</t>
  </si>
  <si>
    <t>SALA-K9</t>
  </si>
  <si>
    <t>SALA-K10</t>
  </si>
  <si>
    <t>SALA-K11</t>
  </si>
  <si>
    <t>SALA-S1</t>
  </si>
  <si>
    <t>SALA-S9</t>
  </si>
  <si>
    <t>SALA-S2</t>
  </si>
  <si>
    <t>SALA-S4</t>
  </si>
  <si>
    <t>SALA-S5</t>
  </si>
  <si>
    <t>SALA-S7</t>
  </si>
  <si>
    <t>SALA-S8</t>
  </si>
  <si>
    <t>SALA-B1</t>
  </si>
  <si>
    <t>SALA-B2</t>
  </si>
  <si>
    <t>SALA-B3</t>
  </si>
  <si>
    <t>SALA-B4</t>
  </si>
  <si>
    <t>SALA-B5</t>
  </si>
  <si>
    <t>SALA-B6</t>
  </si>
  <si>
    <t>SALA-B7</t>
  </si>
  <si>
    <t>SALA-B8</t>
  </si>
  <si>
    <t>SALA-B9</t>
  </si>
  <si>
    <t>SALA-B10</t>
  </si>
  <si>
    <t>SALA-B11</t>
  </si>
  <si>
    <t>SALA-B12</t>
  </si>
  <si>
    <t>SALA-B13</t>
  </si>
  <si>
    <t>SHAF-B1</t>
  </si>
  <si>
    <t>SHAF-B2</t>
  </si>
  <si>
    <t>SHAF-B3</t>
  </si>
  <si>
    <t>SHAF-B4</t>
  </si>
  <si>
    <t>SHAF-B5A</t>
  </si>
  <si>
    <t>SHAF-B8A</t>
  </si>
  <si>
    <t>SHAF-B13</t>
  </si>
  <si>
    <t>SHAF-B7</t>
  </si>
  <si>
    <t>SHAF-S4</t>
  </si>
  <si>
    <t>SHAF-S3</t>
  </si>
  <si>
    <t>SHAF-S2</t>
  </si>
  <si>
    <t>15:49:30 AM</t>
  </si>
  <si>
    <t>20230608-SALA-S9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</si>
</sst>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3"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1"/>
      <color rgb="FF000000"/>
      <name val="Calibri"/>
      <family val="2"/>
    </font>
    <font>
      <sz val="11"/>
      <name val="Calibri"/>
      <family val="2"/>
      <scheme val="minor"/>
    </font>
    <font>
      <sz val="11"/>
      <name val="Calibri"/>
      <family val="2"/>
    </font>
    <font>
      <b/>
      <sz val="11"/>
      <color rgb="FF000000"/>
      <name val="Calibri"/>
      <family val="2"/>
    </font>
    <font>
      <sz val="11"/>
      <color rgb="FFFF0000"/>
      <name val="Calibri"/>
      <family val="2"/>
      <scheme val="minor"/>
    </font>
    <font>
      <sz val="11"/>
      <color theme="9"/>
      <name val="Calibri"/>
      <family val="2"/>
      <scheme val="minor"/>
    </font>
    <font>
      <sz val="8"/>
      <name val="Calibri"/>
      <family val="2"/>
      <scheme val="minor"/>
    </font>
    <font>
      <sz val="11"/>
      <color rgb="FF00B050"/>
      <name val="Calibri"/>
      <family val="2"/>
    </font>
    <font>
      <sz val="11"/>
      <color rgb="FF00B050"/>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7"/>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7030A0"/>
        <bgColor indexed="64"/>
      </patternFill>
    </fill>
    <fill>
      <patternFill patternType="solid">
        <fgColor theme="5" tint="0.39997558519241921"/>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style="thin">
        <color indexed="64"/>
      </left>
      <right style="thin">
        <color indexed="64"/>
      </right>
      <top/>
      <bottom/>
      <diagonal/>
    </border>
    <border>
      <left/>
      <right/>
      <top/>
      <bottom style="thin">
        <color indexed="64"/>
      </bottom>
      <diagonal/>
    </border>
    <border>
      <left style="medium">
        <color indexed="64"/>
      </left>
      <right style="thin">
        <color rgb="FFD0D7E5"/>
      </right>
      <top style="medium">
        <color indexed="64"/>
      </top>
      <bottom style="thin">
        <color rgb="FFD0D7E5"/>
      </bottom>
      <diagonal/>
    </border>
    <border>
      <left/>
      <right/>
      <top style="medium">
        <color indexed="64"/>
      </top>
      <bottom/>
      <diagonal/>
    </border>
    <border>
      <left style="medium">
        <color indexed="64"/>
      </left>
      <right style="thin">
        <color rgb="FFD0D7E5"/>
      </right>
      <top style="thin">
        <color rgb="FFD0D7E5"/>
      </top>
      <bottom style="thin">
        <color rgb="FFD0D7E5"/>
      </bottom>
      <diagonal/>
    </border>
    <border>
      <left style="medium">
        <color indexed="64"/>
      </left>
      <right style="thin">
        <color rgb="FFD0D7E5"/>
      </right>
      <top style="thin">
        <color rgb="FFD0D7E5"/>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rgb="FFD0D7E5"/>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D0D7E5"/>
      </right>
      <top/>
      <bottom style="thin">
        <color rgb="FFD0D7E5"/>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2">
    <xf numFmtId="0" fontId="0" fillId="0" borderId="0"/>
    <xf numFmtId="9" fontId="3" fillId="0" borderId="0" applyFont="0" applyFill="0" applyBorder="0" applyAlignment="0" applyProtection="0"/>
  </cellStyleXfs>
  <cellXfs count="251">
    <xf numFmtId="0" fontId="0" fillId="0" borderId="0" xfId="0"/>
    <xf numFmtId="0" fontId="0" fillId="0" borderId="3" xfId="0" applyBorder="1"/>
    <xf numFmtId="0" fontId="0" fillId="2" borderId="6" xfId="0" applyFill="1" applyBorder="1"/>
    <xf numFmtId="0" fontId="0" fillId="3" borderId="6" xfId="0" applyFill="1" applyBorder="1"/>
    <xf numFmtId="0" fontId="0" fillId="4" borderId="3" xfId="0" applyFill="1" applyBorder="1"/>
    <xf numFmtId="0" fontId="0" fillId="4" borderId="4" xfId="0" applyFill="1" applyBorder="1"/>
    <xf numFmtId="0" fontId="1" fillId="0" borderId="1" xfId="0" applyFont="1" applyBorder="1" applyAlignment="1">
      <alignment wrapText="1"/>
    </xf>
    <xf numFmtId="0" fontId="1" fillId="2" borderId="5" xfId="0" applyFont="1" applyFill="1" applyBorder="1" applyAlignment="1">
      <alignment wrapText="1"/>
    </xf>
    <xf numFmtId="0" fontId="1" fillId="3" borderId="5" xfId="0" applyFont="1" applyFill="1" applyBorder="1" applyAlignment="1">
      <alignment wrapText="1"/>
    </xf>
    <xf numFmtId="0" fontId="1" fillId="4" borderId="1" xfId="0" applyFont="1" applyFill="1" applyBorder="1" applyAlignment="1">
      <alignment wrapText="1"/>
    </xf>
    <xf numFmtId="0" fontId="1" fillId="4" borderId="2" xfId="0" applyFont="1" applyFill="1" applyBorder="1" applyAlignment="1">
      <alignment wrapText="1"/>
    </xf>
    <xf numFmtId="0" fontId="0" fillId="0" borderId="7" xfId="0" applyBorder="1"/>
    <xf numFmtId="0" fontId="0" fillId="0" borderId="8" xfId="0" applyFill="1" applyBorder="1"/>
    <xf numFmtId="0" fontId="0" fillId="0" borderId="7" xfId="0" applyFill="1" applyBorder="1"/>
    <xf numFmtId="0" fontId="0" fillId="0" borderId="9" xfId="0" applyFill="1" applyBorder="1"/>
    <xf numFmtId="0" fontId="2" fillId="0" borderId="8" xfId="0" applyFont="1" applyBorder="1"/>
    <xf numFmtId="0" fontId="2" fillId="0" borderId="8" xfId="0" applyFont="1" applyFill="1" applyBorder="1"/>
    <xf numFmtId="0" fontId="2" fillId="0" borderId="7" xfId="0" applyFont="1" applyFill="1" applyBorder="1"/>
    <xf numFmtId="0" fontId="1" fillId="0" borderId="9" xfId="0" applyFont="1" applyFill="1" applyBorder="1"/>
    <xf numFmtId="14" fontId="0" fillId="0" borderId="0" xfId="0" applyNumberFormat="1"/>
    <xf numFmtId="14" fontId="0" fillId="2" borderId="0" xfId="0" applyNumberFormat="1" applyFill="1"/>
    <xf numFmtId="0" fontId="0" fillId="2" borderId="0" xfId="0" applyFill="1"/>
    <xf numFmtId="14" fontId="0" fillId="0" borderId="0" xfId="0" applyNumberFormat="1" applyFill="1"/>
    <xf numFmtId="0" fontId="0" fillId="0" borderId="0" xfId="0" applyFill="1"/>
    <xf numFmtId="0" fontId="4" fillId="0" borderId="11" xfId="0" applyFont="1" applyBorder="1" applyAlignment="1">
      <alignment vertical="center" wrapText="1"/>
    </xf>
    <xf numFmtId="0" fontId="0" fillId="0" borderId="0" xfId="0" applyAlignment="1">
      <alignment horizontal="left"/>
    </xf>
    <xf numFmtId="0" fontId="0" fillId="10" borderId="0" xfId="0" applyFill="1"/>
    <xf numFmtId="0" fontId="0" fillId="0" borderId="0" xfId="0" applyAlignment="1">
      <alignment horizontal="center"/>
    </xf>
    <xf numFmtId="0" fontId="0" fillId="11" borderId="0" xfId="0" applyFill="1"/>
    <xf numFmtId="0" fontId="0" fillId="7" borderId="0" xfId="0" applyFill="1"/>
    <xf numFmtId="0" fontId="0" fillId="10" borderId="0" xfId="0" applyFill="1" applyAlignment="1">
      <alignment horizontal="center"/>
    </xf>
    <xf numFmtId="0" fontId="4" fillId="0" borderId="12" xfId="0" applyFont="1" applyBorder="1" applyAlignment="1">
      <alignment vertical="center" wrapText="1"/>
    </xf>
    <xf numFmtId="0" fontId="1" fillId="9" borderId="10" xfId="0" applyFont="1" applyFill="1" applyBorder="1" applyAlignment="1">
      <alignment wrapText="1"/>
    </xf>
    <xf numFmtId="0" fontId="1" fillId="9" borderId="13" xfId="0" applyFont="1" applyFill="1" applyBorder="1" applyAlignment="1">
      <alignment wrapText="1"/>
    </xf>
    <xf numFmtId="0" fontId="4" fillId="0" borderId="0" xfId="0" applyFont="1" applyBorder="1" applyAlignment="1">
      <alignment vertical="center" wrapText="1"/>
    </xf>
    <xf numFmtId="0" fontId="1" fillId="9" borderId="10" xfId="0" applyFont="1" applyFill="1" applyBorder="1" applyAlignment="1">
      <alignment horizontal="center" wrapText="1"/>
    </xf>
    <xf numFmtId="0" fontId="5" fillId="0" borderId="0" xfId="0" applyFont="1" applyFill="1" applyAlignment="1">
      <alignment horizontal="left"/>
    </xf>
    <xf numFmtId="0" fontId="5" fillId="0" borderId="0" xfId="0" applyFont="1" applyFill="1"/>
    <xf numFmtId="0" fontId="5" fillId="0" borderId="0" xfId="0" applyFont="1" applyFill="1" applyAlignment="1">
      <alignment horizontal="center"/>
    </xf>
    <xf numFmtId="0" fontId="6" fillId="0" borderId="11" xfId="0" applyFont="1" applyFill="1" applyBorder="1" applyAlignment="1">
      <alignment vertical="center" wrapText="1"/>
    </xf>
    <xf numFmtId="14" fontId="5" fillId="0" borderId="0" xfId="0" applyNumberFormat="1" applyFont="1" applyFill="1"/>
    <xf numFmtId="0" fontId="0" fillId="13" borderId="0" xfId="0" applyFill="1" applyAlignment="1">
      <alignment horizontal="left"/>
    </xf>
    <xf numFmtId="0" fontId="0" fillId="13" borderId="0" xfId="0" applyFill="1"/>
    <xf numFmtId="0" fontId="0" fillId="13" borderId="0" xfId="0" applyFill="1" applyAlignment="1">
      <alignment horizontal="center"/>
    </xf>
    <xf numFmtId="0" fontId="4" fillId="13" borderId="11" xfId="0" applyFont="1" applyFill="1" applyBorder="1" applyAlignment="1">
      <alignment vertical="center" wrapText="1"/>
    </xf>
    <xf numFmtId="14" fontId="0" fillId="13" borderId="0" xfId="0" applyNumberFormat="1" applyFill="1"/>
    <xf numFmtId="0" fontId="0" fillId="0" borderId="0" xfId="0" applyAlignment="1">
      <alignment horizontal="center" vertical="center"/>
    </xf>
    <xf numFmtId="0" fontId="0" fillId="0" borderId="14" xfId="0" applyBorder="1" applyAlignment="1">
      <alignment horizontal="left"/>
    </xf>
    <xf numFmtId="0" fontId="0" fillId="9" borderId="14" xfId="0" applyFill="1" applyBorder="1"/>
    <xf numFmtId="0" fontId="0" fillId="9" borderId="14" xfId="0" applyFill="1" applyBorder="1" applyAlignment="1">
      <alignment horizontal="center"/>
    </xf>
    <xf numFmtId="0" fontId="4" fillId="9" borderId="14" xfId="0" applyFont="1" applyFill="1" applyBorder="1" applyAlignment="1">
      <alignment vertical="center" wrapText="1"/>
    </xf>
    <xf numFmtId="0" fontId="0" fillId="0" borderId="14" xfId="0" applyBorder="1"/>
    <xf numFmtId="14" fontId="0" fillId="0" borderId="14" xfId="0" applyNumberFormat="1" applyBorder="1"/>
    <xf numFmtId="0" fontId="7" fillId="0" borderId="15" xfId="0" applyFont="1" applyBorder="1" applyAlignment="1">
      <alignment vertical="center" wrapText="1"/>
    </xf>
    <xf numFmtId="0" fontId="7" fillId="0" borderId="17" xfId="0" applyFont="1" applyBorder="1" applyAlignment="1">
      <alignment vertical="center" wrapText="1"/>
    </xf>
    <xf numFmtId="0" fontId="7" fillId="0" borderId="18" xfId="0" applyFont="1" applyBorder="1" applyAlignment="1">
      <alignment vertical="center" wrapText="1"/>
    </xf>
    <xf numFmtId="0" fontId="0" fillId="0" borderId="0" xfId="0" applyFill="1" applyAlignment="1">
      <alignment horizontal="center"/>
    </xf>
    <xf numFmtId="0" fontId="7" fillId="0" borderId="21" xfId="0" applyFont="1" applyFill="1" applyBorder="1" applyAlignment="1">
      <alignment vertical="center" wrapText="1"/>
    </xf>
    <xf numFmtId="0" fontId="0" fillId="0" borderId="19" xfId="0" applyBorder="1"/>
    <xf numFmtId="0" fontId="0" fillId="0" borderId="20" xfId="0" applyBorder="1"/>
    <xf numFmtId="0" fontId="7" fillId="0" borderId="3" xfId="0" applyFont="1" applyFill="1" applyBorder="1" applyAlignment="1">
      <alignment vertical="center" wrapText="1"/>
    </xf>
    <xf numFmtId="9" fontId="0" fillId="0" borderId="0" xfId="1" applyFont="1" applyBorder="1"/>
    <xf numFmtId="9" fontId="0" fillId="0" borderId="4" xfId="1" applyFont="1" applyBorder="1"/>
    <xf numFmtId="0" fontId="0" fillId="3" borderId="0" xfId="0" applyFill="1"/>
    <xf numFmtId="0" fontId="0" fillId="3" borderId="0" xfId="0" applyFill="1" applyAlignment="1">
      <alignment horizontal="center"/>
    </xf>
    <xf numFmtId="0" fontId="4" fillId="3" borderId="11" xfId="0" applyFont="1" applyFill="1" applyBorder="1" applyAlignment="1">
      <alignment vertical="center" wrapText="1"/>
    </xf>
    <xf numFmtId="0" fontId="4" fillId="10" borderId="11" xfId="0" applyFont="1" applyFill="1" applyBorder="1" applyAlignment="1">
      <alignment vertical="center" wrapText="1"/>
    </xf>
    <xf numFmtId="22" fontId="0" fillId="0" borderId="0" xfId="0" applyNumberFormat="1"/>
    <xf numFmtId="0" fontId="9" fillId="0" borderId="0" xfId="0" applyFont="1"/>
    <xf numFmtId="0" fontId="5" fillId="11" borderId="0" xfId="0" applyFont="1" applyFill="1"/>
    <xf numFmtId="0" fontId="0" fillId="0" borderId="0" xfId="0" applyFill="1" applyAlignment="1">
      <alignment horizontal="center" vertical="center"/>
    </xf>
    <xf numFmtId="164" fontId="0" fillId="0" borderId="0" xfId="0" applyNumberFormat="1"/>
    <xf numFmtId="0" fontId="0" fillId="10" borderId="3" xfId="0" applyFill="1" applyBorder="1" applyAlignment="1">
      <alignment horizontal="center"/>
    </xf>
    <xf numFmtId="0" fontId="0" fillId="10" borderId="21" xfId="0" applyFill="1" applyBorder="1" applyAlignment="1">
      <alignment horizontal="center"/>
    </xf>
    <xf numFmtId="0" fontId="0" fillId="10" borderId="0" xfId="0" applyFill="1" applyBorder="1" applyAlignment="1">
      <alignment horizontal="right"/>
    </xf>
    <xf numFmtId="0" fontId="0" fillId="10" borderId="19" xfId="0" applyFill="1" applyBorder="1" applyAlignment="1">
      <alignment horizontal="right"/>
    </xf>
    <xf numFmtId="0" fontId="0" fillId="7" borderId="3" xfId="0" applyFill="1" applyBorder="1" applyAlignment="1">
      <alignment horizontal="center"/>
    </xf>
    <xf numFmtId="0" fontId="0" fillId="7" borderId="21" xfId="0" applyFill="1" applyBorder="1" applyAlignment="1">
      <alignment horizontal="center"/>
    </xf>
    <xf numFmtId="0" fontId="0" fillId="7" borderId="19" xfId="0" applyFill="1" applyBorder="1" applyAlignment="1">
      <alignment horizontal="center"/>
    </xf>
    <xf numFmtId="0" fontId="0" fillId="7" borderId="0" xfId="0" applyFill="1" applyBorder="1" applyAlignment="1">
      <alignment horizontal="right"/>
    </xf>
    <xf numFmtId="0" fontId="0" fillId="7" borderId="19" xfId="0" applyFill="1" applyBorder="1" applyAlignment="1">
      <alignment horizontal="right"/>
    </xf>
    <xf numFmtId="0" fontId="0" fillId="7" borderId="22" xfId="0" applyFill="1" applyBorder="1"/>
    <xf numFmtId="0" fontId="0" fillId="7" borderId="24" xfId="0" applyFill="1" applyBorder="1"/>
    <xf numFmtId="0" fontId="7" fillId="0" borderId="25" xfId="0" applyFont="1" applyBorder="1" applyAlignment="1">
      <alignment vertical="center" wrapText="1"/>
    </xf>
    <xf numFmtId="0" fontId="0" fillId="10" borderId="22" xfId="0" applyFill="1" applyBorder="1"/>
    <xf numFmtId="0" fontId="0" fillId="10" borderId="24" xfId="0" applyFill="1" applyBorder="1"/>
    <xf numFmtId="0" fontId="11" fillId="0" borderId="23" xfId="0" applyFont="1" applyBorder="1" applyAlignment="1">
      <alignment vertical="center" wrapText="1"/>
    </xf>
    <xf numFmtId="9" fontId="12" fillId="0" borderId="8" xfId="1" applyFont="1" applyBorder="1"/>
    <xf numFmtId="9" fontId="12" fillId="0" borderId="9" xfId="1" applyFont="1" applyBorder="1"/>
    <xf numFmtId="0" fontId="0" fillId="4" borderId="16" xfId="0" applyFont="1" applyFill="1" applyBorder="1"/>
    <xf numFmtId="0" fontId="0" fillId="4" borderId="2" xfId="0" applyFont="1" applyFill="1" applyBorder="1"/>
    <xf numFmtId="0" fontId="0" fillId="6" borderId="0" xfId="0" applyFont="1" applyFill="1" applyBorder="1"/>
    <xf numFmtId="0" fontId="0" fillId="6" borderId="4" xfId="0" applyFont="1" applyFill="1" applyBorder="1"/>
    <xf numFmtId="0" fontId="0" fillId="14" borderId="19" xfId="0" applyFont="1" applyFill="1" applyBorder="1"/>
    <xf numFmtId="0" fontId="0" fillId="14" borderId="20" xfId="0" applyFont="1" applyFill="1" applyBorder="1"/>
    <xf numFmtId="0" fontId="0" fillId="4" borderId="0" xfId="0" applyFont="1" applyFill="1" applyBorder="1"/>
    <xf numFmtId="0" fontId="0" fillId="4" borderId="4" xfId="0" applyFont="1" applyFill="1" applyBorder="1"/>
    <xf numFmtId="0" fontId="0" fillId="7" borderId="26" xfId="0" applyFill="1" applyBorder="1"/>
    <xf numFmtId="0" fontId="0" fillId="7" borderId="27" xfId="0" applyFill="1" applyBorder="1"/>
    <xf numFmtId="0" fontId="7" fillId="12" borderId="28" xfId="0" applyFont="1" applyFill="1" applyBorder="1" applyAlignment="1">
      <alignment vertical="center" wrapText="1"/>
    </xf>
    <xf numFmtId="0" fontId="1" fillId="12" borderId="29" xfId="0" applyFont="1" applyFill="1" applyBorder="1"/>
    <xf numFmtId="0" fontId="1" fillId="12" borderId="30" xfId="0" applyFont="1" applyFill="1" applyBorder="1"/>
    <xf numFmtId="0" fontId="0" fillId="10" borderId="26" xfId="0" applyFill="1" applyBorder="1"/>
    <xf numFmtId="0" fontId="0" fillId="10" borderId="27" xfId="0" applyFill="1" applyBorder="1"/>
    <xf numFmtId="0" fontId="0" fillId="0" borderId="31" xfId="0" applyBorder="1"/>
    <xf numFmtId="0" fontId="0" fillId="4" borderId="0" xfId="0" applyFill="1"/>
    <xf numFmtId="0" fontId="8" fillId="10" borderId="0" xfId="0" applyFont="1" applyFill="1"/>
    <xf numFmtId="9" fontId="12" fillId="0" borderId="0" xfId="1" applyFont="1" applyFill="1" applyBorder="1"/>
    <xf numFmtId="0" fontId="0" fillId="6" borderId="0" xfId="0" applyFill="1"/>
    <xf numFmtId="0" fontId="0" fillId="16" borderId="0" xfId="0" applyFill="1"/>
    <xf numFmtId="0" fontId="0" fillId="15" borderId="0" xfId="0" applyFill="1"/>
    <xf numFmtId="0" fontId="0" fillId="8" borderId="0" xfId="0" applyFill="1"/>
    <xf numFmtId="0" fontId="0" fillId="17" borderId="10" xfId="0" applyFill="1" applyBorder="1"/>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0" borderId="0" xfId="0"/>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6" borderId="13" xfId="0" applyFill="1" applyBorder="1"/>
    <xf numFmtId="2" fontId="0" fillId="0" borderId="0" xfId="0" applyNumberFormat="1"/>
    <xf numFmtId="2" fontId="5" fillId="0" borderId="0" xfId="0" applyNumberFormat="1" applyFont="1" applyFill="1"/>
    <xf numFmtId="2" fontId="0" fillId="13" borderId="0" xfId="0" applyNumberFormat="1" applyFill="1"/>
    <xf numFmtId="2" fontId="0" fillId="10" borderId="0" xfId="0" applyNumberFormat="1" applyFill="1"/>
    <xf numFmtId="2" fontId="0" fillId="3" borderId="0" xfId="0" applyNumberFormat="1" applyFill="1"/>
    <xf numFmtId="2" fontId="0" fillId="0" borderId="14" xfId="0" applyNumberFormat="1" applyBorder="1"/>
    <xf numFmtId="0" fontId="0" fillId="3" borderId="26" xfId="0" applyFill="1" applyBorder="1"/>
    <xf numFmtId="0" fontId="0" fillId="0" borderId="14" xfId="0" applyBorder="1" applyAlignment="1">
      <alignment horizontal="center"/>
    </xf>
    <xf numFmtId="0" fontId="0" fillId="0" borderId="14" xfId="0" applyBorder="1" applyAlignment="1">
      <alignment horizontal="center" vertical="center"/>
    </xf>
    <xf numFmtId="0" fontId="0" fillId="5" borderId="0" xfId="0" applyFill="1"/>
    <xf numFmtId="22" fontId="0" fillId="5" borderId="0" xfId="0" applyNumberFormat="1" applyFill="1"/>
    <xf numFmtId="22" fontId="0" fillId="10" borderId="0" xfId="0" applyNumberFormat="1" applyFill="1"/>
    <xf numFmtId="22" fontId="0" fillId="3" borderId="0" xfId="0" applyNumberFormat="1" applyFill="1"/>
    <xf numFmtId="22" fontId="0" fillId="7" borderId="0" xfId="0" applyNumberFormat="1" applyFill="1"/>
    <xf numFmtId="22" fontId="0" fillId="4" borderId="0" xfId="0" applyNumberFormat="1" applyFill="1"/>
    <xf numFmtId="0" fontId="0" fillId="0" borderId="0" xfId="0" applyFill="1" applyBorder="1"/>
    <xf numFmtId="0" fontId="0" fillId="0" borderId="14" xfId="0" applyFill="1" applyBorder="1"/>
    <xf numFmtId="0" fontId="1" fillId="9" borderId="32" xfId="0" applyFont="1" applyFill="1" applyBorder="1" applyAlignment="1">
      <alignment wrapText="1"/>
    </xf>
    <xf numFmtId="0" fontId="1" fillId="0" borderId="0" xfId="0" applyFont="1" applyFill="1" applyBorder="1" applyAlignment="1">
      <alignment wrapText="1"/>
    </xf>
    <xf numFmtId="11" fontId="0" fillId="0" borderId="0" xfId="0" applyNumberFormat="1"/>
    <xf numFmtId="20" fontId="0" fillId="0" borderId="0" xfId="0" applyNumberFormat="1"/>
    <xf numFmtId="0" fontId="0" fillId="0" borderId="0" xfId="0" applyAlignment="1">
      <alignment wrapText="1"/>
    </xf>
    <xf numFmtId="0" fontId="0" fillId="3" borderId="0" xfId="0" applyFill="1" applyBorder="1"/>
    <xf numFmtId="0" fontId="0" fillId="6" borderId="10" xfId="0" applyFill="1" applyBorder="1"/>
    <xf numFmtId="0" fontId="0" fillId="3" borderId="13" xfId="0" applyFill="1" applyBorder="1"/>
    <xf numFmtId="0" fontId="0" fillId="0" borderId="10" xfId="0" applyBorder="1"/>
    <xf numFmtId="0" fontId="0" fillId="0" borderId="0" xfId="0" applyBorder="1"/>
    <xf numFmtId="0" fontId="0" fillId="14" borderId="0" xfId="0" applyFont="1" applyFill="1" applyBorder="1"/>
    <xf numFmtId="9" fontId="12" fillId="0" borderId="0" xfId="1" applyFont="1" applyBorder="1"/>
    <xf numFmtId="0" fontId="1" fillId="12" borderId="0" xfId="0" applyFont="1" applyFill="1" applyBorder="1"/>
    <xf numFmtId="0" fontId="0" fillId="10" borderId="0" xfId="0" applyFill="1" applyBorder="1"/>
    <xf numFmtId="0" fontId="0" fillId="7" borderId="0" xfId="0" applyFill="1" applyBorder="1"/>
    <xf numFmtId="165" fontId="0" fillId="0" borderId="0" xfId="0" applyNumberFormat="1" applyAlignment="1">
      <alignment horizontal="center"/>
    </xf>
    <xf numFmtId="0" fontId="1" fillId="0" borderId="0" xfId="0" applyFont="1" applyAlignment="1">
      <alignment horizontal="center"/>
    </xf>
    <xf numFmtId="164" fontId="0" fillId="0" borderId="0" xfId="0" applyNumberFormat="1" applyAlignment="1">
      <alignment horizontal="center"/>
    </xf>
    <xf numFmtId="0" fontId="1" fillId="9" borderId="33" xfId="0" applyFont="1" applyFill="1" applyBorder="1" applyAlignment="1">
      <alignment horizontal="right" wrapText="1"/>
    </xf>
    <xf numFmtId="0" fontId="0" fillId="0" borderId="0" xfId="0" applyAlignment="1">
      <alignment horizontal="right"/>
    </xf>
    <xf numFmtId="0" fontId="0" fillId="10" borderId="0" xfId="0" applyFill="1" applyAlignment="1">
      <alignment horizontal="right"/>
    </xf>
    <xf numFmtId="0" fontId="0" fillId="3" borderId="0" xfId="0" applyFill="1" applyAlignment="1">
      <alignment horizontal="right"/>
    </xf>
    <xf numFmtId="0" fontId="0" fillId="0" borderId="14" xfId="0" applyBorder="1" applyAlignment="1">
      <alignment horizontal="right"/>
    </xf>
    <xf numFmtId="0" fontId="0" fillId="13" borderId="0" xfId="0" applyFill="1" applyAlignment="1">
      <alignment horizontal="right"/>
    </xf>
    <xf numFmtId="0" fontId="8" fillId="0" borderId="0" xfId="0" applyFont="1" applyAlignment="1">
      <alignment horizontal="right"/>
    </xf>
    <xf numFmtId="0" fontId="0" fillId="4" borderId="16" xfId="0" applyFont="1" applyFill="1" applyBorder="1" applyAlignment="1">
      <alignment horizontal="right"/>
    </xf>
    <xf numFmtId="0" fontId="0" fillId="6" borderId="0" xfId="0" applyFont="1" applyFill="1" applyBorder="1" applyAlignment="1">
      <alignment horizontal="right"/>
    </xf>
    <xf numFmtId="0" fontId="0" fillId="14" borderId="19" xfId="0" applyFont="1" applyFill="1" applyBorder="1" applyAlignment="1">
      <alignment horizontal="right"/>
    </xf>
    <xf numFmtId="9" fontId="12" fillId="0" borderId="8" xfId="1" applyFont="1" applyBorder="1" applyAlignment="1">
      <alignment horizontal="right"/>
    </xf>
    <xf numFmtId="0" fontId="0" fillId="0" borderId="19" xfId="0" applyBorder="1" applyAlignment="1">
      <alignment horizontal="right"/>
    </xf>
    <xf numFmtId="9" fontId="0" fillId="0" borderId="0" xfId="1" applyFont="1" applyBorder="1" applyAlignment="1">
      <alignment horizontal="right"/>
    </xf>
    <xf numFmtId="0" fontId="1" fillId="12" borderId="29" xfId="0" applyFont="1" applyFill="1" applyBorder="1" applyAlignment="1">
      <alignment horizontal="right"/>
    </xf>
    <xf numFmtId="0" fontId="0" fillId="10" borderId="26" xfId="0" applyFill="1" applyBorder="1" applyAlignment="1">
      <alignment horizontal="right"/>
    </xf>
    <xf numFmtId="0" fontId="0" fillId="10" borderId="22" xfId="0" applyFill="1" applyBorder="1" applyAlignment="1">
      <alignment horizontal="right"/>
    </xf>
    <xf numFmtId="0" fontId="0" fillId="4" borderId="0" xfId="0" applyFont="1" applyFill="1" applyBorder="1" applyAlignment="1">
      <alignment horizontal="right"/>
    </xf>
    <xf numFmtId="0" fontId="0" fillId="7" borderId="26" xfId="0" applyFill="1" applyBorder="1" applyAlignment="1">
      <alignment horizontal="right"/>
    </xf>
    <xf numFmtId="0" fontId="0" fillId="7" borderId="22" xfId="0" applyFill="1" applyBorder="1" applyAlignment="1">
      <alignment horizontal="right"/>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1" xfId="0" applyBorder="1"/>
    <xf numFmtId="0" fontId="0" fillId="0" borderId="16" xfId="0" applyBorder="1"/>
    <xf numFmtId="0" fontId="1" fillId="9" borderId="34"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horizontal="right" wrapText="1"/>
    </xf>
    <xf numFmtId="0" fontId="1" fillId="9" borderId="37" xfId="0" applyFont="1" applyFill="1" applyBorder="1" applyAlignment="1">
      <alignment wrapText="1"/>
    </xf>
    <xf numFmtId="19" fontId="0" fillId="0" borderId="0" xfId="0" applyNumberFormat="1"/>
    <xf numFmtId="14" fontId="0" fillId="0" borderId="0" xfId="0" applyNumberFormat="1" applyBorder="1"/>
    <xf numFmtId="0" fontId="0" fillId="0" borderId="0" xfId="0" applyAlignment="1">
      <alignment horizontal="center"/>
    </xf>
    <xf numFmtId="19" fontId="0" fillId="10" borderId="0" xfId="0" applyNumberFormat="1" applyFill="1"/>
    <xf numFmtId="14" fontId="0" fillId="10" borderId="0" xfId="0" applyNumberFormat="1" applyFill="1"/>
    <xf numFmtId="19" fontId="0" fillId="4" borderId="0" xfId="0" applyNumberFormat="1" applyFill="1"/>
    <xf numFmtId="14" fontId="0" fillId="4" borderId="0" xfId="0" applyNumberFormat="1" applyFill="1"/>
    <xf numFmtId="19" fontId="0" fillId="7" borderId="0" xfId="0" applyNumberFormat="1" applyFill="1"/>
    <xf numFmtId="14" fontId="0" fillId="7" borderId="0" xfId="0" applyNumberFormat="1" applyFill="1"/>
    <xf numFmtId="19" fontId="0" fillId="3" borderId="0" xfId="0" applyNumberFormat="1" applyFill="1"/>
    <xf numFmtId="14" fontId="0" fillId="3" borderId="0" xfId="0" applyNumberFormat="1" applyFill="1"/>
    <xf numFmtId="19" fontId="0" fillId="16" borderId="0" xfId="0" applyNumberFormat="1" applyFill="1"/>
    <xf numFmtId="14" fontId="0" fillId="16" borderId="0" xfId="0" applyNumberFormat="1" applyFill="1"/>
    <xf numFmtId="22" fontId="0" fillId="16" borderId="0" xfId="0" applyNumberFormat="1" applyFill="1"/>
    <xf numFmtId="0" fontId="0" fillId="18" borderId="0" xfId="0" applyFill="1"/>
    <xf numFmtId="19" fontId="0" fillId="18" borderId="0" xfId="0" applyNumberFormat="1" applyFill="1"/>
    <xf numFmtId="14" fontId="0" fillId="18" borderId="0" xfId="0" applyNumberFormat="1" applyFill="1"/>
    <xf numFmtId="22" fontId="0" fillId="18" borderId="0" xfId="0" applyNumberFormat="1" applyFill="1"/>
    <xf numFmtId="0" fontId="0" fillId="19" borderId="0" xfId="0" applyFill="1"/>
    <xf numFmtId="19" fontId="0" fillId="19" borderId="0" xfId="0" applyNumberFormat="1" applyFill="1"/>
    <xf numFmtId="14" fontId="0" fillId="19" borderId="0" xfId="0" applyNumberFormat="1" applyFill="1"/>
    <xf numFmtId="19" fontId="0" fillId="8" borderId="0" xfId="0" applyNumberFormat="1" applyFill="1"/>
    <xf numFmtId="14" fontId="0" fillId="8" borderId="0" xfId="0" applyNumberFormat="1" applyFill="1"/>
    <xf numFmtId="22" fontId="0" fillId="8" borderId="0" xfId="0" applyNumberFormat="1" applyFill="1"/>
    <xf numFmtId="0" fontId="0" fillId="20" borderId="0" xfId="0" applyFill="1"/>
    <xf numFmtId="19" fontId="0" fillId="20" borderId="0" xfId="0" applyNumberFormat="1" applyFill="1"/>
    <xf numFmtId="14" fontId="0" fillId="20" borderId="0" xfId="0" applyNumberFormat="1" applyFill="1"/>
    <xf numFmtId="22" fontId="0" fillId="20" borderId="0" xfId="0" applyNumberFormat="1" applyFill="1"/>
    <xf numFmtId="19" fontId="0" fillId="15" borderId="0" xfId="0" applyNumberFormat="1" applyFill="1"/>
    <xf numFmtId="14" fontId="0" fillId="15" borderId="0" xfId="0" applyNumberFormat="1" applyFill="1"/>
    <xf numFmtId="22" fontId="0" fillId="15" borderId="0" xfId="0" applyNumberFormat="1" applyFill="1"/>
    <xf numFmtId="0" fontId="0" fillId="21" borderId="0" xfId="0" applyFill="1"/>
    <xf numFmtId="19" fontId="0" fillId="21" borderId="0" xfId="0" applyNumberFormat="1" applyFill="1"/>
    <xf numFmtId="14" fontId="0" fillId="21" borderId="0" xfId="0" applyNumberFormat="1" applyFill="1"/>
    <xf numFmtId="22" fontId="0" fillId="21" borderId="0" xfId="0" applyNumberFormat="1" applyFill="1"/>
    <xf numFmtId="0" fontId="0" fillId="10" borderId="16" xfId="0" applyFill="1" applyBorder="1"/>
    <xf numFmtId="0" fontId="0" fillId="10" borderId="19" xfId="0" applyFill="1" applyBorder="1"/>
    <xf numFmtId="0" fontId="0" fillId="10" borderId="2" xfId="0" applyFill="1" applyBorder="1"/>
    <xf numFmtId="0" fontId="0" fillId="10" borderId="4" xfId="0" applyFill="1" applyBorder="1"/>
    <xf numFmtId="0" fontId="0" fillId="10" borderId="20" xfId="0" applyFill="1" applyBorder="1"/>
    <xf numFmtId="14" fontId="0" fillId="0" borderId="0" xfId="0" applyNumberFormat="1" applyFont="1" applyFill="1"/>
    <xf numFmtId="0" fontId="0" fillId="0" borderId="0" xfId="0" applyFont="1" applyFill="1"/>
    <xf numFmtId="21" fontId="0" fillId="0" borderId="0" xfId="0" applyNumberFormat="1"/>
    <xf numFmtId="21" fontId="0" fillId="7" borderId="0" xfId="0" applyNumberFormat="1" applyFill="1"/>
    <xf numFmtId="21" fontId="0" fillId="3" borderId="0" xfId="0" applyNumberFormat="1" applyFill="1"/>
    <xf numFmtId="21" fontId="0" fillId="11" borderId="0" xfId="0" applyNumberFormat="1" applyFill="1"/>
    <xf numFmtId="14" fontId="0" fillId="11" borderId="0" xfId="0" applyNumberFormat="1" applyFill="1"/>
    <xf numFmtId="21" fontId="0" fillId="10" borderId="0" xfId="0" applyNumberFormat="1" applyFill="1"/>
    <xf numFmtId="21" fontId="0" fillId="4" borderId="0" xfId="0" applyNumberFormat="1" applyFill="1"/>
    <xf numFmtId="21" fontId="0" fillId="6" borderId="0" xfId="0" applyNumberFormat="1" applyFill="1"/>
    <xf numFmtId="14" fontId="0" fillId="6" borderId="0" xfId="0" applyNumberFormat="1" applyFill="1"/>
    <xf numFmtId="0" fontId="0" fillId="0" borderId="1" xfId="0" applyBorder="1" applyAlignment="1">
      <alignment horizontal="center" vertical="center" wrapText="1"/>
    </xf>
    <xf numFmtId="0" fontId="0" fillId="0" borderId="16"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21"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14"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9</xdr:col>
      <xdr:colOff>583294</xdr:colOff>
      <xdr:row>1</xdr:row>
      <xdr:rowOff>142874</xdr:rowOff>
    </xdr:from>
    <xdr:to>
      <xdr:col>25</xdr:col>
      <xdr:colOff>209550</xdr:colOff>
      <xdr:row>35</xdr:row>
      <xdr:rowOff>157534</xdr:rowOff>
    </xdr:to>
    <xdr:pic>
      <xdr:nvPicPr>
        <xdr:cNvPr id="2" name="Picture 1">
          <a:extLst>
            <a:ext uri="{FF2B5EF4-FFF2-40B4-BE49-F238E27FC236}">
              <a16:creationId xmlns:a16="http://schemas.microsoft.com/office/drawing/2014/main" id="{187DE2F2-676F-4243-9E7C-F639BFC360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07819" y="466724"/>
          <a:ext cx="9379856" cy="6729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9</xdr:col>
      <xdr:colOff>5665679</xdr:colOff>
      <xdr:row>0</xdr:row>
      <xdr:rowOff>1552575</xdr:rowOff>
    </xdr:to>
    <xdr:pic>
      <xdr:nvPicPr>
        <xdr:cNvPr id="4" name="Picture 3">
          <a:extLst>
            <a:ext uri="{FF2B5EF4-FFF2-40B4-BE49-F238E27FC236}">
              <a16:creationId xmlns:a16="http://schemas.microsoft.com/office/drawing/2014/main" id="{3000D45F-9A12-42C6-96E1-81BE2DBF7EE9}"/>
            </a:ext>
          </a:extLst>
        </xdr:cNvPr>
        <xdr:cNvPicPr>
          <a:picLocks noChangeAspect="1"/>
        </xdr:cNvPicPr>
      </xdr:nvPicPr>
      <xdr:blipFill rotWithShape="1">
        <a:blip xmlns:r="http://schemas.openxmlformats.org/officeDocument/2006/relationships" r:embed="rId1"/>
        <a:srcRect l="7272" t="3453" r="26312" b="75543"/>
        <a:stretch/>
      </xdr:blipFill>
      <xdr:spPr>
        <a:xfrm>
          <a:off x="4352925" y="28575"/>
          <a:ext cx="5532329" cy="152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447675</xdr:colOff>
      <xdr:row>4</xdr:row>
      <xdr:rowOff>123825</xdr:rowOff>
    </xdr:from>
    <xdr:to>
      <xdr:col>15</xdr:col>
      <xdr:colOff>457200</xdr:colOff>
      <xdr:row>15</xdr:row>
      <xdr:rowOff>152400</xdr:rowOff>
    </xdr:to>
    <xdr:pic>
      <xdr:nvPicPr>
        <xdr:cNvPr id="2" name="Picture 1">
          <a:extLst>
            <a:ext uri="{FF2B5EF4-FFF2-40B4-BE49-F238E27FC236}">
              <a16:creationId xmlns:a16="http://schemas.microsoft.com/office/drawing/2014/main" id="{B1B9C78A-3748-44F8-8CB5-74847EEFC7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6875" y="1476375"/>
          <a:ext cx="793432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219075</xdr:colOff>
      <xdr:row>0</xdr:row>
      <xdr:rowOff>142875</xdr:rowOff>
    </xdr:from>
    <xdr:to>
      <xdr:col>12</xdr:col>
      <xdr:colOff>567211</xdr:colOff>
      <xdr:row>34</xdr:row>
      <xdr:rowOff>73326</xdr:rowOff>
    </xdr:to>
    <xdr:pic>
      <xdr:nvPicPr>
        <xdr:cNvPr id="2" name="Picture 1">
          <a:extLst>
            <a:ext uri="{FF2B5EF4-FFF2-40B4-BE49-F238E27FC236}">
              <a16:creationId xmlns:a16="http://schemas.microsoft.com/office/drawing/2014/main" id="{639DB72C-9F88-4EA5-88A1-AD4972B37B6B}"/>
            </a:ext>
          </a:extLst>
        </xdr:cNvPr>
        <xdr:cNvPicPr>
          <a:picLocks noChangeAspect="1"/>
        </xdr:cNvPicPr>
      </xdr:nvPicPr>
      <xdr:blipFill>
        <a:blip xmlns:r="http://schemas.openxmlformats.org/officeDocument/2006/relationships" r:embed="rId1"/>
        <a:stretch>
          <a:fillRect/>
        </a:stretch>
      </xdr:blipFill>
      <xdr:spPr>
        <a:xfrm>
          <a:off x="219075" y="142875"/>
          <a:ext cx="7663336" cy="640745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E0A95-57ED-46DC-8B48-B1ACEB80854D}">
  <dimension ref="A1:H19"/>
  <sheetViews>
    <sheetView zoomScale="85" zoomScaleNormal="85" workbookViewId="0">
      <selection activeCell="J5" sqref="J5"/>
    </sheetView>
  </sheetViews>
  <sheetFormatPr defaultRowHeight="15" x14ac:dyDescent="0.25"/>
  <cols>
    <col min="2" max="2" width="12.7109375" bestFit="1" customWidth="1"/>
  </cols>
  <sheetData>
    <row r="1" spans="2:8" ht="25.5" customHeight="1" thickBot="1" x14ac:dyDescent="0.3"/>
    <row r="2" spans="2:8" ht="31.5" customHeight="1" x14ac:dyDescent="0.25">
      <c r="B2" s="6" t="s">
        <v>14</v>
      </c>
      <c r="C2" s="7" t="s">
        <v>0</v>
      </c>
      <c r="D2" s="6" t="s">
        <v>13</v>
      </c>
      <c r="E2" s="8" t="s">
        <v>1</v>
      </c>
      <c r="F2" s="6" t="s">
        <v>12</v>
      </c>
      <c r="G2" s="9" t="s">
        <v>2</v>
      </c>
      <c r="H2" s="10" t="s">
        <v>3</v>
      </c>
    </row>
    <row r="3" spans="2:8" x14ac:dyDescent="0.25">
      <c r="B3" s="1" t="s">
        <v>4</v>
      </c>
      <c r="C3" s="2">
        <v>1</v>
      </c>
      <c r="D3" s="1" t="s">
        <v>8</v>
      </c>
      <c r="E3" s="3">
        <v>1</v>
      </c>
      <c r="F3" s="1">
        <v>1</v>
      </c>
      <c r="G3" s="4">
        <v>0</v>
      </c>
      <c r="H3" s="5">
        <v>1</v>
      </c>
    </row>
    <row r="4" spans="2:8" x14ac:dyDescent="0.25">
      <c r="B4" s="1" t="s">
        <v>5</v>
      </c>
      <c r="C4" s="2">
        <v>2</v>
      </c>
      <c r="D4" s="1" t="s">
        <v>9</v>
      </c>
      <c r="E4" s="3">
        <v>2</v>
      </c>
      <c r="F4" s="1">
        <v>2</v>
      </c>
      <c r="G4" s="4">
        <v>0</v>
      </c>
      <c r="H4" s="5">
        <v>2</v>
      </c>
    </row>
    <row r="5" spans="2:8" x14ac:dyDescent="0.25">
      <c r="B5" s="1" t="s">
        <v>6</v>
      </c>
      <c r="C5" s="2">
        <v>3</v>
      </c>
      <c r="D5" s="1"/>
      <c r="E5" s="3"/>
      <c r="F5" s="1">
        <v>3</v>
      </c>
      <c r="G5" s="4">
        <v>0</v>
      </c>
      <c r="H5" s="5">
        <v>3</v>
      </c>
    </row>
    <row r="6" spans="2:8" x14ac:dyDescent="0.25">
      <c r="B6" s="1" t="s">
        <v>7</v>
      </c>
      <c r="C6" s="2">
        <v>4</v>
      </c>
      <c r="D6" s="1"/>
      <c r="E6" s="3"/>
      <c r="F6" s="1">
        <v>4</v>
      </c>
      <c r="G6" s="4">
        <v>0</v>
      </c>
      <c r="H6" s="5">
        <v>4</v>
      </c>
    </row>
    <row r="7" spans="2:8" x14ac:dyDescent="0.25">
      <c r="B7" s="1" t="s">
        <v>682</v>
      </c>
      <c r="C7" s="2">
        <v>5</v>
      </c>
      <c r="D7" s="1"/>
      <c r="E7" s="3"/>
      <c r="F7" s="1">
        <v>5</v>
      </c>
      <c r="G7" s="4">
        <v>0</v>
      </c>
      <c r="H7" s="5">
        <v>5</v>
      </c>
    </row>
    <row r="8" spans="2:8" x14ac:dyDescent="0.25">
      <c r="B8" s="1"/>
      <c r="C8" s="2"/>
      <c r="D8" s="1"/>
      <c r="E8" s="3"/>
      <c r="F8" s="1">
        <v>6</v>
      </c>
      <c r="G8" s="4">
        <v>0</v>
      </c>
      <c r="H8" s="5">
        <v>6</v>
      </c>
    </row>
    <row r="9" spans="2:8" x14ac:dyDescent="0.25">
      <c r="B9" s="1"/>
      <c r="C9" s="2"/>
      <c r="D9" s="1"/>
      <c r="E9" s="3"/>
      <c r="F9" s="1">
        <v>7</v>
      </c>
      <c r="G9" s="4">
        <v>0</v>
      </c>
      <c r="H9" s="5">
        <v>7</v>
      </c>
    </row>
    <row r="10" spans="2:8" x14ac:dyDescent="0.25">
      <c r="B10" s="1"/>
      <c r="C10" s="2"/>
      <c r="D10" s="1"/>
      <c r="E10" s="3"/>
      <c r="F10" s="1">
        <v>8</v>
      </c>
      <c r="G10" s="4">
        <v>0</v>
      </c>
      <c r="H10" s="5">
        <v>8</v>
      </c>
    </row>
    <row r="11" spans="2:8" x14ac:dyDescent="0.25">
      <c r="B11" s="1"/>
      <c r="C11" s="2"/>
      <c r="D11" s="1"/>
      <c r="E11" s="3"/>
      <c r="F11" s="1">
        <v>9</v>
      </c>
      <c r="G11" s="4">
        <v>0</v>
      </c>
      <c r="H11" s="5">
        <v>9</v>
      </c>
    </row>
    <row r="12" spans="2:8" x14ac:dyDescent="0.25">
      <c r="B12" s="1"/>
      <c r="C12" s="2"/>
      <c r="D12" s="1"/>
      <c r="E12" s="3"/>
      <c r="F12" s="1">
        <v>10</v>
      </c>
      <c r="G12" s="4">
        <v>1</v>
      </c>
      <c r="H12" s="5">
        <v>0</v>
      </c>
    </row>
    <row r="13" spans="2:8" x14ac:dyDescent="0.25">
      <c r="B13" s="1"/>
      <c r="C13" s="2"/>
      <c r="D13" s="1"/>
      <c r="E13" s="3"/>
      <c r="F13" s="1">
        <v>11</v>
      </c>
      <c r="G13" s="4">
        <v>1</v>
      </c>
      <c r="H13" s="5">
        <v>1</v>
      </c>
    </row>
    <row r="14" spans="2:8" x14ac:dyDescent="0.25">
      <c r="B14" s="1"/>
      <c r="C14" s="2"/>
      <c r="D14" s="1"/>
      <c r="E14" s="3"/>
      <c r="F14" s="1">
        <v>12</v>
      </c>
      <c r="G14" s="4">
        <v>1</v>
      </c>
      <c r="H14" s="5">
        <v>2</v>
      </c>
    </row>
    <row r="15" spans="2:8" x14ac:dyDescent="0.25">
      <c r="B15" s="1"/>
      <c r="C15" s="2"/>
      <c r="D15" s="1"/>
      <c r="E15" s="3"/>
      <c r="F15" s="1">
        <v>13</v>
      </c>
      <c r="G15" s="4">
        <v>1</v>
      </c>
      <c r="H15" s="5">
        <v>3</v>
      </c>
    </row>
    <row r="16" spans="2:8" x14ac:dyDescent="0.25">
      <c r="B16" s="1"/>
      <c r="C16" s="2"/>
      <c r="D16" s="1"/>
      <c r="E16" s="3"/>
      <c r="F16" s="1">
        <v>14</v>
      </c>
      <c r="G16" s="4">
        <v>1</v>
      </c>
      <c r="H16" s="5">
        <v>4</v>
      </c>
    </row>
    <row r="17" spans="1:8" ht="15.75" thickBot="1" x14ac:dyDescent="0.3">
      <c r="B17" s="1"/>
      <c r="C17" s="2"/>
      <c r="D17" s="1"/>
      <c r="E17" s="3"/>
      <c r="F17" s="1">
        <v>15</v>
      </c>
      <c r="G17" s="4">
        <v>1</v>
      </c>
      <c r="H17" s="5">
        <v>5</v>
      </c>
    </row>
    <row r="18" spans="1:8" ht="15.75" thickBot="1" x14ac:dyDescent="0.3">
      <c r="A18" s="11" t="s">
        <v>10</v>
      </c>
      <c r="B18" s="15" t="s">
        <v>11</v>
      </c>
      <c r="C18" s="12">
        <v>2</v>
      </c>
      <c r="D18" s="16" t="s">
        <v>8</v>
      </c>
      <c r="E18" s="12">
        <v>1</v>
      </c>
      <c r="F18" s="17">
        <v>15</v>
      </c>
      <c r="G18" s="13">
        <v>1</v>
      </c>
      <c r="H18" s="14">
        <v>5</v>
      </c>
    </row>
    <row r="19" spans="1:8" ht="15.75" thickBot="1" x14ac:dyDescent="0.3">
      <c r="G19" s="11" t="s">
        <v>15</v>
      </c>
      <c r="H19" s="18">
        <v>2115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2686E-6DC5-4B32-896B-6318F1B9BCC2}">
  <dimension ref="A1:J358"/>
  <sheetViews>
    <sheetView zoomScaleNormal="100" workbookViewId="0">
      <pane ySplit="1" topLeftCell="A44" activePane="bottomLeft" state="frozen"/>
      <selection pane="bottomLeft" activeCell="E70" sqref="E70"/>
    </sheetView>
  </sheetViews>
  <sheetFormatPr defaultRowHeight="15" x14ac:dyDescent="0.25"/>
  <cols>
    <col min="1" max="1" width="9.7109375" bestFit="1" customWidth="1"/>
    <col min="2" max="2" width="12.5703125" bestFit="1" customWidth="1"/>
    <col min="4" max="4" width="10.28515625" bestFit="1" customWidth="1"/>
    <col min="5" max="5" width="12.42578125" bestFit="1" customWidth="1"/>
    <col min="6" max="6" width="12.42578125" customWidth="1"/>
    <col min="7" max="8" width="12.7109375" customWidth="1"/>
    <col min="10" max="10" width="88.42578125" customWidth="1"/>
  </cols>
  <sheetData>
    <row r="1" spans="1:9" ht="126.75" customHeight="1" x14ac:dyDescent="0.25">
      <c r="A1" t="s">
        <v>16</v>
      </c>
      <c r="B1" t="s">
        <v>17</v>
      </c>
      <c r="D1" t="s">
        <v>21</v>
      </c>
      <c r="E1" t="s">
        <v>23</v>
      </c>
      <c r="I1" t="s">
        <v>18</v>
      </c>
    </row>
    <row r="2" spans="1:9" x14ac:dyDescent="0.25">
      <c r="A2" s="19">
        <v>45428</v>
      </c>
      <c r="B2">
        <v>2101</v>
      </c>
      <c r="C2">
        <v>1</v>
      </c>
      <c r="D2" t="s">
        <v>19</v>
      </c>
    </row>
    <row r="3" spans="1:9" x14ac:dyDescent="0.25">
      <c r="A3" s="19">
        <v>45428</v>
      </c>
      <c r="B3">
        <v>2102</v>
      </c>
      <c r="C3">
        <v>2</v>
      </c>
      <c r="D3" t="s">
        <v>19</v>
      </c>
    </row>
    <row r="4" spans="1:9" x14ac:dyDescent="0.25">
      <c r="A4" s="19">
        <v>45428</v>
      </c>
      <c r="B4">
        <v>2103</v>
      </c>
      <c r="C4">
        <v>3</v>
      </c>
      <c r="D4" t="s">
        <v>19</v>
      </c>
    </row>
    <row r="5" spans="1:9" x14ac:dyDescent="0.25">
      <c r="A5" s="19">
        <v>45428</v>
      </c>
      <c r="B5">
        <v>2104</v>
      </c>
      <c r="C5">
        <v>4</v>
      </c>
      <c r="D5" t="s">
        <v>19</v>
      </c>
    </row>
    <row r="6" spans="1:9" x14ac:dyDescent="0.25">
      <c r="A6" s="19">
        <v>45428</v>
      </c>
      <c r="B6">
        <v>2105</v>
      </c>
      <c r="C6">
        <v>5</v>
      </c>
      <c r="D6" t="s">
        <v>19</v>
      </c>
    </row>
    <row r="7" spans="1:9" x14ac:dyDescent="0.25">
      <c r="A7" s="19">
        <v>45428</v>
      </c>
      <c r="B7">
        <v>2106</v>
      </c>
      <c r="C7">
        <v>6</v>
      </c>
      <c r="D7" t="s">
        <v>19</v>
      </c>
    </row>
    <row r="8" spans="1:9" x14ac:dyDescent="0.25">
      <c r="A8" s="19">
        <v>45428</v>
      </c>
      <c r="B8">
        <v>2107</v>
      </c>
      <c r="C8">
        <v>7</v>
      </c>
      <c r="D8" t="s">
        <v>19</v>
      </c>
    </row>
    <row r="9" spans="1:9" x14ac:dyDescent="0.25">
      <c r="A9" s="19">
        <v>45428</v>
      </c>
      <c r="B9">
        <v>2108</v>
      </c>
      <c r="C9">
        <v>8</v>
      </c>
      <c r="D9" t="s">
        <v>19</v>
      </c>
    </row>
    <row r="10" spans="1:9" x14ac:dyDescent="0.25">
      <c r="A10" s="19">
        <v>45428</v>
      </c>
      <c r="B10">
        <v>2109</v>
      </c>
      <c r="C10">
        <v>9</v>
      </c>
      <c r="D10" t="s">
        <v>19</v>
      </c>
    </row>
    <row r="11" spans="1:9" x14ac:dyDescent="0.25">
      <c r="A11" s="19">
        <v>45428</v>
      </c>
      <c r="B11">
        <v>2110</v>
      </c>
      <c r="C11">
        <v>10</v>
      </c>
      <c r="D11" t="s">
        <v>19</v>
      </c>
    </row>
    <row r="12" spans="1:9" x14ac:dyDescent="0.25">
      <c r="A12" s="19">
        <v>45428</v>
      </c>
      <c r="B12">
        <v>2111</v>
      </c>
      <c r="C12">
        <v>11</v>
      </c>
      <c r="D12" t="s">
        <v>19</v>
      </c>
    </row>
    <row r="13" spans="1:9" x14ac:dyDescent="0.25">
      <c r="A13" s="19">
        <v>45428</v>
      </c>
      <c r="B13">
        <v>2112</v>
      </c>
      <c r="C13">
        <v>12</v>
      </c>
      <c r="D13" t="s">
        <v>19</v>
      </c>
    </row>
    <row r="14" spans="1:9" x14ac:dyDescent="0.25">
      <c r="A14" s="19">
        <v>45428</v>
      </c>
      <c r="B14">
        <v>2113</v>
      </c>
      <c r="C14">
        <v>13</v>
      </c>
      <c r="D14" t="s">
        <v>19</v>
      </c>
    </row>
    <row r="15" spans="1:9" x14ac:dyDescent="0.25">
      <c r="A15" s="19">
        <v>45442</v>
      </c>
      <c r="B15">
        <v>2201</v>
      </c>
      <c r="C15">
        <v>1</v>
      </c>
      <c r="D15" t="s">
        <v>19</v>
      </c>
      <c r="F15" t="str">
        <f>TEXT(A15, "yyyymmdd")</f>
        <v>20240530</v>
      </c>
      <c r="I15">
        <v>1</v>
      </c>
    </row>
    <row r="16" spans="1:9" x14ac:dyDescent="0.25">
      <c r="A16" s="19">
        <v>45442</v>
      </c>
      <c r="B16">
        <v>2202</v>
      </c>
      <c r="C16">
        <v>2</v>
      </c>
      <c r="D16" t="s">
        <v>19</v>
      </c>
      <c r="I16">
        <v>1</v>
      </c>
    </row>
    <row r="17" spans="1:10" x14ac:dyDescent="0.25">
      <c r="A17" s="19">
        <v>45442</v>
      </c>
      <c r="B17">
        <v>2203</v>
      </c>
      <c r="C17">
        <v>3</v>
      </c>
      <c r="D17" t="s">
        <v>19</v>
      </c>
      <c r="I17">
        <v>1</v>
      </c>
    </row>
    <row r="18" spans="1:10" x14ac:dyDescent="0.25">
      <c r="A18" s="19">
        <v>45442</v>
      </c>
      <c r="B18">
        <v>2204</v>
      </c>
      <c r="C18">
        <v>4</v>
      </c>
      <c r="D18" t="s">
        <v>19</v>
      </c>
      <c r="I18">
        <v>1</v>
      </c>
    </row>
    <row r="19" spans="1:10" x14ac:dyDescent="0.25">
      <c r="A19" s="19">
        <v>45442</v>
      </c>
      <c r="B19">
        <v>2205</v>
      </c>
      <c r="C19">
        <v>5</v>
      </c>
      <c r="D19" t="s">
        <v>19</v>
      </c>
      <c r="I19">
        <v>1</v>
      </c>
    </row>
    <row r="20" spans="1:10" x14ac:dyDescent="0.25">
      <c r="A20" s="19">
        <v>45442</v>
      </c>
      <c r="B20">
        <v>2206</v>
      </c>
      <c r="C20">
        <v>6</v>
      </c>
      <c r="D20" t="s">
        <v>19</v>
      </c>
      <c r="I20">
        <v>1</v>
      </c>
    </row>
    <row r="21" spans="1:10" x14ac:dyDescent="0.25">
      <c r="A21" s="19">
        <v>45442</v>
      </c>
      <c r="B21">
        <v>2207</v>
      </c>
      <c r="C21">
        <v>7</v>
      </c>
      <c r="D21" t="s">
        <v>19</v>
      </c>
      <c r="I21">
        <v>1</v>
      </c>
    </row>
    <row r="22" spans="1:10" x14ac:dyDescent="0.25">
      <c r="A22" s="19">
        <v>45442</v>
      </c>
      <c r="B22">
        <v>2208</v>
      </c>
      <c r="C22">
        <v>8</v>
      </c>
      <c r="D22" t="s">
        <v>19</v>
      </c>
      <c r="I22">
        <v>1</v>
      </c>
    </row>
    <row r="23" spans="1:10" x14ac:dyDescent="0.25">
      <c r="A23" s="20">
        <v>45447</v>
      </c>
      <c r="B23" s="21">
        <v>4104</v>
      </c>
      <c r="C23" s="21">
        <v>4</v>
      </c>
      <c r="D23" s="21" t="s">
        <v>20</v>
      </c>
      <c r="E23" s="21"/>
      <c r="F23" s="21"/>
      <c r="G23" s="21"/>
      <c r="H23" s="21"/>
      <c r="I23" s="21">
        <v>1</v>
      </c>
      <c r="J23" s="21" t="s">
        <v>24</v>
      </c>
    </row>
    <row r="24" spans="1:10" x14ac:dyDescent="0.25">
      <c r="A24" s="19">
        <v>45447</v>
      </c>
      <c r="B24">
        <v>4106</v>
      </c>
      <c r="C24">
        <v>6</v>
      </c>
      <c r="D24" t="s">
        <v>20</v>
      </c>
      <c r="I24">
        <v>1</v>
      </c>
    </row>
    <row r="25" spans="1:10" x14ac:dyDescent="0.25">
      <c r="A25" s="19">
        <v>45447</v>
      </c>
      <c r="B25">
        <v>4108</v>
      </c>
      <c r="C25">
        <v>8</v>
      </c>
      <c r="D25" t="s">
        <v>20</v>
      </c>
      <c r="I25">
        <v>1</v>
      </c>
    </row>
    <row r="26" spans="1:10" x14ac:dyDescent="0.25">
      <c r="A26" s="19">
        <v>45447</v>
      </c>
      <c r="B26">
        <v>4109</v>
      </c>
      <c r="C26">
        <v>9</v>
      </c>
      <c r="D26" t="s">
        <v>20</v>
      </c>
      <c r="I26">
        <v>1</v>
      </c>
    </row>
    <row r="27" spans="1:10" x14ac:dyDescent="0.25">
      <c r="A27" s="19">
        <v>45447</v>
      </c>
      <c r="B27">
        <v>4110</v>
      </c>
      <c r="C27">
        <v>10</v>
      </c>
      <c r="D27" t="s">
        <v>20</v>
      </c>
      <c r="I27">
        <v>1</v>
      </c>
    </row>
    <row r="28" spans="1:10" x14ac:dyDescent="0.25">
      <c r="A28" s="19">
        <v>45447</v>
      </c>
      <c r="B28">
        <v>4111</v>
      </c>
      <c r="C28">
        <v>11</v>
      </c>
      <c r="D28" t="s">
        <v>20</v>
      </c>
      <c r="I28">
        <v>1</v>
      </c>
    </row>
    <row r="29" spans="1:10" x14ac:dyDescent="0.25">
      <c r="A29" s="19">
        <v>45447</v>
      </c>
      <c r="B29">
        <v>4112</v>
      </c>
      <c r="C29">
        <v>12</v>
      </c>
      <c r="D29" t="s">
        <v>20</v>
      </c>
      <c r="I29">
        <v>1</v>
      </c>
    </row>
    <row r="30" spans="1:10" x14ac:dyDescent="0.25">
      <c r="A30" s="19">
        <v>45447</v>
      </c>
      <c r="B30">
        <v>4114</v>
      </c>
      <c r="C30">
        <v>14</v>
      </c>
      <c r="D30" t="s">
        <v>20</v>
      </c>
      <c r="I30">
        <v>1</v>
      </c>
    </row>
    <row r="31" spans="1:10" x14ac:dyDescent="0.25">
      <c r="A31" s="19">
        <v>45447</v>
      </c>
      <c r="B31">
        <v>4115</v>
      </c>
      <c r="C31">
        <v>15</v>
      </c>
      <c r="D31" t="s">
        <v>20</v>
      </c>
      <c r="I31">
        <v>1</v>
      </c>
    </row>
    <row r="32" spans="1:10" x14ac:dyDescent="0.25">
      <c r="A32" s="19">
        <v>45449</v>
      </c>
      <c r="B32">
        <v>3101</v>
      </c>
      <c r="C32">
        <v>1</v>
      </c>
      <c r="D32" t="s">
        <v>22</v>
      </c>
      <c r="I32">
        <v>1</v>
      </c>
    </row>
    <row r="33" spans="1:9" x14ac:dyDescent="0.25">
      <c r="A33" s="19">
        <v>45449</v>
      </c>
      <c r="B33">
        <v>3102</v>
      </c>
      <c r="C33">
        <v>2</v>
      </c>
      <c r="D33" t="s">
        <v>22</v>
      </c>
      <c r="I33">
        <v>1</v>
      </c>
    </row>
    <row r="34" spans="1:9" x14ac:dyDescent="0.25">
      <c r="A34" s="19">
        <v>45449</v>
      </c>
      <c r="B34">
        <v>3103</v>
      </c>
      <c r="C34">
        <v>3</v>
      </c>
      <c r="D34" t="s">
        <v>22</v>
      </c>
      <c r="I34">
        <v>1</v>
      </c>
    </row>
    <row r="35" spans="1:9" x14ac:dyDescent="0.25">
      <c r="A35" s="19">
        <v>45449</v>
      </c>
      <c r="B35">
        <v>3104</v>
      </c>
      <c r="C35">
        <v>4</v>
      </c>
      <c r="D35" t="s">
        <v>22</v>
      </c>
      <c r="I35">
        <v>1</v>
      </c>
    </row>
    <row r="36" spans="1:9" x14ac:dyDescent="0.25">
      <c r="A36" s="19">
        <v>45449</v>
      </c>
      <c r="B36">
        <v>3105</v>
      </c>
      <c r="C36">
        <v>5</v>
      </c>
      <c r="D36" t="s">
        <v>22</v>
      </c>
      <c r="I36">
        <v>1</v>
      </c>
    </row>
    <row r="37" spans="1:9" x14ac:dyDescent="0.25">
      <c r="A37" s="19">
        <v>45449</v>
      </c>
      <c r="B37">
        <v>3106</v>
      </c>
      <c r="C37">
        <v>6</v>
      </c>
      <c r="D37" t="s">
        <v>22</v>
      </c>
      <c r="I37">
        <v>1</v>
      </c>
    </row>
    <row r="38" spans="1:9" x14ac:dyDescent="0.25">
      <c r="A38" s="19">
        <v>45449</v>
      </c>
      <c r="B38">
        <v>3107</v>
      </c>
      <c r="C38">
        <v>7</v>
      </c>
      <c r="D38" t="s">
        <v>22</v>
      </c>
      <c r="I38">
        <v>1</v>
      </c>
    </row>
    <row r="39" spans="1:9" x14ac:dyDescent="0.25">
      <c r="A39" s="19">
        <v>45449</v>
      </c>
      <c r="B39">
        <v>3108</v>
      </c>
      <c r="C39">
        <v>8</v>
      </c>
      <c r="D39" t="s">
        <v>22</v>
      </c>
      <c r="I39">
        <v>1</v>
      </c>
    </row>
    <row r="40" spans="1:9" x14ac:dyDescent="0.25">
      <c r="A40" s="19">
        <v>45449</v>
      </c>
      <c r="B40">
        <v>3109</v>
      </c>
      <c r="C40">
        <v>9</v>
      </c>
      <c r="D40" t="s">
        <v>22</v>
      </c>
      <c r="I40">
        <v>1</v>
      </c>
    </row>
    <row r="41" spans="1:9" x14ac:dyDescent="0.25">
      <c r="A41" s="19">
        <v>45449</v>
      </c>
      <c r="B41">
        <v>3110</v>
      </c>
      <c r="C41">
        <v>10</v>
      </c>
      <c r="D41" t="s">
        <v>22</v>
      </c>
      <c r="I41">
        <v>1</v>
      </c>
    </row>
    <row r="42" spans="1:9" x14ac:dyDescent="0.25">
      <c r="A42" s="19">
        <v>45449</v>
      </c>
      <c r="B42">
        <v>3113</v>
      </c>
      <c r="C42">
        <v>13</v>
      </c>
      <c r="D42" t="s">
        <v>22</v>
      </c>
      <c r="I42">
        <v>1</v>
      </c>
    </row>
    <row r="43" spans="1:9" x14ac:dyDescent="0.25">
      <c r="A43" s="19">
        <v>45449</v>
      </c>
      <c r="B43">
        <v>3114</v>
      </c>
      <c r="C43">
        <v>14</v>
      </c>
      <c r="D43" t="s">
        <v>22</v>
      </c>
      <c r="I43">
        <v>1</v>
      </c>
    </row>
    <row r="44" spans="1:9" x14ac:dyDescent="0.25">
      <c r="A44" s="19">
        <v>45455</v>
      </c>
      <c r="B44">
        <v>2101</v>
      </c>
      <c r="C44">
        <v>1</v>
      </c>
      <c r="D44" t="s">
        <v>19</v>
      </c>
      <c r="I44">
        <v>1</v>
      </c>
    </row>
    <row r="45" spans="1:9" x14ac:dyDescent="0.25">
      <c r="A45" s="19">
        <v>45455</v>
      </c>
      <c r="B45">
        <v>2102</v>
      </c>
      <c r="C45">
        <v>2</v>
      </c>
      <c r="D45" t="s">
        <v>19</v>
      </c>
      <c r="I45">
        <v>1</v>
      </c>
    </row>
    <row r="46" spans="1:9" x14ac:dyDescent="0.25">
      <c r="A46" s="19">
        <v>45455</v>
      </c>
      <c r="B46">
        <v>2103</v>
      </c>
      <c r="C46">
        <v>3</v>
      </c>
      <c r="D46" t="s">
        <v>19</v>
      </c>
      <c r="I46">
        <v>1</v>
      </c>
    </row>
    <row r="47" spans="1:9" x14ac:dyDescent="0.25">
      <c r="A47" s="19">
        <v>45455</v>
      </c>
      <c r="B47">
        <v>2104</v>
      </c>
      <c r="C47">
        <v>4</v>
      </c>
      <c r="D47" t="s">
        <v>19</v>
      </c>
      <c r="I47">
        <v>1</v>
      </c>
    </row>
    <row r="48" spans="1:9" x14ac:dyDescent="0.25">
      <c r="A48" s="19">
        <v>45455</v>
      </c>
      <c r="B48">
        <v>2105</v>
      </c>
      <c r="C48">
        <v>5</v>
      </c>
      <c r="D48" t="s">
        <v>19</v>
      </c>
      <c r="I48">
        <v>1</v>
      </c>
    </row>
    <row r="49" spans="1:9" x14ac:dyDescent="0.25">
      <c r="A49" s="19">
        <v>45455</v>
      </c>
      <c r="B49">
        <v>2106</v>
      </c>
      <c r="C49">
        <v>6</v>
      </c>
      <c r="D49" t="s">
        <v>19</v>
      </c>
      <c r="I49">
        <v>1</v>
      </c>
    </row>
    <row r="50" spans="1:9" x14ac:dyDescent="0.25">
      <c r="A50" s="19">
        <v>45455</v>
      </c>
      <c r="B50">
        <v>2107</v>
      </c>
      <c r="C50">
        <v>7</v>
      </c>
      <c r="D50" t="s">
        <v>19</v>
      </c>
      <c r="I50">
        <v>1</v>
      </c>
    </row>
    <row r="51" spans="1:9" x14ac:dyDescent="0.25">
      <c r="A51" s="19">
        <v>45455</v>
      </c>
      <c r="B51">
        <v>2108</v>
      </c>
      <c r="C51">
        <v>8</v>
      </c>
      <c r="D51" t="s">
        <v>19</v>
      </c>
      <c r="I51">
        <v>1</v>
      </c>
    </row>
    <row r="52" spans="1:9" x14ac:dyDescent="0.25">
      <c r="A52" s="19">
        <v>45455</v>
      </c>
      <c r="B52">
        <v>2109</v>
      </c>
      <c r="C52">
        <v>9</v>
      </c>
      <c r="D52" t="s">
        <v>19</v>
      </c>
      <c r="I52">
        <v>1</v>
      </c>
    </row>
    <row r="53" spans="1:9" x14ac:dyDescent="0.25">
      <c r="A53" s="19">
        <v>45455</v>
      </c>
      <c r="B53">
        <v>2110</v>
      </c>
      <c r="C53">
        <v>10</v>
      </c>
      <c r="D53" t="s">
        <v>19</v>
      </c>
      <c r="I53">
        <v>1</v>
      </c>
    </row>
    <row r="54" spans="1:9" x14ac:dyDescent="0.25">
      <c r="A54" s="19">
        <v>45455</v>
      </c>
      <c r="B54">
        <v>2111</v>
      </c>
      <c r="C54">
        <v>11</v>
      </c>
      <c r="D54" t="s">
        <v>19</v>
      </c>
      <c r="I54">
        <v>1</v>
      </c>
    </row>
    <row r="55" spans="1:9" x14ac:dyDescent="0.25">
      <c r="A55" s="19">
        <v>45455</v>
      </c>
      <c r="B55">
        <v>2112</v>
      </c>
      <c r="C55">
        <v>12</v>
      </c>
      <c r="D55" t="s">
        <v>19</v>
      </c>
      <c r="I55">
        <v>1</v>
      </c>
    </row>
    <row r="56" spans="1:9" x14ac:dyDescent="0.25">
      <c r="A56" s="19">
        <v>45455</v>
      </c>
      <c r="B56">
        <v>2113</v>
      </c>
      <c r="C56">
        <v>13</v>
      </c>
      <c r="D56" t="s">
        <v>19</v>
      </c>
      <c r="I56">
        <v>1</v>
      </c>
    </row>
    <row r="57" spans="1:9" x14ac:dyDescent="0.25">
      <c r="A57" s="19">
        <v>45456</v>
      </c>
      <c r="B57">
        <v>4101</v>
      </c>
      <c r="C57">
        <v>1</v>
      </c>
      <c r="D57" t="s">
        <v>20</v>
      </c>
      <c r="I57">
        <v>1</v>
      </c>
    </row>
    <row r="58" spans="1:9" x14ac:dyDescent="0.25">
      <c r="A58" s="19">
        <v>45456</v>
      </c>
      <c r="B58">
        <v>4105</v>
      </c>
      <c r="C58">
        <v>5</v>
      </c>
      <c r="D58" t="s">
        <v>20</v>
      </c>
      <c r="I58">
        <v>1</v>
      </c>
    </row>
    <row r="59" spans="1:9" x14ac:dyDescent="0.25">
      <c r="A59" s="19">
        <v>45456</v>
      </c>
      <c r="B59">
        <v>4106</v>
      </c>
      <c r="C59">
        <v>6</v>
      </c>
      <c r="D59" t="s">
        <v>20</v>
      </c>
      <c r="I59">
        <v>1</v>
      </c>
    </row>
    <row r="60" spans="1:9" x14ac:dyDescent="0.25">
      <c r="A60" s="19">
        <v>45456</v>
      </c>
      <c r="B60">
        <v>4108</v>
      </c>
      <c r="C60">
        <v>8</v>
      </c>
      <c r="D60" t="s">
        <v>20</v>
      </c>
      <c r="I60">
        <v>1</v>
      </c>
    </row>
    <row r="61" spans="1:9" x14ac:dyDescent="0.25">
      <c r="A61" s="19">
        <v>45456</v>
      </c>
      <c r="B61">
        <v>4109</v>
      </c>
      <c r="C61">
        <v>9</v>
      </c>
      <c r="D61" t="s">
        <v>20</v>
      </c>
      <c r="I61">
        <v>1</v>
      </c>
    </row>
    <row r="62" spans="1:9" x14ac:dyDescent="0.25">
      <c r="A62" s="19">
        <v>45456</v>
      </c>
      <c r="B62">
        <v>4110</v>
      </c>
      <c r="C62">
        <v>10</v>
      </c>
      <c r="D62" t="s">
        <v>20</v>
      </c>
      <c r="I62">
        <v>1</v>
      </c>
    </row>
    <row r="63" spans="1:9" x14ac:dyDescent="0.25">
      <c r="A63" s="19">
        <v>45456</v>
      </c>
      <c r="B63">
        <v>4111</v>
      </c>
      <c r="C63">
        <v>11</v>
      </c>
      <c r="D63" t="s">
        <v>20</v>
      </c>
      <c r="I63">
        <v>1</v>
      </c>
    </row>
    <row r="64" spans="1:9" x14ac:dyDescent="0.25">
      <c r="A64" s="19">
        <v>45456</v>
      </c>
      <c r="B64">
        <v>4112</v>
      </c>
      <c r="C64">
        <v>12</v>
      </c>
      <c r="D64" t="s">
        <v>20</v>
      </c>
      <c r="I64">
        <v>1</v>
      </c>
    </row>
    <row r="65" spans="1:9" x14ac:dyDescent="0.25">
      <c r="A65" s="19">
        <v>45456</v>
      </c>
      <c r="B65">
        <v>4114</v>
      </c>
      <c r="C65">
        <v>14</v>
      </c>
      <c r="D65" t="s">
        <v>20</v>
      </c>
      <c r="I65">
        <v>1</v>
      </c>
    </row>
    <row r="66" spans="1:9" x14ac:dyDescent="0.25">
      <c r="A66" s="19">
        <v>45456</v>
      </c>
      <c r="B66">
        <v>4115</v>
      </c>
      <c r="C66">
        <v>15</v>
      </c>
      <c r="D66" t="s">
        <v>20</v>
      </c>
      <c r="I66">
        <v>1</v>
      </c>
    </row>
    <row r="67" spans="1:9" x14ac:dyDescent="0.25">
      <c r="A67" s="19">
        <v>45460</v>
      </c>
      <c r="B67">
        <v>3101</v>
      </c>
      <c r="C67">
        <v>1</v>
      </c>
      <c r="D67" t="s">
        <v>22</v>
      </c>
      <c r="I67">
        <v>1</v>
      </c>
    </row>
    <row r="68" spans="1:9" x14ac:dyDescent="0.25">
      <c r="A68" s="19">
        <v>45460</v>
      </c>
      <c r="B68">
        <v>3102</v>
      </c>
      <c r="C68">
        <v>2</v>
      </c>
      <c r="D68" t="s">
        <v>22</v>
      </c>
      <c r="I68">
        <v>1</v>
      </c>
    </row>
    <row r="69" spans="1:9" x14ac:dyDescent="0.25">
      <c r="A69" s="19">
        <v>45460</v>
      </c>
      <c r="B69">
        <v>3103</v>
      </c>
      <c r="C69">
        <v>3</v>
      </c>
      <c r="D69" t="s">
        <v>22</v>
      </c>
      <c r="I69">
        <v>1</v>
      </c>
    </row>
    <row r="70" spans="1:9" x14ac:dyDescent="0.25">
      <c r="A70" s="19">
        <v>45460</v>
      </c>
      <c r="B70">
        <v>3104</v>
      </c>
      <c r="C70">
        <v>4</v>
      </c>
      <c r="D70" t="s">
        <v>22</v>
      </c>
      <c r="I70">
        <v>1</v>
      </c>
    </row>
    <row r="71" spans="1:9" x14ac:dyDescent="0.25">
      <c r="A71" s="19">
        <v>45460</v>
      </c>
      <c r="B71">
        <v>3105</v>
      </c>
      <c r="C71">
        <v>5</v>
      </c>
      <c r="D71" t="s">
        <v>22</v>
      </c>
      <c r="I71">
        <v>1</v>
      </c>
    </row>
    <row r="72" spans="1:9" x14ac:dyDescent="0.25">
      <c r="A72" s="19">
        <v>45460</v>
      </c>
      <c r="B72">
        <v>3106</v>
      </c>
      <c r="C72">
        <v>6</v>
      </c>
      <c r="D72" t="s">
        <v>22</v>
      </c>
      <c r="I72">
        <v>1</v>
      </c>
    </row>
    <row r="73" spans="1:9" x14ac:dyDescent="0.25">
      <c r="A73" s="19">
        <v>45460</v>
      </c>
      <c r="B73">
        <v>3107</v>
      </c>
      <c r="C73">
        <v>7</v>
      </c>
      <c r="D73" t="s">
        <v>22</v>
      </c>
      <c r="I73">
        <v>1</v>
      </c>
    </row>
    <row r="74" spans="1:9" x14ac:dyDescent="0.25">
      <c r="A74" s="19">
        <v>45460</v>
      </c>
      <c r="B74">
        <v>3108</v>
      </c>
      <c r="C74">
        <v>8</v>
      </c>
      <c r="D74" t="s">
        <v>22</v>
      </c>
      <c r="I74">
        <v>1</v>
      </c>
    </row>
    <row r="75" spans="1:9" x14ac:dyDescent="0.25">
      <c r="A75" s="19">
        <v>45460</v>
      </c>
      <c r="B75">
        <v>3109</v>
      </c>
      <c r="C75">
        <v>9</v>
      </c>
      <c r="D75" t="s">
        <v>22</v>
      </c>
      <c r="I75">
        <v>1</v>
      </c>
    </row>
    <row r="76" spans="1:9" x14ac:dyDescent="0.25">
      <c r="A76" s="19">
        <v>45460</v>
      </c>
      <c r="B76">
        <v>3110</v>
      </c>
      <c r="C76">
        <v>10</v>
      </c>
      <c r="D76" t="s">
        <v>22</v>
      </c>
      <c r="I76">
        <v>1</v>
      </c>
    </row>
    <row r="77" spans="1:9" x14ac:dyDescent="0.25">
      <c r="A77" s="19">
        <v>45460</v>
      </c>
      <c r="B77">
        <v>3113</v>
      </c>
      <c r="C77">
        <v>13</v>
      </c>
      <c r="D77" t="s">
        <v>22</v>
      </c>
      <c r="I77">
        <v>1</v>
      </c>
    </row>
    <row r="78" spans="1:9" x14ac:dyDescent="0.25">
      <c r="A78" s="19">
        <v>45460</v>
      </c>
      <c r="B78">
        <v>3114</v>
      </c>
      <c r="C78">
        <v>14</v>
      </c>
      <c r="D78" t="s">
        <v>22</v>
      </c>
      <c r="I78">
        <v>1</v>
      </c>
    </row>
    <row r="79" spans="1:9" x14ac:dyDescent="0.25">
      <c r="A79" s="19">
        <v>45462</v>
      </c>
      <c r="B79">
        <v>4105</v>
      </c>
      <c r="C79">
        <v>5</v>
      </c>
      <c r="D79" t="s">
        <v>20</v>
      </c>
      <c r="I79">
        <v>1</v>
      </c>
    </row>
    <row r="80" spans="1:9" x14ac:dyDescent="0.25">
      <c r="A80" s="19">
        <v>45462</v>
      </c>
      <c r="B80">
        <v>4106</v>
      </c>
      <c r="C80">
        <v>6</v>
      </c>
      <c r="D80" t="s">
        <v>20</v>
      </c>
      <c r="I80">
        <v>1</v>
      </c>
    </row>
    <row r="81" spans="1:9" x14ac:dyDescent="0.25">
      <c r="A81" s="19">
        <v>45462</v>
      </c>
      <c r="B81">
        <v>4108</v>
      </c>
      <c r="C81">
        <v>8</v>
      </c>
      <c r="D81" t="s">
        <v>20</v>
      </c>
      <c r="I81">
        <v>1</v>
      </c>
    </row>
    <row r="82" spans="1:9" x14ac:dyDescent="0.25">
      <c r="A82" s="19">
        <v>45462</v>
      </c>
      <c r="B82">
        <v>4109</v>
      </c>
      <c r="C82">
        <v>9</v>
      </c>
      <c r="D82" t="s">
        <v>20</v>
      </c>
      <c r="I82">
        <v>1</v>
      </c>
    </row>
    <row r="83" spans="1:9" x14ac:dyDescent="0.25">
      <c r="A83" s="19">
        <v>45462</v>
      </c>
      <c r="B83">
        <v>4110</v>
      </c>
      <c r="C83">
        <v>10</v>
      </c>
      <c r="D83" t="s">
        <v>20</v>
      </c>
      <c r="I83">
        <v>1</v>
      </c>
    </row>
    <row r="84" spans="1:9" x14ac:dyDescent="0.25">
      <c r="A84" s="19">
        <v>45462</v>
      </c>
      <c r="B84">
        <v>4111</v>
      </c>
      <c r="C84">
        <v>11</v>
      </c>
      <c r="D84" t="s">
        <v>20</v>
      </c>
      <c r="I84">
        <v>1</v>
      </c>
    </row>
    <row r="85" spans="1:9" x14ac:dyDescent="0.25">
      <c r="A85" s="19">
        <v>45462</v>
      </c>
      <c r="B85">
        <v>4112</v>
      </c>
      <c r="C85">
        <v>12</v>
      </c>
      <c r="D85" t="s">
        <v>20</v>
      </c>
      <c r="I85">
        <v>1</v>
      </c>
    </row>
    <row r="86" spans="1:9" x14ac:dyDescent="0.25">
      <c r="A86" s="19">
        <v>45462</v>
      </c>
      <c r="B86">
        <v>4114</v>
      </c>
      <c r="C86">
        <v>14</v>
      </c>
      <c r="D86" t="s">
        <v>20</v>
      </c>
      <c r="I86">
        <v>1</v>
      </c>
    </row>
    <row r="87" spans="1:9" x14ac:dyDescent="0.25">
      <c r="A87" s="19">
        <v>45462</v>
      </c>
      <c r="B87">
        <v>4115</v>
      </c>
      <c r="C87">
        <v>15</v>
      </c>
      <c r="D87" t="s">
        <v>20</v>
      </c>
      <c r="I87">
        <v>1</v>
      </c>
    </row>
    <row r="88" spans="1:9" x14ac:dyDescent="0.25">
      <c r="A88" s="19">
        <v>45467</v>
      </c>
      <c r="B88">
        <v>2101</v>
      </c>
      <c r="C88">
        <v>1</v>
      </c>
      <c r="D88" t="s">
        <v>19</v>
      </c>
      <c r="I88">
        <v>1</v>
      </c>
    </row>
    <row r="89" spans="1:9" x14ac:dyDescent="0.25">
      <c r="A89" s="19">
        <v>45467</v>
      </c>
      <c r="B89">
        <v>2102</v>
      </c>
      <c r="C89">
        <v>2</v>
      </c>
      <c r="D89" t="s">
        <v>19</v>
      </c>
      <c r="I89">
        <v>1</v>
      </c>
    </row>
    <row r="90" spans="1:9" x14ac:dyDescent="0.25">
      <c r="A90" s="19">
        <v>45467</v>
      </c>
      <c r="B90">
        <v>2103</v>
      </c>
      <c r="C90">
        <v>3</v>
      </c>
      <c r="D90" t="s">
        <v>19</v>
      </c>
      <c r="I90">
        <v>1</v>
      </c>
    </row>
    <row r="91" spans="1:9" x14ac:dyDescent="0.25">
      <c r="A91" s="19">
        <v>45467</v>
      </c>
      <c r="B91">
        <v>2104</v>
      </c>
      <c r="C91">
        <v>4</v>
      </c>
      <c r="D91" t="s">
        <v>19</v>
      </c>
      <c r="I91">
        <v>1</v>
      </c>
    </row>
    <row r="92" spans="1:9" x14ac:dyDescent="0.25">
      <c r="A92" s="19">
        <v>45467</v>
      </c>
      <c r="B92">
        <v>2105</v>
      </c>
      <c r="C92">
        <v>5</v>
      </c>
      <c r="D92" t="s">
        <v>19</v>
      </c>
      <c r="I92">
        <v>1</v>
      </c>
    </row>
    <row r="93" spans="1:9" x14ac:dyDescent="0.25">
      <c r="A93" s="19">
        <v>45467</v>
      </c>
      <c r="B93">
        <v>2106</v>
      </c>
      <c r="C93">
        <v>6</v>
      </c>
      <c r="D93" t="s">
        <v>19</v>
      </c>
      <c r="I93">
        <v>1</v>
      </c>
    </row>
    <row r="94" spans="1:9" x14ac:dyDescent="0.25">
      <c r="A94" s="19">
        <v>45467</v>
      </c>
      <c r="B94">
        <v>2107</v>
      </c>
      <c r="C94">
        <v>7</v>
      </c>
      <c r="D94" t="s">
        <v>19</v>
      </c>
      <c r="I94">
        <v>1</v>
      </c>
    </row>
    <row r="95" spans="1:9" x14ac:dyDescent="0.25">
      <c r="A95" s="19">
        <v>45467</v>
      </c>
      <c r="B95">
        <v>2108</v>
      </c>
      <c r="C95">
        <v>8</v>
      </c>
      <c r="D95" t="s">
        <v>19</v>
      </c>
      <c r="I95">
        <v>1</v>
      </c>
    </row>
    <row r="96" spans="1:9" x14ac:dyDescent="0.25">
      <c r="A96" s="19">
        <v>45467</v>
      </c>
      <c r="B96">
        <v>2109</v>
      </c>
      <c r="C96">
        <v>9</v>
      </c>
      <c r="D96" t="s">
        <v>19</v>
      </c>
      <c r="I96">
        <v>1</v>
      </c>
    </row>
    <row r="97" spans="1:9" x14ac:dyDescent="0.25">
      <c r="A97" s="19">
        <v>45467</v>
      </c>
      <c r="B97">
        <v>2110</v>
      </c>
      <c r="C97">
        <v>10</v>
      </c>
      <c r="D97" t="s">
        <v>19</v>
      </c>
      <c r="I97">
        <v>1</v>
      </c>
    </row>
    <row r="98" spans="1:9" x14ac:dyDescent="0.25">
      <c r="A98" s="19">
        <v>45467</v>
      </c>
      <c r="B98">
        <v>2111</v>
      </c>
      <c r="C98">
        <v>11</v>
      </c>
      <c r="D98" t="s">
        <v>19</v>
      </c>
      <c r="I98">
        <v>1</v>
      </c>
    </row>
    <row r="99" spans="1:9" x14ac:dyDescent="0.25">
      <c r="A99" s="19">
        <v>45467</v>
      </c>
      <c r="B99">
        <v>2112</v>
      </c>
      <c r="C99">
        <v>12</v>
      </c>
      <c r="D99" t="s">
        <v>19</v>
      </c>
      <c r="I99">
        <v>1</v>
      </c>
    </row>
    <row r="100" spans="1:9" x14ac:dyDescent="0.25">
      <c r="A100" s="19">
        <v>45467</v>
      </c>
      <c r="B100">
        <v>2113</v>
      </c>
      <c r="C100">
        <v>13</v>
      </c>
      <c r="D100" t="s">
        <v>19</v>
      </c>
      <c r="I100">
        <v>1</v>
      </c>
    </row>
    <row r="101" spans="1:9" x14ac:dyDescent="0.25">
      <c r="A101" s="19">
        <v>45470</v>
      </c>
      <c r="B101">
        <v>3101</v>
      </c>
      <c r="C101">
        <v>1</v>
      </c>
      <c r="D101" t="s">
        <v>22</v>
      </c>
      <c r="I101">
        <v>1</v>
      </c>
    </row>
    <row r="102" spans="1:9" x14ac:dyDescent="0.25">
      <c r="A102" s="19">
        <v>45470</v>
      </c>
      <c r="B102">
        <v>3102</v>
      </c>
      <c r="C102">
        <v>2</v>
      </c>
      <c r="D102" t="s">
        <v>22</v>
      </c>
      <c r="I102">
        <v>1</v>
      </c>
    </row>
    <row r="103" spans="1:9" x14ac:dyDescent="0.25">
      <c r="A103" s="19">
        <v>45470</v>
      </c>
      <c r="B103">
        <v>3103</v>
      </c>
      <c r="C103">
        <v>3</v>
      </c>
      <c r="D103" t="s">
        <v>22</v>
      </c>
      <c r="I103">
        <v>1</v>
      </c>
    </row>
    <row r="104" spans="1:9" x14ac:dyDescent="0.25">
      <c r="A104" s="19">
        <v>45470</v>
      </c>
      <c r="B104">
        <v>3104</v>
      </c>
      <c r="C104">
        <v>4</v>
      </c>
      <c r="D104" t="s">
        <v>22</v>
      </c>
      <c r="I104">
        <v>1</v>
      </c>
    </row>
    <row r="105" spans="1:9" x14ac:dyDescent="0.25">
      <c r="A105" s="19">
        <v>45470</v>
      </c>
      <c r="B105">
        <v>3105</v>
      </c>
      <c r="C105">
        <v>5</v>
      </c>
      <c r="D105" t="s">
        <v>22</v>
      </c>
      <c r="I105">
        <v>1</v>
      </c>
    </row>
    <row r="106" spans="1:9" x14ac:dyDescent="0.25">
      <c r="A106" s="19">
        <v>45470</v>
      </c>
      <c r="B106">
        <v>3106</v>
      </c>
      <c r="C106">
        <v>6</v>
      </c>
      <c r="D106" t="s">
        <v>22</v>
      </c>
      <c r="I106">
        <v>1</v>
      </c>
    </row>
    <row r="107" spans="1:9" x14ac:dyDescent="0.25">
      <c r="A107" s="19">
        <v>45470</v>
      </c>
      <c r="B107">
        <v>3107</v>
      </c>
      <c r="C107">
        <v>7</v>
      </c>
      <c r="D107" t="s">
        <v>22</v>
      </c>
      <c r="I107">
        <v>1</v>
      </c>
    </row>
    <row r="108" spans="1:9" x14ac:dyDescent="0.25">
      <c r="A108" s="19">
        <v>45470</v>
      </c>
      <c r="B108">
        <v>3108</v>
      </c>
      <c r="C108">
        <v>8</v>
      </c>
      <c r="D108" t="s">
        <v>22</v>
      </c>
      <c r="I108">
        <v>1</v>
      </c>
    </row>
    <row r="109" spans="1:9" x14ac:dyDescent="0.25">
      <c r="A109" s="19">
        <v>45470</v>
      </c>
      <c r="B109">
        <v>3109</v>
      </c>
      <c r="C109">
        <v>9</v>
      </c>
      <c r="D109" t="s">
        <v>22</v>
      </c>
      <c r="I109">
        <v>1</v>
      </c>
    </row>
    <row r="110" spans="1:9" x14ac:dyDescent="0.25">
      <c r="A110" s="19">
        <v>45470</v>
      </c>
      <c r="B110">
        <v>3110</v>
      </c>
      <c r="C110">
        <v>10</v>
      </c>
      <c r="D110" t="s">
        <v>22</v>
      </c>
      <c r="I110">
        <v>1</v>
      </c>
    </row>
    <row r="111" spans="1:9" x14ac:dyDescent="0.25">
      <c r="A111" s="19">
        <v>45470</v>
      </c>
      <c r="B111">
        <v>3113</v>
      </c>
      <c r="C111">
        <v>13</v>
      </c>
      <c r="D111" t="s">
        <v>22</v>
      </c>
      <c r="I111">
        <v>1</v>
      </c>
    </row>
    <row r="112" spans="1:9" x14ac:dyDescent="0.25">
      <c r="A112" s="19">
        <v>45470</v>
      </c>
      <c r="B112">
        <v>3114</v>
      </c>
      <c r="C112">
        <v>14</v>
      </c>
      <c r="D112" t="s">
        <v>22</v>
      </c>
      <c r="I112">
        <v>1</v>
      </c>
    </row>
    <row r="113" spans="1:9" x14ac:dyDescent="0.25">
      <c r="A113" s="19">
        <v>45474</v>
      </c>
      <c r="B113">
        <v>4101</v>
      </c>
      <c r="C113">
        <v>1</v>
      </c>
      <c r="D113" t="s">
        <v>20</v>
      </c>
      <c r="I113">
        <v>1</v>
      </c>
    </row>
    <row r="114" spans="1:9" x14ac:dyDescent="0.25">
      <c r="A114" s="19">
        <v>45474</v>
      </c>
      <c r="B114">
        <v>4105</v>
      </c>
      <c r="C114">
        <v>5</v>
      </c>
      <c r="D114" t="s">
        <v>20</v>
      </c>
      <c r="I114">
        <v>1</v>
      </c>
    </row>
    <row r="115" spans="1:9" x14ac:dyDescent="0.25">
      <c r="A115" s="19">
        <v>45474</v>
      </c>
      <c r="B115">
        <v>4106</v>
      </c>
      <c r="C115">
        <v>6</v>
      </c>
      <c r="D115" t="s">
        <v>20</v>
      </c>
      <c r="I115">
        <v>1</v>
      </c>
    </row>
    <row r="116" spans="1:9" x14ac:dyDescent="0.25">
      <c r="A116" s="19">
        <v>45474</v>
      </c>
      <c r="B116">
        <v>4108</v>
      </c>
      <c r="C116">
        <v>8</v>
      </c>
      <c r="D116" t="s">
        <v>20</v>
      </c>
      <c r="I116">
        <v>1</v>
      </c>
    </row>
    <row r="117" spans="1:9" x14ac:dyDescent="0.25">
      <c r="A117" s="19">
        <v>45474</v>
      </c>
      <c r="B117">
        <v>4109</v>
      </c>
      <c r="C117">
        <v>9</v>
      </c>
      <c r="D117" t="s">
        <v>20</v>
      </c>
      <c r="I117">
        <v>1</v>
      </c>
    </row>
    <row r="118" spans="1:9" x14ac:dyDescent="0.25">
      <c r="A118" s="19">
        <v>45474</v>
      </c>
      <c r="B118">
        <v>4110</v>
      </c>
      <c r="C118">
        <v>10</v>
      </c>
      <c r="D118" t="s">
        <v>20</v>
      </c>
      <c r="I118">
        <v>1</v>
      </c>
    </row>
    <row r="119" spans="1:9" x14ac:dyDescent="0.25">
      <c r="A119" s="19">
        <v>45474</v>
      </c>
      <c r="B119">
        <v>4111</v>
      </c>
      <c r="C119">
        <v>11</v>
      </c>
      <c r="D119" t="s">
        <v>20</v>
      </c>
      <c r="I119">
        <v>1</v>
      </c>
    </row>
    <row r="120" spans="1:9" x14ac:dyDescent="0.25">
      <c r="A120" s="19">
        <v>45474</v>
      </c>
      <c r="B120">
        <v>4112</v>
      </c>
      <c r="C120">
        <v>12</v>
      </c>
      <c r="D120" t="s">
        <v>20</v>
      </c>
      <c r="I120">
        <v>1</v>
      </c>
    </row>
    <row r="121" spans="1:9" x14ac:dyDescent="0.25">
      <c r="A121" s="19">
        <v>45474</v>
      </c>
      <c r="B121">
        <v>4114</v>
      </c>
      <c r="C121">
        <v>14</v>
      </c>
      <c r="D121" t="s">
        <v>20</v>
      </c>
      <c r="I121">
        <v>1</v>
      </c>
    </row>
    <row r="122" spans="1:9" x14ac:dyDescent="0.25">
      <c r="A122" s="19">
        <v>45474</v>
      </c>
      <c r="B122">
        <v>4115</v>
      </c>
      <c r="C122">
        <v>15</v>
      </c>
      <c r="D122" t="s">
        <v>20</v>
      </c>
      <c r="I122">
        <v>1</v>
      </c>
    </row>
    <row r="123" spans="1:9" x14ac:dyDescent="0.25">
      <c r="A123" s="19">
        <v>45484</v>
      </c>
      <c r="B123">
        <v>2209</v>
      </c>
      <c r="C123">
        <v>9</v>
      </c>
      <c r="D123" t="s">
        <v>19</v>
      </c>
      <c r="I123">
        <v>1</v>
      </c>
    </row>
    <row r="124" spans="1:9" x14ac:dyDescent="0.25">
      <c r="A124" s="19">
        <v>45484</v>
      </c>
      <c r="B124">
        <v>2210</v>
      </c>
      <c r="C124">
        <v>10</v>
      </c>
      <c r="D124" t="s">
        <v>19</v>
      </c>
      <c r="I124">
        <v>1</v>
      </c>
    </row>
    <row r="125" spans="1:9" x14ac:dyDescent="0.25">
      <c r="A125" s="19">
        <v>45484</v>
      </c>
      <c r="B125">
        <v>2211</v>
      </c>
      <c r="C125">
        <v>11</v>
      </c>
      <c r="D125" t="s">
        <v>19</v>
      </c>
      <c r="I125">
        <v>1</v>
      </c>
    </row>
    <row r="126" spans="1:9" x14ac:dyDescent="0.25">
      <c r="A126" s="19">
        <v>45484</v>
      </c>
      <c r="B126">
        <v>2212</v>
      </c>
      <c r="C126">
        <v>12</v>
      </c>
      <c r="D126" t="s">
        <v>19</v>
      </c>
      <c r="I126">
        <v>1</v>
      </c>
    </row>
    <row r="127" spans="1:9" x14ac:dyDescent="0.25">
      <c r="A127" s="19">
        <v>45490</v>
      </c>
      <c r="B127">
        <v>4105</v>
      </c>
      <c r="C127">
        <v>5</v>
      </c>
      <c r="D127" t="s">
        <v>20</v>
      </c>
      <c r="I127">
        <v>1</v>
      </c>
    </row>
    <row r="128" spans="1:9" x14ac:dyDescent="0.25">
      <c r="A128" s="19">
        <v>45490</v>
      </c>
      <c r="B128">
        <v>4106</v>
      </c>
      <c r="C128">
        <v>6</v>
      </c>
      <c r="D128" t="s">
        <v>20</v>
      </c>
      <c r="I128">
        <v>1</v>
      </c>
    </row>
    <row r="129" spans="1:9" x14ac:dyDescent="0.25">
      <c r="A129" s="19">
        <v>45490</v>
      </c>
      <c r="B129">
        <v>4108</v>
      </c>
      <c r="C129">
        <v>8</v>
      </c>
      <c r="D129" t="s">
        <v>20</v>
      </c>
      <c r="I129">
        <v>1</v>
      </c>
    </row>
    <row r="130" spans="1:9" x14ac:dyDescent="0.25">
      <c r="A130" s="19">
        <v>45490</v>
      </c>
      <c r="B130">
        <v>4109</v>
      </c>
      <c r="C130">
        <v>9</v>
      </c>
      <c r="D130" t="s">
        <v>20</v>
      </c>
      <c r="I130">
        <v>1</v>
      </c>
    </row>
    <row r="131" spans="1:9" x14ac:dyDescent="0.25">
      <c r="A131" s="19">
        <v>45490</v>
      </c>
      <c r="B131">
        <v>4110</v>
      </c>
      <c r="C131">
        <v>10</v>
      </c>
      <c r="D131" t="s">
        <v>20</v>
      </c>
      <c r="I131">
        <v>1</v>
      </c>
    </row>
    <row r="132" spans="1:9" x14ac:dyDescent="0.25">
      <c r="A132" s="19">
        <v>45490</v>
      </c>
      <c r="B132">
        <v>4111</v>
      </c>
      <c r="C132">
        <v>11</v>
      </c>
      <c r="D132" t="s">
        <v>20</v>
      </c>
      <c r="I132">
        <v>1</v>
      </c>
    </row>
    <row r="133" spans="1:9" x14ac:dyDescent="0.25">
      <c r="A133" s="19">
        <v>45490</v>
      </c>
      <c r="B133">
        <v>4112</v>
      </c>
      <c r="C133">
        <v>12</v>
      </c>
      <c r="D133" t="s">
        <v>20</v>
      </c>
      <c r="I133">
        <v>1</v>
      </c>
    </row>
    <row r="134" spans="1:9" x14ac:dyDescent="0.25">
      <c r="A134" s="19">
        <v>45490</v>
      </c>
      <c r="B134">
        <v>4114</v>
      </c>
      <c r="C134">
        <v>14</v>
      </c>
      <c r="D134" t="s">
        <v>20</v>
      </c>
      <c r="I134">
        <v>1</v>
      </c>
    </row>
    <row r="135" spans="1:9" x14ac:dyDescent="0.25">
      <c r="A135" s="19">
        <v>45490</v>
      </c>
      <c r="B135">
        <v>4115</v>
      </c>
      <c r="C135">
        <v>15</v>
      </c>
      <c r="D135" t="s">
        <v>20</v>
      </c>
      <c r="I135">
        <v>1</v>
      </c>
    </row>
    <row r="136" spans="1:9" x14ac:dyDescent="0.25">
      <c r="A136" s="19">
        <v>45491</v>
      </c>
      <c r="B136">
        <v>2101</v>
      </c>
      <c r="C136">
        <v>1</v>
      </c>
      <c r="D136" t="s">
        <v>19</v>
      </c>
      <c r="I136">
        <v>1</v>
      </c>
    </row>
    <row r="137" spans="1:9" x14ac:dyDescent="0.25">
      <c r="A137" s="19">
        <v>45491</v>
      </c>
      <c r="B137">
        <v>2102</v>
      </c>
      <c r="C137">
        <v>2</v>
      </c>
      <c r="D137" t="s">
        <v>19</v>
      </c>
      <c r="I137">
        <v>1</v>
      </c>
    </row>
    <row r="138" spans="1:9" x14ac:dyDescent="0.25">
      <c r="A138" s="19">
        <v>45491</v>
      </c>
      <c r="B138">
        <v>2103</v>
      </c>
      <c r="C138">
        <v>3</v>
      </c>
      <c r="D138" t="s">
        <v>19</v>
      </c>
      <c r="I138">
        <v>1</v>
      </c>
    </row>
    <row r="139" spans="1:9" x14ac:dyDescent="0.25">
      <c r="A139" s="19">
        <v>45491</v>
      </c>
      <c r="B139">
        <v>2104</v>
      </c>
      <c r="C139">
        <v>4</v>
      </c>
      <c r="D139" t="s">
        <v>19</v>
      </c>
      <c r="I139">
        <v>1</v>
      </c>
    </row>
    <row r="140" spans="1:9" x14ac:dyDescent="0.25">
      <c r="A140" s="19">
        <v>45491</v>
      </c>
      <c r="B140">
        <v>2105</v>
      </c>
      <c r="C140">
        <v>5</v>
      </c>
      <c r="D140" t="s">
        <v>19</v>
      </c>
      <c r="I140">
        <v>1</v>
      </c>
    </row>
    <row r="141" spans="1:9" x14ac:dyDescent="0.25">
      <c r="A141" s="19">
        <v>45491</v>
      </c>
      <c r="B141">
        <v>2106</v>
      </c>
      <c r="C141">
        <v>6</v>
      </c>
      <c r="D141" t="s">
        <v>19</v>
      </c>
      <c r="I141">
        <v>1</v>
      </c>
    </row>
    <row r="142" spans="1:9" x14ac:dyDescent="0.25">
      <c r="A142" s="19">
        <v>45491</v>
      </c>
      <c r="B142">
        <v>2107</v>
      </c>
      <c r="C142">
        <v>7</v>
      </c>
      <c r="D142" t="s">
        <v>19</v>
      </c>
      <c r="I142">
        <v>1</v>
      </c>
    </row>
    <row r="143" spans="1:9" x14ac:dyDescent="0.25">
      <c r="A143" s="19">
        <v>45491</v>
      </c>
      <c r="B143">
        <v>2108</v>
      </c>
      <c r="C143">
        <v>8</v>
      </c>
      <c r="D143" t="s">
        <v>19</v>
      </c>
      <c r="I143">
        <v>1</v>
      </c>
    </row>
    <row r="144" spans="1:9" x14ac:dyDescent="0.25">
      <c r="A144" s="19">
        <v>45491</v>
      </c>
      <c r="B144">
        <v>2109</v>
      </c>
      <c r="C144">
        <v>9</v>
      </c>
      <c r="D144" t="s">
        <v>19</v>
      </c>
      <c r="I144">
        <v>1</v>
      </c>
    </row>
    <row r="145" spans="1:10" x14ac:dyDescent="0.25">
      <c r="A145" s="19">
        <v>45491</v>
      </c>
      <c r="B145">
        <v>2110</v>
      </c>
      <c r="C145">
        <v>10</v>
      </c>
      <c r="D145" t="s">
        <v>19</v>
      </c>
      <c r="I145">
        <v>1</v>
      </c>
    </row>
    <row r="146" spans="1:10" x14ac:dyDescent="0.25">
      <c r="A146" s="19">
        <v>45491</v>
      </c>
      <c r="B146">
        <v>2111</v>
      </c>
      <c r="C146">
        <v>11</v>
      </c>
      <c r="D146" t="s">
        <v>19</v>
      </c>
      <c r="I146">
        <v>1</v>
      </c>
      <c r="J146" s="19"/>
    </row>
    <row r="147" spans="1:10" x14ac:dyDescent="0.25">
      <c r="A147" s="19">
        <v>45491</v>
      </c>
      <c r="B147">
        <v>2112</v>
      </c>
      <c r="C147">
        <v>12</v>
      </c>
      <c r="D147" t="s">
        <v>19</v>
      </c>
      <c r="I147">
        <v>1</v>
      </c>
    </row>
    <row r="148" spans="1:10" x14ac:dyDescent="0.25">
      <c r="A148" s="19">
        <v>45491</v>
      </c>
      <c r="B148">
        <v>2113</v>
      </c>
      <c r="C148">
        <v>13</v>
      </c>
      <c r="D148" t="s">
        <v>19</v>
      </c>
      <c r="I148">
        <v>1</v>
      </c>
    </row>
    <row r="149" spans="1:10" x14ac:dyDescent="0.25">
      <c r="A149" s="19">
        <v>45495</v>
      </c>
      <c r="B149">
        <v>4101</v>
      </c>
      <c r="C149">
        <v>1</v>
      </c>
      <c r="D149" t="s">
        <v>20</v>
      </c>
      <c r="I149">
        <v>1</v>
      </c>
    </row>
    <row r="150" spans="1:10" x14ac:dyDescent="0.25">
      <c r="A150" s="19">
        <v>45495</v>
      </c>
      <c r="B150">
        <v>4105</v>
      </c>
      <c r="C150">
        <v>5</v>
      </c>
      <c r="D150" t="s">
        <v>20</v>
      </c>
      <c r="I150">
        <v>1</v>
      </c>
    </row>
    <row r="151" spans="1:10" x14ac:dyDescent="0.25">
      <c r="A151" s="19">
        <v>45495</v>
      </c>
      <c r="B151">
        <v>4106</v>
      </c>
      <c r="C151">
        <v>6</v>
      </c>
      <c r="D151" t="s">
        <v>20</v>
      </c>
      <c r="I151">
        <v>1</v>
      </c>
    </row>
    <row r="152" spans="1:10" x14ac:dyDescent="0.25">
      <c r="A152" s="19">
        <v>45495</v>
      </c>
      <c r="B152">
        <v>4108</v>
      </c>
      <c r="C152">
        <v>8</v>
      </c>
      <c r="D152" t="s">
        <v>20</v>
      </c>
      <c r="I152">
        <v>1</v>
      </c>
    </row>
    <row r="153" spans="1:10" x14ac:dyDescent="0.25">
      <c r="A153" s="19">
        <v>45495</v>
      </c>
      <c r="B153">
        <v>4109</v>
      </c>
      <c r="C153">
        <v>9</v>
      </c>
      <c r="D153" t="s">
        <v>20</v>
      </c>
      <c r="I153">
        <v>1</v>
      </c>
    </row>
    <row r="154" spans="1:10" x14ac:dyDescent="0.25">
      <c r="A154" s="19">
        <v>45495</v>
      </c>
      <c r="B154">
        <v>4110</v>
      </c>
      <c r="C154">
        <v>10</v>
      </c>
      <c r="D154" t="s">
        <v>20</v>
      </c>
      <c r="I154">
        <v>1</v>
      </c>
      <c r="J154" t="s">
        <v>25</v>
      </c>
    </row>
    <row r="155" spans="1:10" x14ac:dyDescent="0.25">
      <c r="A155" s="19">
        <v>45495</v>
      </c>
      <c r="B155">
        <v>4111</v>
      </c>
      <c r="C155">
        <v>11</v>
      </c>
      <c r="D155" t="s">
        <v>20</v>
      </c>
      <c r="I155">
        <v>1</v>
      </c>
    </row>
    <row r="156" spans="1:10" x14ac:dyDescent="0.25">
      <c r="A156" s="19">
        <v>45495</v>
      </c>
      <c r="B156">
        <v>4112</v>
      </c>
      <c r="C156">
        <v>12</v>
      </c>
      <c r="D156" t="s">
        <v>20</v>
      </c>
      <c r="I156">
        <v>1</v>
      </c>
    </row>
    <row r="157" spans="1:10" x14ac:dyDescent="0.25">
      <c r="A157" s="19">
        <v>45495</v>
      </c>
      <c r="B157">
        <v>4114</v>
      </c>
      <c r="C157">
        <v>14</v>
      </c>
      <c r="D157" t="s">
        <v>20</v>
      </c>
      <c r="I157">
        <v>1</v>
      </c>
    </row>
    <row r="158" spans="1:10" x14ac:dyDescent="0.25">
      <c r="A158" s="19">
        <v>45495</v>
      </c>
      <c r="B158">
        <v>4115</v>
      </c>
      <c r="C158">
        <v>15</v>
      </c>
      <c r="D158" t="s">
        <v>20</v>
      </c>
      <c r="I158">
        <v>1</v>
      </c>
    </row>
    <row r="159" spans="1:10" x14ac:dyDescent="0.25">
      <c r="A159" s="19">
        <v>45496</v>
      </c>
      <c r="B159">
        <v>3101</v>
      </c>
      <c r="C159">
        <v>1</v>
      </c>
      <c r="D159" t="s">
        <v>22</v>
      </c>
      <c r="I159">
        <v>1</v>
      </c>
    </row>
    <row r="160" spans="1:10" x14ac:dyDescent="0.25">
      <c r="A160" s="19">
        <v>45496</v>
      </c>
      <c r="B160">
        <v>3102</v>
      </c>
      <c r="C160">
        <v>2</v>
      </c>
      <c r="D160" t="s">
        <v>22</v>
      </c>
      <c r="I160">
        <v>1</v>
      </c>
    </row>
    <row r="161" spans="1:9" x14ac:dyDescent="0.25">
      <c r="A161" s="19">
        <v>45496</v>
      </c>
      <c r="B161">
        <v>3103</v>
      </c>
      <c r="C161">
        <v>3</v>
      </c>
      <c r="D161" t="s">
        <v>22</v>
      </c>
      <c r="I161">
        <v>1</v>
      </c>
    </row>
    <row r="162" spans="1:9" x14ac:dyDescent="0.25">
      <c r="A162" s="19">
        <v>45496</v>
      </c>
      <c r="B162">
        <v>3104</v>
      </c>
      <c r="C162">
        <v>4</v>
      </c>
      <c r="D162" t="s">
        <v>22</v>
      </c>
      <c r="I162">
        <v>1</v>
      </c>
    </row>
    <row r="163" spans="1:9" x14ac:dyDescent="0.25">
      <c r="A163" s="19">
        <v>45496</v>
      </c>
      <c r="B163">
        <v>3105</v>
      </c>
      <c r="C163">
        <v>5</v>
      </c>
      <c r="D163" t="s">
        <v>22</v>
      </c>
      <c r="I163">
        <v>1</v>
      </c>
    </row>
    <row r="164" spans="1:9" x14ac:dyDescent="0.25">
      <c r="A164" s="19">
        <v>45496</v>
      </c>
      <c r="B164">
        <v>3106</v>
      </c>
      <c r="C164">
        <v>6</v>
      </c>
      <c r="D164" t="s">
        <v>22</v>
      </c>
      <c r="I164">
        <v>1</v>
      </c>
    </row>
    <row r="165" spans="1:9" x14ac:dyDescent="0.25">
      <c r="A165" s="19">
        <v>45496</v>
      </c>
      <c r="B165">
        <v>3107</v>
      </c>
      <c r="C165">
        <v>7</v>
      </c>
      <c r="D165" t="s">
        <v>22</v>
      </c>
      <c r="I165">
        <v>1</v>
      </c>
    </row>
    <row r="166" spans="1:9" x14ac:dyDescent="0.25">
      <c r="A166" s="19">
        <v>45496</v>
      </c>
      <c r="B166">
        <v>3108</v>
      </c>
      <c r="C166">
        <v>8</v>
      </c>
      <c r="D166" t="s">
        <v>22</v>
      </c>
      <c r="I166">
        <v>1</v>
      </c>
    </row>
    <row r="167" spans="1:9" x14ac:dyDescent="0.25">
      <c r="A167" s="19">
        <v>45496</v>
      </c>
      <c r="B167">
        <v>3109</v>
      </c>
      <c r="C167">
        <v>9</v>
      </c>
      <c r="D167" t="s">
        <v>22</v>
      </c>
      <c r="I167">
        <v>1</v>
      </c>
    </row>
    <row r="168" spans="1:9" x14ac:dyDescent="0.25">
      <c r="A168" s="19">
        <v>45496</v>
      </c>
      <c r="B168">
        <v>3110</v>
      </c>
      <c r="C168">
        <v>10</v>
      </c>
      <c r="D168" t="s">
        <v>22</v>
      </c>
      <c r="I168">
        <v>1</v>
      </c>
    </row>
    <row r="169" spans="1:9" x14ac:dyDescent="0.25">
      <c r="A169" s="19">
        <v>45496</v>
      </c>
      <c r="B169">
        <v>3113</v>
      </c>
      <c r="C169">
        <v>13</v>
      </c>
      <c r="D169" t="s">
        <v>22</v>
      </c>
      <c r="I169">
        <v>1</v>
      </c>
    </row>
    <row r="170" spans="1:9" x14ac:dyDescent="0.25">
      <c r="A170" s="19">
        <v>45496</v>
      </c>
      <c r="B170">
        <v>3114</v>
      </c>
      <c r="C170">
        <v>14</v>
      </c>
      <c r="D170" t="s">
        <v>22</v>
      </c>
      <c r="I170">
        <v>1</v>
      </c>
    </row>
    <row r="171" spans="1:9" x14ac:dyDescent="0.25">
      <c r="A171" s="19">
        <v>45503</v>
      </c>
      <c r="C171">
        <v>1</v>
      </c>
      <c r="D171" t="s">
        <v>20</v>
      </c>
    </row>
    <row r="172" spans="1:9" x14ac:dyDescent="0.25">
      <c r="A172" s="19">
        <v>45503</v>
      </c>
      <c r="C172">
        <v>2</v>
      </c>
      <c r="D172" t="s">
        <v>20</v>
      </c>
    </row>
    <row r="173" spans="1:9" x14ac:dyDescent="0.25">
      <c r="A173" s="19">
        <v>45503</v>
      </c>
      <c r="C173">
        <v>5</v>
      </c>
      <c r="D173" t="s">
        <v>20</v>
      </c>
    </row>
    <row r="174" spans="1:9" x14ac:dyDescent="0.25">
      <c r="A174" s="19">
        <v>45503</v>
      </c>
      <c r="C174">
        <v>6</v>
      </c>
      <c r="D174" t="s">
        <v>20</v>
      </c>
    </row>
    <row r="175" spans="1:9" x14ac:dyDescent="0.25">
      <c r="A175" s="19">
        <v>45503</v>
      </c>
      <c r="C175">
        <v>8</v>
      </c>
      <c r="D175" t="s">
        <v>20</v>
      </c>
    </row>
    <row r="176" spans="1:9" x14ac:dyDescent="0.25">
      <c r="A176" s="19">
        <v>45503</v>
      </c>
      <c r="C176">
        <v>9</v>
      </c>
      <c r="D176" t="s">
        <v>20</v>
      </c>
    </row>
    <row r="177" spans="1:4" x14ac:dyDescent="0.25">
      <c r="A177" s="19">
        <v>45503</v>
      </c>
      <c r="C177">
        <v>10</v>
      </c>
      <c r="D177" t="s">
        <v>20</v>
      </c>
    </row>
    <row r="178" spans="1:4" x14ac:dyDescent="0.25">
      <c r="A178" s="19">
        <v>45503</v>
      </c>
      <c r="C178">
        <v>11</v>
      </c>
      <c r="D178" t="s">
        <v>20</v>
      </c>
    </row>
    <row r="179" spans="1:4" x14ac:dyDescent="0.25">
      <c r="A179" s="19">
        <v>45503</v>
      </c>
      <c r="C179">
        <v>12</v>
      </c>
      <c r="D179" t="s">
        <v>20</v>
      </c>
    </row>
    <row r="180" spans="1:4" x14ac:dyDescent="0.25">
      <c r="A180" s="19">
        <v>45503</v>
      </c>
      <c r="C180">
        <v>14</v>
      </c>
      <c r="D180" t="s">
        <v>20</v>
      </c>
    </row>
    <row r="181" spans="1:4" x14ac:dyDescent="0.25">
      <c r="A181" s="19">
        <v>45503</v>
      </c>
      <c r="C181">
        <v>15</v>
      </c>
      <c r="D181" t="s">
        <v>20</v>
      </c>
    </row>
    <row r="182" spans="1:4" x14ac:dyDescent="0.25">
      <c r="A182" s="19">
        <v>45504</v>
      </c>
      <c r="C182">
        <v>1</v>
      </c>
      <c r="D182" t="s">
        <v>19</v>
      </c>
    </row>
    <row r="183" spans="1:4" x14ac:dyDescent="0.25">
      <c r="A183" s="19">
        <v>45504</v>
      </c>
      <c r="C183">
        <v>2</v>
      </c>
      <c r="D183" t="s">
        <v>19</v>
      </c>
    </row>
    <row r="184" spans="1:4" x14ac:dyDescent="0.25">
      <c r="A184" s="19">
        <v>45504</v>
      </c>
      <c r="C184">
        <v>3</v>
      </c>
      <c r="D184" t="s">
        <v>19</v>
      </c>
    </row>
    <row r="185" spans="1:4" x14ac:dyDescent="0.25">
      <c r="A185" s="19">
        <v>45504</v>
      </c>
      <c r="C185">
        <v>4</v>
      </c>
      <c r="D185" t="s">
        <v>19</v>
      </c>
    </row>
    <row r="186" spans="1:4" x14ac:dyDescent="0.25">
      <c r="A186" s="19">
        <v>45504</v>
      </c>
      <c r="C186">
        <v>5</v>
      </c>
      <c r="D186" t="s">
        <v>19</v>
      </c>
    </row>
    <row r="187" spans="1:4" x14ac:dyDescent="0.25">
      <c r="A187" s="19">
        <v>45504</v>
      </c>
      <c r="C187">
        <v>6</v>
      </c>
      <c r="D187" t="s">
        <v>19</v>
      </c>
    </row>
    <row r="188" spans="1:4" x14ac:dyDescent="0.25">
      <c r="A188" s="19">
        <v>45504</v>
      </c>
      <c r="C188">
        <v>7</v>
      </c>
      <c r="D188" t="s">
        <v>19</v>
      </c>
    </row>
    <row r="189" spans="1:4" x14ac:dyDescent="0.25">
      <c r="A189" s="19">
        <v>45504</v>
      </c>
      <c r="C189">
        <v>8</v>
      </c>
      <c r="D189" t="s">
        <v>19</v>
      </c>
    </row>
    <row r="190" spans="1:4" x14ac:dyDescent="0.25">
      <c r="A190" s="19">
        <v>45504</v>
      </c>
      <c r="C190">
        <v>9</v>
      </c>
      <c r="D190" t="s">
        <v>19</v>
      </c>
    </row>
    <row r="191" spans="1:4" x14ac:dyDescent="0.25">
      <c r="A191" s="19">
        <v>45504</v>
      </c>
      <c r="C191">
        <v>10</v>
      </c>
      <c r="D191" t="s">
        <v>19</v>
      </c>
    </row>
    <row r="192" spans="1:4" x14ac:dyDescent="0.25">
      <c r="A192" s="19">
        <v>45504</v>
      </c>
      <c r="C192">
        <v>11</v>
      </c>
      <c r="D192" t="s">
        <v>19</v>
      </c>
    </row>
    <row r="193" spans="1:4" x14ac:dyDescent="0.25">
      <c r="A193" s="19">
        <v>45504</v>
      </c>
      <c r="C193">
        <v>12</v>
      </c>
      <c r="D193" t="s">
        <v>19</v>
      </c>
    </row>
    <row r="194" spans="1:4" x14ac:dyDescent="0.25">
      <c r="A194" s="19">
        <v>45504</v>
      </c>
      <c r="C194">
        <v>13</v>
      </c>
      <c r="D194" t="s">
        <v>19</v>
      </c>
    </row>
    <row r="195" spans="1:4" x14ac:dyDescent="0.25">
      <c r="A195" s="19">
        <v>45509</v>
      </c>
      <c r="C195">
        <v>1</v>
      </c>
      <c r="D195" t="s">
        <v>22</v>
      </c>
    </row>
    <row r="196" spans="1:4" x14ac:dyDescent="0.25">
      <c r="A196" s="19">
        <v>45509</v>
      </c>
      <c r="C196">
        <v>2</v>
      </c>
      <c r="D196" t="s">
        <v>22</v>
      </c>
    </row>
    <row r="197" spans="1:4" x14ac:dyDescent="0.25">
      <c r="A197" s="19">
        <v>45509</v>
      </c>
      <c r="C197">
        <v>3</v>
      </c>
      <c r="D197" t="s">
        <v>22</v>
      </c>
    </row>
    <row r="198" spans="1:4" x14ac:dyDescent="0.25">
      <c r="A198" s="19">
        <v>45509</v>
      </c>
      <c r="C198">
        <v>4</v>
      </c>
      <c r="D198" t="s">
        <v>22</v>
      </c>
    </row>
    <row r="199" spans="1:4" x14ac:dyDescent="0.25">
      <c r="A199" s="19">
        <v>45509</v>
      </c>
      <c r="C199">
        <v>5</v>
      </c>
      <c r="D199" t="s">
        <v>22</v>
      </c>
    </row>
    <row r="200" spans="1:4" x14ac:dyDescent="0.25">
      <c r="A200" s="19">
        <v>45509</v>
      </c>
      <c r="C200">
        <v>6</v>
      </c>
      <c r="D200" t="s">
        <v>22</v>
      </c>
    </row>
    <row r="201" spans="1:4" x14ac:dyDescent="0.25">
      <c r="A201" s="19">
        <v>45509</v>
      </c>
      <c r="C201">
        <v>7</v>
      </c>
      <c r="D201" t="s">
        <v>22</v>
      </c>
    </row>
    <row r="202" spans="1:4" x14ac:dyDescent="0.25">
      <c r="A202" s="19">
        <v>45509</v>
      </c>
      <c r="C202">
        <v>8</v>
      </c>
      <c r="D202" t="s">
        <v>22</v>
      </c>
    </row>
    <row r="203" spans="1:4" x14ac:dyDescent="0.25">
      <c r="A203" s="19">
        <v>45509</v>
      </c>
      <c r="C203">
        <v>9</v>
      </c>
      <c r="D203" t="s">
        <v>22</v>
      </c>
    </row>
    <row r="204" spans="1:4" x14ac:dyDescent="0.25">
      <c r="A204" s="19">
        <v>45509</v>
      </c>
      <c r="C204">
        <v>10</v>
      </c>
      <c r="D204" t="s">
        <v>22</v>
      </c>
    </row>
    <row r="205" spans="1:4" x14ac:dyDescent="0.25">
      <c r="A205" s="19">
        <v>45509</v>
      </c>
      <c r="C205">
        <v>13</v>
      </c>
      <c r="D205" t="s">
        <v>22</v>
      </c>
    </row>
    <row r="206" spans="1:4" x14ac:dyDescent="0.25">
      <c r="A206" s="19">
        <v>45509</v>
      </c>
      <c r="C206">
        <v>14</v>
      </c>
      <c r="D206" t="s">
        <v>22</v>
      </c>
    </row>
    <row r="207" spans="1:4" x14ac:dyDescent="0.25">
      <c r="A207" s="19">
        <v>45518</v>
      </c>
      <c r="C207">
        <v>1</v>
      </c>
      <c r="D207" t="s">
        <v>20</v>
      </c>
    </row>
    <row r="208" spans="1:4" x14ac:dyDescent="0.25">
      <c r="A208" s="19">
        <v>45518</v>
      </c>
      <c r="C208">
        <v>5</v>
      </c>
      <c r="D208" t="s">
        <v>20</v>
      </c>
    </row>
    <row r="209" spans="1:4" x14ac:dyDescent="0.25">
      <c r="A209" s="19">
        <v>45518</v>
      </c>
      <c r="C209">
        <v>6</v>
      </c>
      <c r="D209" t="s">
        <v>20</v>
      </c>
    </row>
    <row r="210" spans="1:4" x14ac:dyDescent="0.25">
      <c r="A210" s="19">
        <v>45518</v>
      </c>
      <c r="C210">
        <v>8</v>
      </c>
      <c r="D210" t="s">
        <v>20</v>
      </c>
    </row>
    <row r="211" spans="1:4" x14ac:dyDescent="0.25">
      <c r="A211" s="19">
        <v>45518</v>
      </c>
      <c r="C211">
        <v>9</v>
      </c>
      <c r="D211" t="s">
        <v>20</v>
      </c>
    </row>
    <row r="212" spans="1:4" x14ac:dyDescent="0.25">
      <c r="A212" s="19">
        <v>45518</v>
      </c>
      <c r="C212">
        <v>10</v>
      </c>
      <c r="D212" t="s">
        <v>20</v>
      </c>
    </row>
    <row r="213" spans="1:4" x14ac:dyDescent="0.25">
      <c r="A213" s="19">
        <v>45518</v>
      </c>
      <c r="C213">
        <v>11</v>
      </c>
      <c r="D213" t="s">
        <v>20</v>
      </c>
    </row>
    <row r="214" spans="1:4" x14ac:dyDescent="0.25">
      <c r="A214" s="19">
        <v>45518</v>
      </c>
      <c r="C214">
        <v>12</v>
      </c>
      <c r="D214" t="s">
        <v>20</v>
      </c>
    </row>
    <row r="215" spans="1:4" x14ac:dyDescent="0.25">
      <c r="A215" s="19">
        <v>45518</v>
      </c>
      <c r="C215">
        <v>14</v>
      </c>
      <c r="D215" t="s">
        <v>20</v>
      </c>
    </row>
    <row r="216" spans="1:4" x14ac:dyDescent="0.25">
      <c r="A216" s="19">
        <v>45518</v>
      </c>
      <c r="C216">
        <v>15</v>
      </c>
      <c r="D216" t="s">
        <v>20</v>
      </c>
    </row>
    <row r="351" spans="6:7" x14ac:dyDescent="0.25">
      <c r="F351" s="23"/>
      <c r="G351" s="23"/>
    </row>
    <row r="352" spans="6:7" x14ac:dyDescent="0.25">
      <c r="F352" s="23"/>
      <c r="G352" s="23"/>
    </row>
    <row r="353" spans="6:7" x14ac:dyDescent="0.25">
      <c r="F353" s="23"/>
      <c r="G353" s="23"/>
    </row>
    <row r="354" spans="6:7" x14ac:dyDescent="0.25">
      <c r="F354" s="23"/>
      <c r="G354" s="23"/>
    </row>
    <row r="355" spans="6:7" x14ac:dyDescent="0.25">
      <c r="F355" s="23"/>
      <c r="G355" s="23"/>
    </row>
    <row r="356" spans="6:7" x14ac:dyDescent="0.25">
      <c r="F356" s="23"/>
      <c r="G356" s="23"/>
    </row>
    <row r="357" spans="6:7" x14ac:dyDescent="0.25">
      <c r="F357" s="23"/>
      <c r="G357" s="23"/>
    </row>
    <row r="358" spans="6:7" x14ac:dyDescent="0.25">
      <c r="F358" s="23"/>
      <c r="G358" s="23"/>
    </row>
  </sheetData>
  <sortState xmlns:xlrd2="http://schemas.microsoft.com/office/spreadsheetml/2017/richdata2" ref="F215:F430">
    <sortCondition ref="F215:F43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BDDF-7FFE-44BA-9213-AAF44420CB0D}">
  <dimension ref="A1:BO631"/>
  <sheetViews>
    <sheetView tabSelected="1" topLeftCell="E1" zoomScale="85" zoomScaleNormal="85" workbookViewId="0">
      <pane ySplit="1" topLeftCell="A492" activePane="bottomLeft" state="frozen"/>
      <selection pane="bottomLeft" activeCell="O507" sqref="O507"/>
    </sheetView>
  </sheetViews>
  <sheetFormatPr defaultRowHeight="15" x14ac:dyDescent="0.25"/>
  <cols>
    <col min="1" max="1" width="9.42578125" bestFit="1" customWidth="1"/>
    <col min="2" max="2" width="21.7109375" customWidth="1"/>
    <col min="3" max="3" width="22.5703125" bestFit="1" customWidth="1"/>
    <col min="4" max="4" width="9.140625" style="27" customWidth="1"/>
    <col min="5" max="5" width="8.42578125" style="27" bestFit="1" customWidth="1"/>
    <col min="6" max="6" width="13.7109375" style="56" bestFit="1" customWidth="1"/>
    <col min="7" max="7" width="7.28515625" bestFit="1" customWidth="1"/>
    <col min="8" max="8" width="10.140625" bestFit="1" customWidth="1"/>
    <col min="9" max="10" width="12" bestFit="1" customWidth="1"/>
    <col min="11" max="11" width="12.7109375" bestFit="1" customWidth="1"/>
    <col min="12" max="12" width="12" bestFit="1" customWidth="1"/>
    <col min="13" max="15" width="12" style="118" customWidth="1"/>
    <col min="16" max="16" width="12" customWidth="1"/>
    <col min="17" max="17" width="18.140625" style="161" bestFit="1" customWidth="1"/>
    <col min="18" max="18" width="14.85546875" customWidth="1"/>
    <col min="19" max="19" width="14.85546875" bestFit="1" customWidth="1"/>
    <col min="20" max="21" width="15.85546875" bestFit="1" customWidth="1"/>
    <col min="22" max="22" width="12.42578125" style="118" bestFit="1" customWidth="1"/>
    <col min="23" max="23" width="12" bestFit="1" customWidth="1"/>
    <col min="24" max="24" width="12.7109375" bestFit="1" customWidth="1"/>
    <col min="25" max="25" width="7" bestFit="1" customWidth="1"/>
    <col min="26" max="26" width="4.28515625" bestFit="1" customWidth="1"/>
    <col min="27" max="27" width="6.7109375" bestFit="1" customWidth="1"/>
    <col min="28" max="28" width="8.140625" bestFit="1" customWidth="1"/>
    <col min="29" max="29" width="10.7109375" bestFit="1" customWidth="1"/>
    <col min="30" max="30" width="10.7109375" style="118" customWidth="1"/>
    <col min="32" max="32" width="18.7109375" bestFit="1" customWidth="1"/>
    <col min="33" max="33" width="9.85546875" bestFit="1" customWidth="1"/>
    <col min="58" max="58" width="14.85546875" bestFit="1" customWidth="1"/>
    <col min="59" max="59" width="9.7109375" bestFit="1" customWidth="1"/>
  </cols>
  <sheetData>
    <row r="1" spans="1:67" ht="32.25" customHeight="1" x14ac:dyDescent="0.25">
      <c r="A1" s="32" t="s">
        <v>26</v>
      </c>
      <c r="B1" s="32" t="s">
        <v>27</v>
      </c>
      <c r="C1" s="32" t="s">
        <v>292</v>
      </c>
      <c r="D1" s="35" t="s">
        <v>291</v>
      </c>
      <c r="E1" s="35" t="s">
        <v>290</v>
      </c>
      <c r="F1" s="35" t="s">
        <v>1754</v>
      </c>
      <c r="G1" s="32" t="s">
        <v>511</v>
      </c>
      <c r="H1" s="32" t="s">
        <v>510</v>
      </c>
      <c r="I1" s="32" t="s">
        <v>582</v>
      </c>
      <c r="J1" s="32" t="s">
        <v>583</v>
      </c>
      <c r="K1" s="32" t="s">
        <v>584</v>
      </c>
      <c r="L1" s="142" t="s">
        <v>585</v>
      </c>
      <c r="M1" s="143" t="s">
        <v>1019</v>
      </c>
      <c r="N1" s="143" t="s">
        <v>1020</v>
      </c>
      <c r="O1" s="143" t="s">
        <v>1021</v>
      </c>
      <c r="P1" s="143" t="s">
        <v>681</v>
      </c>
      <c r="Q1" s="160" t="s">
        <v>592</v>
      </c>
      <c r="R1" s="32" t="s">
        <v>629</v>
      </c>
      <c r="S1" s="32" t="s">
        <v>630</v>
      </c>
      <c r="T1" s="32" t="s">
        <v>679</v>
      </c>
      <c r="U1" s="32" t="s">
        <v>678</v>
      </c>
      <c r="V1" s="32" t="s">
        <v>1643</v>
      </c>
      <c r="W1" s="32" t="s">
        <v>586</v>
      </c>
      <c r="X1" s="32" t="s">
        <v>587</v>
      </c>
      <c r="Y1" s="32" t="s">
        <v>588</v>
      </c>
      <c r="Z1" s="32" t="s">
        <v>589</v>
      </c>
      <c r="AA1" s="32" t="s">
        <v>590</v>
      </c>
      <c r="AB1" s="32" t="s">
        <v>591</v>
      </c>
      <c r="AC1" s="33" t="s">
        <v>16</v>
      </c>
      <c r="AD1" s="118" t="s">
        <v>1041</v>
      </c>
      <c r="AE1" s="118" t="s">
        <v>1684</v>
      </c>
      <c r="AF1" s="118" t="s">
        <v>1685</v>
      </c>
      <c r="AG1" s="118" t="s">
        <v>1686</v>
      </c>
      <c r="AH1" s="118" t="s">
        <v>1687</v>
      </c>
      <c r="AI1" s="118" t="s">
        <v>1688</v>
      </c>
      <c r="AJ1" s="118" t="s">
        <v>1689</v>
      </c>
      <c r="AK1" s="118" t="s">
        <v>1690</v>
      </c>
      <c r="AL1" s="118" t="s">
        <v>1691</v>
      </c>
      <c r="AM1" s="118" t="s">
        <v>1692</v>
      </c>
      <c r="AN1" s="118" t="s">
        <v>1693</v>
      </c>
      <c r="AO1" s="118" t="s">
        <v>1694</v>
      </c>
      <c r="AP1" s="118" t="s">
        <v>1695</v>
      </c>
      <c r="AQ1" s="118" t="s">
        <v>1696</v>
      </c>
      <c r="AR1" s="118" t="s">
        <v>1697</v>
      </c>
      <c r="AS1" s="118" t="s">
        <v>1698</v>
      </c>
      <c r="AT1" s="118" t="s">
        <v>1699</v>
      </c>
      <c r="AU1" s="118" t="s">
        <v>1700</v>
      </c>
      <c r="AV1" s="118" t="s">
        <v>1701</v>
      </c>
      <c r="AW1" s="118" t="s">
        <v>1702</v>
      </c>
      <c r="AX1" s="118" t="s">
        <v>1703</v>
      </c>
      <c r="AY1" s="118" t="s">
        <v>1704</v>
      </c>
      <c r="AZ1" s="118" t="s">
        <v>1705</v>
      </c>
      <c r="BA1" s="118" t="s">
        <v>1706</v>
      </c>
      <c r="BB1" s="118" t="s">
        <v>1707</v>
      </c>
      <c r="BC1" s="118" t="s">
        <v>1708</v>
      </c>
      <c r="BD1" s="118" t="s">
        <v>1709</v>
      </c>
      <c r="BE1" s="118" t="s">
        <v>1710</v>
      </c>
      <c r="BF1" s="118" t="s">
        <v>1755</v>
      </c>
      <c r="BG1" s="118" t="s">
        <v>1711</v>
      </c>
      <c r="BH1" t="s">
        <v>1780</v>
      </c>
      <c r="BI1" t="s">
        <v>1781</v>
      </c>
      <c r="BJ1" s="118" t="s">
        <v>1782</v>
      </c>
      <c r="BK1" s="118" t="s">
        <v>1783</v>
      </c>
      <c r="BL1" s="118" t="s">
        <v>1784</v>
      </c>
      <c r="BM1" s="118" t="s">
        <v>1785</v>
      </c>
      <c r="BN1" s="118" t="s">
        <v>1786</v>
      </c>
      <c r="BO1" s="118" t="s">
        <v>1787</v>
      </c>
    </row>
    <row r="2" spans="1:67" x14ac:dyDescent="0.25">
      <c r="A2" s="25">
        <v>10001</v>
      </c>
      <c r="B2" t="s">
        <v>28</v>
      </c>
      <c r="C2" t="s">
        <v>517</v>
      </c>
      <c r="D2" s="27">
        <v>1101</v>
      </c>
      <c r="E2" s="27">
        <v>1</v>
      </c>
      <c r="F2" s="118" t="s">
        <v>515</v>
      </c>
      <c r="G2" t="s">
        <v>514</v>
      </c>
      <c r="H2" s="31" t="s">
        <v>8</v>
      </c>
      <c r="I2" t="s">
        <v>515</v>
      </c>
      <c r="J2" t="s">
        <v>515</v>
      </c>
      <c r="K2" t="s">
        <v>515</v>
      </c>
      <c r="L2" t="s">
        <v>515</v>
      </c>
      <c r="M2" s="140" t="str">
        <f t="shared" ref="M2:O17" si="0">IF(I2&lt;0.1,0.05,I2)</f>
        <v>NULL</v>
      </c>
      <c r="N2" s="140" t="str">
        <f t="shared" si="0"/>
        <v>NULL</v>
      </c>
      <c r="O2" s="140" t="str">
        <f t="shared" si="0"/>
        <v>NULL</v>
      </c>
      <c r="P2" s="140" t="str">
        <f t="shared" ref="P2:P65" si="1">IF(L2&lt;0.1,0.05,L2)</f>
        <v>NULL</v>
      </c>
      <c r="Q2" s="161" t="s">
        <v>676</v>
      </c>
      <c r="R2" s="125" t="s">
        <v>676</v>
      </c>
      <c r="S2" t="s">
        <v>676</v>
      </c>
      <c r="T2" t="s">
        <v>515</v>
      </c>
      <c r="U2" t="s">
        <v>515</v>
      </c>
      <c r="V2" s="118" t="s">
        <v>515</v>
      </c>
      <c r="W2">
        <v>40.731000000000002</v>
      </c>
      <c r="X2">
        <v>-86.753</v>
      </c>
      <c r="Y2">
        <v>10</v>
      </c>
      <c r="Z2">
        <v>20</v>
      </c>
      <c r="AA2">
        <v>2022</v>
      </c>
      <c r="AB2" t="b">
        <v>0</v>
      </c>
      <c r="AC2" s="19">
        <v>44854</v>
      </c>
      <c r="AD2" s="19" t="s">
        <v>515</v>
      </c>
      <c r="AE2" s="118" t="s">
        <v>515</v>
      </c>
      <c r="AF2" s="118" t="s">
        <v>515</v>
      </c>
      <c r="AG2" s="118" t="s">
        <v>515</v>
      </c>
      <c r="AH2" s="118" t="s">
        <v>515</v>
      </c>
      <c r="AI2" s="118" t="s">
        <v>515</v>
      </c>
      <c r="AJ2" s="118" t="s">
        <v>515</v>
      </c>
      <c r="AK2" s="118" t="s">
        <v>515</v>
      </c>
      <c r="AL2" s="118" t="s">
        <v>515</v>
      </c>
      <c r="AM2" s="118" t="s">
        <v>515</v>
      </c>
      <c r="AN2" s="118" t="s">
        <v>515</v>
      </c>
      <c r="AO2" s="21" t="s">
        <v>515</v>
      </c>
      <c r="AP2" s="118" t="s">
        <v>515</v>
      </c>
      <c r="AQ2" s="118" t="s">
        <v>515</v>
      </c>
      <c r="AR2" s="118" t="s">
        <v>515</v>
      </c>
      <c r="AS2" s="118" t="s">
        <v>515</v>
      </c>
      <c r="AT2" s="118" t="s">
        <v>515</v>
      </c>
      <c r="AU2" s="118" t="s">
        <v>515</v>
      </c>
      <c r="AV2" s="118" t="s">
        <v>515</v>
      </c>
      <c r="AW2" s="118" t="s">
        <v>515</v>
      </c>
      <c r="AX2" s="118" t="s">
        <v>515</v>
      </c>
      <c r="AY2" s="118" t="s">
        <v>515</v>
      </c>
      <c r="AZ2" s="118" t="s">
        <v>515</v>
      </c>
      <c r="BA2" s="118" t="s">
        <v>515</v>
      </c>
      <c r="BB2" s="118" t="s">
        <v>515</v>
      </c>
      <c r="BC2" s="118" t="s">
        <v>515</v>
      </c>
      <c r="BD2" s="118" t="s">
        <v>515</v>
      </c>
      <c r="BE2" s="118" t="s">
        <v>515</v>
      </c>
      <c r="BF2" s="118" t="s">
        <v>515</v>
      </c>
      <c r="BG2" s="118" t="s">
        <v>515</v>
      </c>
    </row>
    <row r="3" spans="1:67" x14ac:dyDescent="0.25">
      <c r="A3" s="25">
        <v>10002</v>
      </c>
      <c r="B3" t="s">
        <v>29</v>
      </c>
      <c r="C3" t="s">
        <v>518</v>
      </c>
      <c r="D3" s="27">
        <v>1102</v>
      </c>
      <c r="E3" s="27">
        <v>2</v>
      </c>
      <c r="F3" s="118" t="s">
        <v>515</v>
      </c>
      <c r="G3" t="s">
        <v>514</v>
      </c>
      <c r="H3" s="24" t="s">
        <v>8</v>
      </c>
      <c r="I3" t="s">
        <v>515</v>
      </c>
      <c r="J3" t="s">
        <v>515</v>
      </c>
      <c r="K3" t="s">
        <v>515</v>
      </c>
      <c r="L3" t="s">
        <v>515</v>
      </c>
      <c r="M3" s="140" t="str">
        <f t="shared" si="0"/>
        <v>NULL</v>
      </c>
      <c r="N3" s="140" t="str">
        <f t="shared" si="0"/>
        <v>NULL</v>
      </c>
      <c r="O3" s="140" t="str">
        <f t="shared" si="0"/>
        <v>NULL</v>
      </c>
      <c r="P3" s="140" t="str">
        <f t="shared" si="1"/>
        <v>NULL</v>
      </c>
      <c r="Q3" s="161" t="s">
        <v>676</v>
      </c>
      <c r="R3" s="125" t="s">
        <v>676</v>
      </c>
      <c r="S3" t="s">
        <v>676</v>
      </c>
      <c r="T3" t="s">
        <v>515</v>
      </c>
      <c r="U3" t="s">
        <v>515</v>
      </c>
      <c r="V3" s="118" t="s">
        <v>515</v>
      </c>
      <c r="W3">
        <v>40.74</v>
      </c>
      <c r="X3">
        <v>-86.744</v>
      </c>
      <c r="Y3">
        <v>10</v>
      </c>
      <c r="Z3">
        <v>20</v>
      </c>
      <c r="AA3">
        <v>2022</v>
      </c>
      <c r="AB3" t="b">
        <v>0</v>
      </c>
      <c r="AC3" s="19">
        <v>44854</v>
      </c>
      <c r="AD3" s="19" t="s">
        <v>515</v>
      </c>
      <c r="AE3" s="118" t="s">
        <v>515</v>
      </c>
      <c r="AF3" s="118" t="s">
        <v>515</v>
      </c>
      <c r="AG3" s="118" t="s">
        <v>515</v>
      </c>
      <c r="AH3" s="118" t="s">
        <v>515</v>
      </c>
      <c r="AI3" s="118" t="s">
        <v>515</v>
      </c>
      <c r="AJ3" s="118" t="s">
        <v>515</v>
      </c>
      <c r="AK3" s="118" t="s">
        <v>515</v>
      </c>
      <c r="AL3" s="118" t="s">
        <v>515</v>
      </c>
      <c r="AM3" s="118" t="s">
        <v>515</v>
      </c>
      <c r="AN3" s="118" t="s">
        <v>515</v>
      </c>
      <c r="AO3" s="21" t="s">
        <v>515</v>
      </c>
      <c r="AP3" s="118" t="s">
        <v>515</v>
      </c>
      <c r="AQ3" s="118" t="s">
        <v>515</v>
      </c>
      <c r="AR3" s="118" t="s">
        <v>515</v>
      </c>
      <c r="AS3" s="118" t="s">
        <v>515</v>
      </c>
      <c r="AT3" s="118" t="s">
        <v>515</v>
      </c>
      <c r="AU3" s="118" t="s">
        <v>515</v>
      </c>
      <c r="AV3" s="118" t="s">
        <v>515</v>
      </c>
      <c r="AW3" s="118" t="s">
        <v>515</v>
      </c>
      <c r="AX3" s="118" t="s">
        <v>515</v>
      </c>
      <c r="AY3" s="118" t="s">
        <v>515</v>
      </c>
      <c r="AZ3" s="118" t="s">
        <v>515</v>
      </c>
      <c r="BA3" s="118" t="s">
        <v>515</v>
      </c>
      <c r="BB3" s="118" t="s">
        <v>515</v>
      </c>
      <c r="BC3" s="118" t="s">
        <v>515</v>
      </c>
      <c r="BD3" s="118" t="s">
        <v>515</v>
      </c>
      <c r="BE3" s="118" t="s">
        <v>515</v>
      </c>
      <c r="BF3" s="118" t="s">
        <v>515</v>
      </c>
      <c r="BG3" s="118" t="s">
        <v>515</v>
      </c>
    </row>
    <row r="4" spans="1:67" x14ac:dyDescent="0.25">
      <c r="A4" s="25">
        <v>10003</v>
      </c>
      <c r="B4" t="s">
        <v>30</v>
      </c>
      <c r="C4" t="s">
        <v>518</v>
      </c>
      <c r="D4" s="27">
        <v>1102</v>
      </c>
      <c r="E4" s="27">
        <v>2</v>
      </c>
      <c r="F4" s="118" t="s">
        <v>515</v>
      </c>
      <c r="G4" t="s">
        <v>514</v>
      </c>
      <c r="H4" s="24" t="s">
        <v>8</v>
      </c>
      <c r="I4" t="s">
        <v>515</v>
      </c>
      <c r="J4" t="s">
        <v>515</v>
      </c>
      <c r="K4" t="s">
        <v>515</v>
      </c>
      <c r="L4" t="s">
        <v>515</v>
      </c>
      <c r="M4" s="140" t="str">
        <f t="shared" si="0"/>
        <v>NULL</v>
      </c>
      <c r="N4" s="140" t="str">
        <f t="shared" si="0"/>
        <v>NULL</v>
      </c>
      <c r="O4" s="140" t="str">
        <f t="shared" si="0"/>
        <v>NULL</v>
      </c>
      <c r="P4" s="140" t="str">
        <f t="shared" si="1"/>
        <v>NULL</v>
      </c>
      <c r="Q4" s="161" t="s">
        <v>676</v>
      </c>
      <c r="R4" s="125" t="s">
        <v>676</v>
      </c>
      <c r="S4" t="s">
        <v>676</v>
      </c>
      <c r="T4" t="s">
        <v>515</v>
      </c>
      <c r="U4" t="s">
        <v>515</v>
      </c>
      <c r="V4" s="118" t="s">
        <v>515</v>
      </c>
      <c r="W4">
        <v>40.744999999999997</v>
      </c>
      <c r="X4">
        <v>-86.74</v>
      </c>
      <c r="Y4">
        <v>10</v>
      </c>
      <c r="Z4">
        <v>20</v>
      </c>
      <c r="AA4">
        <v>2022</v>
      </c>
      <c r="AB4" t="b">
        <v>0</v>
      </c>
      <c r="AC4" s="19">
        <v>44854</v>
      </c>
      <c r="AD4" s="19" t="s">
        <v>515</v>
      </c>
      <c r="AE4" s="118" t="s">
        <v>515</v>
      </c>
      <c r="AF4" s="118" t="s">
        <v>515</v>
      </c>
      <c r="AG4" s="118" t="s">
        <v>515</v>
      </c>
      <c r="AH4" s="118" t="s">
        <v>515</v>
      </c>
      <c r="AI4" s="118" t="s">
        <v>515</v>
      </c>
      <c r="AJ4" s="118" t="s">
        <v>515</v>
      </c>
      <c r="AK4" s="118" t="s">
        <v>515</v>
      </c>
      <c r="AL4" s="118" t="s">
        <v>515</v>
      </c>
      <c r="AM4" s="118" t="s">
        <v>515</v>
      </c>
      <c r="AN4" s="118" t="s">
        <v>515</v>
      </c>
      <c r="AO4" s="21" t="s">
        <v>515</v>
      </c>
      <c r="AP4" s="118" t="s">
        <v>515</v>
      </c>
      <c r="AQ4" s="118" t="s">
        <v>515</v>
      </c>
      <c r="AR4" s="118" t="s">
        <v>515</v>
      </c>
      <c r="AS4" s="118" t="s">
        <v>515</v>
      </c>
      <c r="AT4" s="118" t="s">
        <v>515</v>
      </c>
      <c r="AU4" s="118" t="s">
        <v>515</v>
      </c>
      <c r="AV4" s="118" t="s">
        <v>515</v>
      </c>
      <c r="AW4" s="118" t="s">
        <v>515</v>
      </c>
      <c r="AX4" s="118" t="s">
        <v>515</v>
      </c>
      <c r="AY4" s="118" t="s">
        <v>515</v>
      </c>
      <c r="AZ4" s="118" t="s">
        <v>515</v>
      </c>
      <c r="BA4" s="118" t="s">
        <v>515</v>
      </c>
      <c r="BB4" s="118" t="s">
        <v>515</v>
      </c>
      <c r="BC4" s="118" t="s">
        <v>515</v>
      </c>
      <c r="BD4" s="118" t="s">
        <v>515</v>
      </c>
      <c r="BE4" s="118" t="s">
        <v>515</v>
      </c>
      <c r="BF4" s="118" t="s">
        <v>515</v>
      </c>
      <c r="BG4" s="118" t="s">
        <v>515</v>
      </c>
    </row>
    <row r="5" spans="1:67" x14ac:dyDescent="0.25">
      <c r="A5" s="25">
        <v>10004</v>
      </c>
      <c r="B5" t="s">
        <v>31</v>
      </c>
      <c r="C5" t="s">
        <v>517</v>
      </c>
      <c r="D5" s="27">
        <v>1101</v>
      </c>
      <c r="E5" s="27">
        <v>1</v>
      </c>
      <c r="F5" s="118" t="s">
        <v>515</v>
      </c>
      <c r="G5" t="s">
        <v>514</v>
      </c>
      <c r="H5" s="24" t="s">
        <v>8</v>
      </c>
      <c r="I5" t="s">
        <v>515</v>
      </c>
      <c r="J5" t="s">
        <v>515</v>
      </c>
      <c r="K5" t="s">
        <v>515</v>
      </c>
      <c r="L5" t="s">
        <v>515</v>
      </c>
      <c r="M5" s="140" t="str">
        <f t="shared" si="0"/>
        <v>NULL</v>
      </c>
      <c r="N5" s="140" t="str">
        <f t="shared" si="0"/>
        <v>NULL</v>
      </c>
      <c r="O5" s="140" t="str">
        <f t="shared" si="0"/>
        <v>NULL</v>
      </c>
      <c r="P5" s="140" t="str">
        <f t="shared" si="1"/>
        <v>NULL</v>
      </c>
      <c r="Q5" s="161" t="s">
        <v>676</v>
      </c>
      <c r="R5" s="125" t="s">
        <v>676</v>
      </c>
      <c r="S5" t="s">
        <v>676</v>
      </c>
      <c r="T5" t="s">
        <v>515</v>
      </c>
      <c r="U5" t="s">
        <v>515</v>
      </c>
      <c r="V5" s="118" t="s">
        <v>515</v>
      </c>
      <c r="W5">
        <v>40.728999999999999</v>
      </c>
      <c r="X5">
        <v>-86.756</v>
      </c>
      <c r="Y5">
        <v>10</v>
      </c>
      <c r="Z5">
        <v>20</v>
      </c>
      <c r="AA5">
        <v>2022</v>
      </c>
      <c r="AB5" t="b">
        <v>0</v>
      </c>
      <c r="AC5" s="19">
        <v>44854</v>
      </c>
      <c r="AD5" s="19" t="s">
        <v>515</v>
      </c>
      <c r="AE5" s="118" t="s">
        <v>515</v>
      </c>
      <c r="AF5" s="118" t="s">
        <v>515</v>
      </c>
      <c r="AG5" s="118" t="s">
        <v>515</v>
      </c>
      <c r="AH5" s="118" t="s">
        <v>515</v>
      </c>
      <c r="AI5" s="118" t="s">
        <v>515</v>
      </c>
      <c r="AJ5" s="118" t="s">
        <v>515</v>
      </c>
      <c r="AK5" s="118" t="s">
        <v>515</v>
      </c>
      <c r="AL5" s="118" t="s">
        <v>515</v>
      </c>
      <c r="AM5" s="118" t="s">
        <v>515</v>
      </c>
      <c r="AN5" s="118" t="s">
        <v>515</v>
      </c>
      <c r="AO5" s="21" t="s">
        <v>515</v>
      </c>
      <c r="AP5" s="118" t="s">
        <v>515</v>
      </c>
      <c r="AQ5" s="118" t="s">
        <v>515</v>
      </c>
      <c r="AR5" s="118" t="s">
        <v>515</v>
      </c>
      <c r="AS5" s="118" t="s">
        <v>515</v>
      </c>
      <c r="AT5" s="118" t="s">
        <v>515</v>
      </c>
      <c r="AU5" s="118" t="s">
        <v>515</v>
      </c>
      <c r="AV5" s="118" t="s">
        <v>515</v>
      </c>
      <c r="AW5" s="118" t="s">
        <v>515</v>
      </c>
      <c r="AX5" s="118" t="s">
        <v>515</v>
      </c>
      <c r="AY5" s="118" t="s">
        <v>515</v>
      </c>
      <c r="AZ5" s="118" t="s">
        <v>515</v>
      </c>
      <c r="BA5" s="118" t="s">
        <v>515</v>
      </c>
      <c r="BB5" s="118" t="s">
        <v>515</v>
      </c>
      <c r="BC5" s="118" t="s">
        <v>515</v>
      </c>
      <c r="BD5" s="118" t="s">
        <v>515</v>
      </c>
      <c r="BE5" s="118" t="s">
        <v>515</v>
      </c>
      <c r="BF5" s="118" t="s">
        <v>515</v>
      </c>
      <c r="BG5" s="118" t="s">
        <v>515</v>
      </c>
    </row>
    <row r="6" spans="1:67" x14ac:dyDescent="0.25">
      <c r="A6" s="25">
        <v>10005</v>
      </c>
      <c r="B6" t="s">
        <v>32</v>
      </c>
      <c r="C6" t="s">
        <v>519</v>
      </c>
      <c r="D6" s="27" t="s">
        <v>516</v>
      </c>
      <c r="E6" s="27" t="str">
        <f t="shared" ref="E6:E32" si="2">RIGHT(D6,2)</f>
        <v>?</v>
      </c>
      <c r="F6" s="118" t="s">
        <v>515</v>
      </c>
      <c r="G6" t="s">
        <v>20</v>
      </c>
      <c r="H6" s="24" t="s">
        <v>512</v>
      </c>
      <c r="I6">
        <v>5.6099999999999997E-2</v>
      </c>
      <c r="J6">
        <v>6.4240000000000004</v>
      </c>
      <c r="K6">
        <v>-4.0000000000000001E-3</v>
      </c>
      <c r="L6">
        <v>-1E-3</v>
      </c>
      <c r="M6" s="140">
        <f t="shared" si="0"/>
        <v>0.05</v>
      </c>
      <c r="N6" s="140">
        <f t="shared" si="0"/>
        <v>6.4240000000000004</v>
      </c>
      <c r="O6" s="140">
        <f t="shared" si="0"/>
        <v>0.05</v>
      </c>
      <c r="P6" s="140">
        <f t="shared" si="1"/>
        <v>0.05</v>
      </c>
      <c r="Q6" s="161" t="s">
        <v>676</v>
      </c>
      <c r="R6" s="125">
        <v>3.8650000000000002</v>
      </c>
      <c r="S6" t="s">
        <v>676</v>
      </c>
      <c r="T6" t="s">
        <v>515</v>
      </c>
      <c r="U6" t="s">
        <v>515</v>
      </c>
      <c r="V6" s="118" t="s">
        <v>515</v>
      </c>
      <c r="W6">
        <v>40.731830000000002</v>
      </c>
      <c r="X6">
        <v>-86.755009999999999</v>
      </c>
      <c r="Y6">
        <v>3</v>
      </c>
      <c r="Z6">
        <v>10</v>
      </c>
      <c r="AA6">
        <v>2023</v>
      </c>
      <c r="AB6" t="b">
        <v>0</v>
      </c>
      <c r="AC6" s="19">
        <v>44995</v>
      </c>
      <c r="AD6" s="19" t="s">
        <v>515</v>
      </c>
      <c r="AE6" s="118" t="s">
        <v>515</v>
      </c>
      <c r="AF6" s="118" t="s">
        <v>515</v>
      </c>
      <c r="AG6" s="118" t="s">
        <v>515</v>
      </c>
      <c r="AH6" s="118" t="s">
        <v>515</v>
      </c>
      <c r="AI6" s="118" t="s">
        <v>515</v>
      </c>
      <c r="AJ6" s="118" t="s">
        <v>515</v>
      </c>
      <c r="AK6" s="118" t="s">
        <v>515</v>
      </c>
      <c r="AL6" s="118" t="s">
        <v>515</v>
      </c>
      <c r="AM6" s="118" t="s">
        <v>515</v>
      </c>
      <c r="AN6" s="118" t="s">
        <v>515</v>
      </c>
      <c r="AO6" s="21" t="s">
        <v>515</v>
      </c>
      <c r="AP6" s="118" t="s">
        <v>515</v>
      </c>
      <c r="AQ6" s="118" t="s">
        <v>515</v>
      </c>
      <c r="AR6" s="118" t="s">
        <v>515</v>
      </c>
      <c r="AS6" s="118" t="s">
        <v>515</v>
      </c>
      <c r="AT6" s="118" t="s">
        <v>515</v>
      </c>
      <c r="AU6" s="118" t="s">
        <v>515</v>
      </c>
      <c r="AV6" s="118" t="s">
        <v>515</v>
      </c>
      <c r="AW6" s="118" t="s">
        <v>515</v>
      </c>
      <c r="AX6" s="118" t="s">
        <v>515</v>
      </c>
      <c r="AY6" s="118" t="s">
        <v>515</v>
      </c>
      <c r="AZ6" s="118" t="s">
        <v>515</v>
      </c>
      <c r="BA6" s="118" t="s">
        <v>515</v>
      </c>
      <c r="BB6" s="118" t="s">
        <v>515</v>
      </c>
      <c r="BC6" s="118" t="s">
        <v>515</v>
      </c>
      <c r="BD6" s="118" t="s">
        <v>515</v>
      </c>
      <c r="BE6" s="118" t="s">
        <v>515</v>
      </c>
      <c r="BF6" s="118" t="s">
        <v>515</v>
      </c>
      <c r="BG6" s="118" t="s">
        <v>515</v>
      </c>
    </row>
    <row r="7" spans="1:67" x14ac:dyDescent="0.25">
      <c r="A7" s="25">
        <v>10006</v>
      </c>
      <c r="B7" t="s">
        <v>33</v>
      </c>
      <c r="C7" t="s">
        <v>519</v>
      </c>
      <c r="D7" s="27" t="s">
        <v>516</v>
      </c>
      <c r="E7" s="27" t="str">
        <f t="shared" si="2"/>
        <v>?</v>
      </c>
      <c r="F7" s="118" t="s">
        <v>515</v>
      </c>
      <c r="G7" t="s">
        <v>20</v>
      </c>
      <c r="H7" s="24" t="s">
        <v>512</v>
      </c>
      <c r="I7" t="s">
        <v>515</v>
      </c>
      <c r="J7" t="s">
        <v>515</v>
      </c>
      <c r="K7" t="s">
        <v>515</v>
      </c>
      <c r="L7">
        <v>8.5000000000000006E-3</v>
      </c>
      <c r="M7" s="140" t="str">
        <f t="shared" si="0"/>
        <v>NULL</v>
      </c>
      <c r="N7" s="140" t="str">
        <f t="shared" si="0"/>
        <v>NULL</v>
      </c>
      <c r="O7" s="140" t="str">
        <f t="shared" si="0"/>
        <v>NULL</v>
      </c>
      <c r="P7" s="140">
        <f t="shared" si="1"/>
        <v>0.05</v>
      </c>
      <c r="Q7" s="161" t="s">
        <v>676</v>
      </c>
      <c r="R7" s="125" t="s">
        <v>676</v>
      </c>
      <c r="S7" t="s">
        <v>676</v>
      </c>
      <c r="T7" t="s">
        <v>515</v>
      </c>
      <c r="U7" t="s">
        <v>515</v>
      </c>
      <c r="V7" s="118" t="s">
        <v>515</v>
      </c>
      <c r="W7">
        <v>40.731830000000002</v>
      </c>
      <c r="X7">
        <f>W12</f>
        <v>40.731830000000002</v>
      </c>
      <c r="Y7">
        <v>3</v>
      </c>
      <c r="Z7">
        <v>10</v>
      </c>
      <c r="AA7">
        <v>2023</v>
      </c>
      <c r="AB7" t="b">
        <v>0</v>
      </c>
      <c r="AC7" s="19">
        <v>44995</v>
      </c>
      <c r="AD7" s="19" t="s">
        <v>515</v>
      </c>
      <c r="AE7" s="118" t="s">
        <v>515</v>
      </c>
      <c r="AF7" s="118" t="s">
        <v>515</v>
      </c>
      <c r="AG7" s="118" t="s">
        <v>515</v>
      </c>
      <c r="AH7" s="118" t="s">
        <v>515</v>
      </c>
      <c r="AI7" s="118" t="s">
        <v>515</v>
      </c>
      <c r="AJ7" s="118" t="s">
        <v>515</v>
      </c>
      <c r="AK7" s="118" t="s">
        <v>515</v>
      </c>
      <c r="AL7" s="118" t="s">
        <v>515</v>
      </c>
      <c r="AM7" s="118" t="s">
        <v>515</v>
      </c>
      <c r="AN7" s="118" t="s">
        <v>515</v>
      </c>
      <c r="AO7" s="21" t="s">
        <v>515</v>
      </c>
      <c r="AP7" s="118" t="s">
        <v>515</v>
      </c>
      <c r="AQ7" s="118" t="s">
        <v>515</v>
      </c>
      <c r="AR7" s="118" t="s">
        <v>515</v>
      </c>
      <c r="AS7" s="118" t="s">
        <v>515</v>
      </c>
      <c r="AT7" s="118" t="s">
        <v>515</v>
      </c>
      <c r="AU7" s="118" t="s">
        <v>515</v>
      </c>
      <c r="AV7" s="118" t="s">
        <v>515</v>
      </c>
      <c r="AW7" s="118" t="s">
        <v>515</v>
      </c>
      <c r="AX7" s="118" t="s">
        <v>515</v>
      </c>
      <c r="AY7" s="118" t="s">
        <v>515</v>
      </c>
      <c r="AZ7" s="118" t="s">
        <v>515</v>
      </c>
      <c r="BA7" s="118" t="s">
        <v>515</v>
      </c>
      <c r="BB7" s="118" t="s">
        <v>515</v>
      </c>
      <c r="BC7" s="118" t="s">
        <v>515</v>
      </c>
      <c r="BD7" s="118" t="s">
        <v>515</v>
      </c>
      <c r="BE7" s="118" t="s">
        <v>515</v>
      </c>
      <c r="BF7" s="118" t="s">
        <v>515</v>
      </c>
      <c r="BG7" s="118" t="s">
        <v>515</v>
      </c>
    </row>
    <row r="8" spans="1:67" x14ac:dyDescent="0.25">
      <c r="A8" s="25">
        <v>10007</v>
      </c>
      <c r="B8" t="s">
        <v>34</v>
      </c>
      <c r="C8" t="s">
        <v>519</v>
      </c>
      <c r="D8" s="27" t="s">
        <v>516</v>
      </c>
      <c r="E8" s="27" t="str">
        <f t="shared" si="2"/>
        <v>?</v>
      </c>
      <c r="F8" s="118" t="s">
        <v>515</v>
      </c>
      <c r="G8" t="s">
        <v>20</v>
      </c>
      <c r="H8" s="24" t="s">
        <v>512</v>
      </c>
      <c r="I8" t="s">
        <v>515</v>
      </c>
      <c r="J8" t="s">
        <v>515</v>
      </c>
      <c r="K8" t="s">
        <v>515</v>
      </c>
      <c r="L8">
        <v>1.8499999999999999E-2</v>
      </c>
      <c r="M8" s="140" t="str">
        <f t="shared" si="0"/>
        <v>NULL</v>
      </c>
      <c r="N8" s="140" t="str">
        <f t="shared" si="0"/>
        <v>NULL</v>
      </c>
      <c r="O8" s="140" t="str">
        <f t="shared" si="0"/>
        <v>NULL</v>
      </c>
      <c r="P8" s="140">
        <f t="shared" si="1"/>
        <v>0.05</v>
      </c>
      <c r="Q8" s="161" t="s">
        <v>676</v>
      </c>
      <c r="R8" s="125" t="s">
        <v>676</v>
      </c>
      <c r="S8" t="s">
        <v>676</v>
      </c>
      <c r="T8" t="s">
        <v>515</v>
      </c>
      <c r="U8" t="s">
        <v>515</v>
      </c>
      <c r="V8" s="118" t="s">
        <v>515</v>
      </c>
      <c r="W8">
        <v>40.731830000000002</v>
      </c>
      <c r="X8">
        <v>-86.755009999999999</v>
      </c>
      <c r="Y8">
        <v>3</v>
      </c>
      <c r="Z8">
        <v>10</v>
      </c>
      <c r="AA8">
        <v>2023</v>
      </c>
      <c r="AB8" t="b">
        <v>0</v>
      </c>
      <c r="AC8" s="19">
        <v>44995</v>
      </c>
      <c r="AD8" s="19" t="s">
        <v>515</v>
      </c>
      <c r="AE8" s="118" t="s">
        <v>515</v>
      </c>
      <c r="AF8" s="118" t="s">
        <v>515</v>
      </c>
      <c r="AG8" s="118" t="s">
        <v>515</v>
      </c>
      <c r="AH8" s="118" t="s">
        <v>515</v>
      </c>
      <c r="AI8" s="118" t="s">
        <v>515</v>
      </c>
      <c r="AJ8" s="118" t="s">
        <v>515</v>
      </c>
      <c r="AK8" s="118" t="s">
        <v>515</v>
      </c>
      <c r="AL8" s="118" t="s">
        <v>515</v>
      </c>
      <c r="AM8" s="118" t="s">
        <v>515</v>
      </c>
      <c r="AN8" s="118" t="s">
        <v>515</v>
      </c>
      <c r="AO8" s="21" t="s">
        <v>515</v>
      </c>
      <c r="AP8" s="118" t="s">
        <v>515</v>
      </c>
      <c r="AQ8" s="118" t="s">
        <v>515</v>
      </c>
      <c r="AR8" s="118" t="s">
        <v>515</v>
      </c>
      <c r="AS8" s="118" t="s">
        <v>515</v>
      </c>
      <c r="AT8" s="118" t="s">
        <v>515</v>
      </c>
      <c r="AU8" s="118" t="s">
        <v>515</v>
      </c>
      <c r="AV8" s="118" t="s">
        <v>515</v>
      </c>
      <c r="AW8" s="118" t="s">
        <v>515</v>
      </c>
      <c r="AX8" s="118" t="s">
        <v>515</v>
      </c>
      <c r="AY8" s="118" t="s">
        <v>515</v>
      </c>
      <c r="AZ8" s="118" t="s">
        <v>515</v>
      </c>
      <c r="BA8" s="118" t="s">
        <v>515</v>
      </c>
      <c r="BB8" s="118" t="s">
        <v>515</v>
      </c>
      <c r="BC8" s="118" t="s">
        <v>515</v>
      </c>
      <c r="BD8" s="118" t="s">
        <v>515</v>
      </c>
      <c r="BE8" s="118" t="s">
        <v>515</v>
      </c>
      <c r="BF8" s="118" t="s">
        <v>515</v>
      </c>
      <c r="BG8" s="118" t="s">
        <v>515</v>
      </c>
    </row>
    <row r="9" spans="1:67" x14ac:dyDescent="0.25">
      <c r="A9" s="25">
        <v>10008</v>
      </c>
      <c r="B9" t="s">
        <v>35</v>
      </c>
      <c r="C9" t="s">
        <v>519</v>
      </c>
      <c r="D9" s="27" t="s">
        <v>516</v>
      </c>
      <c r="E9" s="27" t="str">
        <f t="shared" si="2"/>
        <v>?</v>
      </c>
      <c r="F9" s="118" t="s">
        <v>515</v>
      </c>
      <c r="G9" t="s">
        <v>20</v>
      </c>
      <c r="H9" s="24" t="s">
        <v>512</v>
      </c>
      <c r="I9" t="s">
        <v>515</v>
      </c>
      <c r="J9" t="s">
        <v>515</v>
      </c>
      <c r="K9" t="s">
        <v>515</v>
      </c>
      <c r="L9">
        <v>8.8499999999999995E-2</v>
      </c>
      <c r="M9" s="140" t="str">
        <f t="shared" si="0"/>
        <v>NULL</v>
      </c>
      <c r="N9" s="140" t="str">
        <f t="shared" si="0"/>
        <v>NULL</v>
      </c>
      <c r="O9" s="140" t="str">
        <f t="shared" si="0"/>
        <v>NULL</v>
      </c>
      <c r="P9" s="140">
        <f t="shared" si="1"/>
        <v>0.05</v>
      </c>
      <c r="Q9" s="161" t="s">
        <v>676</v>
      </c>
      <c r="R9" s="125" t="s">
        <v>676</v>
      </c>
      <c r="S9" t="s">
        <v>676</v>
      </c>
      <c r="T9" t="s">
        <v>515</v>
      </c>
      <c r="U9" t="s">
        <v>515</v>
      </c>
      <c r="V9" s="118" t="s">
        <v>515</v>
      </c>
      <c r="W9">
        <v>40.731830000000002</v>
      </c>
      <c r="X9">
        <v>-86.755009999999999</v>
      </c>
      <c r="Y9">
        <v>3</v>
      </c>
      <c r="Z9">
        <v>10</v>
      </c>
      <c r="AA9">
        <v>2023</v>
      </c>
      <c r="AB9" t="b">
        <v>0</v>
      </c>
      <c r="AC9" s="19">
        <v>44995</v>
      </c>
      <c r="AD9" s="19" t="s">
        <v>515</v>
      </c>
      <c r="AE9" s="118" t="s">
        <v>515</v>
      </c>
      <c r="AF9" s="118" t="s">
        <v>515</v>
      </c>
      <c r="AG9" s="118" t="s">
        <v>515</v>
      </c>
      <c r="AH9" s="118" t="s">
        <v>515</v>
      </c>
      <c r="AI9" s="118" t="s">
        <v>515</v>
      </c>
      <c r="AJ9" s="118" t="s">
        <v>515</v>
      </c>
      <c r="AK9" s="118" t="s">
        <v>515</v>
      </c>
      <c r="AL9" s="118" t="s">
        <v>515</v>
      </c>
      <c r="AM9" s="118" t="s">
        <v>515</v>
      </c>
      <c r="AN9" s="118" t="s">
        <v>515</v>
      </c>
      <c r="AO9" s="21" t="s">
        <v>515</v>
      </c>
      <c r="AP9" s="118" t="s">
        <v>515</v>
      </c>
      <c r="AQ9" s="118" t="s">
        <v>515</v>
      </c>
      <c r="AR9" s="118" t="s">
        <v>515</v>
      </c>
      <c r="AS9" s="118" t="s">
        <v>515</v>
      </c>
      <c r="AT9" s="118" t="s">
        <v>515</v>
      </c>
      <c r="AU9" s="118" t="s">
        <v>515</v>
      </c>
      <c r="AV9" s="118" t="s">
        <v>515</v>
      </c>
      <c r="AW9" s="118" t="s">
        <v>515</v>
      </c>
      <c r="AX9" s="118" t="s">
        <v>515</v>
      </c>
      <c r="AY9" s="118" t="s">
        <v>515</v>
      </c>
      <c r="AZ9" s="118" t="s">
        <v>515</v>
      </c>
      <c r="BA9" s="118" t="s">
        <v>515</v>
      </c>
      <c r="BB9" s="118" t="s">
        <v>515</v>
      </c>
      <c r="BC9" s="118" t="s">
        <v>515</v>
      </c>
      <c r="BD9" s="118" t="s">
        <v>515</v>
      </c>
      <c r="BE9" s="118" t="s">
        <v>515</v>
      </c>
      <c r="BF9" s="118" t="s">
        <v>515</v>
      </c>
      <c r="BG9" s="118" t="s">
        <v>515</v>
      </c>
    </row>
    <row r="10" spans="1:67" x14ac:dyDescent="0.25">
      <c r="A10" s="25">
        <v>10009</v>
      </c>
      <c r="B10" t="s">
        <v>36</v>
      </c>
      <c r="C10" t="s">
        <v>519</v>
      </c>
      <c r="D10" s="27" t="s">
        <v>516</v>
      </c>
      <c r="E10" s="27" t="str">
        <f t="shared" si="2"/>
        <v>?</v>
      </c>
      <c r="F10" s="118" t="s">
        <v>515</v>
      </c>
      <c r="G10" t="s">
        <v>20</v>
      </c>
      <c r="H10" s="24" t="s">
        <v>512</v>
      </c>
      <c r="I10" t="s">
        <v>515</v>
      </c>
      <c r="J10" t="s">
        <v>515</v>
      </c>
      <c r="K10" t="s">
        <v>515</v>
      </c>
      <c r="L10">
        <v>8.5999999999999993E-2</v>
      </c>
      <c r="M10" s="140" t="str">
        <f t="shared" si="0"/>
        <v>NULL</v>
      </c>
      <c r="N10" s="140" t="str">
        <f t="shared" si="0"/>
        <v>NULL</v>
      </c>
      <c r="O10" s="140" t="str">
        <f t="shared" si="0"/>
        <v>NULL</v>
      </c>
      <c r="P10" s="140">
        <f t="shared" si="1"/>
        <v>0.05</v>
      </c>
      <c r="Q10" s="161" t="s">
        <v>676</v>
      </c>
      <c r="R10" s="125" t="s">
        <v>676</v>
      </c>
      <c r="S10" t="s">
        <v>676</v>
      </c>
      <c r="T10" t="s">
        <v>515</v>
      </c>
      <c r="U10" t="s">
        <v>515</v>
      </c>
      <c r="V10" s="118" t="s">
        <v>515</v>
      </c>
      <c r="W10">
        <v>40.731830000000002</v>
      </c>
      <c r="X10">
        <v>-86.755009999999999</v>
      </c>
      <c r="Y10">
        <v>3</v>
      </c>
      <c r="Z10">
        <v>10</v>
      </c>
      <c r="AA10">
        <v>2023</v>
      </c>
      <c r="AB10" t="b">
        <v>0</v>
      </c>
      <c r="AC10" s="19">
        <v>44995</v>
      </c>
      <c r="AD10" s="19" t="s">
        <v>515</v>
      </c>
      <c r="AE10" s="118" t="s">
        <v>515</v>
      </c>
      <c r="AF10" s="118" t="s">
        <v>515</v>
      </c>
      <c r="AG10" s="118" t="s">
        <v>515</v>
      </c>
      <c r="AH10" s="118" t="s">
        <v>515</v>
      </c>
      <c r="AI10" s="118" t="s">
        <v>515</v>
      </c>
      <c r="AJ10" s="118" t="s">
        <v>515</v>
      </c>
      <c r="AK10" s="118" t="s">
        <v>515</v>
      </c>
      <c r="AL10" s="118" t="s">
        <v>515</v>
      </c>
      <c r="AM10" s="118" t="s">
        <v>515</v>
      </c>
      <c r="AN10" s="118" t="s">
        <v>515</v>
      </c>
      <c r="AO10" s="21" t="s">
        <v>515</v>
      </c>
      <c r="AP10" s="118" t="s">
        <v>515</v>
      </c>
      <c r="AQ10" s="118" t="s">
        <v>515</v>
      </c>
      <c r="AR10" s="118" t="s">
        <v>515</v>
      </c>
      <c r="AS10" s="118" t="s">
        <v>515</v>
      </c>
      <c r="AT10" s="118" t="s">
        <v>515</v>
      </c>
      <c r="AU10" s="118" t="s">
        <v>515</v>
      </c>
      <c r="AV10" s="118" t="s">
        <v>515</v>
      </c>
      <c r="AW10" s="118" t="s">
        <v>515</v>
      </c>
      <c r="AX10" s="118" t="s">
        <v>515</v>
      </c>
      <c r="AY10" s="118" t="s">
        <v>515</v>
      </c>
      <c r="AZ10" s="118" t="s">
        <v>515</v>
      </c>
      <c r="BA10" s="118" t="s">
        <v>515</v>
      </c>
      <c r="BB10" s="118" t="s">
        <v>515</v>
      </c>
      <c r="BC10" s="118" t="s">
        <v>515</v>
      </c>
      <c r="BD10" s="118" t="s">
        <v>515</v>
      </c>
      <c r="BE10" s="118" t="s">
        <v>515</v>
      </c>
      <c r="BF10" s="118" t="s">
        <v>515</v>
      </c>
      <c r="BG10" s="118" t="s">
        <v>515</v>
      </c>
    </row>
    <row r="11" spans="1:67" x14ac:dyDescent="0.25">
      <c r="A11" s="25">
        <v>10010</v>
      </c>
      <c r="B11" t="s">
        <v>37</v>
      </c>
      <c r="C11" t="s">
        <v>519</v>
      </c>
      <c r="D11" s="27" t="s">
        <v>516</v>
      </c>
      <c r="E11" s="27" t="str">
        <f t="shared" si="2"/>
        <v>?</v>
      </c>
      <c r="F11" s="118" t="s">
        <v>515</v>
      </c>
      <c r="G11" t="s">
        <v>20</v>
      </c>
      <c r="H11" s="24" t="s">
        <v>512</v>
      </c>
      <c r="I11">
        <v>1.9099999999999999E-2</v>
      </c>
      <c r="J11">
        <v>6.1929999999999996</v>
      </c>
      <c r="K11">
        <v>-2E-3</v>
      </c>
      <c r="L11">
        <v>9.0499999999999997E-2</v>
      </c>
      <c r="M11" s="140">
        <f t="shared" si="0"/>
        <v>0.05</v>
      </c>
      <c r="N11" s="140">
        <f t="shared" si="0"/>
        <v>6.1929999999999996</v>
      </c>
      <c r="O11" s="140">
        <f t="shared" si="0"/>
        <v>0.05</v>
      </c>
      <c r="P11" s="140">
        <f t="shared" si="1"/>
        <v>0.05</v>
      </c>
      <c r="Q11" s="161" t="s">
        <v>676</v>
      </c>
      <c r="R11" s="125">
        <v>1.355</v>
      </c>
      <c r="S11" t="s">
        <v>676</v>
      </c>
      <c r="T11" t="s">
        <v>515</v>
      </c>
      <c r="U11" t="s">
        <v>515</v>
      </c>
      <c r="V11" s="118" t="s">
        <v>515</v>
      </c>
      <c r="W11">
        <v>40.731830000000002</v>
      </c>
      <c r="X11">
        <v>-86.755009999999999</v>
      </c>
      <c r="Y11">
        <v>3</v>
      </c>
      <c r="Z11">
        <v>10</v>
      </c>
      <c r="AA11">
        <v>2023</v>
      </c>
      <c r="AB11" t="b">
        <v>0</v>
      </c>
      <c r="AC11" s="19">
        <v>44995</v>
      </c>
      <c r="AD11" s="19" t="s">
        <v>515</v>
      </c>
      <c r="AE11" s="118" t="s">
        <v>515</v>
      </c>
      <c r="AF11" s="118" t="s">
        <v>515</v>
      </c>
      <c r="AG11" s="118" t="s">
        <v>515</v>
      </c>
      <c r="AH11" s="118" t="s">
        <v>515</v>
      </c>
      <c r="AI11" s="118" t="s">
        <v>515</v>
      </c>
      <c r="AJ11" s="118" t="s">
        <v>515</v>
      </c>
      <c r="AK11" s="118" t="s">
        <v>515</v>
      </c>
      <c r="AL11" s="118" t="s">
        <v>515</v>
      </c>
      <c r="AM11" s="118" t="s">
        <v>515</v>
      </c>
      <c r="AN11" s="118" t="s">
        <v>515</v>
      </c>
      <c r="AO11" s="21" t="s">
        <v>515</v>
      </c>
      <c r="AP11" s="118" t="s">
        <v>515</v>
      </c>
      <c r="AQ11" s="118" t="s">
        <v>515</v>
      </c>
      <c r="AR11" s="118" t="s">
        <v>515</v>
      </c>
      <c r="AS11" s="118" t="s">
        <v>515</v>
      </c>
      <c r="AT11" s="118" t="s">
        <v>515</v>
      </c>
      <c r="AU11" s="118" t="s">
        <v>515</v>
      </c>
      <c r="AV11" s="118" t="s">
        <v>515</v>
      </c>
      <c r="AW11" s="118" t="s">
        <v>515</v>
      </c>
      <c r="AX11" s="118" t="s">
        <v>515</v>
      </c>
      <c r="AY11" s="118" t="s">
        <v>515</v>
      </c>
      <c r="AZ11" s="118" t="s">
        <v>515</v>
      </c>
      <c r="BA11" s="118" t="s">
        <v>515</v>
      </c>
      <c r="BB11" s="118" t="s">
        <v>515</v>
      </c>
      <c r="BC11" s="118" t="s">
        <v>515</v>
      </c>
      <c r="BD11" s="118" t="s">
        <v>515</v>
      </c>
      <c r="BE11" s="118" t="s">
        <v>515</v>
      </c>
      <c r="BF11" s="118" t="s">
        <v>515</v>
      </c>
      <c r="BG11" s="118" t="s">
        <v>515</v>
      </c>
    </row>
    <row r="12" spans="1:67" x14ac:dyDescent="0.25">
      <c r="A12" s="25">
        <v>10011</v>
      </c>
      <c r="B12" t="s">
        <v>38</v>
      </c>
      <c r="C12" t="s">
        <v>519</v>
      </c>
      <c r="D12" s="27" t="s">
        <v>516</v>
      </c>
      <c r="E12" s="27" t="str">
        <f t="shared" si="2"/>
        <v>?</v>
      </c>
      <c r="F12" s="118" t="s">
        <v>515</v>
      </c>
      <c r="G12" t="s">
        <v>20</v>
      </c>
      <c r="H12" s="24" t="s">
        <v>512</v>
      </c>
      <c r="I12" t="s">
        <v>515</v>
      </c>
      <c r="J12" t="s">
        <v>515</v>
      </c>
      <c r="K12" t="s">
        <v>515</v>
      </c>
      <c r="L12">
        <v>9.35E-2</v>
      </c>
      <c r="M12" s="140" t="str">
        <f t="shared" si="0"/>
        <v>NULL</v>
      </c>
      <c r="N12" s="140" t="str">
        <f t="shared" si="0"/>
        <v>NULL</v>
      </c>
      <c r="O12" s="140" t="str">
        <f t="shared" si="0"/>
        <v>NULL</v>
      </c>
      <c r="P12" s="140">
        <f t="shared" si="1"/>
        <v>0.05</v>
      </c>
      <c r="Q12" s="161" t="s">
        <v>676</v>
      </c>
      <c r="R12" s="125" t="s">
        <v>676</v>
      </c>
      <c r="S12" t="s">
        <v>676</v>
      </c>
      <c r="T12" t="s">
        <v>515</v>
      </c>
      <c r="U12" t="s">
        <v>515</v>
      </c>
      <c r="V12" s="118" t="s">
        <v>515</v>
      </c>
      <c r="W12">
        <v>40.731830000000002</v>
      </c>
      <c r="X12">
        <v>-86.755009999999999</v>
      </c>
      <c r="Y12">
        <v>3</v>
      </c>
      <c r="Z12">
        <v>10</v>
      </c>
      <c r="AA12">
        <v>2023</v>
      </c>
      <c r="AB12" t="b">
        <v>0</v>
      </c>
      <c r="AC12" s="19">
        <v>44995</v>
      </c>
      <c r="AD12" s="19" t="s">
        <v>515</v>
      </c>
      <c r="AE12" s="118" t="s">
        <v>515</v>
      </c>
      <c r="AF12" s="118" t="s">
        <v>515</v>
      </c>
      <c r="AG12" s="118" t="s">
        <v>515</v>
      </c>
      <c r="AH12" s="118" t="s">
        <v>515</v>
      </c>
      <c r="AI12" s="118" t="s">
        <v>515</v>
      </c>
      <c r="AJ12" s="118" t="s">
        <v>515</v>
      </c>
      <c r="AK12" s="118" t="s">
        <v>515</v>
      </c>
      <c r="AL12" s="118" t="s">
        <v>515</v>
      </c>
      <c r="AM12" s="118" t="s">
        <v>515</v>
      </c>
      <c r="AN12" s="118" t="s">
        <v>515</v>
      </c>
      <c r="AO12" s="21" t="s">
        <v>515</v>
      </c>
      <c r="AP12" s="118" t="s">
        <v>515</v>
      </c>
      <c r="AQ12" s="118" t="s">
        <v>515</v>
      </c>
      <c r="AR12" s="118" t="s">
        <v>515</v>
      </c>
      <c r="AS12" s="118" t="s">
        <v>515</v>
      </c>
      <c r="AT12" s="118" t="s">
        <v>515</v>
      </c>
      <c r="AU12" s="118" t="s">
        <v>515</v>
      </c>
      <c r="AV12" s="118" t="s">
        <v>515</v>
      </c>
      <c r="AW12" s="118" t="s">
        <v>515</v>
      </c>
      <c r="AX12" s="118" t="s">
        <v>515</v>
      </c>
      <c r="AY12" s="118" t="s">
        <v>515</v>
      </c>
      <c r="AZ12" s="118" t="s">
        <v>515</v>
      </c>
      <c r="BA12" s="118" t="s">
        <v>515</v>
      </c>
      <c r="BB12" s="118" t="s">
        <v>515</v>
      </c>
      <c r="BC12" s="118" t="s">
        <v>515</v>
      </c>
      <c r="BD12" s="118" t="s">
        <v>515</v>
      </c>
      <c r="BE12" s="118" t="s">
        <v>515</v>
      </c>
      <c r="BF12" s="118" t="s">
        <v>515</v>
      </c>
      <c r="BG12" s="118" t="s">
        <v>515</v>
      </c>
    </row>
    <row r="13" spans="1:67" x14ac:dyDescent="0.25">
      <c r="A13" s="25">
        <v>10012</v>
      </c>
      <c r="B13" t="s">
        <v>39</v>
      </c>
      <c r="C13" t="s">
        <v>519</v>
      </c>
      <c r="D13" s="27" t="s">
        <v>516</v>
      </c>
      <c r="E13" s="27" t="str">
        <f t="shared" si="2"/>
        <v>?</v>
      </c>
      <c r="F13" s="118" t="s">
        <v>515</v>
      </c>
      <c r="G13" t="s">
        <v>20</v>
      </c>
      <c r="H13" s="24" t="s">
        <v>512</v>
      </c>
      <c r="I13" t="s">
        <v>515</v>
      </c>
      <c r="J13" t="s">
        <v>515</v>
      </c>
      <c r="K13" t="s">
        <v>515</v>
      </c>
      <c r="L13">
        <v>8.6499999999999994E-2</v>
      </c>
      <c r="M13" s="140" t="str">
        <f t="shared" si="0"/>
        <v>NULL</v>
      </c>
      <c r="N13" s="140" t="str">
        <f t="shared" si="0"/>
        <v>NULL</v>
      </c>
      <c r="O13" s="140" t="str">
        <f t="shared" si="0"/>
        <v>NULL</v>
      </c>
      <c r="P13" s="140">
        <f t="shared" si="1"/>
        <v>0.05</v>
      </c>
      <c r="Q13" s="161" t="s">
        <v>676</v>
      </c>
      <c r="R13" s="125" t="s">
        <v>676</v>
      </c>
      <c r="S13" t="s">
        <v>676</v>
      </c>
      <c r="T13" t="s">
        <v>515</v>
      </c>
      <c r="U13" t="s">
        <v>515</v>
      </c>
      <c r="V13" s="118" t="s">
        <v>515</v>
      </c>
      <c r="W13">
        <v>40.731830000000002</v>
      </c>
      <c r="X13">
        <v>-86.755009999999999</v>
      </c>
      <c r="Y13">
        <v>3</v>
      </c>
      <c r="Z13">
        <v>10</v>
      </c>
      <c r="AA13">
        <v>2023</v>
      </c>
      <c r="AB13" t="b">
        <v>0</v>
      </c>
      <c r="AC13" s="19">
        <v>44995</v>
      </c>
      <c r="AD13" s="19" t="s">
        <v>515</v>
      </c>
      <c r="AE13" s="118" t="s">
        <v>515</v>
      </c>
      <c r="AF13" s="118" t="s">
        <v>515</v>
      </c>
      <c r="AG13" s="118" t="s">
        <v>515</v>
      </c>
      <c r="AH13" s="118" t="s">
        <v>515</v>
      </c>
      <c r="AI13" s="118" t="s">
        <v>515</v>
      </c>
      <c r="AJ13" s="118" t="s">
        <v>515</v>
      </c>
      <c r="AK13" s="118" t="s">
        <v>515</v>
      </c>
      <c r="AL13" s="118" t="s">
        <v>515</v>
      </c>
      <c r="AM13" s="118" t="s">
        <v>515</v>
      </c>
      <c r="AN13" s="118" t="s">
        <v>515</v>
      </c>
      <c r="AO13" s="21" t="s">
        <v>515</v>
      </c>
      <c r="AP13" s="118" t="s">
        <v>515</v>
      </c>
      <c r="AQ13" s="118" t="s">
        <v>515</v>
      </c>
      <c r="AR13" s="118" t="s">
        <v>515</v>
      </c>
      <c r="AS13" s="118" t="s">
        <v>515</v>
      </c>
      <c r="AT13" s="118" t="s">
        <v>515</v>
      </c>
      <c r="AU13" s="118" t="s">
        <v>515</v>
      </c>
      <c r="AV13" s="118" t="s">
        <v>515</v>
      </c>
      <c r="AW13" s="118" t="s">
        <v>515</v>
      </c>
      <c r="AX13" s="118" t="s">
        <v>515</v>
      </c>
      <c r="AY13" s="118" t="s">
        <v>515</v>
      </c>
      <c r="AZ13" s="118" t="s">
        <v>515</v>
      </c>
      <c r="BA13" s="118" t="s">
        <v>515</v>
      </c>
      <c r="BB13" s="118" t="s">
        <v>515</v>
      </c>
      <c r="BC13" s="118" t="s">
        <v>515</v>
      </c>
      <c r="BD13" s="118" t="s">
        <v>515</v>
      </c>
      <c r="BE13" s="118" t="s">
        <v>515</v>
      </c>
      <c r="BF13" s="118" t="s">
        <v>515</v>
      </c>
      <c r="BG13" s="118" t="s">
        <v>515</v>
      </c>
    </row>
    <row r="14" spans="1:67" x14ac:dyDescent="0.25">
      <c r="A14" s="25">
        <v>10013</v>
      </c>
      <c r="B14" t="s">
        <v>40</v>
      </c>
      <c r="C14" t="s">
        <v>519</v>
      </c>
      <c r="D14" s="27" t="s">
        <v>516</v>
      </c>
      <c r="E14" s="27" t="str">
        <f t="shared" si="2"/>
        <v>?</v>
      </c>
      <c r="F14" s="118" t="s">
        <v>515</v>
      </c>
      <c r="G14" t="s">
        <v>20</v>
      </c>
      <c r="H14" s="24" t="s">
        <v>512</v>
      </c>
      <c r="I14" t="s">
        <v>515</v>
      </c>
      <c r="J14" t="s">
        <v>515</v>
      </c>
      <c r="K14" t="s">
        <v>515</v>
      </c>
      <c r="L14">
        <v>4.2999999999999997E-2</v>
      </c>
      <c r="M14" s="140" t="str">
        <f t="shared" si="0"/>
        <v>NULL</v>
      </c>
      <c r="N14" s="140" t="str">
        <f t="shared" si="0"/>
        <v>NULL</v>
      </c>
      <c r="O14" s="140" t="str">
        <f t="shared" si="0"/>
        <v>NULL</v>
      </c>
      <c r="P14" s="140">
        <f t="shared" si="1"/>
        <v>0.05</v>
      </c>
      <c r="Q14" s="161" t="s">
        <v>676</v>
      </c>
      <c r="R14" s="125" t="s">
        <v>676</v>
      </c>
      <c r="S14" t="s">
        <v>676</v>
      </c>
      <c r="T14" t="s">
        <v>515</v>
      </c>
      <c r="U14" t="s">
        <v>515</v>
      </c>
      <c r="V14" s="118" t="s">
        <v>515</v>
      </c>
      <c r="W14">
        <v>40.731830000000002</v>
      </c>
      <c r="X14">
        <v>-86.755009999999999</v>
      </c>
      <c r="Y14">
        <v>3</v>
      </c>
      <c r="Z14">
        <v>10</v>
      </c>
      <c r="AA14">
        <v>2023</v>
      </c>
      <c r="AB14" t="b">
        <v>0</v>
      </c>
      <c r="AC14" s="19">
        <v>44995</v>
      </c>
      <c r="AD14" s="19" t="s">
        <v>515</v>
      </c>
      <c r="AE14" s="118" t="s">
        <v>515</v>
      </c>
      <c r="AF14" s="118" t="s">
        <v>515</v>
      </c>
      <c r="AG14" s="118" t="s">
        <v>515</v>
      </c>
      <c r="AH14" s="118" t="s">
        <v>515</v>
      </c>
      <c r="AI14" s="118" t="s">
        <v>515</v>
      </c>
      <c r="AJ14" s="118" t="s">
        <v>515</v>
      </c>
      <c r="AK14" s="118" t="s">
        <v>515</v>
      </c>
      <c r="AL14" s="118" t="s">
        <v>515</v>
      </c>
      <c r="AM14" s="118" t="s">
        <v>515</v>
      </c>
      <c r="AN14" s="118" t="s">
        <v>515</v>
      </c>
      <c r="AO14" s="21" t="s">
        <v>515</v>
      </c>
      <c r="AP14" s="118" t="s">
        <v>515</v>
      </c>
      <c r="AQ14" s="118" t="s">
        <v>515</v>
      </c>
      <c r="AR14" s="118" t="s">
        <v>515</v>
      </c>
      <c r="AS14" s="118" t="s">
        <v>515</v>
      </c>
      <c r="AT14" s="118" t="s">
        <v>515</v>
      </c>
      <c r="AU14" s="118" t="s">
        <v>515</v>
      </c>
      <c r="AV14" s="118" t="s">
        <v>515</v>
      </c>
      <c r="AW14" s="118" t="s">
        <v>515</v>
      </c>
      <c r="AX14" s="118" t="s">
        <v>515</v>
      </c>
      <c r="AY14" s="118" t="s">
        <v>515</v>
      </c>
      <c r="AZ14" s="118" t="s">
        <v>515</v>
      </c>
      <c r="BA14" s="118" t="s">
        <v>515</v>
      </c>
      <c r="BB14" s="118" t="s">
        <v>515</v>
      </c>
      <c r="BC14" s="118" t="s">
        <v>515</v>
      </c>
      <c r="BD14" s="118" t="s">
        <v>515</v>
      </c>
      <c r="BE14" s="118" t="s">
        <v>515</v>
      </c>
      <c r="BF14" s="118" t="s">
        <v>515</v>
      </c>
      <c r="BG14" s="118" t="s">
        <v>515</v>
      </c>
    </row>
    <row r="15" spans="1:67" x14ac:dyDescent="0.25">
      <c r="A15" s="25">
        <v>10014</v>
      </c>
      <c r="B15" t="s">
        <v>41</v>
      </c>
      <c r="C15" t="s">
        <v>519</v>
      </c>
      <c r="D15" s="27" t="s">
        <v>516</v>
      </c>
      <c r="E15" s="27" t="str">
        <f t="shared" si="2"/>
        <v>?</v>
      </c>
      <c r="F15" s="118" t="s">
        <v>515</v>
      </c>
      <c r="G15" t="s">
        <v>20</v>
      </c>
      <c r="H15" s="24" t="s">
        <v>512</v>
      </c>
      <c r="I15" t="s">
        <v>515</v>
      </c>
      <c r="J15" t="s">
        <v>515</v>
      </c>
      <c r="K15" t="s">
        <v>515</v>
      </c>
      <c r="L15">
        <v>8.7499999999999994E-2</v>
      </c>
      <c r="M15" s="140" t="str">
        <f t="shared" si="0"/>
        <v>NULL</v>
      </c>
      <c r="N15" s="140" t="str">
        <f t="shared" si="0"/>
        <v>NULL</v>
      </c>
      <c r="O15" s="140" t="str">
        <f t="shared" si="0"/>
        <v>NULL</v>
      </c>
      <c r="P15" s="140">
        <f t="shared" si="1"/>
        <v>0.05</v>
      </c>
      <c r="Q15" s="161" t="s">
        <v>676</v>
      </c>
      <c r="R15" s="125" t="s">
        <v>676</v>
      </c>
      <c r="S15" t="s">
        <v>676</v>
      </c>
      <c r="T15" t="s">
        <v>515</v>
      </c>
      <c r="U15" t="s">
        <v>515</v>
      </c>
      <c r="V15" s="118" t="s">
        <v>515</v>
      </c>
      <c r="W15">
        <v>40.731830000000002</v>
      </c>
      <c r="X15">
        <v>-86.755009999999999</v>
      </c>
      <c r="Y15">
        <v>3</v>
      </c>
      <c r="Z15">
        <v>10</v>
      </c>
      <c r="AA15">
        <v>2023</v>
      </c>
      <c r="AB15" t="b">
        <v>0</v>
      </c>
      <c r="AC15" s="19">
        <v>44995</v>
      </c>
      <c r="AD15" s="19" t="s">
        <v>515</v>
      </c>
      <c r="AE15" s="118" t="s">
        <v>515</v>
      </c>
      <c r="AF15" s="118" t="s">
        <v>515</v>
      </c>
      <c r="AG15" s="118" t="s">
        <v>515</v>
      </c>
      <c r="AH15" s="118" t="s">
        <v>515</v>
      </c>
      <c r="AI15" s="118" t="s">
        <v>515</v>
      </c>
      <c r="AJ15" s="118" t="s">
        <v>515</v>
      </c>
      <c r="AK15" s="118" t="s">
        <v>515</v>
      </c>
      <c r="AL15" s="118" t="s">
        <v>515</v>
      </c>
      <c r="AM15" s="118" t="s">
        <v>515</v>
      </c>
      <c r="AN15" s="118" t="s">
        <v>515</v>
      </c>
      <c r="AO15" s="21" t="s">
        <v>515</v>
      </c>
      <c r="AP15" s="118" t="s">
        <v>515</v>
      </c>
      <c r="AQ15" s="118" t="s">
        <v>515</v>
      </c>
      <c r="AR15" s="118" t="s">
        <v>515</v>
      </c>
      <c r="AS15" s="118" t="s">
        <v>515</v>
      </c>
      <c r="AT15" s="118" t="s">
        <v>515</v>
      </c>
      <c r="AU15" s="118" t="s">
        <v>515</v>
      </c>
      <c r="AV15" s="118" t="s">
        <v>515</v>
      </c>
      <c r="AW15" s="118" t="s">
        <v>515</v>
      </c>
      <c r="AX15" s="118" t="s">
        <v>515</v>
      </c>
      <c r="AY15" s="118" t="s">
        <v>515</v>
      </c>
      <c r="AZ15" s="118" t="s">
        <v>515</v>
      </c>
      <c r="BA15" s="118" t="s">
        <v>515</v>
      </c>
      <c r="BB15" s="118" t="s">
        <v>515</v>
      </c>
      <c r="BC15" s="118" t="s">
        <v>515</v>
      </c>
      <c r="BD15" s="118" t="s">
        <v>515</v>
      </c>
      <c r="BE15" s="118" t="s">
        <v>515</v>
      </c>
      <c r="BF15" s="118" t="s">
        <v>515</v>
      </c>
      <c r="BG15" s="118" t="s">
        <v>515</v>
      </c>
    </row>
    <row r="16" spans="1:67" x14ac:dyDescent="0.25">
      <c r="A16" s="25">
        <v>10015</v>
      </c>
      <c r="B16" t="s">
        <v>42</v>
      </c>
      <c r="C16" t="s">
        <v>519</v>
      </c>
      <c r="D16" s="27" t="s">
        <v>516</v>
      </c>
      <c r="E16" s="27" t="str">
        <f t="shared" si="2"/>
        <v>?</v>
      </c>
      <c r="F16" s="118" t="s">
        <v>515</v>
      </c>
      <c r="G16" t="s">
        <v>20</v>
      </c>
      <c r="H16" s="24" t="s">
        <v>512</v>
      </c>
      <c r="I16">
        <v>1.29E-2</v>
      </c>
      <c r="J16">
        <v>5.8425000000000002</v>
      </c>
      <c r="K16">
        <v>-5.0000000000000001E-4</v>
      </c>
      <c r="L16">
        <v>9.4E-2</v>
      </c>
      <c r="M16" s="140">
        <f t="shared" si="0"/>
        <v>0.05</v>
      </c>
      <c r="N16" s="140">
        <f t="shared" si="0"/>
        <v>5.8425000000000002</v>
      </c>
      <c r="O16" s="140">
        <f t="shared" si="0"/>
        <v>0.05</v>
      </c>
      <c r="P16" s="140">
        <f t="shared" si="1"/>
        <v>0.05</v>
      </c>
      <c r="Q16" s="161" t="s">
        <v>676</v>
      </c>
      <c r="R16" s="125">
        <v>1.96</v>
      </c>
      <c r="S16" t="s">
        <v>676</v>
      </c>
      <c r="T16" t="s">
        <v>515</v>
      </c>
      <c r="U16" t="s">
        <v>515</v>
      </c>
      <c r="V16" s="118" t="s">
        <v>515</v>
      </c>
      <c r="W16">
        <v>40.746470000000002</v>
      </c>
      <c r="X16">
        <v>-86.757469999999998</v>
      </c>
      <c r="Y16">
        <v>3</v>
      </c>
      <c r="Z16">
        <v>10</v>
      </c>
      <c r="AA16">
        <v>2023</v>
      </c>
      <c r="AB16" t="b">
        <v>0</v>
      </c>
      <c r="AC16" s="19">
        <v>44995</v>
      </c>
      <c r="AD16" s="19" t="s">
        <v>515</v>
      </c>
      <c r="AE16" s="118" t="s">
        <v>515</v>
      </c>
      <c r="AF16" s="118" t="s">
        <v>515</v>
      </c>
      <c r="AG16" s="118" t="s">
        <v>515</v>
      </c>
      <c r="AH16" s="118" t="s">
        <v>515</v>
      </c>
      <c r="AI16" s="118" t="s">
        <v>515</v>
      </c>
      <c r="AJ16" s="118" t="s">
        <v>515</v>
      </c>
      <c r="AK16" s="118" t="s">
        <v>515</v>
      </c>
      <c r="AL16" s="118" t="s">
        <v>515</v>
      </c>
      <c r="AM16" s="118" t="s">
        <v>515</v>
      </c>
      <c r="AN16" s="118" t="s">
        <v>515</v>
      </c>
      <c r="AO16" s="21" t="s">
        <v>515</v>
      </c>
      <c r="AP16" s="118" t="s">
        <v>515</v>
      </c>
      <c r="AQ16" s="118" t="s">
        <v>515</v>
      </c>
      <c r="AR16" s="118" t="s">
        <v>515</v>
      </c>
      <c r="AS16" s="118" t="s">
        <v>515</v>
      </c>
      <c r="AT16" s="118" t="s">
        <v>515</v>
      </c>
      <c r="AU16" s="118" t="s">
        <v>515</v>
      </c>
      <c r="AV16" s="118" t="s">
        <v>515</v>
      </c>
      <c r="AW16" s="118" t="s">
        <v>515</v>
      </c>
      <c r="AX16" s="118" t="s">
        <v>515</v>
      </c>
      <c r="AY16" s="118" t="s">
        <v>515</v>
      </c>
      <c r="AZ16" s="118" t="s">
        <v>515</v>
      </c>
      <c r="BA16" s="118" t="s">
        <v>515</v>
      </c>
      <c r="BB16" s="118" t="s">
        <v>515</v>
      </c>
      <c r="BC16" s="118" t="s">
        <v>515</v>
      </c>
      <c r="BD16" s="118" t="s">
        <v>515</v>
      </c>
      <c r="BE16" s="118" t="s">
        <v>515</v>
      </c>
      <c r="BF16" s="118" t="s">
        <v>515</v>
      </c>
      <c r="BG16" s="118" t="s">
        <v>515</v>
      </c>
    </row>
    <row r="17" spans="1:59" x14ac:dyDescent="0.25">
      <c r="A17" s="25">
        <v>10016</v>
      </c>
      <c r="B17" t="s">
        <v>43</v>
      </c>
      <c r="C17" t="s">
        <v>519</v>
      </c>
      <c r="D17" s="27" t="s">
        <v>516</v>
      </c>
      <c r="E17" s="27" t="str">
        <f t="shared" si="2"/>
        <v>?</v>
      </c>
      <c r="F17" s="118" t="s">
        <v>515</v>
      </c>
      <c r="G17" t="s">
        <v>20</v>
      </c>
      <c r="H17" s="24" t="s">
        <v>512</v>
      </c>
      <c r="I17">
        <v>1.6199999999999999E-2</v>
      </c>
      <c r="J17">
        <v>6.133</v>
      </c>
      <c r="K17">
        <v>-3.0000000000000001E-3</v>
      </c>
      <c r="L17">
        <v>7.1499999999999994E-2</v>
      </c>
      <c r="M17" s="140">
        <f t="shared" si="0"/>
        <v>0.05</v>
      </c>
      <c r="N17" s="140">
        <f t="shared" si="0"/>
        <v>6.133</v>
      </c>
      <c r="O17" s="140">
        <f t="shared" si="0"/>
        <v>0.05</v>
      </c>
      <c r="P17" s="140">
        <f t="shared" si="1"/>
        <v>0.05</v>
      </c>
      <c r="Q17" s="161" t="s">
        <v>676</v>
      </c>
      <c r="R17" s="125">
        <v>1.9950000000000001</v>
      </c>
      <c r="S17" t="s">
        <v>676</v>
      </c>
      <c r="T17" t="s">
        <v>515</v>
      </c>
      <c r="U17" t="s">
        <v>515</v>
      </c>
      <c r="V17" s="118" t="s">
        <v>515</v>
      </c>
      <c r="W17">
        <v>40.746409999999997</v>
      </c>
      <c r="X17">
        <v>-86.757890000000003</v>
      </c>
      <c r="Y17">
        <v>3</v>
      </c>
      <c r="Z17">
        <v>10</v>
      </c>
      <c r="AA17">
        <v>2023</v>
      </c>
      <c r="AB17" t="b">
        <v>0</v>
      </c>
      <c r="AC17" s="19">
        <v>44995</v>
      </c>
      <c r="AD17" s="19" t="s">
        <v>515</v>
      </c>
      <c r="AE17" s="118" t="s">
        <v>515</v>
      </c>
      <c r="AF17" s="118" t="s">
        <v>515</v>
      </c>
      <c r="AG17" s="118" t="s">
        <v>515</v>
      </c>
      <c r="AH17" s="118" t="s">
        <v>515</v>
      </c>
      <c r="AI17" s="118" t="s">
        <v>515</v>
      </c>
      <c r="AJ17" s="118" t="s">
        <v>515</v>
      </c>
      <c r="AK17" s="118" t="s">
        <v>515</v>
      </c>
      <c r="AL17" s="118" t="s">
        <v>515</v>
      </c>
      <c r="AM17" s="118" t="s">
        <v>515</v>
      </c>
      <c r="AN17" s="118" t="s">
        <v>515</v>
      </c>
      <c r="AO17" s="21" t="s">
        <v>515</v>
      </c>
      <c r="AP17" s="118" t="s">
        <v>515</v>
      </c>
      <c r="AQ17" s="118" t="s">
        <v>515</v>
      </c>
      <c r="AR17" s="118" t="s">
        <v>515</v>
      </c>
      <c r="AS17" s="118" t="s">
        <v>515</v>
      </c>
      <c r="AT17" s="118" t="s">
        <v>515</v>
      </c>
      <c r="AU17" s="118" t="s">
        <v>515</v>
      </c>
      <c r="AV17" s="118" t="s">
        <v>515</v>
      </c>
      <c r="AW17" s="118" t="s">
        <v>515</v>
      </c>
      <c r="AX17" s="118" t="s">
        <v>515</v>
      </c>
      <c r="AY17" s="118" t="s">
        <v>515</v>
      </c>
      <c r="AZ17" s="118" t="s">
        <v>515</v>
      </c>
      <c r="BA17" s="118" t="s">
        <v>515</v>
      </c>
      <c r="BB17" s="118" t="s">
        <v>515</v>
      </c>
      <c r="BC17" s="118" t="s">
        <v>515</v>
      </c>
      <c r="BD17" s="118" t="s">
        <v>515</v>
      </c>
      <c r="BE17" s="118" t="s">
        <v>515</v>
      </c>
      <c r="BF17" s="118" t="s">
        <v>515</v>
      </c>
      <c r="BG17" s="118" t="s">
        <v>515</v>
      </c>
    </row>
    <row r="18" spans="1:59" x14ac:dyDescent="0.25">
      <c r="A18" s="25">
        <v>10017</v>
      </c>
      <c r="B18" t="s">
        <v>44</v>
      </c>
      <c r="C18" t="s">
        <v>519</v>
      </c>
      <c r="D18" s="27" t="s">
        <v>516</v>
      </c>
      <c r="E18" s="27" t="str">
        <f t="shared" si="2"/>
        <v>?</v>
      </c>
      <c r="F18" s="118" t="s">
        <v>515</v>
      </c>
      <c r="G18" t="s">
        <v>20</v>
      </c>
      <c r="H18" s="24" t="s">
        <v>512</v>
      </c>
      <c r="I18">
        <v>8.9999999999999993E-3</v>
      </c>
      <c r="J18">
        <v>5.5359999999999996</v>
      </c>
      <c r="K18">
        <v>-8.0000000000000002E-3</v>
      </c>
      <c r="L18">
        <v>0.111</v>
      </c>
      <c r="M18" s="140">
        <f t="shared" ref="M18:O33" si="3">IF(I18&lt;0.1,0.05,I18)</f>
        <v>0.05</v>
      </c>
      <c r="N18" s="140">
        <f t="shared" si="3"/>
        <v>5.5359999999999996</v>
      </c>
      <c r="O18" s="140">
        <f t="shared" si="3"/>
        <v>0.05</v>
      </c>
      <c r="P18" s="140">
        <f t="shared" si="1"/>
        <v>0.111</v>
      </c>
      <c r="Q18" s="161" t="s">
        <v>676</v>
      </c>
      <c r="R18" s="125">
        <v>2.27</v>
      </c>
      <c r="S18" t="s">
        <v>676</v>
      </c>
      <c r="T18" t="s">
        <v>515</v>
      </c>
      <c r="U18" t="s">
        <v>515</v>
      </c>
      <c r="V18" s="118" t="s">
        <v>515</v>
      </c>
      <c r="W18">
        <v>40.778689999999997</v>
      </c>
      <c r="X18">
        <v>-86.757919999999999</v>
      </c>
      <c r="Y18">
        <v>3</v>
      </c>
      <c r="Z18">
        <v>10</v>
      </c>
      <c r="AA18">
        <v>2023</v>
      </c>
      <c r="AB18" t="b">
        <v>0</v>
      </c>
      <c r="AC18" s="19">
        <v>44995</v>
      </c>
      <c r="AD18" s="19" t="s">
        <v>515</v>
      </c>
      <c r="AE18" s="118" t="s">
        <v>515</v>
      </c>
      <c r="AF18" s="118" t="s">
        <v>515</v>
      </c>
      <c r="AG18" s="118" t="s">
        <v>515</v>
      </c>
      <c r="AH18" s="118" t="s">
        <v>515</v>
      </c>
      <c r="AI18" s="118" t="s">
        <v>515</v>
      </c>
      <c r="AJ18" s="118" t="s">
        <v>515</v>
      </c>
      <c r="AK18" s="118" t="s">
        <v>515</v>
      </c>
      <c r="AL18" s="118" t="s">
        <v>515</v>
      </c>
      <c r="AM18" s="118" t="s">
        <v>515</v>
      </c>
      <c r="AN18" s="118" t="s">
        <v>515</v>
      </c>
      <c r="AO18" s="21" t="s">
        <v>515</v>
      </c>
      <c r="AP18" s="118" t="s">
        <v>515</v>
      </c>
      <c r="AQ18" s="118" t="s">
        <v>515</v>
      </c>
      <c r="AR18" s="118" t="s">
        <v>515</v>
      </c>
      <c r="AS18" s="118" t="s">
        <v>515</v>
      </c>
      <c r="AT18" s="118" t="s">
        <v>515</v>
      </c>
      <c r="AU18" s="118" t="s">
        <v>515</v>
      </c>
      <c r="AV18" s="118" t="s">
        <v>515</v>
      </c>
      <c r="AW18" s="118" t="s">
        <v>515</v>
      </c>
      <c r="AX18" s="118" t="s">
        <v>515</v>
      </c>
      <c r="AY18" s="118" t="s">
        <v>515</v>
      </c>
      <c r="AZ18" s="118" t="s">
        <v>515</v>
      </c>
      <c r="BA18" s="118" t="s">
        <v>515</v>
      </c>
      <c r="BB18" s="118" t="s">
        <v>515</v>
      </c>
      <c r="BC18" s="118" t="s">
        <v>515</v>
      </c>
      <c r="BD18" s="118" t="s">
        <v>515</v>
      </c>
      <c r="BE18" s="118" t="s">
        <v>515</v>
      </c>
      <c r="BF18" s="118" t="s">
        <v>515</v>
      </c>
      <c r="BG18" s="118" t="s">
        <v>515</v>
      </c>
    </row>
    <row r="19" spans="1:59" x14ac:dyDescent="0.25">
      <c r="A19" s="25">
        <v>10018</v>
      </c>
      <c r="B19" t="s">
        <v>45</v>
      </c>
      <c r="C19" t="s">
        <v>519</v>
      </c>
      <c r="D19" s="27" t="s">
        <v>516</v>
      </c>
      <c r="E19" s="27" t="str">
        <f t="shared" si="2"/>
        <v>?</v>
      </c>
      <c r="F19" s="118" t="s">
        <v>515</v>
      </c>
      <c r="G19" t="s">
        <v>20</v>
      </c>
      <c r="H19" s="24" t="s">
        <v>512</v>
      </c>
      <c r="I19">
        <v>1.2699999999999999E-2</v>
      </c>
      <c r="J19">
        <v>5.33</v>
      </c>
      <c r="K19">
        <v>-3.0000000000000001E-3</v>
      </c>
      <c r="L19">
        <v>9.2499999999999999E-2</v>
      </c>
      <c r="M19" s="140">
        <f t="shared" si="3"/>
        <v>0.05</v>
      </c>
      <c r="N19" s="140">
        <f t="shared" si="3"/>
        <v>5.33</v>
      </c>
      <c r="O19" s="140">
        <f t="shared" si="3"/>
        <v>0.05</v>
      </c>
      <c r="P19" s="140">
        <f t="shared" si="1"/>
        <v>0.05</v>
      </c>
      <c r="Q19" s="161" t="s">
        <v>676</v>
      </c>
      <c r="R19" s="125">
        <v>2.6850000000000001</v>
      </c>
      <c r="S19" t="s">
        <v>676</v>
      </c>
      <c r="T19" t="s">
        <v>515</v>
      </c>
      <c r="U19" t="s">
        <v>515</v>
      </c>
      <c r="V19" s="118" t="s">
        <v>515</v>
      </c>
      <c r="W19">
        <v>40.778550000000003</v>
      </c>
      <c r="X19">
        <v>-86.758399999999995</v>
      </c>
      <c r="Y19">
        <v>3</v>
      </c>
      <c r="Z19">
        <v>10</v>
      </c>
      <c r="AA19">
        <v>2023</v>
      </c>
      <c r="AB19" t="b">
        <v>0</v>
      </c>
      <c r="AC19" s="19">
        <v>44995</v>
      </c>
      <c r="AD19" s="19" t="s">
        <v>515</v>
      </c>
      <c r="AE19" s="118" t="s">
        <v>515</v>
      </c>
      <c r="AF19" s="118" t="s">
        <v>515</v>
      </c>
      <c r="AG19" s="118" t="s">
        <v>515</v>
      </c>
      <c r="AH19" s="118" t="s">
        <v>515</v>
      </c>
      <c r="AI19" s="118" t="s">
        <v>515</v>
      </c>
      <c r="AJ19" s="118" t="s">
        <v>515</v>
      </c>
      <c r="AK19" s="118" t="s">
        <v>515</v>
      </c>
      <c r="AL19" s="118" t="s">
        <v>515</v>
      </c>
      <c r="AM19" s="118" t="s">
        <v>515</v>
      </c>
      <c r="AN19" s="118" t="s">
        <v>515</v>
      </c>
      <c r="AO19" s="21" t="s">
        <v>515</v>
      </c>
      <c r="AP19" s="118" t="s">
        <v>515</v>
      </c>
      <c r="AQ19" s="118" t="s">
        <v>515</v>
      </c>
      <c r="AR19" s="118" t="s">
        <v>515</v>
      </c>
      <c r="AS19" s="118" t="s">
        <v>515</v>
      </c>
      <c r="AT19" s="118" t="s">
        <v>515</v>
      </c>
      <c r="AU19" s="118" t="s">
        <v>515</v>
      </c>
      <c r="AV19" s="118" t="s">
        <v>515</v>
      </c>
      <c r="AW19" s="118" t="s">
        <v>515</v>
      </c>
      <c r="AX19" s="118" t="s">
        <v>515</v>
      </c>
      <c r="AY19" s="118" t="s">
        <v>515</v>
      </c>
      <c r="AZ19" s="118" t="s">
        <v>515</v>
      </c>
      <c r="BA19" s="118" t="s">
        <v>515</v>
      </c>
      <c r="BB19" s="118" t="s">
        <v>515</v>
      </c>
      <c r="BC19" s="118" t="s">
        <v>515</v>
      </c>
      <c r="BD19" s="118" t="s">
        <v>515</v>
      </c>
      <c r="BE19" s="118" t="s">
        <v>515</v>
      </c>
      <c r="BF19" s="118" t="s">
        <v>515</v>
      </c>
      <c r="BG19" s="118" t="s">
        <v>515</v>
      </c>
    </row>
    <row r="20" spans="1:59" x14ac:dyDescent="0.25">
      <c r="A20" s="25">
        <v>10019</v>
      </c>
      <c r="B20" t="s">
        <v>46</v>
      </c>
      <c r="C20" t="s">
        <v>519</v>
      </c>
      <c r="D20" s="27" t="s">
        <v>516</v>
      </c>
      <c r="E20" s="27" t="str">
        <f t="shared" si="2"/>
        <v>?</v>
      </c>
      <c r="F20" s="118" t="s">
        <v>515</v>
      </c>
      <c r="G20" t="s">
        <v>20</v>
      </c>
      <c r="H20" s="24" t="s">
        <v>512</v>
      </c>
      <c r="I20">
        <v>1.84E-2</v>
      </c>
      <c r="J20">
        <v>5.2679999999999998</v>
      </c>
      <c r="K20">
        <v>-6.0000000000000001E-3</v>
      </c>
      <c r="L20">
        <v>6.3500000000000001E-2</v>
      </c>
      <c r="M20" s="140">
        <f t="shared" si="3"/>
        <v>0.05</v>
      </c>
      <c r="N20" s="140">
        <f t="shared" si="3"/>
        <v>5.2679999999999998</v>
      </c>
      <c r="O20" s="140">
        <f t="shared" si="3"/>
        <v>0.05</v>
      </c>
      <c r="P20" s="140">
        <f t="shared" si="1"/>
        <v>0.05</v>
      </c>
      <c r="Q20" s="161" t="s">
        <v>676</v>
      </c>
      <c r="R20" s="125">
        <v>1.95</v>
      </c>
      <c r="S20" t="s">
        <v>676</v>
      </c>
      <c r="T20" t="s">
        <v>515</v>
      </c>
      <c r="U20" t="s">
        <v>515</v>
      </c>
      <c r="V20" s="118" t="s">
        <v>515</v>
      </c>
      <c r="W20">
        <v>40.832900000000002</v>
      </c>
      <c r="X20">
        <v>-86.783709999999999</v>
      </c>
      <c r="Y20">
        <v>3</v>
      </c>
      <c r="Z20">
        <v>10</v>
      </c>
      <c r="AA20">
        <v>2023</v>
      </c>
      <c r="AB20" t="b">
        <v>0</v>
      </c>
      <c r="AC20" s="19">
        <v>44995</v>
      </c>
      <c r="AD20" s="19" t="s">
        <v>515</v>
      </c>
      <c r="AE20" s="118" t="s">
        <v>515</v>
      </c>
      <c r="AF20" s="118" t="s">
        <v>515</v>
      </c>
      <c r="AG20" s="118" t="s">
        <v>515</v>
      </c>
      <c r="AH20" s="118" t="s">
        <v>515</v>
      </c>
      <c r="AI20" s="118" t="s">
        <v>515</v>
      </c>
      <c r="AJ20" s="118" t="s">
        <v>515</v>
      </c>
      <c r="AK20" s="118" t="s">
        <v>515</v>
      </c>
      <c r="AL20" s="118" t="s">
        <v>515</v>
      </c>
      <c r="AM20" s="118" t="s">
        <v>515</v>
      </c>
      <c r="AN20" s="118" t="s">
        <v>515</v>
      </c>
      <c r="AO20" s="21" t="s">
        <v>515</v>
      </c>
      <c r="AP20" s="118" t="s">
        <v>515</v>
      </c>
      <c r="AQ20" s="118" t="s">
        <v>515</v>
      </c>
      <c r="AR20" s="118" t="s">
        <v>515</v>
      </c>
      <c r="AS20" s="118" t="s">
        <v>515</v>
      </c>
      <c r="AT20" s="118" t="s">
        <v>515</v>
      </c>
      <c r="AU20" s="118" t="s">
        <v>515</v>
      </c>
      <c r="AV20" s="118" t="s">
        <v>515</v>
      </c>
      <c r="AW20" s="118" t="s">
        <v>515</v>
      </c>
      <c r="AX20" s="118" t="s">
        <v>515</v>
      </c>
      <c r="AY20" s="118" t="s">
        <v>515</v>
      </c>
      <c r="AZ20" s="118" t="s">
        <v>515</v>
      </c>
      <c r="BA20" s="118" t="s">
        <v>515</v>
      </c>
      <c r="BB20" s="118" t="s">
        <v>515</v>
      </c>
      <c r="BC20" s="118" t="s">
        <v>515</v>
      </c>
      <c r="BD20" s="118" t="s">
        <v>515</v>
      </c>
      <c r="BE20" s="118" t="s">
        <v>515</v>
      </c>
      <c r="BF20" s="118" t="s">
        <v>515</v>
      </c>
      <c r="BG20" s="118" t="s">
        <v>515</v>
      </c>
    </row>
    <row r="21" spans="1:59" x14ac:dyDescent="0.25">
      <c r="A21" s="25">
        <v>10020</v>
      </c>
      <c r="B21" t="s">
        <v>47</v>
      </c>
      <c r="C21" t="s">
        <v>519</v>
      </c>
      <c r="D21" s="27" t="s">
        <v>516</v>
      </c>
      <c r="E21" s="27" t="str">
        <f t="shared" si="2"/>
        <v>?</v>
      </c>
      <c r="F21" s="118" t="s">
        <v>515</v>
      </c>
      <c r="G21" t="s">
        <v>20</v>
      </c>
      <c r="H21" s="24" t="s">
        <v>512</v>
      </c>
      <c r="I21" t="s">
        <v>515</v>
      </c>
      <c r="J21" t="s">
        <v>515</v>
      </c>
      <c r="K21" t="s">
        <v>515</v>
      </c>
      <c r="L21">
        <v>7.6999999999999999E-2</v>
      </c>
      <c r="M21" s="140" t="str">
        <f t="shared" si="3"/>
        <v>NULL</v>
      </c>
      <c r="N21" s="140" t="str">
        <f t="shared" si="3"/>
        <v>NULL</v>
      </c>
      <c r="O21" s="140" t="str">
        <f t="shared" si="3"/>
        <v>NULL</v>
      </c>
      <c r="P21" s="140">
        <f t="shared" si="1"/>
        <v>0.05</v>
      </c>
      <c r="Q21" s="161" t="s">
        <v>676</v>
      </c>
      <c r="R21" s="125" t="s">
        <v>676</v>
      </c>
      <c r="S21" t="s">
        <v>676</v>
      </c>
      <c r="T21" t="s">
        <v>515</v>
      </c>
      <c r="U21" t="s">
        <v>515</v>
      </c>
      <c r="V21" s="118" t="s">
        <v>515</v>
      </c>
      <c r="W21">
        <v>40.832900000000002</v>
      </c>
      <c r="X21">
        <v>-86.783709999999999</v>
      </c>
      <c r="Y21">
        <v>3</v>
      </c>
      <c r="Z21">
        <v>10</v>
      </c>
      <c r="AA21">
        <v>2023</v>
      </c>
      <c r="AB21" t="b">
        <v>0</v>
      </c>
      <c r="AC21" s="19">
        <v>44995</v>
      </c>
      <c r="AD21" s="19" t="s">
        <v>515</v>
      </c>
      <c r="AE21" s="118" t="s">
        <v>515</v>
      </c>
      <c r="AF21" s="118" t="s">
        <v>515</v>
      </c>
      <c r="AG21" s="118" t="s">
        <v>515</v>
      </c>
      <c r="AH21" s="118" t="s">
        <v>515</v>
      </c>
      <c r="AI21" s="118" t="s">
        <v>515</v>
      </c>
      <c r="AJ21" s="118" t="s">
        <v>515</v>
      </c>
      <c r="AK21" s="118" t="s">
        <v>515</v>
      </c>
      <c r="AL21" s="118" t="s">
        <v>515</v>
      </c>
      <c r="AM21" s="118" t="s">
        <v>515</v>
      </c>
      <c r="AN21" s="118" t="s">
        <v>515</v>
      </c>
      <c r="AO21" s="21" t="s">
        <v>515</v>
      </c>
      <c r="AP21" s="118" t="s">
        <v>515</v>
      </c>
      <c r="AQ21" s="118" t="s">
        <v>515</v>
      </c>
      <c r="AR21" s="118" t="s">
        <v>515</v>
      </c>
      <c r="AS21" s="118" t="s">
        <v>515</v>
      </c>
      <c r="AT21" s="118" t="s">
        <v>515</v>
      </c>
      <c r="AU21" s="118" t="s">
        <v>515</v>
      </c>
      <c r="AV21" s="118" t="s">
        <v>515</v>
      </c>
      <c r="AW21" s="118" t="s">
        <v>515</v>
      </c>
      <c r="AX21" s="118" t="s">
        <v>515</v>
      </c>
      <c r="AY21" s="118" t="s">
        <v>515</v>
      </c>
      <c r="AZ21" s="118" t="s">
        <v>515</v>
      </c>
      <c r="BA21" s="118" t="s">
        <v>515</v>
      </c>
      <c r="BB21" s="118" t="s">
        <v>515</v>
      </c>
      <c r="BC21" s="118" t="s">
        <v>515</v>
      </c>
      <c r="BD21" s="118" t="s">
        <v>515</v>
      </c>
      <c r="BE21" s="118" t="s">
        <v>515</v>
      </c>
      <c r="BF21" s="118" t="s">
        <v>515</v>
      </c>
      <c r="BG21" s="118" t="s">
        <v>515</v>
      </c>
    </row>
    <row r="22" spans="1:59" x14ac:dyDescent="0.25">
      <c r="A22" s="25">
        <v>10021</v>
      </c>
      <c r="B22" t="s">
        <v>48</v>
      </c>
      <c r="C22" t="s">
        <v>519</v>
      </c>
      <c r="D22" s="27" t="s">
        <v>516</v>
      </c>
      <c r="E22" s="27" t="str">
        <f t="shared" si="2"/>
        <v>?</v>
      </c>
      <c r="F22" s="118" t="s">
        <v>515</v>
      </c>
      <c r="G22" t="s">
        <v>20</v>
      </c>
      <c r="H22" s="24" t="s">
        <v>512</v>
      </c>
      <c r="I22" t="s">
        <v>515</v>
      </c>
      <c r="J22" t="s">
        <v>515</v>
      </c>
      <c r="K22" t="s">
        <v>515</v>
      </c>
      <c r="L22">
        <v>0.1925</v>
      </c>
      <c r="M22" s="140" t="str">
        <f t="shared" si="3"/>
        <v>NULL</v>
      </c>
      <c r="N22" s="140" t="str">
        <f t="shared" si="3"/>
        <v>NULL</v>
      </c>
      <c r="O22" s="140" t="str">
        <f t="shared" si="3"/>
        <v>NULL</v>
      </c>
      <c r="P22" s="140">
        <f t="shared" si="1"/>
        <v>0.1925</v>
      </c>
      <c r="Q22" s="161" t="s">
        <v>676</v>
      </c>
      <c r="R22" s="125" t="s">
        <v>676</v>
      </c>
      <c r="S22" t="s">
        <v>676</v>
      </c>
      <c r="T22" t="s">
        <v>515</v>
      </c>
      <c r="U22" t="s">
        <v>515</v>
      </c>
      <c r="V22" s="118" t="s">
        <v>515</v>
      </c>
      <c r="W22">
        <v>40.832900000000002</v>
      </c>
      <c r="X22">
        <v>-86.783709999999999</v>
      </c>
      <c r="Y22">
        <v>3</v>
      </c>
      <c r="Z22">
        <v>10</v>
      </c>
      <c r="AA22">
        <v>2023</v>
      </c>
      <c r="AB22" t="b">
        <v>0</v>
      </c>
      <c r="AC22" s="19">
        <v>44995</v>
      </c>
      <c r="AD22" s="19" t="s">
        <v>515</v>
      </c>
      <c r="AE22" s="118" t="s">
        <v>515</v>
      </c>
      <c r="AF22" s="118" t="s">
        <v>515</v>
      </c>
      <c r="AG22" s="118" t="s">
        <v>515</v>
      </c>
      <c r="AH22" s="118" t="s">
        <v>515</v>
      </c>
      <c r="AI22" s="118" t="s">
        <v>515</v>
      </c>
      <c r="AJ22" s="118" t="s">
        <v>515</v>
      </c>
      <c r="AK22" s="118" t="s">
        <v>515</v>
      </c>
      <c r="AL22" s="118" t="s">
        <v>515</v>
      </c>
      <c r="AM22" s="118" t="s">
        <v>515</v>
      </c>
      <c r="AN22" s="118" t="s">
        <v>515</v>
      </c>
      <c r="AO22" s="21" t="s">
        <v>515</v>
      </c>
      <c r="AP22" s="118" t="s">
        <v>515</v>
      </c>
      <c r="AQ22" s="118" t="s">
        <v>515</v>
      </c>
      <c r="AR22" s="118" t="s">
        <v>515</v>
      </c>
      <c r="AS22" s="118" t="s">
        <v>515</v>
      </c>
      <c r="AT22" s="118" t="s">
        <v>515</v>
      </c>
      <c r="AU22" s="118" t="s">
        <v>515</v>
      </c>
      <c r="AV22" s="118" t="s">
        <v>515</v>
      </c>
      <c r="AW22" s="118" t="s">
        <v>515</v>
      </c>
      <c r="AX22" s="118" t="s">
        <v>515</v>
      </c>
      <c r="AY22" s="118" t="s">
        <v>515</v>
      </c>
      <c r="AZ22" s="118" t="s">
        <v>515</v>
      </c>
      <c r="BA22" s="118" t="s">
        <v>515</v>
      </c>
      <c r="BB22" s="118" t="s">
        <v>515</v>
      </c>
      <c r="BC22" s="118" t="s">
        <v>515</v>
      </c>
      <c r="BD22" s="118" t="s">
        <v>515</v>
      </c>
      <c r="BE22" s="118" t="s">
        <v>515</v>
      </c>
      <c r="BF22" s="118" t="s">
        <v>515</v>
      </c>
      <c r="BG22" s="118" t="s">
        <v>515</v>
      </c>
    </row>
    <row r="23" spans="1:59" x14ac:dyDescent="0.25">
      <c r="A23" s="25">
        <v>10022</v>
      </c>
      <c r="B23" t="s">
        <v>49</v>
      </c>
      <c r="C23" t="s">
        <v>519</v>
      </c>
      <c r="D23" s="27" t="s">
        <v>516</v>
      </c>
      <c r="E23" s="27" t="str">
        <f t="shared" si="2"/>
        <v>?</v>
      </c>
      <c r="F23" s="118" t="s">
        <v>515</v>
      </c>
      <c r="G23" t="s">
        <v>20</v>
      </c>
      <c r="H23" s="24" t="s">
        <v>512</v>
      </c>
      <c r="I23" t="s">
        <v>515</v>
      </c>
      <c r="J23" t="s">
        <v>515</v>
      </c>
      <c r="K23" t="s">
        <v>515</v>
      </c>
      <c r="L23">
        <v>7.3999999999999996E-2</v>
      </c>
      <c r="M23" s="140" t="str">
        <f t="shared" si="3"/>
        <v>NULL</v>
      </c>
      <c r="N23" s="140" t="str">
        <f t="shared" si="3"/>
        <v>NULL</v>
      </c>
      <c r="O23" s="140" t="str">
        <f t="shared" si="3"/>
        <v>NULL</v>
      </c>
      <c r="P23" s="140">
        <f t="shared" si="1"/>
        <v>0.05</v>
      </c>
      <c r="Q23" s="161" t="s">
        <v>676</v>
      </c>
      <c r="R23" s="125" t="s">
        <v>676</v>
      </c>
      <c r="S23" t="s">
        <v>676</v>
      </c>
      <c r="T23" t="s">
        <v>515</v>
      </c>
      <c r="U23" t="s">
        <v>515</v>
      </c>
      <c r="V23" s="118" t="s">
        <v>515</v>
      </c>
      <c r="W23">
        <v>40.832900000000002</v>
      </c>
      <c r="X23">
        <v>-86.783709999999999</v>
      </c>
      <c r="Y23">
        <v>3</v>
      </c>
      <c r="Z23">
        <v>10</v>
      </c>
      <c r="AA23">
        <v>2023</v>
      </c>
      <c r="AB23" t="b">
        <v>0</v>
      </c>
      <c r="AC23" s="19">
        <v>44995</v>
      </c>
      <c r="AD23" s="19" t="s">
        <v>515</v>
      </c>
      <c r="AE23" s="118" t="s">
        <v>515</v>
      </c>
      <c r="AF23" s="118" t="s">
        <v>515</v>
      </c>
      <c r="AG23" s="118" t="s">
        <v>515</v>
      </c>
      <c r="AH23" s="118" t="s">
        <v>515</v>
      </c>
      <c r="AI23" s="118" t="s">
        <v>515</v>
      </c>
      <c r="AJ23" s="118" t="s">
        <v>515</v>
      </c>
      <c r="AK23" s="118" t="s">
        <v>515</v>
      </c>
      <c r="AL23" s="118" t="s">
        <v>515</v>
      </c>
      <c r="AM23" s="118" t="s">
        <v>515</v>
      </c>
      <c r="AN23" s="118" t="s">
        <v>515</v>
      </c>
      <c r="AO23" s="21" t="s">
        <v>515</v>
      </c>
      <c r="AP23" s="118" t="s">
        <v>515</v>
      </c>
      <c r="AQ23" s="118" t="s">
        <v>515</v>
      </c>
      <c r="AR23" s="118" t="s">
        <v>515</v>
      </c>
      <c r="AS23" s="118" t="s">
        <v>515</v>
      </c>
      <c r="AT23" s="118" t="s">
        <v>515</v>
      </c>
      <c r="AU23" s="118" t="s">
        <v>515</v>
      </c>
      <c r="AV23" s="118" t="s">
        <v>515</v>
      </c>
      <c r="AW23" s="118" t="s">
        <v>515</v>
      </c>
      <c r="AX23" s="118" t="s">
        <v>515</v>
      </c>
      <c r="AY23" s="118" t="s">
        <v>515</v>
      </c>
      <c r="AZ23" s="118" t="s">
        <v>515</v>
      </c>
      <c r="BA23" s="118" t="s">
        <v>515</v>
      </c>
      <c r="BB23" s="118" t="s">
        <v>515</v>
      </c>
      <c r="BC23" s="118" t="s">
        <v>515</v>
      </c>
      <c r="BD23" s="118" t="s">
        <v>515</v>
      </c>
      <c r="BE23" s="118" t="s">
        <v>515</v>
      </c>
      <c r="BF23" s="118" t="s">
        <v>515</v>
      </c>
      <c r="BG23" s="118" t="s">
        <v>515</v>
      </c>
    </row>
    <row r="24" spans="1:59" x14ac:dyDescent="0.25">
      <c r="A24" s="25">
        <v>10023</v>
      </c>
      <c r="B24" t="s">
        <v>50</v>
      </c>
      <c r="C24" t="s">
        <v>519</v>
      </c>
      <c r="D24" s="27" t="s">
        <v>516</v>
      </c>
      <c r="E24" s="27" t="str">
        <f t="shared" si="2"/>
        <v>?</v>
      </c>
      <c r="F24" s="118" t="s">
        <v>515</v>
      </c>
      <c r="G24" t="s">
        <v>20</v>
      </c>
      <c r="H24" s="24" t="s">
        <v>512</v>
      </c>
      <c r="I24" t="s">
        <v>515</v>
      </c>
      <c r="J24" t="s">
        <v>515</v>
      </c>
      <c r="K24" t="s">
        <v>515</v>
      </c>
      <c r="L24" t="s">
        <v>515</v>
      </c>
      <c r="M24" s="140" t="str">
        <f t="shared" si="3"/>
        <v>NULL</v>
      </c>
      <c r="N24" s="140" t="str">
        <f t="shared" si="3"/>
        <v>NULL</v>
      </c>
      <c r="O24" s="140" t="str">
        <f t="shared" si="3"/>
        <v>NULL</v>
      </c>
      <c r="P24" s="140" t="str">
        <f t="shared" si="1"/>
        <v>NULL</v>
      </c>
      <c r="Q24" s="161" t="s">
        <v>676</v>
      </c>
      <c r="R24" s="125" t="s">
        <v>676</v>
      </c>
      <c r="S24" t="s">
        <v>676</v>
      </c>
      <c r="T24" t="s">
        <v>515</v>
      </c>
      <c r="U24" t="s">
        <v>515</v>
      </c>
      <c r="V24" s="118" t="s">
        <v>515</v>
      </c>
      <c r="W24">
        <v>40.832900000000002</v>
      </c>
      <c r="X24">
        <v>-86.783709999999999</v>
      </c>
      <c r="Y24">
        <v>3</v>
      </c>
      <c r="Z24">
        <v>10</v>
      </c>
      <c r="AA24">
        <v>2023</v>
      </c>
      <c r="AB24" t="b">
        <v>0</v>
      </c>
      <c r="AC24" s="19">
        <v>44995</v>
      </c>
      <c r="AD24" s="19" t="s">
        <v>515</v>
      </c>
      <c r="AE24" s="118" t="s">
        <v>515</v>
      </c>
      <c r="AF24" s="118" t="s">
        <v>515</v>
      </c>
      <c r="AG24" s="118" t="s">
        <v>515</v>
      </c>
      <c r="AH24" s="118" t="s">
        <v>515</v>
      </c>
      <c r="AI24" s="118" t="s">
        <v>515</v>
      </c>
      <c r="AJ24" s="118" t="s">
        <v>515</v>
      </c>
      <c r="AK24" s="118" t="s">
        <v>515</v>
      </c>
      <c r="AL24" s="118" t="s">
        <v>515</v>
      </c>
      <c r="AM24" s="118" t="s">
        <v>515</v>
      </c>
      <c r="AN24" s="118" t="s">
        <v>515</v>
      </c>
      <c r="AO24" s="21" t="s">
        <v>515</v>
      </c>
      <c r="AP24" s="118" t="s">
        <v>515</v>
      </c>
      <c r="AQ24" s="118" t="s">
        <v>515</v>
      </c>
      <c r="AR24" s="118" t="s">
        <v>515</v>
      </c>
      <c r="AS24" s="118" t="s">
        <v>515</v>
      </c>
      <c r="AT24" s="118" t="s">
        <v>515</v>
      </c>
      <c r="AU24" s="118" t="s">
        <v>515</v>
      </c>
      <c r="AV24" s="118" t="s">
        <v>515</v>
      </c>
      <c r="AW24" s="118" t="s">
        <v>515</v>
      </c>
      <c r="AX24" s="118" t="s">
        <v>515</v>
      </c>
      <c r="AY24" s="118" t="s">
        <v>515</v>
      </c>
      <c r="AZ24" s="118" t="s">
        <v>515</v>
      </c>
      <c r="BA24" s="118" t="s">
        <v>515</v>
      </c>
      <c r="BB24" s="118" t="s">
        <v>515</v>
      </c>
      <c r="BC24" s="118" t="s">
        <v>515</v>
      </c>
      <c r="BD24" s="118" t="s">
        <v>515</v>
      </c>
      <c r="BE24" s="118" t="s">
        <v>515</v>
      </c>
      <c r="BF24" s="118" t="s">
        <v>515</v>
      </c>
      <c r="BG24" s="118" t="s">
        <v>515</v>
      </c>
    </row>
    <row r="25" spans="1:59" x14ac:dyDescent="0.25">
      <c r="A25" s="25">
        <v>10024</v>
      </c>
      <c r="B25" t="s">
        <v>51</v>
      </c>
      <c r="C25" t="s">
        <v>520</v>
      </c>
      <c r="D25" s="27" t="s">
        <v>516</v>
      </c>
      <c r="E25" s="27" t="str">
        <f t="shared" si="2"/>
        <v>?</v>
      </c>
      <c r="F25" s="118" t="s">
        <v>515</v>
      </c>
      <c r="G25" t="s">
        <v>19</v>
      </c>
      <c r="H25" s="24" t="s">
        <v>9</v>
      </c>
      <c r="I25">
        <v>2.98E-2</v>
      </c>
      <c r="J25">
        <v>3.6259999999999999</v>
      </c>
      <c r="K25">
        <v>-3.0000000000000001E-3</v>
      </c>
      <c r="L25">
        <v>0.3765</v>
      </c>
      <c r="M25" s="140">
        <f t="shared" si="3"/>
        <v>0.05</v>
      </c>
      <c r="N25" s="140">
        <f t="shared" si="3"/>
        <v>3.6259999999999999</v>
      </c>
      <c r="O25" s="140">
        <f t="shared" si="3"/>
        <v>0.05</v>
      </c>
      <c r="P25" s="140">
        <f t="shared" si="1"/>
        <v>0.3765</v>
      </c>
      <c r="Q25" s="161" t="s">
        <v>676</v>
      </c>
      <c r="R25" s="125">
        <v>1.585</v>
      </c>
      <c r="S25" t="s">
        <v>676</v>
      </c>
      <c r="T25" t="s">
        <v>515</v>
      </c>
      <c r="U25" t="s">
        <v>515</v>
      </c>
      <c r="V25" s="118" t="s">
        <v>515</v>
      </c>
      <c r="W25">
        <v>40.680591</v>
      </c>
      <c r="X25">
        <v>-85.895760999999993</v>
      </c>
      <c r="Y25">
        <v>4</v>
      </c>
      <c r="Z25">
        <v>7</v>
      </c>
      <c r="AA25">
        <v>2023</v>
      </c>
      <c r="AB25" t="b">
        <v>0</v>
      </c>
      <c r="AC25" s="19">
        <v>45023</v>
      </c>
      <c r="AD25" s="19" t="s">
        <v>515</v>
      </c>
      <c r="AE25" s="118" t="s">
        <v>515</v>
      </c>
      <c r="AF25" s="118" t="s">
        <v>515</v>
      </c>
      <c r="AG25" s="118" t="s">
        <v>515</v>
      </c>
      <c r="AH25" s="118" t="s">
        <v>515</v>
      </c>
      <c r="AI25" s="118" t="s">
        <v>515</v>
      </c>
      <c r="AJ25" s="118" t="s">
        <v>515</v>
      </c>
      <c r="AK25" s="118" t="s">
        <v>515</v>
      </c>
      <c r="AL25" s="118" t="s">
        <v>515</v>
      </c>
      <c r="AM25" s="118" t="s">
        <v>515</v>
      </c>
      <c r="AN25" s="118" t="s">
        <v>515</v>
      </c>
      <c r="AO25" s="21" t="s">
        <v>515</v>
      </c>
      <c r="AP25" s="118" t="s">
        <v>515</v>
      </c>
      <c r="AQ25" s="118" t="s">
        <v>515</v>
      </c>
      <c r="AR25" s="118" t="s">
        <v>515</v>
      </c>
      <c r="AS25" s="118" t="s">
        <v>515</v>
      </c>
      <c r="AT25" s="118" t="s">
        <v>515</v>
      </c>
      <c r="AU25" s="118" t="s">
        <v>515</v>
      </c>
      <c r="AV25" s="118" t="s">
        <v>515</v>
      </c>
      <c r="AW25" s="118" t="s">
        <v>515</v>
      </c>
      <c r="AX25" s="118" t="s">
        <v>515</v>
      </c>
      <c r="AY25" s="118" t="s">
        <v>515</v>
      </c>
      <c r="AZ25" s="118" t="s">
        <v>515</v>
      </c>
      <c r="BA25" s="118" t="s">
        <v>515</v>
      </c>
      <c r="BB25" s="118" t="s">
        <v>515</v>
      </c>
      <c r="BC25" s="118" t="s">
        <v>515</v>
      </c>
      <c r="BD25" s="118" t="s">
        <v>515</v>
      </c>
      <c r="BE25" s="118" t="s">
        <v>515</v>
      </c>
      <c r="BF25" s="118" t="s">
        <v>515</v>
      </c>
      <c r="BG25" s="118" t="s">
        <v>515</v>
      </c>
    </row>
    <row r="26" spans="1:59" x14ac:dyDescent="0.25">
      <c r="A26" s="25">
        <v>10025</v>
      </c>
      <c r="B26" t="s">
        <v>52</v>
      </c>
      <c r="C26" t="s">
        <v>520</v>
      </c>
      <c r="D26" s="27" t="s">
        <v>516</v>
      </c>
      <c r="E26" s="27" t="str">
        <f t="shared" si="2"/>
        <v>?</v>
      </c>
      <c r="F26" s="118" t="s">
        <v>515</v>
      </c>
      <c r="G26" t="s">
        <v>19</v>
      </c>
      <c r="H26" s="24" t="s">
        <v>9</v>
      </c>
      <c r="I26">
        <v>9.9000000000000008E-3</v>
      </c>
      <c r="J26">
        <v>4.1769999999999996</v>
      </c>
      <c r="K26">
        <v>0.03</v>
      </c>
      <c r="L26">
        <v>0.23899999999999999</v>
      </c>
      <c r="M26" s="140">
        <f t="shared" si="3"/>
        <v>0.05</v>
      </c>
      <c r="N26" s="140">
        <f t="shared" si="3"/>
        <v>4.1769999999999996</v>
      </c>
      <c r="O26" s="140">
        <f t="shared" si="3"/>
        <v>0.05</v>
      </c>
      <c r="P26" s="140">
        <f t="shared" si="1"/>
        <v>0.23899999999999999</v>
      </c>
      <c r="Q26" s="161" t="s">
        <v>676</v>
      </c>
      <c r="R26" s="125">
        <v>3.8</v>
      </c>
      <c r="S26" t="s">
        <v>676</v>
      </c>
      <c r="T26" t="s">
        <v>515</v>
      </c>
      <c r="U26" t="s">
        <v>515</v>
      </c>
      <c r="V26" s="118" t="s">
        <v>515</v>
      </c>
      <c r="W26">
        <v>40.668590999999999</v>
      </c>
      <c r="X26">
        <v>-85.848778999999993</v>
      </c>
      <c r="Y26">
        <v>4</v>
      </c>
      <c r="Z26">
        <v>7</v>
      </c>
      <c r="AA26">
        <v>2023</v>
      </c>
      <c r="AB26" t="b">
        <v>0</v>
      </c>
      <c r="AC26" s="19">
        <v>45023</v>
      </c>
      <c r="AD26" s="19" t="s">
        <v>515</v>
      </c>
      <c r="AE26" s="118" t="s">
        <v>515</v>
      </c>
      <c r="AF26" s="118" t="s">
        <v>515</v>
      </c>
      <c r="AG26" s="118" t="s">
        <v>515</v>
      </c>
      <c r="AH26" s="118" t="s">
        <v>515</v>
      </c>
      <c r="AI26" s="118" t="s">
        <v>515</v>
      </c>
      <c r="AJ26" s="118" t="s">
        <v>515</v>
      </c>
      <c r="AK26" s="118" t="s">
        <v>515</v>
      </c>
      <c r="AL26" s="118" t="s">
        <v>515</v>
      </c>
      <c r="AM26" s="118" t="s">
        <v>515</v>
      </c>
      <c r="AN26" s="118" t="s">
        <v>515</v>
      </c>
      <c r="AO26" s="21" t="s">
        <v>515</v>
      </c>
      <c r="AP26" s="118" t="s">
        <v>515</v>
      </c>
      <c r="AQ26" s="118" t="s">
        <v>515</v>
      </c>
      <c r="AR26" s="118" t="s">
        <v>515</v>
      </c>
      <c r="AS26" s="118" t="s">
        <v>515</v>
      </c>
      <c r="AT26" s="118" t="s">
        <v>515</v>
      </c>
      <c r="AU26" s="118" t="s">
        <v>515</v>
      </c>
      <c r="AV26" s="118" t="s">
        <v>515</v>
      </c>
      <c r="AW26" s="118" t="s">
        <v>515</v>
      </c>
      <c r="AX26" s="118" t="s">
        <v>515</v>
      </c>
      <c r="AY26" s="118" t="s">
        <v>515</v>
      </c>
      <c r="AZ26" s="118" t="s">
        <v>515</v>
      </c>
      <c r="BA26" s="118" t="s">
        <v>515</v>
      </c>
      <c r="BB26" s="118" t="s">
        <v>515</v>
      </c>
      <c r="BC26" s="118" t="s">
        <v>515</v>
      </c>
      <c r="BD26" s="118" t="s">
        <v>515</v>
      </c>
      <c r="BE26" s="118" t="s">
        <v>515</v>
      </c>
      <c r="BF26" s="118" t="s">
        <v>515</v>
      </c>
      <c r="BG26" s="118" t="s">
        <v>515</v>
      </c>
    </row>
    <row r="27" spans="1:59" x14ac:dyDescent="0.25">
      <c r="A27" s="25">
        <v>10026</v>
      </c>
      <c r="B27" t="s">
        <v>53</v>
      </c>
      <c r="C27" t="s">
        <v>520</v>
      </c>
      <c r="D27" s="27" t="s">
        <v>516</v>
      </c>
      <c r="E27" s="27" t="str">
        <f t="shared" si="2"/>
        <v>?</v>
      </c>
      <c r="F27" s="118" t="s">
        <v>515</v>
      </c>
      <c r="G27" t="s">
        <v>19</v>
      </c>
      <c r="H27" s="24" t="s">
        <v>9</v>
      </c>
      <c r="I27">
        <v>8.6300000000000002E-2</v>
      </c>
      <c r="J27">
        <v>4.5999999999999996</v>
      </c>
      <c r="K27">
        <v>8.5999999999999993E-2</v>
      </c>
      <c r="L27">
        <v>0.55674999999999997</v>
      </c>
      <c r="M27" s="140">
        <f t="shared" si="3"/>
        <v>0.05</v>
      </c>
      <c r="N27" s="140">
        <f t="shared" si="3"/>
        <v>4.5999999999999996</v>
      </c>
      <c r="O27" s="140">
        <f t="shared" si="3"/>
        <v>0.05</v>
      </c>
      <c r="P27" s="140">
        <f t="shared" si="1"/>
        <v>0.55674999999999997</v>
      </c>
      <c r="Q27" s="161" t="s">
        <v>676</v>
      </c>
      <c r="R27" s="125">
        <v>2.7749999999999999</v>
      </c>
      <c r="S27" t="s">
        <v>676</v>
      </c>
      <c r="T27" t="s">
        <v>515</v>
      </c>
      <c r="U27" t="s">
        <v>515</v>
      </c>
      <c r="V27" s="118" t="s">
        <v>515</v>
      </c>
      <c r="W27">
        <v>40.703468999999998</v>
      </c>
      <c r="X27">
        <v>-85.936367000000004</v>
      </c>
      <c r="Y27">
        <v>4</v>
      </c>
      <c r="Z27">
        <v>7</v>
      </c>
      <c r="AA27">
        <v>2023</v>
      </c>
      <c r="AB27" t="b">
        <v>0</v>
      </c>
      <c r="AC27" s="19">
        <v>45023</v>
      </c>
      <c r="AD27" s="19" t="s">
        <v>515</v>
      </c>
      <c r="AE27" s="118" t="s">
        <v>515</v>
      </c>
      <c r="AF27" s="118" t="s">
        <v>515</v>
      </c>
      <c r="AG27" s="118" t="s">
        <v>515</v>
      </c>
      <c r="AH27" s="118" t="s">
        <v>515</v>
      </c>
      <c r="AI27" s="118" t="s">
        <v>515</v>
      </c>
      <c r="AJ27" s="118" t="s">
        <v>515</v>
      </c>
      <c r="AK27" s="118" t="s">
        <v>515</v>
      </c>
      <c r="AL27" s="118" t="s">
        <v>515</v>
      </c>
      <c r="AM27" s="118" t="s">
        <v>515</v>
      </c>
      <c r="AN27" s="118" t="s">
        <v>515</v>
      </c>
      <c r="AO27" s="21" t="s">
        <v>515</v>
      </c>
      <c r="AP27" s="118" t="s">
        <v>515</v>
      </c>
      <c r="AQ27" s="118" t="s">
        <v>515</v>
      </c>
      <c r="AR27" s="118" t="s">
        <v>515</v>
      </c>
      <c r="AS27" s="118" t="s">
        <v>515</v>
      </c>
      <c r="AT27" s="118" t="s">
        <v>515</v>
      </c>
      <c r="AU27" s="118" t="s">
        <v>515</v>
      </c>
      <c r="AV27" s="118" t="s">
        <v>515</v>
      </c>
      <c r="AW27" s="118" t="s">
        <v>515</v>
      </c>
      <c r="AX27" s="118" t="s">
        <v>515</v>
      </c>
      <c r="AY27" s="118" t="s">
        <v>515</v>
      </c>
      <c r="AZ27" s="118" t="s">
        <v>515</v>
      </c>
      <c r="BA27" s="118" t="s">
        <v>515</v>
      </c>
      <c r="BB27" s="118" t="s">
        <v>515</v>
      </c>
      <c r="BC27" s="118" t="s">
        <v>515</v>
      </c>
      <c r="BD27" s="118" t="s">
        <v>515</v>
      </c>
      <c r="BE27" s="118" t="s">
        <v>515</v>
      </c>
      <c r="BF27" s="118" t="s">
        <v>515</v>
      </c>
      <c r="BG27" s="118" t="s">
        <v>515</v>
      </c>
    </row>
    <row r="28" spans="1:59" x14ac:dyDescent="0.25">
      <c r="A28" s="25">
        <v>10027</v>
      </c>
      <c r="B28" t="s">
        <v>54</v>
      </c>
      <c r="C28" t="s">
        <v>521</v>
      </c>
      <c r="D28" s="27" t="s">
        <v>516</v>
      </c>
      <c r="E28" s="27" t="str">
        <f t="shared" si="2"/>
        <v>?</v>
      </c>
      <c r="F28" s="118" t="s">
        <v>515</v>
      </c>
      <c r="G28" t="s">
        <v>22</v>
      </c>
      <c r="H28" s="24" t="s">
        <v>9</v>
      </c>
      <c r="I28">
        <v>0.1072</v>
      </c>
      <c r="J28">
        <v>3.9729999999999999</v>
      </c>
      <c r="K28">
        <v>0.155</v>
      </c>
      <c r="L28">
        <v>0.29149999999999998</v>
      </c>
      <c r="M28" s="140">
        <f t="shared" si="3"/>
        <v>0.1072</v>
      </c>
      <c r="N28" s="140">
        <f t="shared" si="3"/>
        <v>3.9729999999999999</v>
      </c>
      <c r="O28" s="140">
        <f t="shared" si="3"/>
        <v>0.155</v>
      </c>
      <c r="P28" s="140">
        <f t="shared" si="1"/>
        <v>0.29149999999999998</v>
      </c>
      <c r="Q28" s="161" t="s">
        <v>676</v>
      </c>
      <c r="R28" s="125">
        <v>4.835</v>
      </c>
      <c r="S28" t="s">
        <v>676</v>
      </c>
      <c r="T28" t="s">
        <v>515</v>
      </c>
      <c r="U28" t="s">
        <v>515</v>
      </c>
      <c r="V28" s="118" t="s">
        <v>515</v>
      </c>
      <c r="W28">
        <v>40.780611</v>
      </c>
      <c r="X28">
        <v>-85.636381999999998</v>
      </c>
      <c r="Y28">
        <v>4</v>
      </c>
      <c r="Z28">
        <v>7</v>
      </c>
      <c r="AA28">
        <v>2023</v>
      </c>
      <c r="AB28" t="b">
        <v>0</v>
      </c>
      <c r="AC28" s="19">
        <v>45023</v>
      </c>
      <c r="AD28" s="19" t="s">
        <v>515</v>
      </c>
      <c r="AE28" s="118" t="s">
        <v>515</v>
      </c>
      <c r="AF28" s="118" t="s">
        <v>515</v>
      </c>
      <c r="AG28" s="118" t="s">
        <v>515</v>
      </c>
      <c r="AH28" s="118" t="s">
        <v>515</v>
      </c>
      <c r="AI28" s="118" t="s">
        <v>515</v>
      </c>
      <c r="AJ28" s="118" t="s">
        <v>515</v>
      </c>
      <c r="AK28" s="118" t="s">
        <v>515</v>
      </c>
      <c r="AL28" s="118" t="s">
        <v>515</v>
      </c>
      <c r="AM28" s="118" t="s">
        <v>515</v>
      </c>
      <c r="AN28" s="118" t="s">
        <v>515</v>
      </c>
      <c r="AO28" s="21" t="s">
        <v>515</v>
      </c>
      <c r="AP28" s="118" t="s">
        <v>515</v>
      </c>
      <c r="AQ28" s="118" t="s">
        <v>515</v>
      </c>
      <c r="AR28" s="118" t="s">
        <v>515</v>
      </c>
      <c r="AS28" s="118" t="s">
        <v>515</v>
      </c>
      <c r="AT28" s="118" t="s">
        <v>515</v>
      </c>
      <c r="AU28" s="118" t="s">
        <v>515</v>
      </c>
      <c r="AV28" s="118" t="s">
        <v>515</v>
      </c>
      <c r="AW28" s="118" t="s">
        <v>515</v>
      </c>
      <c r="AX28" s="118" t="s">
        <v>515</v>
      </c>
      <c r="AY28" s="118" t="s">
        <v>515</v>
      </c>
      <c r="AZ28" s="118" t="s">
        <v>515</v>
      </c>
      <c r="BA28" s="118" t="s">
        <v>515</v>
      </c>
      <c r="BB28" s="118" t="s">
        <v>515</v>
      </c>
      <c r="BC28" s="118" t="s">
        <v>515</v>
      </c>
      <c r="BD28" s="118" t="s">
        <v>515</v>
      </c>
      <c r="BE28" s="118" t="s">
        <v>515</v>
      </c>
      <c r="BF28" s="118" t="s">
        <v>515</v>
      </c>
      <c r="BG28" s="118" t="s">
        <v>515</v>
      </c>
    </row>
    <row r="29" spans="1:59" x14ac:dyDescent="0.25">
      <c r="A29" s="25">
        <v>10028</v>
      </c>
      <c r="B29" t="s">
        <v>55</v>
      </c>
      <c r="C29" t="s">
        <v>521</v>
      </c>
      <c r="D29" s="27" t="s">
        <v>516</v>
      </c>
      <c r="E29" s="27" t="str">
        <f t="shared" si="2"/>
        <v>?</v>
      </c>
      <c r="F29" s="118" t="s">
        <v>515</v>
      </c>
      <c r="G29" t="s">
        <v>22</v>
      </c>
      <c r="H29" s="24" t="s">
        <v>9</v>
      </c>
      <c r="I29">
        <v>0.1047</v>
      </c>
      <c r="J29">
        <v>3.702</v>
      </c>
      <c r="K29">
        <v>6.5000000000000002E-2</v>
      </c>
      <c r="L29">
        <v>0.40799999999999997</v>
      </c>
      <c r="M29" s="140">
        <f t="shared" si="3"/>
        <v>0.1047</v>
      </c>
      <c r="N29" s="140">
        <f t="shared" si="3"/>
        <v>3.702</v>
      </c>
      <c r="O29" s="140">
        <f t="shared" si="3"/>
        <v>0.05</v>
      </c>
      <c r="P29" s="140">
        <f t="shared" si="1"/>
        <v>0.40799999999999997</v>
      </c>
      <c r="Q29" s="161" t="s">
        <v>676</v>
      </c>
      <c r="R29" s="125">
        <v>1.24</v>
      </c>
      <c r="S29" t="s">
        <v>676</v>
      </c>
      <c r="T29" t="s">
        <v>515</v>
      </c>
      <c r="U29" t="s">
        <v>515</v>
      </c>
      <c r="V29" s="118" t="s">
        <v>515</v>
      </c>
      <c r="W29">
        <v>40.772694999999999</v>
      </c>
      <c r="X29">
        <v>-85.640409000000005</v>
      </c>
      <c r="Y29">
        <v>4</v>
      </c>
      <c r="Z29">
        <v>7</v>
      </c>
      <c r="AA29">
        <v>2023</v>
      </c>
      <c r="AB29" t="b">
        <v>0</v>
      </c>
      <c r="AC29" s="19">
        <v>45023</v>
      </c>
      <c r="AD29" s="19" t="s">
        <v>515</v>
      </c>
      <c r="AE29" s="118" t="s">
        <v>515</v>
      </c>
      <c r="AF29" s="118" t="s">
        <v>515</v>
      </c>
      <c r="AG29" s="118" t="s">
        <v>515</v>
      </c>
      <c r="AH29" s="118" t="s">
        <v>515</v>
      </c>
      <c r="AI29" s="118" t="s">
        <v>515</v>
      </c>
      <c r="AJ29" s="118" t="s">
        <v>515</v>
      </c>
      <c r="AK29" s="118" t="s">
        <v>515</v>
      </c>
      <c r="AL29" s="118" t="s">
        <v>515</v>
      </c>
      <c r="AM29" s="118" t="s">
        <v>515</v>
      </c>
      <c r="AN29" s="118" t="s">
        <v>515</v>
      </c>
      <c r="AO29" s="21" t="s">
        <v>515</v>
      </c>
      <c r="AP29" s="118" t="s">
        <v>515</v>
      </c>
      <c r="AQ29" s="118" t="s">
        <v>515</v>
      </c>
      <c r="AR29" s="118" t="s">
        <v>515</v>
      </c>
      <c r="AS29" s="118" t="s">
        <v>515</v>
      </c>
      <c r="AT29" s="118" t="s">
        <v>515</v>
      </c>
      <c r="AU29" s="118" t="s">
        <v>515</v>
      </c>
      <c r="AV29" s="118" t="s">
        <v>515</v>
      </c>
      <c r="AW29" s="118" t="s">
        <v>515</v>
      </c>
      <c r="AX29" s="118" t="s">
        <v>515</v>
      </c>
      <c r="AY29" s="118" t="s">
        <v>515</v>
      </c>
      <c r="AZ29" s="118" t="s">
        <v>515</v>
      </c>
      <c r="BA29" s="118" t="s">
        <v>515</v>
      </c>
      <c r="BB29" s="118" t="s">
        <v>515</v>
      </c>
      <c r="BC29" s="118" t="s">
        <v>515</v>
      </c>
      <c r="BD29" s="118" t="s">
        <v>515</v>
      </c>
      <c r="BE29" s="118" t="s">
        <v>515</v>
      </c>
      <c r="BF29" s="118" t="s">
        <v>515</v>
      </c>
      <c r="BG29" s="118" t="s">
        <v>515</v>
      </c>
    </row>
    <row r="30" spans="1:59" x14ac:dyDescent="0.25">
      <c r="A30" s="25">
        <v>10029</v>
      </c>
      <c r="B30" t="s">
        <v>56</v>
      </c>
      <c r="C30" t="s">
        <v>521</v>
      </c>
      <c r="D30" s="27" t="s">
        <v>516</v>
      </c>
      <c r="E30" s="27" t="str">
        <f t="shared" si="2"/>
        <v>?</v>
      </c>
      <c r="F30" s="118" t="s">
        <v>515</v>
      </c>
      <c r="G30" t="s">
        <v>22</v>
      </c>
      <c r="H30" s="24" t="s">
        <v>9</v>
      </c>
      <c r="I30" t="s">
        <v>515</v>
      </c>
      <c r="J30" t="s">
        <v>515</v>
      </c>
      <c r="K30" t="s">
        <v>515</v>
      </c>
      <c r="L30">
        <v>0.108</v>
      </c>
      <c r="M30" s="140" t="str">
        <f t="shared" si="3"/>
        <v>NULL</v>
      </c>
      <c r="N30" s="140" t="str">
        <f t="shared" si="3"/>
        <v>NULL</v>
      </c>
      <c r="O30" s="140" t="str">
        <f t="shared" si="3"/>
        <v>NULL</v>
      </c>
      <c r="P30" s="140">
        <f t="shared" si="1"/>
        <v>0.108</v>
      </c>
      <c r="Q30" s="161" t="s">
        <v>676</v>
      </c>
      <c r="R30" s="125" t="s">
        <v>676</v>
      </c>
      <c r="S30" t="s">
        <v>676</v>
      </c>
      <c r="T30" t="s">
        <v>515</v>
      </c>
      <c r="U30" t="s">
        <v>515</v>
      </c>
      <c r="V30" s="118" t="s">
        <v>515</v>
      </c>
      <c r="W30">
        <v>40.751393</v>
      </c>
      <c r="X30">
        <v>-85.581419999999994</v>
      </c>
      <c r="Y30">
        <v>4</v>
      </c>
      <c r="Z30">
        <v>7</v>
      </c>
      <c r="AA30">
        <v>2023</v>
      </c>
      <c r="AB30" t="b">
        <v>0</v>
      </c>
      <c r="AC30" s="19">
        <v>45023</v>
      </c>
      <c r="AD30" s="19" t="s">
        <v>515</v>
      </c>
      <c r="AE30" s="118" t="s">
        <v>515</v>
      </c>
      <c r="AF30" s="118" t="s">
        <v>515</v>
      </c>
      <c r="AG30" s="118" t="s">
        <v>515</v>
      </c>
      <c r="AH30" s="118" t="s">
        <v>515</v>
      </c>
      <c r="AI30" s="118" t="s">
        <v>515</v>
      </c>
      <c r="AJ30" s="118" t="s">
        <v>515</v>
      </c>
      <c r="AK30" s="118" t="s">
        <v>515</v>
      </c>
      <c r="AL30" s="118" t="s">
        <v>515</v>
      </c>
      <c r="AM30" s="118" t="s">
        <v>515</v>
      </c>
      <c r="AN30" s="118" t="s">
        <v>515</v>
      </c>
      <c r="AO30" s="21" t="s">
        <v>515</v>
      </c>
      <c r="AP30" s="118" t="s">
        <v>515</v>
      </c>
      <c r="AQ30" s="118" t="s">
        <v>515</v>
      </c>
      <c r="AR30" s="118" t="s">
        <v>515</v>
      </c>
      <c r="AS30" s="118" t="s">
        <v>515</v>
      </c>
      <c r="AT30" s="118" t="s">
        <v>515</v>
      </c>
      <c r="AU30" s="118" t="s">
        <v>515</v>
      </c>
      <c r="AV30" s="118" t="s">
        <v>515</v>
      </c>
      <c r="AW30" s="118" t="s">
        <v>515</v>
      </c>
      <c r="AX30" s="118" t="s">
        <v>515</v>
      </c>
      <c r="AY30" s="118" t="s">
        <v>515</v>
      </c>
      <c r="AZ30" s="118" t="s">
        <v>515</v>
      </c>
      <c r="BA30" s="118" t="s">
        <v>515</v>
      </c>
      <c r="BB30" s="118" t="s">
        <v>515</v>
      </c>
      <c r="BC30" s="118" t="s">
        <v>515</v>
      </c>
      <c r="BD30" s="118" t="s">
        <v>515</v>
      </c>
      <c r="BE30" s="118" t="s">
        <v>515</v>
      </c>
      <c r="BF30" s="118" t="s">
        <v>515</v>
      </c>
      <c r="BG30" s="118" t="s">
        <v>515</v>
      </c>
    </row>
    <row r="31" spans="1:59" x14ac:dyDescent="0.25">
      <c r="A31" s="25">
        <v>10030</v>
      </c>
      <c r="B31" t="s">
        <v>57</v>
      </c>
      <c r="C31" t="s">
        <v>521</v>
      </c>
      <c r="D31" s="27" t="s">
        <v>516</v>
      </c>
      <c r="E31" s="27" t="str">
        <f t="shared" si="2"/>
        <v>?</v>
      </c>
      <c r="F31" s="118" t="s">
        <v>515</v>
      </c>
      <c r="G31" t="s">
        <v>22</v>
      </c>
      <c r="H31" s="24" t="s">
        <v>9</v>
      </c>
      <c r="I31">
        <v>4.9750000000000003E-2</v>
      </c>
      <c r="J31">
        <v>4.4379999999999997</v>
      </c>
      <c r="K31">
        <v>0.2475</v>
      </c>
      <c r="L31">
        <v>0.351333333333333</v>
      </c>
      <c r="M31" s="140">
        <f t="shared" si="3"/>
        <v>0.05</v>
      </c>
      <c r="N31" s="140">
        <f t="shared" si="3"/>
        <v>4.4379999999999997</v>
      </c>
      <c r="O31" s="140">
        <f t="shared" si="3"/>
        <v>0.2475</v>
      </c>
      <c r="P31" s="140">
        <f t="shared" si="1"/>
        <v>0.351333333333333</v>
      </c>
      <c r="Q31" s="161" t="s">
        <v>676</v>
      </c>
      <c r="R31" s="125">
        <v>2.6850000000000001</v>
      </c>
      <c r="S31" t="s">
        <v>676</v>
      </c>
      <c r="T31" t="s">
        <v>515</v>
      </c>
      <c r="U31" t="s">
        <v>515</v>
      </c>
      <c r="V31" s="118" t="s">
        <v>515</v>
      </c>
      <c r="W31">
        <v>40.772737999999997</v>
      </c>
      <c r="X31">
        <v>-85.604952999999995</v>
      </c>
      <c r="Y31">
        <v>4</v>
      </c>
      <c r="Z31">
        <v>7</v>
      </c>
      <c r="AA31">
        <v>2023</v>
      </c>
      <c r="AB31" t="b">
        <v>0</v>
      </c>
      <c r="AC31" s="19">
        <v>45023</v>
      </c>
      <c r="AD31" s="19" t="s">
        <v>515</v>
      </c>
      <c r="AE31" s="118" t="s">
        <v>515</v>
      </c>
      <c r="AF31" s="118" t="s">
        <v>515</v>
      </c>
      <c r="AG31" s="118" t="s">
        <v>515</v>
      </c>
      <c r="AH31" s="118" t="s">
        <v>515</v>
      </c>
      <c r="AI31" s="118" t="s">
        <v>515</v>
      </c>
      <c r="AJ31" s="118" t="s">
        <v>515</v>
      </c>
      <c r="AK31" s="118" t="s">
        <v>515</v>
      </c>
      <c r="AL31" s="118" t="s">
        <v>515</v>
      </c>
      <c r="AM31" s="118" t="s">
        <v>515</v>
      </c>
      <c r="AN31" s="118" t="s">
        <v>515</v>
      </c>
      <c r="AO31" s="21" t="s">
        <v>515</v>
      </c>
      <c r="AP31" s="118" t="s">
        <v>515</v>
      </c>
      <c r="AQ31" s="118" t="s">
        <v>515</v>
      </c>
      <c r="AR31" s="118" t="s">
        <v>515</v>
      </c>
      <c r="AS31" s="118" t="s">
        <v>515</v>
      </c>
      <c r="AT31" s="118" t="s">
        <v>515</v>
      </c>
      <c r="AU31" s="118" t="s">
        <v>515</v>
      </c>
      <c r="AV31" s="118" t="s">
        <v>515</v>
      </c>
      <c r="AW31" s="118" t="s">
        <v>515</v>
      </c>
      <c r="AX31" s="118" t="s">
        <v>515</v>
      </c>
      <c r="AY31" s="118" t="s">
        <v>515</v>
      </c>
      <c r="AZ31" s="118" t="s">
        <v>515</v>
      </c>
      <c r="BA31" s="118" t="s">
        <v>515</v>
      </c>
      <c r="BB31" s="118" t="s">
        <v>515</v>
      </c>
      <c r="BC31" s="118" t="s">
        <v>515</v>
      </c>
      <c r="BD31" s="118" t="s">
        <v>515</v>
      </c>
      <c r="BE31" s="118" t="s">
        <v>515</v>
      </c>
      <c r="BF31" s="118" t="s">
        <v>515</v>
      </c>
      <c r="BG31" s="118" t="s">
        <v>515</v>
      </c>
    </row>
    <row r="32" spans="1:59" x14ac:dyDescent="0.25">
      <c r="A32" s="25">
        <v>10031</v>
      </c>
      <c r="B32" t="s">
        <v>58</v>
      </c>
      <c r="C32" t="s">
        <v>521</v>
      </c>
      <c r="D32" s="27" t="s">
        <v>516</v>
      </c>
      <c r="E32" s="27" t="str">
        <f t="shared" si="2"/>
        <v>?</v>
      </c>
      <c r="F32" s="118" t="s">
        <v>515</v>
      </c>
      <c r="G32" t="s">
        <v>22</v>
      </c>
      <c r="H32" s="24" t="s">
        <v>9</v>
      </c>
      <c r="I32">
        <v>0.1137</v>
      </c>
      <c r="J32">
        <v>4.5330000000000004</v>
      </c>
      <c r="K32">
        <v>0.111</v>
      </c>
      <c r="L32">
        <v>0.57950000000000002</v>
      </c>
      <c r="M32" s="140">
        <f t="shared" si="3"/>
        <v>0.1137</v>
      </c>
      <c r="N32" s="140">
        <f t="shared" si="3"/>
        <v>4.5330000000000004</v>
      </c>
      <c r="O32" s="140">
        <f t="shared" si="3"/>
        <v>0.111</v>
      </c>
      <c r="P32" s="140">
        <f t="shared" si="1"/>
        <v>0.57950000000000002</v>
      </c>
      <c r="Q32" s="161" t="s">
        <v>676</v>
      </c>
      <c r="R32" s="125">
        <v>3.335</v>
      </c>
      <c r="S32" t="s">
        <v>676</v>
      </c>
      <c r="T32" t="s">
        <v>515</v>
      </c>
      <c r="U32" t="s">
        <v>515</v>
      </c>
      <c r="V32" s="118" t="s">
        <v>515</v>
      </c>
      <c r="W32">
        <v>40.792323000000003</v>
      </c>
      <c r="X32">
        <v>-85.666663</v>
      </c>
      <c r="Y32">
        <v>4</v>
      </c>
      <c r="Z32">
        <v>7</v>
      </c>
      <c r="AA32">
        <v>2023</v>
      </c>
      <c r="AB32" t="b">
        <v>0</v>
      </c>
      <c r="AC32" s="19">
        <v>45023</v>
      </c>
      <c r="AD32" s="19" t="s">
        <v>515</v>
      </c>
      <c r="AE32" s="118" t="s">
        <v>515</v>
      </c>
      <c r="AF32" s="118" t="s">
        <v>515</v>
      </c>
      <c r="AG32" s="118" t="s">
        <v>515</v>
      </c>
      <c r="AH32" s="118" t="s">
        <v>515</v>
      </c>
      <c r="AI32" s="118" t="s">
        <v>515</v>
      </c>
      <c r="AJ32" s="118" t="s">
        <v>515</v>
      </c>
      <c r="AK32" s="118" t="s">
        <v>515</v>
      </c>
      <c r="AL32" s="118" t="s">
        <v>515</v>
      </c>
      <c r="AM32" s="118" t="s">
        <v>515</v>
      </c>
      <c r="AN32" s="118" t="s">
        <v>515</v>
      </c>
      <c r="AO32" s="21" t="s">
        <v>515</v>
      </c>
      <c r="AP32" s="118" t="s">
        <v>515</v>
      </c>
      <c r="AQ32" s="118" t="s">
        <v>515</v>
      </c>
      <c r="AR32" s="118" t="s">
        <v>515</v>
      </c>
      <c r="AS32" s="118" t="s">
        <v>515</v>
      </c>
      <c r="AT32" s="118" t="s">
        <v>515</v>
      </c>
      <c r="AU32" s="118" t="s">
        <v>515</v>
      </c>
      <c r="AV32" s="118" t="s">
        <v>515</v>
      </c>
      <c r="AW32" s="118" t="s">
        <v>515</v>
      </c>
      <c r="AX32" s="118" t="s">
        <v>515</v>
      </c>
      <c r="AY32" s="118" t="s">
        <v>515</v>
      </c>
      <c r="AZ32" s="118" t="s">
        <v>515</v>
      </c>
      <c r="BA32" s="118" t="s">
        <v>515</v>
      </c>
      <c r="BB32" s="118" t="s">
        <v>515</v>
      </c>
      <c r="BC32" s="118" t="s">
        <v>515</v>
      </c>
      <c r="BD32" s="118" t="s">
        <v>515</v>
      </c>
      <c r="BE32" s="118" t="s">
        <v>515</v>
      </c>
      <c r="BF32" s="118" t="s">
        <v>515</v>
      </c>
      <c r="BG32" s="118" t="s">
        <v>515</v>
      </c>
    </row>
    <row r="33" spans="1:59" x14ac:dyDescent="0.25">
      <c r="A33" s="25">
        <v>10032</v>
      </c>
      <c r="B33" t="s">
        <v>59</v>
      </c>
      <c r="C33" t="s">
        <v>522</v>
      </c>
      <c r="D33" s="27">
        <v>4101</v>
      </c>
      <c r="E33" s="27">
        <v>1</v>
      </c>
      <c r="F33" s="118">
        <v>6865</v>
      </c>
      <c r="G33" t="s">
        <v>20</v>
      </c>
      <c r="H33" s="24" t="s">
        <v>8</v>
      </c>
      <c r="I33">
        <v>0.50075000000000003</v>
      </c>
      <c r="J33">
        <v>5.0519999999999898</v>
      </c>
      <c r="K33">
        <v>0.25600000000000001</v>
      </c>
      <c r="L33">
        <v>7.9500000000000001E-2</v>
      </c>
      <c r="M33" s="140">
        <f t="shared" si="3"/>
        <v>0.50075000000000003</v>
      </c>
      <c r="N33" s="140">
        <f t="shared" si="3"/>
        <v>5.0519999999999898</v>
      </c>
      <c r="O33" s="140">
        <f t="shared" si="3"/>
        <v>0.25600000000000001</v>
      </c>
      <c r="P33" s="140">
        <f t="shared" si="1"/>
        <v>0.05</v>
      </c>
      <c r="Q33" s="161" t="s">
        <v>676</v>
      </c>
      <c r="R33" s="125">
        <v>2.2999999999999998</v>
      </c>
      <c r="S33" t="s">
        <v>676</v>
      </c>
      <c r="T33" t="s">
        <v>515</v>
      </c>
      <c r="U33" t="s">
        <v>515</v>
      </c>
      <c r="V33" s="118" t="s">
        <v>515</v>
      </c>
      <c r="W33">
        <v>40.834879999999998</v>
      </c>
      <c r="X33">
        <v>-86.807770000000005</v>
      </c>
      <c r="Y33">
        <v>4</v>
      </c>
      <c r="Z33">
        <v>24</v>
      </c>
      <c r="AA33">
        <v>2023</v>
      </c>
      <c r="AB33" t="b">
        <v>0</v>
      </c>
      <c r="AC33" s="19">
        <v>45040</v>
      </c>
      <c r="AD33" s="19" t="s">
        <v>515</v>
      </c>
      <c r="AE33" s="118" t="s">
        <v>515</v>
      </c>
      <c r="AF33" s="118" t="s">
        <v>515</v>
      </c>
      <c r="AG33" s="118" t="s">
        <v>515</v>
      </c>
      <c r="AH33" s="118" t="s">
        <v>515</v>
      </c>
      <c r="AI33" s="118" t="s">
        <v>515</v>
      </c>
      <c r="AJ33" s="118" t="s">
        <v>515</v>
      </c>
      <c r="AK33" s="118" t="s">
        <v>515</v>
      </c>
      <c r="AL33" s="118" t="s">
        <v>515</v>
      </c>
      <c r="AM33" s="118" t="s">
        <v>515</v>
      </c>
      <c r="AN33" s="118" t="s">
        <v>515</v>
      </c>
      <c r="AO33" s="21" t="s">
        <v>515</v>
      </c>
      <c r="AP33" s="118" t="s">
        <v>515</v>
      </c>
      <c r="AQ33" s="118" t="s">
        <v>515</v>
      </c>
      <c r="AR33" s="118" t="s">
        <v>515</v>
      </c>
      <c r="AS33" s="118" t="s">
        <v>515</v>
      </c>
      <c r="AT33" s="118" t="s">
        <v>515</v>
      </c>
      <c r="AU33" s="118" t="s">
        <v>515</v>
      </c>
      <c r="AV33" s="118" t="s">
        <v>515</v>
      </c>
      <c r="AW33" s="118" t="s">
        <v>515</v>
      </c>
      <c r="AX33" s="118" t="s">
        <v>515</v>
      </c>
      <c r="AY33" s="118" t="s">
        <v>515</v>
      </c>
      <c r="AZ33" s="118" t="s">
        <v>515</v>
      </c>
      <c r="BA33" s="118" t="s">
        <v>515</v>
      </c>
      <c r="BB33" s="118" t="s">
        <v>515</v>
      </c>
      <c r="BC33" s="118" t="s">
        <v>515</v>
      </c>
      <c r="BD33" s="118" t="s">
        <v>515</v>
      </c>
      <c r="BE33" s="118" t="s">
        <v>515</v>
      </c>
      <c r="BF33" s="118" t="s">
        <v>515</v>
      </c>
      <c r="BG33" s="118" t="s">
        <v>515</v>
      </c>
    </row>
    <row r="34" spans="1:59" x14ac:dyDescent="0.25">
      <c r="A34" s="25">
        <v>10033</v>
      </c>
      <c r="B34" t="s">
        <v>60</v>
      </c>
      <c r="C34" t="s">
        <v>523</v>
      </c>
      <c r="D34" s="27">
        <v>4102</v>
      </c>
      <c r="E34" s="27">
        <v>2</v>
      </c>
      <c r="F34" s="118">
        <v>8165</v>
      </c>
      <c r="G34" t="s">
        <v>20</v>
      </c>
      <c r="H34" s="24" t="s">
        <v>8</v>
      </c>
      <c r="I34">
        <v>1.2999999999999999E-2</v>
      </c>
      <c r="J34">
        <v>5.4109999999999996</v>
      </c>
      <c r="K34">
        <v>-3.0000000000000001E-3</v>
      </c>
      <c r="L34">
        <v>3.2000000000000001E-2</v>
      </c>
      <c r="M34" s="140">
        <f t="shared" ref="M34:O49" si="4">IF(I34&lt;0.1,0.05,I34)</f>
        <v>0.05</v>
      </c>
      <c r="N34" s="140">
        <f t="shared" si="4"/>
        <v>5.4109999999999996</v>
      </c>
      <c r="O34" s="140">
        <f t="shared" si="4"/>
        <v>0.05</v>
      </c>
      <c r="P34" s="140">
        <f t="shared" si="1"/>
        <v>0.05</v>
      </c>
      <c r="Q34" s="161" t="s">
        <v>676</v>
      </c>
      <c r="R34" s="125">
        <v>2.36</v>
      </c>
      <c r="S34" t="s">
        <v>676</v>
      </c>
      <c r="T34" t="s">
        <v>515</v>
      </c>
      <c r="U34" t="s">
        <v>515</v>
      </c>
      <c r="V34" s="118" t="s">
        <v>515</v>
      </c>
      <c r="W34">
        <v>40.840789999999998</v>
      </c>
      <c r="X34">
        <v>-86.804919999999996</v>
      </c>
      <c r="Y34">
        <v>4</v>
      </c>
      <c r="Z34">
        <v>24</v>
      </c>
      <c r="AA34">
        <v>2023</v>
      </c>
      <c r="AB34" t="b">
        <v>0</v>
      </c>
      <c r="AC34" s="19">
        <v>45040</v>
      </c>
      <c r="AD34" s="19" t="s">
        <v>515</v>
      </c>
      <c r="AE34" s="118" t="s">
        <v>515</v>
      </c>
      <c r="AF34" s="118" t="s">
        <v>515</v>
      </c>
      <c r="AG34" s="118" t="s">
        <v>515</v>
      </c>
      <c r="AH34" s="118" t="s">
        <v>515</v>
      </c>
      <c r="AI34" s="118" t="s">
        <v>515</v>
      </c>
      <c r="AJ34" s="118" t="s">
        <v>515</v>
      </c>
      <c r="AK34" s="118" t="s">
        <v>515</v>
      </c>
      <c r="AL34" s="118" t="s">
        <v>515</v>
      </c>
      <c r="AM34" s="118" t="s">
        <v>515</v>
      </c>
      <c r="AN34" s="118" t="s">
        <v>515</v>
      </c>
      <c r="AO34" s="21" t="s">
        <v>515</v>
      </c>
      <c r="AP34" s="118" t="s">
        <v>515</v>
      </c>
      <c r="AQ34" s="118" t="s">
        <v>515</v>
      </c>
      <c r="AR34" s="118" t="s">
        <v>515</v>
      </c>
      <c r="AS34" s="118" t="s">
        <v>515</v>
      </c>
      <c r="AT34" s="118" t="s">
        <v>515</v>
      </c>
      <c r="AU34" s="118" t="s">
        <v>515</v>
      </c>
      <c r="AV34" s="118" t="s">
        <v>515</v>
      </c>
      <c r="AW34" s="118" t="s">
        <v>515</v>
      </c>
      <c r="AX34" s="118" t="s">
        <v>515</v>
      </c>
      <c r="AY34" s="118" t="s">
        <v>515</v>
      </c>
      <c r="AZ34" s="118" t="s">
        <v>515</v>
      </c>
      <c r="BA34" s="118" t="s">
        <v>515</v>
      </c>
      <c r="BB34" s="118" t="s">
        <v>515</v>
      </c>
      <c r="BC34" s="118" t="s">
        <v>515</v>
      </c>
      <c r="BD34" s="118" t="s">
        <v>515</v>
      </c>
      <c r="BE34" s="118" t="s">
        <v>515</v>
      </c>
      <c r="BF34" s="118" t="s">
        <v>515</v>
      </c>
      <c r="BG34" s="118" t="s">
        <v>515</v>
      </c>
    </row>
    <row r="35" spans="1:59" x14ac:dyDescent="0.25">
      <c r="A35" s="25">
        <v>10034</v>
      </c>
      <c r="B35" t="s">
        <v>61</v>
      </c>
      <c r="C35" t="s">
        <v>524</v>
      </c>
      <c r="D35" s="27">
        <v>4103</v>
      </c>
      <c r="E35" s="27">
        <v>3</v>
      </c>
      <c r="F35" s="118" t="s">
        <v>515</v>
      </c>
      <c r="G35" t="s">
        <v>20</v>
      </c>
      <c r="H35" s="24" t="s">
        <v>8</v>
      </c>
      <c r="I35">
        <v>2.0500000000000001E-2</v>
      </c>
      <c r="J35">
        <v>5.31</v>
      </c>
      <c r="K35">
        <v>-4.0000000000000001E-3</v>
      </c>
      <c r="L35">
        <v>4.9500000000000002E-2</v>
      </c>
      <c r="M35" s="140">
        <f t="shared" si="4"/>
        <v>0.05</v>
      </c>
      <c r="N35" s="140">
        <f t="shared" si="4"/>
        <v>5.31</v>
      </c>
      <c r="O35" s="140">
        <f t="shared" si="4"/>
        <v>0.05</v>
      </c>
      <c r="P35" s="140">
        <f t="shared" si="1"/>
        <v>0.05</v>
      </c>
      <c r="Q35" s="161" t="s">
        <v>676</v>
      </c>
      <c r="R35" s="125">
        <v>2.2250000000000001</v>
      </c>
      <c r="S35" t="s">
        <v>676</v>
      </c>
      <c r="T35" t="s">
        <v>515</v>
      </c>
      <c r="U35" t="s">
        <v>515</v>
      </c>
      <c r="V35" s="118" t="s">
        <v>515</v>
      </c>
      <c r="W35">
        <v>40.842820000000003</v>
      </c>
      <c r="X35">
        <v>-86.816339999999997</v>
      </c>
      <c r="Y35">
        <v>4</v>
      </c>
      <c r="Z35">
        <v>24</v>
      </c>
      <c r="AA35">
        <v>2023</v>
      </c>
      <c r="AB35" t="b">
        <v>0</v>
      </c>
      <c r="AC35" s="19">
        <v>45040</v>
      </c>
      <c r="AD35" s="19" t="s">
        <v>515</v>
      </c>
      <c r="AE35" s="118" t="s">
        <v>515</v>
      </c>
      <c r="AF35" s="118" t="s">
        <v>515</v>
      </c>
      <c r="AG35" s="118" t="s">
        <v>515</v>
      </c>
      <c r="AH35" s="118" t="s">
        <v>515</v>
      </c>
      <c r="AI35" s="118" t="s">
        <v>515</v>
      </c>
      <c r="AJ35" s="118" t="s">
        <v>515</v>
      </c>
      <c r="AK35" s="118" t="s">
        <v>515</v>
      </c>
      <c r="AL35" s="118" t="s">
        <v>515</v>
      </c>
      <c r="AM35" s="118" t="s">
        <v>515</v>
      </c>
      <c r="AN35" s="118" t="s">
        <v>515</v>
      </c>
      <c r="AO35" s="21" t="s">
        <v>515</v>
      </c>
      <c r="AP35" s="118" t="s">
        <v>515</v>
      </c>
      <c r="AQ35" s="118" t="s">
        <v>515</v>
      </c>
      <c r="AR35" s="118" t="s">
        <v>515</v>
      </c>
      <c r="AS35" s="118" t="s">
        <v>515</v>
      </c>
      <c r="AT35" s="118" t="s">
        <v>515</v>
      </c>
      <c r="AU35" s="118" t="s">
        <v>515</v>
      </c>
      <c r="AV35" s="118" t="s">
        <v>515</v>
      </c>
      <c r="AW35" s="118" t="s">
        <v>515</v>
      </c>
      <c r="AX35" s="118" t="s">
        <v>515</v>
      </c>
      <c r="AY35" s="118" t="s">
        <v>515</v>
      </c>
      <c r="AZ35" s="118" t="s">
        <v>515</v>
      </c>
      <c r="BA35" s="118" t="s">
        <v>515</v>
      </c>
      <c r="BB35" s="118" t="s">
        <v>515</v>
      </c>
      <c r="BC35" s="118" t="s">
        <v>515</v>
      </c>
      <c r="BD35" s="118" t="s">
        <v>515</v>
      </c>
      <c r="BE35" s="118" t="s">
        <v>515</v>
      </c>
      <c r="BF35" s="118" t="s">
        <v>515</v>
      </c>
      <c r="BG35" s="118" t="s">
        <v>515</v>
      </c>
    </row>
    <row r="36" spans="1:59" x14ac:dyDescent="0.25">
      <c r="A36" s="25">
        <v>10035</v>
      </c>
      <c r="B36" t="s">
        <v>62</v>
      </c>
      <c r="C36" t="s">
        <v>525</v>
      </c>
      <c r="D36" s="27">
        <v>4104</v>
      </c>
      <c r="E36" s="27">
        <v>4</v>
      </c>
      <c r="F36" s="118" t="s">
        <v>515</v>
      </c>
      <c r="G36" t="s">
        <v>20</v>
      </c>
      <c r="H36" s="24" t="s">
        <v>8</v>
      </c>
      <c r="I36">
        <v>9.7000000000000003E-3</v>
      </c>
      <c r="J36">
        <v>7.327</v>
      </c>
      <c r="K36">
        <v>-5.0000000000000001E-3</v>
      </c>
      <c r="L36">
        <v>5.6250000000000001E-2</v>
      </c>
      <c r="M36" s="140">
        <f t="shared" si="4"/>
        <v>0.05</v>
      </c>
      <c r="N36" s="140">
        <f t="shared" si="4"/>
        <v>7.327</v>
      </c>
      <c r="O36" s="140">
        <f t="shared" si="4"/>
        <v>0.05</v>
      </c>
      <c r="P36" s="140">
        <f t="shared" si="1"/>
        <v>0.05</v>
      </c>
      <c r="Q36" s="161" t="s">
        <v>676</v>
      </c>
      <c r="R36" s="125">
        <v>9.43</v>
      </c>
      <c r="S36" t="s">
        <v>676</v>
      </c>
      <c r="T36" t="s">
        <v>515</v>
      </c>
      <c r="U36" t="s">
        <v>515</v>
      </c>
      <c r="V36" s="118" t="s">
        <v>515</v>
      </c>
      <c r="W36">
        <v>40.847239999999999</v>
      </c>
      <c r="X36">
        <v>-86.81371</v>
      </c>
      <c r="Y36">
        <v>4</v>
      </c>
      <c r="Z36">
        <v>24</v>
      </c>
      <c r="AA36">
        <v>2023</v>
      </c>
      <c r="AB36" t="b">
        <v>0</v>
      </c>
      <c r="AC36" s="19">
        <v>45040</v>
      </c>
      <c r="AD36" s="19" t="s">
        <v>515</v>
      </c>
      <c r="AE36" s="118" t="s">
        <v>515</v>
      </c>
      <c r="AF36" s="118" t="s">
        <v>515</v>
      </c>
      <c r="AG36" s="118" t="s">
        <v>515</v>
      </c>
      <c r="AH36" s="118" t="s">
        <v>515</v>
      </c>
      <c r="AI36" s="118" t="s">
        <v>515</v>
      </c>
      <c r="AJ36" s="118" t="s">
        <v>515</v>
      </c>
      <c r="AK36" s="118" t="s">
        <v>515</v>
      </c>
      <c r="AL36" s="118" t="s">
        <v>515</v>
      </c>
      <c r="AM36" s="118" t="s">
        <v>515</v>
      </c>
      <c r="AN36" s="118" t="s">
        <v>515</v>
      </c>
      <c r="AO36" s="21" t="s">
        <v>515</v>
      </c>
      <c r="AP36" s="118" t="s">
        <v>515</v>
      </c>
      <c r="AQ36" s="118" t="s">
        <v>515</v>
      </c>
      <c r="AR36" s="118" t="s">
        <v>515</v>
      </c>
      <c r="AS36" s="118" t="s">
        <v>515</v>
      </c>
      <c r="AT36" s="118" t="s">
        <v>515</v>
      </c>
      <c r="AU36" s="118" t="s">
        <v>515</v>
      </c>
      <c r="AV36" s="118" t="s">
        <v>515</v>
      </c>
      <c r="AW36" s="118" t="s">
        <v>515</v>
      </c>
      <c r="AX36" s="118" t="s">
        <v>515</v>
      </c>
      <c r="AY36" s="118" t="s">
        <v>515</v>
      </c>
      <c r="AZ36" s="118" t="s">
        <v>515</v>
      </c>
      <c r="BA36" s="118" t="s">
        <v>515</v>
      </c>
      <c r="BB36" s="118" t="s">
        <v>515</v>
      </c>
      <c r="BC36" s="118" t="s">
        <v>515</v>
      </c>
      <c r="BD36" s="118" t="s">
        <v>515</v>
      </c>
      <c r="BE36" s="118" t="s">
        <v>515</v>
      </c>
      <c r="BF36" s="118" t="s">
        <v>515</v>
      </c>
      <c r="BG36" s="118" t="s">
        <v>515</v>
      </c>
    </row>
    <row r="37" spans="1:59" x14ac:dyDescent="0.25">
      <c r="A37" s="25">
        <v>10036</v>
      </c>
      <c r="B37" t="s">
        <v>63</v>
      </c>
      <c r="C37" t="s">
        <v>526</v>
      </c>
      <c r="D37" s="27">
        <v>4105</v>
      </c>
      <c r="E37" s="27">
        <v>5</v>
      </c>
      <c r="F37" s="118">
        <v>6425</v>
      </c>
      <c r="G37" t="s">
        <v>20</v>
      </c>
      <c r="H37" s="24" t="s">
        <v>8</v>
      </c>
      <c r="I37">
        <v>3.09E-2</v>
      </c>
      <c r="J37">
        <v>4.7359999999999998</v>
      </c>
      <c r="K37">
        <v>-3.0000000000000001E-3</v>
      </c>
      <c r="L37">
        <v>6.0499999999999998E-2</v>
      </c>
      <c r="M37" s="140">
        <f t="shared" si="4"/>
        <v>0.05</v>
      </c>
      <c r="N37" s="140">
        <f t="shared" si="4"/>
        <v>4.7359999999999998</v>
      </c>
      <c r="O37" s="140">
        <f t="shared" si="4"/>
        <v>0.05</v>
      </c>
      <c r="P37" s="140">
        <f t="shared" si="1"/>
        <v>0.05</v>
      </c>
      <c r="Q37" s="161" t="s">
        <v>676</v>
      </c>
      <c r="R37" s="125">
        <v>24.82</v>
      </c>
      <c r="S37" t="s">
        <v>676</v>
      </c>
      <c r="T37" t="s">
        <v>515</v>
      </c>
      <c r="U37" t="s">
        <v>515</v>
      </c>
      <c r="V37" s="118" t="s">
        <v>515</v>
      </c>
      <c r="W37">
        <v>40.82403</v>
      </c>
      <c r="X37">
        <v>-86.795940000000002</v>
      </c>
      <c r="Y37">
        <v>4</v>
      </c>
      <c r="Z37">
        <v>24</v>
      </c>
      <c r="AA37">
        <v>2023</v>
      </c>
      <c r="AB37" t="b">
        <v>0</v>
      </c>
      <c r="AC37" s="19">
        <v>45040</v>
      </c>
      <c r="AD37" s="19" t="s">
        <v>515</v>
      </c>
      <c r="AE37" s="118" t="s">
        <v>515</v>
      </c>
      <c r="AF37" s="118" t="s">
        <v>515</v>
      </c>
      <c r="AG37" s="118" t="s">
        <v>515</v>
      </c>
      <c r="AH37" s="118" t="s">
        <v>515</v>
      </c>
      <c r="AI37" s="118" t="s">
        <v>515</v>
      </c>
      <c r="AJ37" s="118" t="s">
        <v>515</v>
      </c>
      <c r="AK37" s="118" t="s">
        <v>515</v>
      </c>
      <c r="AL37" s="118" t="s">
        <v>515</v>
      </c>
      <c r="AM37" s="118" t="s">
        <v>515</v>
      </c>
      <c r="AN37" s="118" t="s">
        <v>515</v>
      </c>
      <c r="AO37" s="21" t="s">
        <v>515</v>
      </c>
      <c r="AP37" s="118" t="s">
        <v>515</v>
      </c>
      <c r="AQ37" s="118" t="s">
        <v>515</v>
      </c>
      <c r="AR37" s="118" t="s">
        <v>515</v>
      </c>
      <c r="AS37" s="118" t="s">
        <v>515</v>
      </c>
      <c r="AT37" s="118" t="s">
        <v>515</v>
      </c>
      <c r="AU37" s="118" t="s">
        <v>515</v>
      </c>
      <c r="AV37" s="118" t="s">
        <v>515</v>
      </c>
      <c r="AW37" s="118" t="s">
        <v>515</v>
      </c>
      <c r="AX37" s="118" t="s">
        <v>515</v>
      </c>
      <c r="AY37" s="118" t="s">
        <v>515</v>
      </c>
      <c r="AZ37" s="118" t="s">
        <v>515</v>
      </c>
      <c r="BA37" s="118" t="s">
        <v>515</v>
      </c>
      <c r="BB37" s="118" t="s">
        <v>515</v>
      </c>
      <c r="BC37" s="118" t="s">
        <v>515</v>
      </c>
      <c r="BD37" s="118" t="s">
        <v>515</v>
      </c>
      <c r="BE37" s="118" t="s">
        <v>515</v>
      </c>
      <c r="BF37" s="118" t="s">
        <v>515</v>
      </c>
      <c r="BG37" s="118" t="s">
        <v>515</v>
      </c>
    </row>
    <row r="38" spans="1:59" x14ac:dyDescent="0.25">
      <c r="A38" s="25">
        <v>10037</v>
      </c>
      <c r="B38" t="s">
        <v>64</v>
      </c>
      <c r="C38" t="s">
        <v>526</v>
      </c>
      <c r="D38" s="27">
        <v>4105</v>
      </c>
      <c r="E38" s="27">
        <v>5</v>
      </c>
      <c r="F38" s="118">
        <v>6425</v>
      </c>
      <c r="G38" t="s">
        <v>20</v>
      </c>
      <c r="H38" s="24" t="s">
        <v>8</v>
      </c>
      <c r="I38">
        <v>1.54E-2</v>
      </c>
      <c r="J38">
        <v>2.8079999999999998</v>
      </c>
      <c r="K38">
        <v>-4.0000000000000001E-3</v>
      </c>
      <c r="L38">
        <v>1.6750000000000001E-2</v>
      </c>
      <c r="M38" s="140">
        <f t="shared" si="4"/>
        <v>0.05</v>
      </c>
      <c r="N38" s="140">
        <f t="shared" si="4"/>
        <v>2.8079999999999998</v>
      </c>
      <c r="O38" s="140">
        <f t="shared" si="4"/>
        <v>0.05</v>
      </c>
      <c r="P38" s="140">
        <f t="shared" si="1"/>
        <v>0.05</v>
      </c>
      <c r="Q38" s="161" t="s">
        <v>676</v>
      </c>
      <c r="R38" s="125">
        <v>2.1949999999999998</v>
      </c>
      <c r="S38" t="s">
        <v>676</v>
      </c>
      <c r="T38" t="s">
        <v>515</v>
      </c>
      <c r="U38" t="s">
        <v>515</v>
      </c>
      <c r="V38" s="118" t="s">
        <v>515</v>
      </c>
      <c r="W38">
        <v>40.823160000000001</v>
      </c>
      <c r="X38">
        <v>-86.791169999999994</v>
      </c>
      <c r="Y38">
        <v>4</v>
      </c>
      <c r="Z38">
        <v>24</v>
      </c>
      <c r="AA38">
        <v>2023</v>
      </c>
      <c r="AB38" t="b">
        <v>0</v>
      </c>
      <c r="AC38" s="19">
        <v>45040</v>
      </c>
      <c r="AD38" s="19" t="s">
        <v>515</v>
      </c>
      <c r="AE38" s="118" t="s">
        <v>515</v>
      </c>
      <c r="AF38" s="118" t="s">
        <v>515</v>
      </c>
      <c r="AG38" s="118" t="s">
        <v>515</v>
      </c>
      <c r="AH38" s="118" t="s">
        <v>515</v>
      </c>
      <c r="AI38" s="118" t="s">
        <v>515</v>
      </c>
      <c r="AJ38" s="118" t="s">
        <v>515</v>
      </c>
      <c r="AK38" s="118" t="s">
        <v>515</v>
      </c>
      <c r="AL38" s="118" t="s">
        <v>515</v>
      </c>
      <c r="AM38" s="118" t="s">
        <v>515</v>
      </c>
      <c r="AN38" s="118" t="s">
        <v>515</v>
      </c>
      <c r="AO38" s="21" t="s">
        <v>515</v>
      </c>
      <c r="AP38" s="118" t="s">
        <v>515</v>
      </c>
      <c r="AQ38" s="118" t="s">
        <v>515</v>
      </c>
      <c r="AR38" s="118" t="s">
        <v>515</v>
      </c>
      <c r="AS38" s="118" t="s">
        <v>515</v>
      </c>
      <c r="AT38" s="118" t="s">
        <v>515</v>
      </c>
      <c r="AU38" s="118" t="s">
        <v>515</v>
      </c>
      <c r="AV38" s="118" t="s">
        <v>515</v>
      </c>
      <c r="AW38" s="118" t="s">
        <v>515</v>
      </c>
      <c r="AX38" s="118" t="s">
        <v>515</v>
      </c>
      <c r="AY38" s="118" t="s">
        <v>515</v>
      </c>
      <c r="AZ38" s="118" t="s">
        <v>515</v>
      </c>
      <c r="BA38" s="118" t="s">
        <v>515</v>
      </c>
      <c r="BB38" s="118" t="s">
        <v>515</v>
      </c>
      <c r="BC38" s="118" t="s">
        <v>515</v>
      </c>
      <c r="BD38" s="118" t="s">
        <v>515</v>
      </c>
      <c r="BE38" s="118" t="s">
        <v>515</v>
      </c>
      <c r="BF38" s="118" t="s">
        <v>515</v>
      </c>
      <c r="BG38" s="118" t="s">
        <v>515</v>
      </c>
    </row>
    <row r="39" spans="1:59" x14ac:dyDescent="0.25">
      <c r="A39" s="25">
        <v>10038</v>
      </c>
      <c r="B39" t="s">
        <v>65</v>
      </c>
      <c r="C39" t="s">
        <v>527</v>
      </c>
      <c r="D39" s="27">
        <v>4108</v>
      </c>
      <c r="E39" s="27">
        <v>8</v>
      </c>
      <c r="F39" s="118">
        <v>5065</v>
      </c>
      <c r="G39" t="s">
        <v>20</v>
      </c>
      <c r="H39" s="24" t="s">
        <v>8</v>
      </c>
      <c r="I39">
        <v>0.70740000000000003</v>
      </c>
      <c r="J39">
        <v>3.169</v>
      </c>
      <c r="K39">
        <v>0.34399999999999997</v>
      </c>
      <c r="L39">
        <v>1.975E-2</v>
      </c>
      <c r="M39" s="140">
        <f t="shared" si="4"/>
        <v>0.70740000000000003</v>
      </c>
      <c r="N39" s="140">
        <f t="shared" si="4"/>
        <v>3.169</v>
      </c>
      <c r="O39" s="140">
        <f t="shared" si="4"/>
        <v>0.34399999999999997</v>
      </c>
      <c r="P39" s="140">
        <f t="shared" si="1"/>
        <v>0.05</v>
      </c>
      <c r="Q39" s="161" t="s">
        <v>676</v>
      </c>
      <c r="R39" s="125">
        <v>0.59</v>
      </c>
      <c r="S39" t="s">
        <v>676</v>
      </c>
      <c r="T39" t="s">
        <v>515</v>
      </c>
      <c r="U39" t="s">
        <v>515</v>
      </c>
      <c r="V39" s="118" t="s">
        <v>515</v>
      </c>
      <c r="W39">
        <v>40.809220000000003</v>
      </c>
      <c r="X39">
        <v>-86.790869999999998</v>
      </c>
      <c r="Y39">
        <v>4</v>
      </c>
      <c r="Z39">
        <v>24</v>
      </c>
      <c r="AA39">
        <v>2023</v>
      </c>
      <c r="AB39" t="b">
        <v>0</v>
      </c>
      <c r="AC39" s="19">
        <v>45040</v>
      </c>
      <c r="AD39" s="19" t="s">
        <v>515</v>
      </c>
      <c r="AE39" s="118" t="s">
        <v>515</v>
      </c>
      <c r="AF39" s="118" t="s">
        <v>515</v>
      </c>
      <c r="AG39" s="118" t="s">
        <v>515</v>
      </c>
      <c r="AH39" s="118" t="s">
        <v>515</v>
      </c>
      <c r="AI39" s="118" t="s">
        <v>515</v>
      </c>
      <c r="AJ39" s="118" t="s">
        <v>515</v>
      </c>
      <c r="AK39" s="118" t="s">
        <v>515</v>
      </c>
      <c r="AL39" s="118" t="s">
        <v>515</v>
      </c>
      <c r="AM39" s="118" t="s">
        <v>515</v>
      </c>
      <c r="AN39" s="118" t="s">
        <v>515</v>
      </c>
      <c r="AO39" s="21" t="s">
        <v>515</v>
      </c>
      <c r="AP39" s="118" t="s">
        <v>515</v>
      </c>
      <c r="AQ39" s="118" t="s">
        <v>515</v>
      </c>
      <c r="AR39" s="118" t="s">
        <v>515</v>
      </c>
      <c r="AS39" s="118" t="s">
        <v>515</v>
      </c>
      <c r="AT39" s="118" t="s">
        <v>515</v>
      </c>
      <c r="AU39" s="118" t="s">
        <v>515</v>
      </c>
      <c r="AV39" s="118" t="s">
        <v>515</v>
      </c>
      <c r="AW39" s="118" t="s">
        <v>515</v>
      </c>
      <c r="AX39" s="118" t="s">
        <v>515</v>
      </c>
      <c r="AY39" s="118" t="s">
        <v>515</v>
      </c>
      <c r="AZ39" s="118" t="s">
        <v>515</v>
      </c>
      <c r="BA39" s="118" t="s">
        <v>515</v>
      </c>
      <c r="BB39" s="118" t="s">
        <v>515</v>
      </c>
      <c r="BC39" s="118" t="s">
        <v>515</v>
      </c>
      <c r="BD39" s="118" t="s">
        <v>515</v>
      </c>
      <c r="BE39" s="118" t="s">
        <v>515</v>
      </c>
      <c r="BF39" s="118" t="s">
        <v>515</v>
      </c>
      <c r="BG39" s="118" t="s">
        <v>515</v>
      </c>
    </row>
    <row r="40" spans="1:59" x14ac:dyDescent="0.25">
      <c r="A40" s="25">
        <v>10039</v>
      </c>
      <c r="B40" t="s">
        <v>66</v>
      </c>
      <c r="C40" t="s">
        <v>527</v>
      </c>
      <c r="D40" s="27">
        <v>4108</v>
      </c>
      <c r="E40" s="27">
        <v>8</v>
      </c>
      <c r="F40" s="118">
        <v>5065</v>
      </c>
      <c r="G40" t="s">
        <v>20</v>
      </c>
      <c r="H40" s="24" t="s">
        <v>8</v>
      </c>
      <c r="I40">
        <v>0.77429999999999999</v>
      </c>
      <c r="J40">
        <v>3.2149999999999999</v>
      </c>
      <c r="K40">
        <v>0.36249999999999999</v>
      </c>
      <c r="L40">
        <v>1.95E-2</v>
      </c>
      <c r="M40" s="140">
        <f t="shared" si="4"/>
        <v>0.77429999999999999</v>
      </c>
      <c r="N40" s="140">
        <f t="shared" si="4"/>
        <v>3.2149999999999999</v>
      </c>
      <c r="O40" s="140">
        <f t="shared" si="4"/>
        <v>0.36249999999999999</v>
      </c>
      <c r="P40" s="140">
        <f t="shared" si="1"/>
        <v>0.05</v>
      </c>
      <c r="Q40" s="161" t="s">
        <v>676</v>
      </c>
      <c r="R40" s="125">
        <v>0.65000000000000102</v>
      </c>
      <c r="S40" t="s">
        <v>676</v>
      </c>
      <c r="T40" t="s">
        <v>515</v>
      </c>
      <c r="U40" t="s">
        <v>515</v>
      </c>
      <c r="V40" s="118" t="s">
        <v>515</v>
      </c>
      <c r="W40">
        <v>40.809040000000003</v>
      </c>
      <c r="X40">
        <v>-86.793700000000001</v>
      </c>
      <c r="Y40">
        <v>4</v>
      </c>
      <c r="Z40">
        <v>24</v>
      </c>
      <c r="AA40">
        <v>2023</v>
      </c>
      <c r="AB40" t="b">
        <v>0</v>
      </c>
      <c r="AC40" s="19">
        <v>45040</v>
      </c>
      <c r="AD40" s="19" t="s">
        <v>515</v>
      </c>
      <c r="AE40" s="118" t="s">
        <v>515</v>
      </c>
      <c r="AF40" s="118" t="s">
        <v>515</v>
      </c>
      <c r="AG40" s="118" t="s">
        <v>515</v>
      </c>
      <c r="AH40" s="118" t="s">
        <v>515</v>
      </c>
      <c r="AI40" s="118" t="s">
        <v>515</v>
      </c>
      <c r="AJ40" s="118" t="s">
        <v>515</v>
      </c>
      <c r="AK40" s="118" t="s">
        <v>515</v>
      </c>
      <c r="AL40" s="118" t="s">
        <v>515</v>
      </c>
      <c r="AM40" s="118" t="s">
        <v>515</v>
      </c>
      <c r="AN40" s="118" t="s">
        <v>515</v>
      </c>
      <c r="AO40" s="21" t="s">
        <v>515</v>
      </c>
      <c r="AP40" s="118" t="s">
        <v>515</v>
      </c>
      <c r="AQ40" s="118" t="s">
        <v>515</v>
      </c>
      <c r="AR40" s="118" t="s">
        <v>515</v>
      </c>
      <c r="AS40" s="118" t="s">
        <v>515</v>
      </c>
      <c r="AT40" s="118" t="s">
        <v>515</v>
      </c>
      <c r="AU40" s="118" t="s">
        <v>515</v>
      </c>
      <c r="AV40" s="118" t="s">
        <v>515</v>
      </c>
      <c r="AW40" s="118" t="s">
        <v>515</v>
      </c>
      <c r="AX40" s="118" t="s">
        <v>515</v>
      </c>
      <c r="AY40" s="118" t="s">
        <v>515</v>
      </c>
      <c r="AZ40" s="118" t="s">
        <v>515</v>
      </c>
      <c r="BA40" s="118" t="s">
        <v>515</v>
      </c>
      <c r="BB40" s="118" t="s">
        <v>515</v>
      </c>
      <c r="BC40" s="118" t="s">
        <v>515</v>
      </c>
      <c r="BD40" s="118" t="s">
        <v>515</v>
      </c>
      <c r="BE40" s="118" t="s">
        <v>515</v>
      </c>
      <c r="BF40" s="118" t="s">
        <v>515</v>
      </c>
      <c r="BG40" s="118" t="s">
        <v>515</v>
      </c>
    </row>
    <row r="41" spans="1:59" x14ac:dyDescent="0.25">
      <c r="A41" s="25">
        <v>10040</v>
      </c>
      <c r="B41" t="s">
        <v>67</v>
      </c>
      <c r="C41" t="s">
        <v>528</v>
      </c>
      <c r="D41" s="27">
        <v>4109</v>
      </c>
      <c r="E41" s="27">
        <v>9</v>
      </c>
      <c r="F41" s="118">
        <v>3385</v>
      </c>
      <c r="G41" t="s">
        <v>20</v>
      </c>
      <c r="H41" s="24" t="s">
        <v>8</v>
      </c>
      <c r="I41">
        <v>2.6599999999999999E-2</v>
      </c>
      <c r="J41">
        <v>3.4249999999999998</v>
      </c>
      <c r="K41">
        <v>-8.0000000000000002E-3</v>
      </c>
      <c r="L41">
        <v>2.5250000000000002E-2</v>
      </c>
      <c r="M41" s="140">
        <f t="shared" si="4"/>
        <v>0.05</v>
      </c>
      <c r="N41" s="140">
        <f t="shared" si="4"/>
        <v>3.4249999999999998</v>
      </c>
      <c r="O41" s="140">
        <f t="shared" si="4"/>
        <v>0.05</v>
      </c>
      <c r="P41" s="140">
        <f t="shared" si="1"/>
        <v>0.05</v>
      </c>
      <c r="Q41" s="161" t="s">
        <v>676</v>
      </c>
      <c r="R41" s="125">
        <v>0.9</v>
      </c>
      <c r="S41" t="s">
        <v>676</v>
      </c>
      <c r="T41" t="s">
        <v>515</v>
      </c>
      <c r="U41" t="s">
        <v>515</v>
      </c>
      <c r="V41" s="118" t="s">
        <v>515</v>
      </c>
      <c r="W41">
        <v>40.803840000000001</v>
      </c>
      <c r="X41">
        <v>-86.776250000000005</v>
      </c>
      <c r="Y41">
        <v>4</v>
      </c>
      <c r="Z41">
        <v>24</v>
      </c>
      <c r="AA41">
        <v>2023</v>
      </c>
      <c r="AB41" t="b">
        <v>0</v>
      </c>
      <c r="AC41" s="19">
        <v>45040</v>
      </c>
      <c r="AD41" s="19" t="s">
        <v>515</v>
      </c>
      <c r="AE41" s="118" t="s">
        <v>515</v>
      </c>
      <c r="AF41" s="118" t="s">
        <v>515</v>
      </c>
      <c r="AG41" s="118" t="s">
        <v>515</v>
      </c>
      <c r="AH41" s="118" t="s">
        <v>515</v>
      </c>
      <c r="AI41" s="118" t="s">
        <v>515</v>
      </c>
      <c r="AJ41" s="118" t="s">
        <v>515</v>
      </c>
      <c r="AK41" s="118" t="s">
        <v>515</v>
      </c>
      <c r="AL41" s="118" t="s">
        <v>515</v>
      </c>
      <c r="AM41" s="118" t="s">
        <v>515</v>
      </c>
      <c r="AN41" s="118" t="s">
        <v>515</v>
      </c>
      <c r="AO41" s="21" t="s">
        <v>515</v>
      </c>
      <c r="AP41" s="118" t="s">
        <v>515</v>
      </c>
      <c r="AQ41" s="118" t="s">
        <v>515</v>
      </c>
      <c r="AR41" s="118" t="s">
        <v>515</v>
      </c>
      <c r="AS41" s="118" t="s">
        <v>515</v>
      </c>
      <c r="AT41" s="118" t="s">
        <v>515</v>
      </c>
      <c r="AU41" s="118" t="s">
        <v>515</v>
      </c>
      <c r="AV41" s="118" t="s">
        <v>515</v>
      </c>
      <c r="AW41" s="118" t="s">
        <v>515</v>
      </c>
      <c r="AX41" s="118" t="s">
        <v>515</v>
      </c>
      <c r="AY41" s="118" t="s">
        <v>515</v>
      </c>
      <c r="AZ41" s="118" t="s">
        <v>515</v>
      </c>
      <c r="BA41" s="118" t="s">
        <v>515</v>
      </c>
      <c r="BB41" s="118" t="s">
        <v>515</v>
      </c>
      <c r="BC41" s="118" t="s">
        <v>515</v>
      </c>
      <c r="BD41" s="118" t="s">
        <v>515</v>
      </c>
      <c r="BE41" s="118" t="s">
        <v>515</v>
      </c>
      <c r="BF41" s="118" t="s">
        <v>515</v>
      </c>
      <c r="BG41" s="118" t="s">
        <v>515</v>
      </c>
    </row>
    <row r="42" spans="1:59" x14ac:dyDescent="0.25">
      <c r="A42" s="25">
        <v>10041</v>
      </c>
      <c r="B42" t="s">
        <v>68</v>
      </c>
      <c r="C42" t="s">
        <v>529</v>
      </c>
      <c r="D42" s="27">
        <v>4110</v>
      </c>
      <c r="E42" s="27">
        <v>10</v>
      </c>
      <c r="F42" s="118">
        <v>2205</v>
      </c>
      <c r="G42" t="s">
        <v>20</v>
      </c>
      <c r="H42" s="24" t="s">
        <v>8</v>
      </c>
      <c r="I42">
        <v>0.65915000000000001</v>
      </c>
      <c r="J42">
        <v>3.411</v>
      </c>
      <c r="K42">
        <v>0.318</v>
      </c>
      <c r="L42">
        <v>3.6249999999999998E-2</v>
      </c>
      <c r="M42" s="140">
        <f t="shared" si="4"/>
        <v>0.65915000000000001</v>
      </c>
      <c r="N42" s="140">
        <f t="shared" si="4"/>
        <v>3.411</v>
      </c>
      <c r="O42" s="140">
        <f t="shared" si="4"/>
        <v>0.318</v>
      </c>
      <c r="P42" s="140">
        <f t="shared" si="1"/>
        <v>0.05</v>
      </c>
      <c r="Q42" s="161" t="s">
        <v>676</v>
      </c>
      <c r="R42" s="125">
        <v>0.93500000000000105</v>
      </c>
      <c r="S42" t="s">
        <v>676</v>
      </c>
      <c r="T42" t="s">
        <v>515</v>
      </c>
      <c r="U42" t="s">
        <v>515</v>
      </c>
      <c r="V42" s="118" t="s">
        <v>515</v>
      </c>
      <c r="W42">
        <v>40.794370000000001</v>
      </c>
      <c r="X42">
        <v>-86.772639999999996</v>
      </c>
      <c r="Y42">
        <v>4</v>
      </c>
      <c r="Z42">
        <v>24</v>
      </c>
      <c r="AA42">
        <v>2023</v>
      </c>
      <c r="AB42" t="b">
        <v>0</v>
      </c>
      <c r="AC42" s="19">
        <v>45040</v>
      </c>
      <c r="AD42" s="19" t="s">
        <v>515</v>
      </c>
      <c r="AE42" s="118" t="s">
        <v>515</v>
      </c>
      <c r="AF42" s="118" t="s">
        <v>515</v>
      </c>
      <c r="AG42" s="118" t="s">
        <v>515</v>
      </c>
      <c r="AH42" s="118" t="s">
        <v>515</v>
      </c>
      <c r="AI42" s="118" t="s">
        <v>515</v>
      </c>
      <c r="AJ42" s="118" t="s">
        <v>515</v>
      </c>
      <c r="AK42" s="118" t="s">
        <v>515</v>
      </c>
      <c r="AL42" s="118" t="s">
        <v>515</v>
      </c>
      <c r="AM42" s="118" t="s">
        <v>515</v>
      </c>
      <c r="AN42" s="118" t="s">
        <v>515</v>
      </c>
      <c r="AO42" s="21" t="s">
        <v>515</v>
      </c>
      <c r="AP42" s="118" t="s">
        <v>515</v>
      </c>
      <c r="AQ42" s="118" t="s">
        <v>515</v>
      </c>
      <c r="AR42" s="118" t="s">
        <v>515</v>
      </c>
      <c r="AS42" s="118" t="s">
        <v>515</v>
      </c>
      <c r="AT42" s="118" t="s">
        <v>515</v>
      </c>
      <c r="AU42" s="118" t="s">
        <v>515</v>
      </c>
      <c r="AV42" s="118" t="s">
        <v>515</v>
      </c>
      <c r="AW42" s="118" t="s">
        <v>515</v>
      </c>
      <c r="AX42" s="118" t="s">
        <v>515</v>
      </c>
      <c r="AY42" s="118" t="s">
        <v>515</v>
      </c>
      <c r="AZ42" s="118" t="s">
        <v>515</v>
      </c>
      <c r="BA42" s="118" t="s">
        <v>515</v>
      </c>
      <c r="BB42" s="118" t="s">
        <v>515</v>
      </c>
      <c r="BC42" s="118" t="s">
        <v>515</v>
      </c>
      <c r="BD42" s="118" t="s">
        <v>515</v>
      </c>
      <c r="BE42" s="118" t="s">
        <v>515</v>
      </c>
      <c r="BF42" s="118" t="s">
        <v>515</v>
      </c>
      <c r="BG42" s="118" t="s">
        <v>515</v>
      </c>
    </row>
    <row r="43" spans="1:59" x14ac:dyDescent="0.25">
      <c r="A43" s="25">
        <v>10042</v>
      </c>
      <c r="B43" t="s">
        <v>69</v>
      </c>
      <c r="C43" t="s">
        <v>530</v>
      </c>
      <c r="D43" s="27">
        <v>4111</v>
      </c>
      <c r="E43" s="27">
        <v>11</v>
      </c>
      <c r="F43" s="118">
        <v>1385</v>
      </c>
      <c r="G43" t="s">
        <v>20</v>
      </c>
      <c r="H43" s="24" t="s">
        <v>8</v>
      </c>
      <c r="I43">
        <v>0.78615000000000002</v>
      </c>
      <c r="J43">
        <v>3.5684999999999998</v>
      </c>
      <c r="K43">
        <v>0.29749999999999999</v>
      </c>
      <c r="L43">
        <v>2.8000000000000001E-2</v>
      </c>
      <c r="M43" s="140">
        <f t="shared" si="4"/>
        <v>0.78615000000000002</v>
      </c>
      <c r="N43" s="140">
        <f t="shared" si="4"/>
        <v>3.5684999999999998</v>
      </c>
      <c r="O43" s="140">
        <f t="shared" si="4"/>
        <v>0.29749999999999999</v>
      </c>
      <c r="P43" s="140">
        <f t="shared" si="1"/>
        <v>0.05</v>
      </c>
      <c r="Q43" s="161" t="s">
        <v>676</v>
      </c>
      <c r="R43" s="125">
        <v>7.835</v>
      </c>
      <c r="S43" t="s">
        <v>676</v>
      </c>
      <c r="T43" t="s">
        <v>515</v>
      </c>
      <c r="U43" t="s">
        <v>515</v>
      </c>
      <c r="V43" s="118" t="s">
        <v>515</v>
      </c>
      <c r="W43">
        <v>40.786769999999997</v>
      </c>
      <c r="X43">
        <v>-86.770709999999994</v>
      </c>
      <c r="Y43">
        <v>4</v>
      </c>
      <c r="Z43">
        <v>24</v>
      </c>
      <c r="AA43">
        <v>2023</v>
      </c>
      <c r="AB43" t="b">
        <v>0</v>
      </c>
      <c r="AC43" s="19">
        <v>45040</v>
      </c>
      <c r="AD43" s="19" t="s">
        <v>515</v>
      </c>
      <c r="AE43" s="118" t="s">
        <v>515</v>
      </c>
      <c r="AF43" s="118" t="s">
        <v>515</v>
      </c>
      <c r="AG43" s="118" t="s">
        <v>515</v>
      </c>
      <c r="AH43" s="118" t="s">
        <v>515</v>
      </c>
      <c r="AI43" s="118" t="s">
        <v>515</v>
      </c>
      <c r="AJ43" s="118" t="s">
        <v>515</v>
      </c>
      <c r="AK43" s="118" t="s">
        <v>515</v>
      </c>
      <c r="AL43" s="118" t="s">
        <v>515</v>
      </c>
      <c r="AM43" s="118" t="s">
        <v>515</v>
      </c>
      <c r="AN43" s="118" t="s">
        <v>515</v>
      </c>
      <c r="AO43" s="21" t="s">
        <v>515</v>
      </c>
      <c r="AP43" s="118" t="s">
        <v>515</v>
      </c>
      <c r="AQ43" s="118" t="s">
        <v>515</v>
      </c>
      <c r="AR43" s="118" t="s">
        <v>515</v>
      </c>
      <c r="AS43" s="118" t="s">
        <v>515</v>
      </c>
      <c r="AT43" s="118" t="s">
        <v>515</v>
      </c>
      <c r="AU43" s="118" t="s">
        <v>515</v>
      </c>
      <c r="AV43" s="118" t="s">
        <v>515</v>
      </c>
      <c r="AW43" s="118" t="s">
        <v>515</v>
      </c>
      <c r="AX43" s="118" t="s">
        <v>515</v>
      </c>
      <c r="AY43" s="118" t="s">
        <v>515</v>
      </c>
      <c r="AZ43" s="118" t="s">
        <v>515</v>
      </c>
      <c r="BA43" s="118" t="s">
        <v>515</v>
      </c>
      <c r="BB43" s="118" t="s">
        <v>515</v>
      </c>
      <c r="BC43" s="118" t="s">
        <v>515</v>
      </c>
      <c r="BD43" s="118" t="s">
        <v>515</v>
      </c>
      <c r="BE43" s="118" t="s">
        <v>515</v>
      </c>
      <c r="BF43" s="118" t="s">
        <v>515</v>
      </c>
      <c r="BG43" s="118" t="s">
        <v>515</v>
      </c>
    </row>
    <row r="44" spans="1:59" x14ac:dyDescent="0.25">
      <c r="A44" s="25">
        <v>10043</v>
      </c>
      <c r="B44" t="s">
        <v>70</v>
      </c>
      <c r="C44" t="s">
        <v>531</v>
      </c>
      <c r="D44" s="27">
        <v>4112</v>
      </c>
      <c r="E44" s="27">
        <v>12</v>
      </c>
      <c r="F44" s="118">
        <v>275</v>
      </c>
      <c r="G44" t="s">
        <v>20</v>
      </c>
      <c r="H44" s="24" t="s">
        <v>8</v>
      </c>
      <c r="I44">
        <v>2.3699999999999999E-2</v>
      </c>
      <c r="J44">
        <v>3.4159999999999999</v>
      </c>
      <c r="K44">
        <v>-0.01</v>
      </c>
      <c r="L44">
        <v>3.7249999999999998E-2</v>
      </c>
      <c r="M44" s="140">
        <f t="shared" si="4"/>
        <v>0.05</v>
      </c>
      <c r="N44" s="140">
        <f t="shared" si="4"/>
        <v>3.4159999999999999</v>
      </c>
      <c r="O44" s="140">
        <f t="shared" si="4"/>
        <v>0.05</v>
      </c>
      <c r="P44" s="140">
        <f t="shared" si="1"/>
        <v>0.05</v>
      </c>
      <c r="Q44" s="161" t="s">
        <v>676</v>
      </c>
      <c r="R44" s="125">
        <v>7.6449999999999996</v>
      </c>
      <c r="S44" t="s">
        <v>676</v>
      </c>
      <c r="T44" t="s">
        <v>515</v>
      </c>
      <c r="U44" t="s">
        <v>515</v>
      </c>
      <c r="V44" s="118" t="s">
        <v>515</v>
      </c>
      <c r="W44">
        <v>40.781860000000002</v>
      </c>
      <c r="X44">
        <v>-86.760980000000004</v>
      </c>
      <c r="Y44">
        <v>4</v>
      </c>
      <c r="Z44">
        <v>24</v>
      </c>
      <c r="AA44">
        <v>2023</v>
      </c>
      <c r="AB44" t="b">
        <v>0</v>
      </c>
      <c r="AC44" s="19">
        <v>45040</v>
      </c>
      <c r="AD44" s="19" t="s">
        <v>515</v>
      </c>
      <c r="AE44" s="118" t="s">
        <v>515</v>
      </c>
      <c r="AF44" s="118" t="s">
        <v>515</v>
      </c>
      <c r="AG44" s="118" t="s">
        <v>515</v>
      </c>
      <c r="AH44" s="118" t="s">
        <v>515</v>
      </c>
      <c r="AI44" s="118" t="s">
        <v>515</v>
      </c>
      <c r="AJ44" s="118" t="s">
        <v>515</v>
      </c>
      <c r="AK44" s="118" t="s">
        <v>515</v>
      </c>
      <c r="AL44" s="118" t="s">
        <v>515</v>
      </c>
      <c r="AM44" s="118" t="s">
        <v>515</v>
      </c>
      <c r="AN44" s="118" t="s">
        <v>515</v>
      </c>
      <c r="AO44" s="21" t="s">
        <v>515</v>
      </c>
      <c r="AP44" s="118" t="s">
        <v>515</v>
      </c>
      <c r="AQ44" s="118" t="s">
        <v>515</v>
      </c>
      <c r="AR44" s="118" t="s">
        <v>515</v>
      </c>
      <c r="AS44" s="118" t="s">
        <v>515</v>
      </c>
      <c r="AT44" s="118" t="s">
        <v>515</v>
      </c>
      <c r="AU44" s="118" t="s">
        <v>515</v>
      </c>
      <c r="AV44" s="118" t="s">
        <v>515</v>
      </c>
      <c r="AW44" s="118" t="s">
        <v>515</v>
      </c>
      <c r="AX44" s="118" t="s">
        <v>515</v>
      </c>
      <c r="AY44" s="118" t="s">
        <v>515</v>
      </c>
      <c r="AZ44" s="118" t="s">
        <v>515</v>
      </c>
      <c r="BA44" s="118" t="s">
        <v>515</v>
      </c>
      <c r="BB44" s="118" t="s">
        <v>515</v>
      </c>
      <c r="BC44" s="118" t="s">
        <v>515</v>
      </c>
      <c r="BD44" s="118" t="s">
        <v>515</v>
      </c>
      <c r="BE44" s="118" t="s">
        <v>515</v>
      </c>
      <c r="BF44" s="118" t="s">
        <v>515</v>
      </c>
      <c r="BG44" s="118" t="s">
        <v>515</v>
      </c>
    </row>
    <row r="45" spans="1:59" x14ac:dyDescent="0.25">
      <c r="A45" s="25">
        <v>10044</v>
      </c>
      <c r="B45" t="s">
        <v>71</v>
      </c>
      <c r="C45" t="s">
        <v>532</v>
      </c>
      <c r="D45" s="27" t="s">
        <v>516</v>
      </c>
      <c r="E45" s="27" t="str">
        <f t="shared" ref="E45:E59" si="5">RIGHT(D45,2)</f>
        <v>?</v>
      </c>
      <c r="F45" s="118" t="s">
        <v>515</v>
      </c>
      <c r="G45" t="s">
        <v>20</v>
      </c>
      <c r="H45" s="24" t="s">
        <v>9</v>
      </c>
      <c r="I45">
        <v>6.3200000000000006E-2</v>
      </c>
      <c r="J45">
        <v>4.7140000000000004</v>
      </c>
      <c r="K45">
        <v>-2E-3</v>
      </c>
      <c r="L45">
        <v>5.6000000000000001E-2</v>
      </c>
      <c r="M45" s="140">
        <f t="shared" si="4"/>
        <v>0.05</v>
      </c>
      <c r="N45" s="140">
        <f t="shared" si="4"/>
        <v>4.7140000000000004</v>
      </c>
      <c r="O45" s="140">
        <f t="shared" si="4"/>
        <v>0.05</v>
      </c>
      <c r="P45" s="140">
        <f t="shared" si="1"/>
        <v>0.05</v>
      </c>
      <c r="Q45" s="161" t="s">
        <v>676</v>
      </c>
      <c r="R45" s="125">
        <v>27.38</v>
      </c>
      <c r="S45" t="s">
        <v>676</v>
      </c>
      <c r="T45" t="s">
        <v>515</v>
      </c>
      <c r="U45" t="s">
        <v>515</v>
      </c>
      <c r="V45" s="118" t="s">
        <v>515</v>
      </c>
      <c r="W45">
        <v>40.825102999999999</v>
      </c>
      <c r="X45">
        <v>-86.795000000000002</v>
      </c>
      <c r="Y45">
        <v>4</v>
      </c>
      <c r="Z45">
        <v>24</v>
      </c>
      <c r="AA45">
        <v>2023</v>
      </c>
      <c r="AB45" t="b">
        <v>0</v>
      </c>
      <c r="AC45" s="19">
        <v>45040</v>
      </c>
      <c r="AD45" s="19" t="s">
        <v>515</v>
      </c>
      <c r="AE45" s="118" t="s">
        <v>515</v>
      </c>
      <c r="AF45" s="118" t="s">
        <v>515</v>
      </c>
      <c r="AG45" s="118" t="s">
        <v>515</v>
      </c>
      <c r="AH45" s="118" t="s">
        <v>515</v>
      </c>
      <c r="AI45" s="118" t="s">
        <v>515</v>
      </c>
      <c r="AJ45" s="118" t="s">
        <v>515</v>
      </c>
      <c r="AK45" s="118" t="s">
        <v>515</v>
      </c>
      <c r="AL45" s="118" t="s">
        <v>515</v>
      </c>
      <c r="AM45" s="118" t="s">
        <v>515</v>
      </c>
      <c r="AN45" s="118" t="s">
        <v>515</v>
      </c>
      <c r="AO45" s="21" t="s">
        <v>515</v>
      </c>
      <c r="AP45" s="118" t="s">
        <v>515</v>
      </c>
      <c r="AQ45" s="118" t="s">
        <v>515</v>
      </c>
      <c r="AR45" s="118" t="s">
        <v>515</v>
      </c>
      <c r="AS45" s="118" t="s">
        <v>515</v>
      </c>
      <c r="AT45" s="118" t="s">
        <v>515</v>
      </c>
      <c r="AU45" s="118" t="s">
        <v>515</v>
      </c>
      <c r="AV45" s="118" t="s">
        <v>515</v>
      </c>
      <c r="AW45" s="118" t="s">
        <v>515</v>
      </c>
      <c r="AX45" s="118" t="s">
        <v>515</v>
      </c>
      <c r="AY45" s="118" t="s">
        <v>515</v>
      </c>
      <c r="AZ45" s="118" t="s">
        <v>515</v>
      </c>
      <c r="BA45" s="118" t="s">
        <v>515</v>
      </c>
      <c r="BB45" s="118" t="s">
        <v>515</v>
      </c>
      <c r="BC45" s="118" t="s">
        <v>515</v>
      </c>
      <c r="BD45" s="118" t="s">
        <v>515</v>
      </c>
      <c r="BE45" s="118" t="s">
        <v>515</v>
      </c>
      <c r="BF45" s="118" t="s">
        <v>515</v>
      </c>
      <c r="BG45" s="118" t="s">
        <v>515</v>
      </c>
    </row>
    <row r="46" spans="1:59" x14ac:dyDescent="0.25">
      <c r="A46" s="25">
        <v>10045</v>
      </c>
      <c r="B46" t="s">
        <v>72</v>
      </c>
      <c r="C46" t="s">
        <v>533</v>
      </c>
      <c r="D46" s="27" t="s">
        <v>516</v>
      </c>
      <c r="E46" s="27" t="str">
        <f t="shared" si="5"/>
        <v>?</v>
      </c>
      <c r="F46" s="118" t="s">
        <v>515</v>
      </c>
      <c r="G46" t="s">
        <v>19</v>
      </c>
      <c r="H46" s="24" t="s">
        <v>9</v>
      </c>
      <c r="I46">
        <v>2.5000000000000001E-3</v>
      </c>
      <c r="J46">
        <v>6.6790000000000003</v>
      </c>
      <c r="K46">
        <v>0.16</v>
      </c>
      <c r="L46">
        <v>0.2135</v>
      </c>
      <c r="M46" s="140">
        <f t="shared" si="4"/>
        <v>0.05</v>
      </c>
      <c r="N46" s="140">
        <f t="shared" si="4"/>
        <v>6.6790000000000003</v>
      </c>
      <c r="O46" s="140">
        <f t="shared" si="4"/>
        <v>0.16</v>
      </c>
      <c r="P46" s="140">
        <f t="shared" si="1"/>
        <v>0.2135</v>
      </c>
      <c r="Q46" s="161" t="s">
        <v>676</v>
      </c>
      <c r="R46" s="125">
        <v>1.54</v>
      </c>
      <c r="S46" t="s">
        <v>676</v>
      </c>
      <c r="T46" t="s">
        <v>515</v>
      </c>
      <c r="U46" t="s">
        <v>515</v>
      </c>
      <c r="V46" s="118" t="s">
        <v>515</v>
      </c>
      <c r="W46">
        <v>40.668348999999999</v>
      </c>
      <c r="X46">
        <v>-85.848617000000004</v>
      </c>
      <c r="Y46">
        <v>5</v>
      </c>
      <c r="Z46">
        <v>10</v>
      </c>
      <c r="AA46">
        <v>2023</v>
      </c>
      <c r="AB46" t="b">
        <v>0</v>
      </c>
      <c r="AC46" s="19">
        <v>45056</v>
      </c>
      <c r="AD46" s="19" t="s">
        <v>515</v>
      </c>
      <c r="AE46" s="231">
        <v>0.72541666666666671</v>
      </c>
      <c r="AF46" s="196">
        <v>45056</v>
      </c>
      <c r="AG46" s="29" t="s">
        <v>515</v>
      </c>
      <c r="AH46" s="29" t="s">
        <v>515</v>
      </c>
      <c r="AI46" s="29">
        <v>744.6</v>
      </c>
      <c r="AJ46" s="29">
        <v>459.4</v>
      </c>
      <c r="AK46" s="29">
        <v>509.1</v>
      </c>
      <c r="AL46" s="29">
        <v>509072</v>
      </c>
      <c r="AM46" s="29">
        <v>0.25</v>
      </c>
      <c r="AN46" s="29">
        <v>513.70000000000005</v>
      </c>
      <c r="AO46" s="29">
        <v>0.123</v>
      </c>
      <c r="AP46" s="29">
        <v>0.121</v>
      </c>
      <c r="AQ46" s="29">
        <v>0.17499999999999999</v>
      </c>
      <c r="AR46" s="29">
        <v>98</v>
      </c>
      <c r="AS46" s="29">
        <v>8.9</v>
      </c>
      <c r="AT46" s="29">
        <v>99.6</v>
      </c>
      <c r="AU46" s="29">
        <v>40.71405</v>
      </c>
      <c r="AV46" s="29">
        <v>-85.936760000000007</v>
      </c>
      <c r="AW46" s="29">
        <v>216</v>
      </c>
      <c r="AX46" s="29">
        <v>104.9</v>
      </c>
      <c r="AY46" s="29">
        <v>8.35</v>
      </c>
      <c r="AZ46" s="29">
        <v>-120.3</v>
      </c>
      <c r="BA46" s="29">
        <v>11.8</v>
      </c>
      <c r="BB46" s="29">
        <v>0</v>
      </c>
      <c r="BC46" s="29">
        <v>19.896000000000001</v>
      </c>
      <c r="BD46" s="29">
        <v>10.56</v>
      </c>
      <c r="BE46" s="29">
        <v>0</v>
      </c>
      <c r="BF46" s="196">
        <v>45056</v>
      </c>
      <c r="BG46" s="29" t="s">
        <v>1837</v>
      </c>
    </row>
    <row r="47" spans="1:59" x14ac:dyDescent="0.25">
      <c r="A47" s="25">
        <v>10046</v>
      </c>
      <c r="B47" t="s">
        <v>73</v>
      </c>
      <c r="C47" t="s">
        <v>533</v>
      </c>
      <c r="D47" s="27" t="s">
        <v>516</v>
      </c>
      <c r="E47" s="27" t="str">
        <f t="shared" si="5"/>
        <v>?</v>
      </c>
      <c r="F47" s="118" t="s">
        <v>515</v>
      </c>
      <c r="G47" t="s">
        <v>19</v>
      </c>
      <c r="H47" s="24" t="s">
        <v>9</v>
      </c>
      <c r="I47">
        <v>0.16289999999999999</v>
      </c>
      <c r="J47">
        <v>6.6420000000000003</v>
      </c>
      <c r="K47">
        <v>8.5999999999999993E-2</v>
      </c>
      <c r="L47">
        <v>0.21299999999999999</v>
      </c>
      <c r="M47" s="140">
        <f t="shared" si="4"/>
        <v>0.16289999999999999</v>
      </c>
      <c r="N47" s="140">
        <f t="shared" si="4"/>
        <v>6.6420000000000003</v>
      </c>
      <c r="O47" s="140">
        <f t="shared" si="4"/>
        <v>0.05</v>
      </c>
      <c r="P47" s="140">
        <f t="shared" si="1"/>
        <v>0.21299999999999999</v>
      </c>
      <c r="Q47" s="161" t="s">
        <v>676</v>
      </c>
      <c r="R47" s="125">
        <v>1.5349999999999999</v>
      </c>
      <c r="S47" t="s">
        <v>676</v>
      </c>
      <c r="T47" t="s">
        <v>515</v>
      </c>
      <c r="U47" t="s">
        <v>515</v>
      </c>
      <c r="V47" s="118" t="s">
        <v>515</v>
      </c>
      <c r="W47">
        <v>40.668568</v>
      </c>
      <c r="X47">
        <v>-85.848866999999998</v>
      </c>
      <c r="Y47">
        <v>5</v>
      </c>
      <c r="Z47">
        <v>10</v>
      </c>
      <c r="AA47">
        <v>2023</v>
      </c>
      <c r="AB47" t="b">
        <v>0</v>
      </c>
      <c r="AC47" s="19">
        <v>45056</v>
      </c>
      <c r="AD47" s="19" t="s">
        <v>515</v>
      </c>
      <c r="AE47" s="231">
        <v>0.73025462962962961</v>
      </c>
      <c r="AF47" s="196">
        <v>45056</v>
      </c>
      <c r="AG47" s="29" t="s">
        <v>515</v>
      </c>
      <c r="AH47" s="29" t="s">
        <v>515</v>
      </c>
      <c r="AI47" s="29">
        <v>744.4</v>
      </c>
      <c r="AJ47" s="29">
        <v>463.6</v>
      </c>
      <c r="AK47" s="29">
        <v>502.5</v>
      </c>
      <c r="AL47" s="29">
        <v>502469</v>
      </c>
      <c r="AM47" s="29">
        <v>0.24</v>
      </c>
      <c r="AN47" s="29">
        <v>506.2</v>
      </c>
      <c r="AO47" s="29">
        <v>0.121</v>
      </c>
      <c r="AP47" s="29">
        <v>0.111</v>
      </c>
      <c r="AQ47" s="29">
        <v>0.17199999999999999</v>
      </c>
      <c r="AR47" s="29">
        <v>106.2</v>
      </c>
      <c r="AS47" s="29">
        <v>9.4600000000000009</v>
      </c>
      <c r="AT47" s="29">
        <v>107.9</v>
      </c>
      <c r="AU47" s="29">
        <v>40.71452</v>
      </c>
      <c r="AV47" s="29">
        <v>-85.937749999999994</v>
      </c>
      <c r="AW47" s="29">
        <v>216.2</v>
      </c>
      <c r="AX47" s="29">
        <v>145.69999999999999</v>
      </c>
      <c r="AY47" s="29">
        <v>8.25</v>
      </c>
      <c r="AZ47" s="29">
        <v>-114.8</v>
      </c>
      <c r="BA47" s="29">
        <v>11.8</v>
      </c>
      <c r="BB47" s="29">
        <v>0</v>
      </c>
      <c r="BC47" s="29">
        <v>20.951000000000001</v>
      </c>
      <c r="BD47" s="29">
        <v>30.98</v>
      </c>
      <c r="BE47" s="29">
        <v>0</v>
      </c>
      <c r="BF47" s="196">
        <v>45056</v>
      </c>
      <c r="BG47" s="29" t="s">
        <v>1838</v>
      </c>
    </row>
    <row r="48" spans="1:59" x14ac:dyDescent="0.25">
      <c r="A48" s="25">
        <v>10047</v>
      </c>
      <c r="B48" t="s">
        <v>74</v>
      </c>
      <c r="C48" t="s">
        <v>533</v>
      </c>
      <c r="D48" s="27" t="s">
        <v>516</v>
      </c>
      <c r="E48" s="27" t="str">
        <f t="shared" si="5"/>
        <v>?</v>
      </c>
      <c r="F48" s="118" t="s">
        <v>515</v>
      </c>
      <c r="G48" t="s">
        <v>19</v>
      </c>
      <c r="H48" s="24" t="s">
        <v>9</v>
      </c>
      <c r="I48">
        <v>1.0888</v>
      </c>
      <c r="J48">
        <v>1.78</v>
      </c>
      <c r="K48">
        <v>0.28499999999999998</v>
      </c>
      <c r="L48">
        <v>0.17599999999999999</v>
      </c>
      <c r="M48" s="140">
        <f t="shared" si="4"/>
        <v>1.0888</v>
      </c>
      <c r="N48" s="140">
        <f t="shared" si="4"/>
        <v>1.78</v>
      </c>
      <c r="O48" s="140">
        <f t="shared" si="4"/>
        <v>0.28499999999999998</v>
      </c>
      <c r="P48" s="140">
        <f t="shared" si="1"/>
        <v>0.17599999999999999</v>
      </c>
      <c r="Q48" s="161" t="s">
        <v>676</v>
      </c>
      <c r="R48" s="125">
        <v>9.8550000000000004</v>
      </c>
      <c r="S48" t="s">
        <v>676</v>
      </c>
      <c r="T48" t="s">
        <v>515</v>
      </c>
      <c r="U48" t="s">
        <v>515</v>
      </c>
      <c r="V48" s="118" t="s">
        <v>515</v>
      </c>
      <c r="W48">
        <v>40.680658000000001</v>
      </c>
      <c r="X48">
        <v>-85.895797999999999</v>
      </c>
      <c r="Y48">
        <v>5</v>
      </c>
      <c r="Z48">
        <v>10</v>
      </c>
      <c r="AA48">
        <v>2023</v>
      </c>
      <c r="AB48" t="b">
        <v>0</v>
      </c>
      <c r="AC48" s="19">
        <v>45056</v>
      </c>
      <c r="AD48" s="19" t="s">
        <v>515</v>
      </c>
      <c r="AE48" s="231">
        <v>0.63519675925925922</v>
      </c>
      <c r="AF48" s="196">
        <v>45056</v>
      </c>
      <c r="AG48" s="29" t="s">
        <v>515</v>
      </c>
      <c r="AH48" s="29" t="s">
        <v>515</v>
      </c>
      <c r="AI48" s="29">
        <v>745.1</v>
      </c>
      <c r="AJ48" s="29">
        <v>430.4</v>
      </c>
      <c r="AK48" s="29">
        <v>482.1</v>
      </c>
      <c r="AL48" s="29">
        <v>482106</v>
      </c>
      <c r="AM48" s="29">
        <v>0.23</v>
      </c>
      <c r="AN48" s="29">
        <v>486.8</v>
      </c>
      <c r="AO48" s="29">
        <v>0.14000000000000001</v>
      </c>
      <c r="AP48" s="29">
        <v>0.14599999999999999</v>
      </c>
      <c r="AQ48" s="29">
        <v>0.19800000000000001</v>
      </c>
      <c r="AR48" s="29">
        <v>113.5</v>
      </c>
      <c r="AS48" s="29">
        <v>10.43</v>
      </c>
      <c r="AT48" s="29">
        <v>115.2</v>
      </c>
      <c r="AU48" s="29">
        <v>40.705680000000001</v>
      </c>
      <c r="AV48" s="29">
        <v>-85.954350000000005</v>
      </c>
      <c r="AW48" s="29">
        <v>214.6</v>
      </c>
      <c r="AX48" s="29">
        <v>186.4</v>
      </c>
      <c r="AY48" s="29">
        <v>8.32</v>
      </c>
      <c r="AZ48" s="29">
        <v>-118.3</v>
      </c>
      <c r="BA48" s="29">
        <v>11.8</v>
      </c>
      <c r="BB48" s="29">
        <v>0</v>
      </c>
      <c r="BC48" s="29">
        <v>19.39</v>
      </c>
      <c r="BD48" s="29">
        <v>12.23</v>
      </c>
      <c r="BE48" s="29">
        <v>0</v>
      </c>
      <c r="BF48" s="196">
        <v>45056</v>
      </c>
      <c r="BG48" s="29" t="s">
        <v>1833</v>
      </c>
    </row>
    <row r="49" spans="1:59" x14ac:dyDescent="0.25">
      <c r="A49" s="25">
        <v>10048</v>
      </c>
      <c r="B49" t="s">
        <v>75</v>
      </c>
      <c r="C49" t="s">
        <v>533</v>
      </c>
      <c r="D49" s="27" t="s">
        <v>516</v>
      </c>
      <c r="E49" s="27" t="str">
        <f t="shared" si="5"/>
        <v>?</v>
      </c>
      <c r="F49" s="118" t="s">
        <v>515</v>
      </c>
      <c r="G49" t="s">
        <v>19</v>
      </c>
      <c r="H49" s="24" t="s">
        <v>9</v>
      </c>
      <c r="I49">
        <v>1.0567</v>
      </c>
      <c r="J49">
        <v>4.6414999999999997</v>
      </c>
      <c r="K49">
        <v>0.26850000000000002</v>
      </c>
      <c r="L49">
        <v>0.375</v>
      </c>
      <c r="M49" s="140">
        <f t="shared" si="4"/>
        <v>1.0567</v>
      </c>
      <c r="N49" s="140">
        <f t="shared" si="4"/>
        <v>4.6414999999999997</v>
      </c>
      <c r="O49" s="140">
        <f t="shared" si="4"/>
        <v>0.26850000000000002</v>
      </c>
      <c r="P49" s="140">
        <f t="shared" si="1"/>
        <v>0.375</v>
      </c>
      <c r="Q49" s="161" t="s">
        <v>676</v>
      </c>
      <c r="R49" s="125">
        <v>7.8250000000000002</v>
      </c>
      <c r="S49" t="s">
        <v>676</v>
      </c>
      <c r="T49" t="s">
        <v>515</v>
      </c>
      <c r="U49" t="s">
        <v>515</v>
      </c>
      <c r="V49" s="118" t="s">
        <v>515</v>
      </c>
      <c r="W49">
        <v>40.680740999999998</v>
      </c>
      <c r="X49">
        <v>-85.895804999999996</v>
      </c>
      <c r="Y49">
        <v>5</v>
      </c>
      <c r="Z49">
        <v>10</v>
      </c>
      <c r="AA49">
        <v>2023</v>
      </c>
      <c r="AB49" t="b">
        <v>0</v>
      </c>
      <c r="AC49" s="19">
        <v>45056</v>
      </c>
      <c r="AD49" s="19" t="s">
        <v>515</v>
      </c>
      <c r="AE49" s="231" t="s">
        <v>515</v>
      </c>
      <c r="AF49" s="196" t="s">
        <v>515</v>
      </c>
      <c r="AG49" s="29" t="s">
        <v>515</v>
      </c>
      <c r="AH49" s="29" t="s">
        <v>515</v>
      </c>
      <c r="AI49" s="29" t="s">
        <v>515</v>
      </c>
      <c r="AJ49" s="29" t="s">
        <v>515</v>
      </c>
      <c r="AK49" s="29" t="s">
        <v>515</v>
      </c>
      <c r="AL49" s="29" t="s">
        <v>515</v>
      </c>
      <c r="AM49" s="29" t="s">
        <v>515</v>
      </c>
      <c r="AN49" s="29" t="s">
        <v>515</v>
      </c>
      <c r="AO49" s="29" t="s">
        <v>515</v>
      </c>
      <c r="AP49" s="29" t="s">
        <v>515</v>
      </c>
      <c r="AQ49" s="29" t="s">
        <v>515</v>
      </c>
      <c r="AR49" s="29" t="s">
        <v>515</v>
      </c>
      <c r="AS49" s="29" t="s">
        <v>515</v>
      </c>
      <c r="AT49" s="29" t="s">
        <v>515</v>
      </c>
      <c r="AU49" s="29" t="s">
        <v>515</v>
      </c>
      <c r="AV49" s="29" t="s">
        <v>515</v>
      </c>
      <c r="AW49" s="29" t="s">
        <v>515</v>
      </c>
      <c r="AX49" s="29" t="s">
        <v>515</v>
      </c>
      <c r="AY49" s="29" t="s">
        <v>515</v>
      </c>
      <c r="AZ49" s="29" t="s">
        <v>515</v>
      </c>
      <c r="BA49" s="29" t="s">
        <v>515</v>
      </c>
      <c r="BB49" s="29" t="s">
        <v>515</v>
      </c>
      <c r="BC49" s="29" t="s">
        <v>515</v>
      </c>
      <c r="BD49" s="29" t="s">
        <v>515</v>
      </c>
      <c r="BE49" s="29" t="s">
        <v>515</v>
      </c>
      <c r="BF49" s="196" t="s">
        <v>515</v>
      </c>
      <c r="BG49" s="29" t="s">
        <v>515</v>
      </c>
    </row>
    <row r="50" spans="1:59" x14ac:dyDescent="0.25">
      <c r="A50" s="25">
        <v>10049</v>
      </c>
      <c r="B50" t="s">
        <v>76</v>
      </c>
      <c r="C50" t="s">
        <v>533</v>
      </c>
      <c r="D50" s="27" t="s">
        <v>516</v>
      </c>
      <c r="E50" s="27" t="str">
        <f t="shared" si="5"/>
        <v>?</v>
      </c>
      <c r="F50" s="118" t="s">
        <v>515</v>
      </c>
      <c r="G50" t="s">
        <v>19</v>
      </c>
      <c r="H50" s="24" t="s">
        <v>9</v>
      </c>
      <c r="I50">
        <v>1.37395</v>
      </c>
      <c r="J50">
        <v>4.1580000000000004</v>
      </c>
      <c r="K50">
        <v>0.42649999999999999</v>
      </c>
      <c r="L50">
        <v>6.7000000000000004E-2</v>
      </c>
      <c r="M50" s="140">
        <f t="shared" ref="M50:O65" si="6">IF(I50&lt;0.1,0.05,I50)</f>
        <v>1.37395</v>
      </c>
      <c r="N50" s="140">
        <f t="shared" si="6"/>
        <v>4.1580000000000004</v>
      </c>
      <c r="O50" s="140">
        <f t="shared" si="6"/>
        <v>0.42649999999999999</v>
      </c>
      <c r="P50" s="140">
        <f t="shared" si="1"/>
        <v>0.05</v>
      </c>
      <c r="Q50" s="161" t="s">
        <v>676</v>
      </c>
      <c r="R50" s="125">
        <v>10.16</v>
      </c>
      <c r="S50" t="s">
        <v>676</v>
      </c>
      <c r="T50" t="s">
        <v>515</v>
      </c>
      <c r="U50" t="s">
        <v>515</v>
      </c>
      <c r="V50" s="118" t="s">
        <v>515</v>
      </c>
      <c r="W50">
        <v>40.680776999999999</v>
      </c>
      <c r="X50">
        <v>-85.895501999999993</v>
      </c>
      <c r="Y50">
        <v>5</v>
      </c>
      <c r="Z50">
        <v>10</v>
      </c>
      <c r="AA50">
        <v>2023</v>
      </c>
      <c r="AB50" t="b">
        <v>0</v>
      </c>
      <c r="AC50" s="19">
        <v>45056</v>
      </c>
      <c r="AD50" s="19" t="s">
        <v>515</v>
      </c>
      <c r="AE50" s="231" t="s">
        <v>515</v>
      </c>
      <c r="AF50" s="196" t="s">
        <v>515</v>
      </c>
      <c r="AG50" s="29" t="s">
        <v>515</v>
      </c>
      <c r="AH50" s="29" t="s">
        <v>515</v>
      </c>
      <c r="AI50" s="29" t="s">
        <v>515</v>
      </c>
      <c r="AJ50" s="29" t="s">
        <v>515</v>
      </c>
      <c r="AK50" s="29" t="s">
        <v>515</v>
      </c>
      <c r="AL50" s="29" t="s">
        <v>515</v>
      </c>
      <c r="AM50" s="29" t="s">
        <v>515</v>
      </c>
      <c r="AN50" s="29" t="s">
        <v>515</v>
      </c>
      <c r="AO50" s="29" t="s">
        <v>515</v>
      </c>
      <c r="AP50" s="29" t="s">
        <v>515</v>
      </c>
      <c r="AQ50" s="29" t="s">
        <v>515</v>
      </c>
      <c r="AR50" s="29" t="s">
        <v>515</v>
      </c>
      <c r="AS50" s="29" t="s">
        <v>515</v>
      </c>
      <c r="AT50" s="29" t="s">
        <v>515</v>
      </c>
      <c r="AU50" s="29" t="s">
        <v>515</v>
      </c>
      <c r="AV50" s="29" t="s">
        <v>515</v>
      </c>
      <c r="AW50" s="29" t="s">
        <v>515</v>
      </c>
      <c r="AX50" s="29" t="s">
        <v>515</v>
      </c>
      <c r="AY50" s="29" t="s">
        <v>515</v>
      </c>
      <c r="AZ50" s="29" t="s">
        <v>515</v>
      </c>
      <c r="BA50" s="29" t="s">
        <v>515</v>
      </c>
      <c r="BB50" s="29" t="s">
        <v>515</v>
      </c>
      <c r="BC50" s="29" t="s">
        <v>515</v>
      </c>
      <c r="BD50" s="29" t="s">
        <v>515</v>
      </c>
      <c r="BE50" s="29" t="s">
        <v>515</v>
      </c>
      <c r="BF50" s="196" t="s">
        <v>515</v>
      </c>
      <c r="BG50" s="29" t="s">
        <v>515</v>
      </c>
    </row>
    <row r="51" spans="1:59" x14ac:dyDescent="0.25">
      <c r="A51" s="25">
        <v>10050</v>
      </c>
      <c r="B51" t="s">
        <v>77</v>
      </c>
      <c r="C51" t="s">
        <v>533</v>
      </c>
      <c r="D51" s="27" t="s">
        <v>516</v>
      </c>
      <c r="E51" s="27" t="str">
        <f t="shared" si="5"/>
        <v>?</v>
      </c>
      <c r="F51" s="118" t="s">
        <v>515</v>
      </c>
      <c r="G51" t="s">
        <v>19</v>
      </c>
      <c r="H51" s="24" t="s">
        <v>9</v>
      </c>
      <c r="I51">
        <v>0.6532</v>
      </c>
      <c r="J51">
        <v>3.5209999999999999</v>
      </c>
      <c r="K51">
        <v>0.29549999999999998</v>
      </c>
      <c r="L51">
        <v>0.1055</v>
      </c>
      <c r="M51" s="140">
        <f t="shared" si="6"/>
        <v>0.6532</v>
      </c>
      <c r="N51" s="140">
        <f t="shared" si="6"/>
        <v>3.5209999999999999</v>
      </c>
      <c r="O51" s="140">
        <f t="shared" si="6"/>
        <v>0.29549999999999998</v>
      </c>
      <c r="P51" s="140">
        <f t="shared" si="1"/>
        <v>0.1055</v>
      </c>
      <c r="Q51" s="161" t="s">
        <v>676</v>
      </c>
      <c r="R51" s="125">
        <v>2.76</v>
      </c>
      <c r="S51" t="s">
        <v>676</v>
      </c>
      <c r="T51" t="s">
        <v>515</v>
      </c>
      <c r="U51" t="s">
        <v>515</v>
      </c>
      <c r="V51" s="118" t="s">
        <v>515</v>
      </c>
      <c r="W51">
        <v>40.705710000000003</v>
      </c>
      <c r="X51">
        <v>-85.954143000000002</v>
      </c>
      <c r="Y51">
        <v>5</v>
      </c>
      <c r="Z51">
        <v>10</v>
      </c>
      <c r="AA51">
        <v>2023</v>
      </c>
      <c r="AB51" t="b">
        <v>0</v>
      </c>
      <c r="AC51" s="19">
        <v>45056</v>
      </c>
      <c r="AD51" s="19" t="s">
        <v>515</v>
      </c>
      <c r="AE51" s="231" t="s">
        <v>515</v>
      </c>
      <c r="AF51" s="196" t="s">
        <v>515</v>
      </c>
      <c r="AG51" s="29" t="s">
        <v>515</v>
      </c>
      <c r="AH51" s="29" t="s">
        <v>515</v>
      </c>
      <c r="AI51" s="29" t="s">
        <v>515</v>
      </c>
      <c r="AJ51" s="29" t="s">
        <v>515</v>
      </c>
      <c r="AK51" s="29" t="s">
        <v>515</v>
      </c>
      <c r="AL51" s="29" t="s">
        <v>515</v>
      </c>
      <c r="AM51" s="29" t="s">
        <v>515</v>
      </c>
      <c r="AN51" s="29" t="s">
        <v>515</v>
      </c>
      <c r="AO51" s="29" t="s">
        <v>515</v>
      </c>
      <c r="AP51" s="29" t="s">
        <v>515</v>
      </c>
      <c r="AQ51" s="29" t="s">
        <v>515</v>
      </c>
      <c r="AR51" s="29" t="s">
        <v>515</v>
      </c>
      <c r="AS51" s="29" t="s">
        <v>515</v>
      </c>
      <c r="AT51" s="29" t="s">
        <v>515</v>
      </c>
      <c r="AU51" s="29" t="s">
        <v>515</v>
      </c>
      <c r="AV51" s="29" t="s">
        <v>515</v>
      </c>
      <c r="AW51" s="29" t="s">
        <v>515</v>
      </c>
      <c r="AX51" s="29" t="s">
        <v>515</v>
      </c>
      <c r="AY51" s="29" t="s">
        <v>515</v>
      </c>
      <c r="AZ51" s="29" t="s">
        <v>515</v>
      </c>
      <c r="BA51" s="29" t="s">
        <v>515</v>
      </c>
      <c r="BB51" s="29" t="s">
        <v>515</v>
      </c>
      <c r="BC51" s="29" t="s">
        <v>515</v>
      </c>
      <c r="BD51" s="29" t="s">
        <v>515</v>
      </c>
      <c r="BE51" s="29" t="s">
        <v>515</v>
      </c>
      <c r="BF51" s="196" t="s">
        <v>515</v>
      </c>
      <c r="BG51" s="29" t="s">
        <v>515</v>
      </c>
    </row>
    <row r="52" spans="1:59" x14ac:dyDescent="0.25">
      <c r="A52" s="25">
        <v>10051</v>
      </c>
      <c r="B52" t="s">
        <v>78</v>
      </c>
      <c r="C52" t="s">
        <v>533</v>
      </c>
      <c r="D52" s="27" t="s">
        <v>516</v>
      </c>
      <c r="E52" s="27" t="str">
        <f t="shared" si="5"/>
        <v>?</v>
      </c>
      <c r="F52" s="118" t="s">
        <v>515</v>
      </c>
      <c r="G52" t="s">
        <v>19</v>
      </c>
      <c r="H52" s="24" t="s">
        <v>9</v>
      </c>
      <c r="I52">
        <v>0.46650000000000003</v>
      </c>
      <c r="J52">
        <v>3.7254999999999998</v>
      </c>
      <c r="K52">
        <v>0.186</v>
      </c>
      <c r="L52">
        <v>9.6500000000000002E-2</v>
      </c>
      <c r="M52" s="140">
        <f t="shared" si="6"/>
        <v>0.46650000000000003</v>
      </c>
      <c r="N52" s="140">
        <f t="shared" si="6"/>
        <v>3.7254999999999998</v>
      </c>
      <c r="O52" s="140">
        <f t="shared" si="6"/>
        <v>0.186</v>
      </c>
      <c r="P52" s="140">
        <f t="shared" si="1"/>
        <v>0.05</v>
      </c>
      <c r="Q52" s="161" t="s">
        <v>676</v>
      </c>
      <c r="R52" s="125">
        <v>1.67</v>
      </c>
      <c r="S52" t="s">
        <v>676</v>
      </c>
      <c r="T52" t="s">
        <v>515</v>
      </c>
      <c r="U52" t="s">
        <v>515</v>
      </c>
      <c r="V52" s="118" t="s">
        <v>515</v>
      </c>
      <c r="W52">
        <v>40.7057</v>
      </c>
      <c r="X52">
        <v>-85.954340000000002</v>
      </c>
      <c r="Y52">
        <v>5</v>
      </c>
      <c r="Z52">
        <v>10</v>
      </c>
      <c r="AA52">
        <v>2023</v>
      </c>
      <c r="AB52" t="b">
        <v>0</v>
      </c>
      <c r="AC52" s="19">
        <v>45056</v>
      </c>
      <c r="AD52" s="19" t="s">
        <v>515</v>
      </c>
      <c r="AE52" s="231">
        <v>0.59875</v>
      </c>
      <c r="AF52" s="196">
        <v>45056</v>
      </c>
      <c r="AG52" s="29" t="s">
        <v>515</v>
      </c>
      <c r="AH52" s="29" t="s">
        <v>515</v>
      </c>
      <c r="AI52" s="29">
        <v>745.7</v>
      </c>
      <c r="AJ52" s="29">
        <v>496.7</v>
      </c>
      <c r="AK52" s="29">
        <v>545.79999999999995</v>
      </c>
      <c r="AL52" s="29">
        <v>545761</v>
      </c>
      <c r="AM52" s="29">
        <v>0.26</v>
      </c>
      <c r="AN52" s="29">
        <v>550.4</v>
      </c>
      <c r="AO52" s="29">
        <v>0.14499999999999999</v>
      </c>
      <c r="AP52" s="29">
        <v>0.14000000000000001</v>
      </c>
      <c r="AQ52" s="29">
        <v>0.20599999999999999</v>
      </c>
      <c r="AR52" s="29">
        <v>114.1</v>
      </c>
      <c r="AS52" s="29">
        <v>10.29</v>
      </c>
      <c r="AT52" s="29">
        <v>115.9</v>
      </c>
      <c r="AU52" s="29">
        <v>40.680689999999998</v>
      </c>
      <c r="AV52" s="29">
        <v>-85.895799999999994</v>
      </c>
      <c r="AW52" s="29">
        <v>217.6</v>
      </c>
      <c r="AX52" s="29">
        <v>156.69999999999999</v>
      </c>
      <c r="AY52" s="29">
        <v>8.76</v>
      </c>
      <c r="AZ52" s="29">
        <v>-144.6</v>
      </c>
      <c r="BA52" s="29">
        <v>11.8</v>
      </c>
      <c r="BB52" s="29">
        <v>0</v>
      </c>
      <c r="BC52" s="29">
        <v>20.280999999999999</v>
      </c>
      <c r="BD52" s="29">
        <v>12.68</v>
      </c>
      <c r="BE52" s="29">
        <v>0</v>
      </c>
      <c r="BF52" s="196">
        <v>45056</v>
      </c>
      <c r="BG52" s="29" t="s">
        <v>1827</v>
      </c>
    </row>
    <row r="53" spans="1:59" x14ac:dyDescent="0.25">
      <c r="A53" s="25">
        <v>10052</v>
      </c>
      <c r="B53" t="s">
        <v>79</v>
      </c>
      <c r="C53" t="s">
        <v>533</v>
      </c>
      <c r="D53" s="27" t="s">
        <v>516</v>
      </c>
      <c r="E53" s="27" t="str">
        <f t="shared" si="5"/>
        <v>?</v>
      </c>
      <c r="F53" s="118" t="s">
        <v>515</v>
      </c>
      <c r="G53" t="s">
        <v>19</v>
      </c>
      <c r="H53" s="24" t="s">
        <v>9</v>
      </c>
      <c r="I53">
        <v>0.87075000000000002</v>
      </c>
      <c r="J53">
        <v>3.5895000000000001</v>
      </c>
      <c r="K53">
        <v>0.33850000000000002</v>
      </c>
      <c r="L53">
        <v>9.1999999999999998E-2</v>
      </c>
      <c r="M53" s="140">
        <f t="shared" si="6"/>
        <v>0.87075000000000002</v>
      </c>
      <c r="N53" s="140">
        <f t="shared" si="6"/>
        <v>3.5895000000000001</v>
      </c>
      <c r="O53" s="140">
        <f t="shared" si="6"/>
        <v>0.33850000000000002</v>
      </c>
      <c r="P53" s="140">
        <f t="shared" si="1"/>
        <v>0.05</v>
      </c>
      <c r="Q53" s="161" t="s">
        <v>676</v>
      </c>
      <c r="R53" s="125">
        <v>3.59</v>
      </c>
      <c r="S53" t="s">
        <v>676</v>
      </c>
      <c r="T53" t="s">
        <v>515</v>
      </c>
      <c r="U53" t="s">
        <v>515</v>
      </c>
      <c r="V53" s="118" t="s">
        <v>515</v>
      </c>
      <c r="W53">
        <v>40.705266000000002</v>
      </c>
      <c r="X53">
        <v>-85.953220000000002</v>
      </c>
      <c r="Y53">
        <v>5</v>
      </c>
      <c r="Z53">
        <v>10</v>
      </c>
      <c r="AA53">
        <v>2023</v>
      </c>
      <c r="AB53" t="b">
        <v>0</v>
      </c>
      <c r="AC53" s="19">
        <v>45056</v>
      </c>
      <c r="AD53" s="19" t="s">
        <v>515</v>
      </c>
      <c r="AE53" s="231">
        <v>0.50895833333333329</v>
      </c>
      <c r="AF53" s="196">
        <v>45056</v>
      </c>
      <c r="AG53" s="29" t="s">
        <v>515</v>
      </c>
      <c r="AH53" s="29" t="s">
        <v>515</v>
      </c>
      <c r="AI53" s="29">
        <v>746.8</v>
      </c>
      <c r="AJ53" s="29">
        <v>483</v>
      </c>
      <c r="AK53" s="29">
        <v>521.4</v>
      </c>
      <c r="AL53" s="29">
        <v>521424</v>
      </c>
      <c r="AM53" s="29">
        <v>0.25</v>
      </c>
      <c r="AN53" s="29">
        <v>525.1</v>
      </c>
      <c r="AO53" s="29">
        <v>0.14699999999999999</v>
      </c>
      <c r="AP53" s="29">
        <v>0.151</v>
      </c>
      <c r="AQ53" s="29">
        <v>0.20899999999999999</v>
      </c>
      <c r="AR53" s="29">
        <v>99.1</v>
      </c>
      <c r="AS53" s="29">
        <v>8.8000000000000007</v>
      </c>
      <c r="AT53" s="29">
        <v>100.7</v>
      </c>
      <c r="AU53" s="29">
        <v>0</v>
      </c>
      <c r="AV53" s="29">
        <v>0</v>
      </c>
      <c r="AW53" s="29">
        <v>0</v>
      </c>
      <c r="AX53" s="29">
        <v>282.60000000000002</v>
      </c>
      <c r="AY53" s="29">
        <v>7.63</v>
      </c>
      <c r="AZ53" s="29">
        <v>-77.5</v>
      </c>
      <c r="BA53" s="29">
        <v>11.8</v>
      </c>
      <c r="BB53" s="29">
        <v>0</v>
      </c>
      <c r="BC53" s="29">
        <v>21.145</v>
      </c>
      <c r="BD53" s="29">
        <v>34.49</v>
      </c>
      <c r="BE53" s="29">
        <v>0</v>
      </c>
      <c r="BF53" s="196">
        <v>45056</v>
      </c>
      <c r="BG53" s="29" t="s">
        <v>1828</v>
      </c>
    </row>
    <row r="54" spans="1:59" x14ac:dyDescent="0.25">
      <c r="A54" s="25">
        <v>10053</v>
      </c>
      <c r="B54" t="s">
        <v>80</v>
      </c>
      <c r="C54" t="s">
        <v>533</v>
      </c>
      <c r="D54" s="27" t="s">
        <v>516</v>
      </c>
      <c r="E54" s="27" t="str">
        <f t="shared" si="5"/>
        <v>?</v>
      </c>
      <c r="F54" s="118" t="s">
        <v>515</v>
      </c>
      <c r="G54" t="s">
        <v>19</v>
      </c>
      <c r="H54" s="24" t="s">
        <v>9</v>
      </c>
      <c r="I54">
        <v>1.30515</v>
      </c>
      <c r="J54">
        <v>3.7654999999999998</v>
      </c>
      <c r="K54">
        <v>0.498</v>
      </c>
      <c r="L54">
        <v>7.6499999999999999E-2</v>
      </c>
      <c r="M54" s="140">
        <f t="shared" si="6"/>
        <v>1.30515</v>
      </c>
      <c r="N54" s="140">
        <f t="shared" si="6"/>
        <v>3.7654999999999998</v>
      </c>
      <c r="O54" s="140">
        <f t="shared" si="6"/>
        <v>0.498</v>
      </c>
      <c r="P54" s="140">
        <f t="shared" si="1"/>
        <v>0.05</v>
      </c>
      <c r="Q54" s="161" t="s">
        <v>676</v>
      </c>
      <c r="R54" s="125">
        <v>4.5250000000000004</v>
      </c>
      <c r="S54" t="s">
        <v>676</v>
      </c>
      <c r="T54" t="s">
        <v>515</v>
      </c>
      <c r="U54" t="s">
        <v>515</v>
      </c>
      <c r="V54" s="118" t="s">
        <v>515</v>
      </c>
      <c r="W54">
        <v>40.705435999999999</v>
      </c>
      <c r="X54">
        <v>-85.953237999999999</v>
      </c>
      <c r="Y54">
        <v>5</v>
      </c>
      <c r="Z54">
        <v>10</v>
      </c>
      <c r="AA54">
        <v>2023</v>
      </c>
      <c r="AB54" t="b">
        <v>0</v>
      </c>
      <c r="AC54" s="19">
        <v>45056</v>
      </c>
      <c r="AD54" s="19" t="s">
        <v>515</v>
      </c>
      <c r="AE54" s="231" t="s">
        <v>515</v>
      </c>
      <c r="AF54" s="196" t="s">
        <v>515</v>
      </c>
      <c r="AG54" s="29" t="s">
        <v>515</v>
      </c>
      <c r="AH54" s="29" t="s">
        <v>515</v>
      </c>
      <c r="AI54" s="29" t="s">
        <v>515</v>
      </c>
      <c r="AJ54" s="29" t="s">
        <v>515</v>
      </c>
      <c r="AK54" s="29" t="s">
        <v>515</v>
      </c>
      <c r="AL54" s="29" t="s">
        <v>515</v>
      </c>
      <c r="AM54" s="29" t="s">
        <v>515</v>
      </c>
      <c r="AN54" s="29" t="s">
        <v>515</v>
      </c>
      <c r="AO54" s="29" t="s">
        <v>515</v>
      </c>
      <c r="AP54" s="29" t="s">
        <v>515</v>
      </c>
      <c r="AQ54" s="29" t="s">
        <v>515</v>
      </c>
      <c r="AR54" s="29" t="s">
        <v>515</v>
      </c>
      <c r="AS54" s="29" t="s">
        <v>515</v>
      </c>
      <c r="AT54" s="29" t="s">
        <v>515</v>
      </c>
      <c r="AU54" s="29" t="s">
        <v>515</v>
      </c>
      <c r="AV54" s="29" t="s">
        <v>515</v>
      </c>
      <c r="AW54" s="29" t="s">
        <v>515</v>
      </c>
      <c r="AX54" s="29" t="s">
        <v>515</v>
      </c>
      <c r="AY54" s="29" t="s">
        <v>515</v>
      </c>
      <c r="AZ54" s="29" t="s">
        <v>515</v>
      </c>
      <c r="BA54" s="29" t="s">
        <v>515</v>
      </c>
      <c r="BB54" s="29" t="s">
        <v>515</v>
      </c>
      <c r="BC54" s="29" t="s">
        <v>515</v>
      </c>
      <c r="BD54" s="29" t="s">
        <v>515</v>
      </c>
      <c r="BE54" s="29" t="s">
        <v>515</v>
      </c>
      <c r="BF54" s="196" t="s">
        <v>515</v>
      </c>
      <c r="BG54" s="29" t="s">
        <v>515</v>
      </c>
    </row>
    <row r="55" spans="1:59" x14ac:dyDescent="0.25">
      <c r="A55" s="25">
        <v>10054</v>
      </c>
      <c r="B55" t="s">
        <v>81</v>
      </c>
      <c r="C55" t="s">
        <v>533</v>
      </c>
      <c r="D55" s="27" t="s">
        <v>516</v>
      </c>
      <c r="E55" s="27" t="str">
        <f t="shared" si="5"/>
        <v>?</v>
      </c>
      <c r="F55" s="118" t="s">
        <v>515</v>
      </c>
      <c r="G55" t="s">
        <v>19</v>
      </c>
      <c r="H55" s="24" t="s">
        <v>9</v>
      </c>
      <c r="I55">
        <v>1.2827999999999999</v>
      </c>
      <c r="J55">
        <v>3.3065000000000002</v>
      </c>
      <c r="K55">
        <v>0.38500000000000001</v>
      </c>
      <c r="L55">
        <v>5.3999999999999999E-2</v>
      </c>
      <c r="M55" s="140">
        <f t="shared" si="6"/>
        <v>1.2827999999999999</v>
      </c>
      <c r="N55" s="140">
        <f t="shared" si="6"/>
        <v>3.3065000000000002</v>
      </c>
      <c r="O55" s="140">
        <f t="shared" si="6"/>
        <v>0.38500000000000001</v>
      </c>
      <c r="P55" s="140">
        <f t="shared" si="1"/>
        <v>0.05</v>
      </c>
      <c r="Q55" s="161" t="s">
        <v>676</v>
      </c>
      <c r="R55" s="125">
        <v>3.25</v>
      </c>
      <c r="S55" t="s">
        <v>676</v>
      </c>
      <c r="T55" t="s">
        <v>515</v>
      </c>
      <c r="U55" t="s">
        <v>515</v>
      </c>
      <c r="V55" s="118" t="s">
        <v>515</v>
      </c>
      <c r="W55">
        <v>40.705719999999999</v>
      </c>
      <c r="X55">
        <v>-85.952410999999998</v>
      </c>
      <c r="Y55">
        <v>5</v>
      </c>
      <c r="Z55">
        <v>10</v>
      </c>
      <c r="AA55">
        <v>2023</v>
      </c>
      <c r="AB55" t="b">
        <v>0</v>
      </c>
      <c r="AC55" s="19">
        <v>45056</v>
      </c>
      <c r="AD55" s="19" t="s">
        <v>515</v>
      </c>
      <c r="AE55" s="29" t="s">
        <v>515</v>
      </c>
      <c r="AF55" s="29" t="s">
        <v>515</v>
      </c>
      <c r="AG55" s="29" t="s">
        <v>515</v>
      </c>
      <c r="AH55" s="29" t="s">
        <v>515</v>
      </c>
      <c r="AI55" s="29" t="s">
        <v>515</v>
      </c>
      <c r="AJ55" s="29" t="s">
        <v>515</v>
      </c>
      <c r="AK55" s="29" t="s">
        <v>515</v>
      </c>
      <c r="AL55" s="29" t="s">
        <v>515</v>
      </c>
      <c r="AM55" s="29" t="s">
        <v>515</v>
      </c>
      <c r="AN55" s="29" t="s">
        <v>515</v>
      </c>
      <c r="AO55" s="29" t="s">
        <v>515</v>
      </c>
      <c r="AP55" s="29" t="s">
        <v>515</v>
      </c>
      <c r="AQ55" s="29" t="s">
        <v>515</v>
      </c>
      <c r="AR55" s="29" t="s">
        <v>515</v>
      </c>
      <c r="AS55" s="29" t="s">
        <v>515</v>
      </c>
      <c r="AT55" s="29" t="s">
        <v>515</v>
      </c>
      <c r="AU55" s="29" t="s">
        <v>515</v>
      </c>
      <c r="AV55" s="29" t="s">
        <v>515</v>
      </c>
      <c r="AW55" s="29" t="s">
        <v>515</v>
      </c>
      <c r="AX55" s="29" t="s">
        <v>515</v>
      </c>
      <c r="AY55" s="29" t="s">
        <v>515</v>
      </c>
      <c r="AZ55" s="29" t="s">
        <v>515</v>
      </c>
      <c r="BA55" s="29" t="s">
        <v>515</v>
      </c>
      <c r="BB55" s="29" t="s">
        <v>515</v>
      </c>
      <c r="BC55" s="29" t="s">
        <v>515</v>
      </c>
      <c r="BD55" s="29" t="s">
        <v>515</v>
      </c>
      <c r="BE55" s="29" t="s">
        <v>515</v>
      </c>
      <c r="BF55" s="29" t="s">
        <v>515</v>
      </c>
      <c r="BG55" s="29" t="s">
        <v>515</v>
      </c>
    </row>
    <row r="56" spans="1:59" x14ac:dyDescent="0.25">
      <c r="A56" s="25">
        <v>10055</v>
      </c>
      <c r="B56" t="s">
        <v>82</v>
      </c>
      <c r="C56" t="s">
        <v>533</v>
      </c>
      <c r="D56" s="27" t="s">
        <v>516</v>
      </c>
      <c r="E56" s="27" t="str">
        <f t="shared" si="5"/>
        <v>?</v>
      </c>
      <c r="F56" s="118" t="s">
        <v>515</v>
      </c>
      <c r="G56" t="s">
        <v>19</v>
      </c>
      <c r="H56" s="24" t="s">
        <v>9</v>
      </c>
      <c r="I56">
        <v>0.13505</v>
      </c>
      <c r="J56">
        <v>3.4390000000000001</v>
      </c>
      <c r="K56">
        <v>0.19450000000000001</v>
      </c>
      <c r="L56">
        <v>0.122</v>
      </c>
      <c r="M56" s="140">
        <f t="shared" si="6"/>
        <v>0.13505</v>
      </c>
      <c r="N56" s="140">
        <f t="shared" si="6"/>
        <v>3.4390000000000001</v>
      </c>
      <c r="O56" s="140">
        <f t="shared" si="6"/>
        <v>0.19450000000000001</v>
      </c>
      <c r="P56" s="140">
        <f t="shared" si="1"/>
        <v>0.122</v>
      </c>
      <c r="Q56" s="161" t="s">
        <v>676</v>
      </c>
      <c r="R56" s="125">
        <v>5.53</v>
      </c>
      <c r="S56" t="s">
        <v>676</v>
      </c>
      <c r="T56" t="s">
        <v>515</v>
      </c>
      <c r="U56" t="s">
        <v>515</v>
      </c>
      <c r="V56" s="118" t="s">
        <v>515</v>
      </c>
      <c r="W56">
        <v>40.714288000000003</v>
      </c>
      <c r="X56">
        <v>-85.936812000000003</v>
      </c>
      <c r="Y56">
        <v>5</v>
      </c>
      <c r="Z56">
        <v>10</v>
      </c>
      <c r="AA56">
        <v>2023</v>
      </c>
      <c r="AB56" t="b">
        <v>0</v>
      </c>
      <c r="AC56" s="19">
        <v>45056</v>
      </c>
      <c r="AD56" s="19" t="s">
        <v>515</v>
      </c>
      <c r="AE56" s="29" t="s">
        <v>515</v>
      </c>
      <c r="AF56" s="29" t="s">
        <v>515</v>
      </c>
      <c r="AG56" s="29" t="s">
        <v>515</v>
      </c>
      <c r="AH56" s="29" t="s">
        <v>515</v>
      </c>
      <c r="AI56" s="29" t="s">
        <v>515</v>
      </c>
      <c r="AJ56" s="29" t="s">
        <v>515</v>
      </c>
      <c r="AK56" s="29" t="s">
        <v>515</v>
      </c>
      <c r="AL56" s="29" t="s">
        <v>515</v>
      </c>
      <c r="AM56" s="29" t="s">
        <v>515</v>
      </c>
      <c r="AN56" s="29" t="s">
        <v>515</v>
      </c>
      <c r="AO56" s="29" t="s">
        <v>515</v>
      </c>
      <c r="AP56" s="29" t="s">
        <v>515</v>
      </c>
      <c r="AQ56" s="29" t="s">
        <v>515</v>
      </c>
      <c r="AR56" s="29" t="s">
        <v>515</v>
      </c>
      <c r="AS56" s="29" t="s">
        <v>515</v>
      </c>
      <c r="AT56" s="29" t="s">
        <v>515</v>
      </c>
      <c r="AU56" s="29" t="s">
        <v>515</v>
      </c>
      <c r="AV56" s="29" t="s">
        <v>515</v>
      </c>
      <c r="AW56" s="29" t="s">
        <v>515</v>
      </c>
      <c r="AX56" s="29" t="s">
        <v>515</v>
      </c>
      <c r="AY56" s="29" t="s">
        <v>515</v>
      </c>
      <c r="AZ56" s="29" t="s">
        <v>515</v>
      </c>
      <c r="BA56" s="29" t="s">
        <v>515</v>
      </c>
      <c r="BB56" s="29" t="s">
        <v>515</v>
      </c>
      <c r="BC56" s="29" t="s">
        <v>515</v>
      </c>
      <c r="BD56" s="29" t="s">
        <v>515</v>
      </c>
      <c r="BE56" s="29" t="s">
        <v>515</v>
      </c>
      <c r="BF56" s="29" t="s">
        <v>515</v>
      </c>
      <c r="BG56" s="29" t="s">
        <v>515</v>
      </c>
    </row>
    <row r="57" spans="1:59" x14ac:dyDescent="0.25">
      <c r="A57" s="25">
        <v>10056</v>
      </c>
      <c r="B57" t="s">
        <v>83</v>
      </c>
      <c r="C57" t="s">
        <v>533</v>
      </c>
      <c r="D57" s="27" t="s">
        <v>516</v>
      </c>
      <c r="E57" s="27" t="str">
        <f t="shared" si="5"/>
        <v>?</v>
      </c>
      <c r="F57" s="118" t="s">
        <v>515</v>
      </c>
      <c r="G57" t="s">
        <v>19</v>
      </c>
      <c r="H57" s="24" t="s">
        <v>9</v>
      </c>
      <c r="I57">
        <v>0.37059999999999998</v>
      </c>
      <c r="J57">
        <v>3.6655000000000002</v>
      </c>
      <c r="K57">
        <v>0.18099999999999999</v>
      </c>
      <c r="L57">
        <v>0.14249999999999999</v>
      </c>
      <c r="M57" s="140">
        <f t="shared" si="6"/>
        <v>0.37059999999999998</v>
      </c>
      <c r="N57" s="140">
        <f t="shared" si="6"/>
        <v>3.6655000000000002</v>
      </c>
      <c r="O57" s="140">
        <f t="shared" si="6"/>
        <v>0.18099999999999999</v>
      </c>
      <c r="P57" s="140">
        <f t="shared" si="1"/>
        <v>0.14249999999999999</v>
      </c>
      <c r="Q57" s="161" t="s">
        <v>676</v>
      </c>
      <c r="R57" s="125">
        <v>3.11</v>
      </c>
      <c r="S57" t="s">
        <v>676</v>
      </c>
      <c r="T57" t="s">
        <v>515</v>
      </c>
      <c r="U57" t="s">
        <v>515</v>
      </c>
      <c r="V57" s="118" t="s">
        <v>515</v>
      </c>
      <c r="W57">
        <v>40.714489999999998</v>
      </c>
      <c r="X57">
        <v>-85.937780000000004</v>
      </c>
      <c r="Y57">
        <v>5</v>
      </c>
      <c r="Z57">
        <v>10</v>
      </c>
      <c r="AA57">
        <v>2023</v>
      </c>
      <c r="AB57" t="b">
        <v>0</v>
      </c>
      <c r="AC57" s="19">
        <v>45056</v>
      </c>
      <c r="AD57" s="19" t="s">
        <v>515</v>
      </c>
      <c r="AE57" s="29" t="s">
        <v>515</v>
      </c>
      <c r="AF57" s="29" t="s">
        <v>515</v>
      </c>
      <c r="AG57" s="29" t="s">
        <v>515</v>
      </c>
      <c r="AH57" s="29" t="s">
        <v>515</v>
      </c>
      <c r="AI57" s="29" t="s">
        <v>515</v>
      </c>
      <c r="AJ57" s="29" t="s">
        <v>515</v>
      </c>
      <c r="AK57" s="29" t="s">
        <v>515</v>
      </c>
      <c r="AL57" s="29" t="s">
        <v>515</v>
      </c>
      <c r="AM57" s="29" t="s">
        <v>515</v>
      </c>
      <c r="AN57" s="29" t="s">
        <v>515</v>
      </c>
      <c r="AO57" s="29" t="s">
        <v>515</v>
      </c>
      <c r="AP57" s="29" t="s">
        <v>515</v>
      </c>
      <c r="AQ57" s="29" t="s">
        <v>515</v>
      </c>
      <c r="AR57" s="29" t="s">
        <v>515</v>
      </c>
      <c r="AS57" s="29" t="s">
        <v>515</v>
      </c>
      <c r="AT57" s="29" t="s">
        <v>515</v>
      </c>
      <c r="AU57" s="29" t="s">
        <v>515</v>
      </c>
      <c r="AV57" s="29" t="s">
        <v>515</v>
      </c>
      <c r="AW57" s="29" t="s">
        <v>515</v>
      </c>
      <c r="AX57" s="29" t="s">
        <v>515</v>
      </c>
      <c r="AY57" s="29" t="s">
        <v>515</v>
      </c>
      <c r="AZ57" s="29" t="s">
        <v>515</v>
      </c>
      <c r="BA57" s="29" t="s">
        <v>515</v>
      </c>
      <c r="BB57" s="29" t="s">
        <v>515</v>
      </c>
      <c r="BC57" s="29" t="s">
        <v>515</v>
      </c>
      <c r="BD57" s="29" t="s">
        <v>515</v>
      </c>
      <c r="BE57" s="29" t="s">
        <v>515</v>
      </c>
      <c r="BF57" s="29" t="s">
        <v>515</v>
      </c>
      <c r="BG57" s="29" t="s">
        <v>515</v>
      </c>
    </row>
    <row r="58" spans="1:59" x14ac:dyDescent="0.25">
      <c r="A58" s="25">
        <v>10057</v>
      </c>
      <c r="B58" t="s">
        <v>84</v>
      </c>
      <c r="C58" t="s">
        <v>533</v>
      </c>
      <c r="D58" s="27" t="s">
        <v>516</v>
      </c>
      <c r="E58" s="27" t="str">
        <f t="shared" si="5"/>
        <v>?</v>
      </c>
      <c r="F58" s="118" t="s">
        <v>515</v>
      </c>
      <c r="G58" t="s">
        <v>19</v>
      </c>
      <c r="H58" s="24" t="s">
        <v>9</v>
      </c>
      <c r="I58">
        <v>0.40849999999999997</v>
      </c>
      <c r="J58">
        <v>6.5170000000000003</v>
      </c>
      <c r="K58">
        <v>0.46850000000000003</v>
      </c>
      <c r="L58">
        <v>0.27</v>
      </c>
      <c r="M58" s="140">
        <f t="shared" si="6"/>
        <v>0.40849999999999997</v>
      </c>
      <c r="N58" s="140">
        <f t="shared" si="6"/>
        <v>6.5170000000000003</v>
      </c>
      <c r="O58" s="140">
        <f t="shared" si="6"/>
        <v>0.46850000000000003</v>
      </c>
      <c r="P58" s="140">
        <f t="shared" si="1"/>
        <v>0.27</v>
      </c>
      <c r="Q58" s="161" t="s">
        <v>676</v>
      </c>
      <c r="R58" s="125">
        <v>0.85</v>
      </c>
      <c r="S58" t="s">
        <v>676</v>
      </c>
      <c r="T58" t="s">
        <v>515</v>
      </c>
      <c r="U58" t="s">
        <v>515</v>
      </c>
      <c r="V58" s="118" t="s">
        <v>515</v>
      </c>
      <c r="W58">
        <v>40.676472222222202</v>
      </c>
      <c r="X58">
        <v>-85.807166666666703</v>
      </c>
      <c r="Y58">
        <v>5</v>
      </c>
      <c r="Z58">
        <v>10</v>
      </c>
      <c r="AA58">
        <v>2023</v>
      </c>
      <c r="AB58" t="b">
        <v>0</v>
      </c>
      <c r="AC58" s="19">
        <v>45056</v>
      </c>
      <c r="AD58" s="19" t="s">
        <v>515</v>
      </c>
      <c r="AE58" s="29" t="s">
        <v>515</v>
      </c>
      <c r="AF58" s="29" t="s">
        <v>515</v>
      </c>
      <c r="AG58" s="29" t="s">
        <v>515</v>
      </c>
      <c r="AH58" s="29" t="s">
        <v>515</v>
      </c>
      <c r="AI58" s="29" t="s">
        <v>515</v>
      </c>
      <c r="AJ58" s="29" t="s">
        <v>515</v>
      </c>
      <c r="AK58" s="29" t="s">
        <v>515</v>
      </c>
      <c r="AL58" s="29" t="s">
        <v>515</v>
      </c>
      <c r="AM58" s="29" t="s">
        <v>515</v>
      </c>
      <c r="AN58" s="29" t="s">
        <v>515</v>
      </c>
      <c r="AO58" s="29" t="s">
        <v>515</v>
      </c>
      <c r="AP58" s="29" t="s">
        <v>515</v>
      </c>
      <c r="AQ58" s="29" t="s">
        <v>515</v>
      </c>
      <c r="AR58" s="29" t="s">
        <v>515</v>
      </c>
      <c r="AS58" s="29" t="s">
        <v>515</v>
      </c>
      <c r="AT58" s="29" t="s">
        <v>515</v>
      </c>
      <c r="AU58" s="29" t="s">
        <v>515</v>
      </c>
      <c r="AV58" s="29" t="s">
        <v>515</v>
      </c>
      <c r="AW58" s="29" t="s">
        <v>515</v>
      </c>
      <c r="AX58" s="29" t="s">
        <v>515</v>
      </c>
      <c r="AY58" s="29" t="s">
        <v>515</v>
      </c>
      <c r="AZ58" s="29" t="s">
        <v>515</v>
      </c>
      <c r="BA58" s="29" t="s">
        <v>515</v>
      </c>
      <c r="BB58" s="29" t="s">
        <v>515</v>
      </c>
      <c r="BC58" s="29" t="s">
        <v>515</v>
      </c>
      <c r="BD58" s="29" t="s">
        <v>515</v>
      </c>
      <c r="BE58" s="29" t="s">
        <v>515</v>
      </c>
      <c r="BF58" s="29" t="s">
        <v>515</v>
      </c>
      <c r="BG58" s="29" t="s">
        <v>515</v>
      </c>
    </row>
    <row r="59" spans="1:59" x14ac:dyDescent="0.25">
      <c r="A59" s="25">
        <v>10058</v>
      </c>
      <c r="B59" t="s">
        <v>85</v>
      </c>
      <c r="C59" t="s">
        <v>533</v>
      </c>
      <c r="D59" s="27" t="s">
        <v>516</v>
      </c>
      <c r="E59" s="27" t="str">
        <f t="shared" si="5"/>
        <v>?</v>
      </c>
      <c r="F59" s="118" t="s">
        <v>515</v>
      </c>
      <c r="G59" t="s">
        <v>19</v>
      </c>
      <c r="H59" s="24" t="s">
        <v>9</v>
      </c>
      <c r="I59">
        <v>1.25935</v>
      </c>
      <c r="J59">
        <v>8.0395000000000003</v>
      </c>
      <c r="K59">
        <v>0.73599999999999999</v>
      </c>
      <c r="L59" t="s">
        <v>515</v>
      </c>
      <c r="M59" s="140">
        <f t="shared" si="6"/>
        <v>1.25935</v>
      </c>
      <c r="N59" s="140">
        <f t="shared" si="6"/>
        <v>8.0395000000000003</v>
      </c>
      <c r="O59" s="140">
        <f t="shared" si="6"/>
        <v>0.73599999999999999</v>
      </c>
      <c r="P59" s="140" t="str">
        <f t="shared" si="1"/>
        <v>NULL</v>
      </c>
      <c r="Q59" s="161" t="s">
        <v>676</v>
      </c>
      <c r="R59" s="125">
        <v>0.44500000000000001</v>
      </c>
      <c r="S59" t="s">
        <v>676</v>
      </c>
      <c r="T59" t="s">
        <v>515</v>
      </c>
      <c r="U59" t="s">
        <v>515</v>
      </c>
      <c r="V59" s="118" t="s">
        <v>515</v>
      </c>
      <c r="W59">
        <v>40.672388888888896</v>
      </c>
      <c r="X59">
        <v>-85.773333333333298</v>
      </c>
      <c r="Y59">
        <v>5</v>
      </c>
      <c r="Z59">
        <v>10</v>
      </c>
      <c r="AA59">
        <v>2023</v>
      </c>
      <c r="AB59" t="b">
        <v>0</v>
      </c>
      <c r="AC59" s="19">
        <v>45056</v>
      </c>
      <c r="AD59" s="19" t="s">
        <v>515</v>
      </c>
      <c r="AE59" s="29" t="s">
        <v>515</v>
      </c>
      <c r="AF59" s="29" t="s">
        <v>515</v>
      </c>
      <c r="AG59" s="29" t="s">
        <v>515</v>
      </c>
      <c r="AH59" s="29" t="s">
        <v>515</v>
      </c>
      <c r="AI59" s="29" t="s">
        <v>515</v>
      </c>
      <c r="AJ59" s="29" t="s">
        <v>515</v>
      </c>
      <c r="AK59" s="29" t="s">
        <v>515</v>
      </c>
      <c r="AL59" s="29" t="s">
        <v>515</v>
      </c>
      <c r="AM59" s="29" t="s">
        <v>515</v>
      </c>
      <c r="AN59" s="29" t="s">
        <v>515</v>
      </c>
      <c r="AO59" s="29" t="s">
        <v>515</v>
      </c>
      <c r="AP59" s="29" t="s">
        <v>515</v>
      </c>
      <c r="AQ59" s="29" t="s">
        <v>515</v>
      </c>
      <c r="AR59" s="29" t="s">
        <v>515</v>
      </c>
      <c r="AS59" s="29" t="s">
        <v>515</v>
      </c>
      <c r="AT59" s="29" t="s">
        <v>515</v>
      </c>
      <c r="AU59" s="29" t="s">
        <v>515</v>
      </c>
      <c r="AV59" s="29" t="s">
        <v>515</v>
      </c>
      <c r="AW59" s="29" t="s">
        <v>515</v>
      </c>
      <c r="AX59" s="29" t="s">
        <v>515</v>
      </c>
      <c r="AY59" s="29" t="s">
        <v>515</v>
      </c>
      <c r="AZ59" s="29" t="s">
        <v>515</v>
      </c>
      <c r="BA59" s="29" t="s">
        <v>515</v>
      </c>
      <c r="BB59" s="29" t="s">
        <v>515</v>
      </c>
      <c r="BC59" s="29" t="s">
        <v>515</v>
      </c>
      <c r="BD59" s="29" t="s">
        <v>515</v>
      </c>
      <c r="BE59" s="29" t="s">
        <v>515</v>
      </c>
      <c r="BF59" s="29" t="s">
        <v>515</v>
      </c>
      <c r="BG59" s="29" t="s">
        <v>515</v>
      </c>
    </row>
    <row r="60" spans="1:59" x14ac:dyDescent="0.25">
      <c r="A60" s="25">
        <v>10059</v>
      </c>
      <c r="B60" t="s">
        <v>86</v>
      </c>
      <c r="C60" t="s">
        <v>534</v>
      </c>
      <c r="D60" s="27">
        <v>1101</v>
      </c>
      <c r="E60" s="27">
        <v>1</v>
      </c>
      <c r="F60" s="118" t="s">
        <v>515</v>
      </c>
      <c r="G60" t="s">
        <v>514</v>
      </c>
      <c r="H60" s="24" t="s">
        <v>8</v>
      </c>
      <c r="I60">
        <v>0.1694</v>
      </c>
      <c r="J60">
        <v>6.4480000000000004</v>
      </c>
      <c r="K60">
        <v>1.2E-2</v>
      </c>
      <c r="L60">
        <v>0.11749999999999999</v>
      </c>
      <c r="M60" s="140">
        <f t="shared" si="6"/>
        <v>0.1694</v>
      </c>
      <c r="N60" s="140">
        <f t="shared" si="6"/>
        <v>6.4480000000000004</v>
      </c>
      <c r="O60" s="140">
        <f t="shared" si="6"/>
        <v>0.05</v>
      </c>
      <c r="P60" s="140">
        <f t="shared" si="1"/>
        <v>0.11749999999999999</v>
      </c>
      <c r="Q60" s="161" t="s">
        <v>676</v>
      </c>
      <c r="R60" s="125">
        <v>1.4</v>
      </c>
      <c r="S60" t="s">
        <v>676</v>
      </c>
      <c r="T60" t="s">
        <v>515</v>
      </c>
      <c r="U60" t="s">
        <v>515</v>
      </c>
      <c r="V60" s="118" t="s">
        <v>515</v>
      </c>
      <c r="W60">
        <v>40.730086</v>
      </c>
      <c r="X60">
        <v>-86.757299000000003</v>
      </c>
      <c r="Y60">
        <v>5</v>
      </c>
      <c r="Z60">
        <v>17</v>
      </c>
      <c r="AA60">
        <v>2023</v>
      </c>
      <c r="AB60" t="b">
        <v>0</v>
      </c>
      <c r="AC60" s="19">
        <v>45063</v>
      </c>
      <c r="AD60" s="19" t="s">
        <v>515</v>
      </c>
      <c r="AE60" s="232">
        <v>0.59377314814814819</v>
      </c>
      <c r="AF60" s="198">
        <v>45063</v>
      </c>
      <c r="AG60" s="63" t="s">
        <v>515</v>
      </c>
      <c r="AH60" s="63" t="s">
        <v>515</v>
      </c>
      <c r="AI60" s="63">
        <v>744</v>
      </c>
      <c r="AJ60" s="63">
        <v>471.9</v>
      </c>
      <c r="AK60" s="63">
        <v>540.79999999999995</v>
      </c>
      <c r="AL60" s="63">
        <v>540791</v>
      </c>
      <c r="AM60" s="63">
        <v>0.26</v>
      </c>
      <c r="AN60" s="63">
        <v>546.9</v>
      </c>
      <c r="AO60" s="63">
        <v>0.624</v>
      </c>
      <c r="AP60" s="63">
        <v>0.61399999999999999</v>
      </c>
      <c r="AQ60" s="63">
        <v>0.88600000000000001</v>
      </c>
      <c r="AR60" s="63">
        <v>72.400000000000006</v>
      </c>
      <c r="AS60" s="63">
        <v>6.8</v>
      </c>
      <c r="AT60" s="63">
        <v>74.3</v>
      </c>
      <c r="AU60" s="63">
        <v>40.730060000000002</v>
      </c>
      <c r="AV60" s="63">
        <v>-86.757320000000007</v>
      </c>
      <c r="AW60" s="63">
        <v>189.2</v>
      </c>
      <c r="AX60" s="63">
        <v>212.9</v>
      </c>
      <c r="AY60" s="63">
        <v>7.32</v>
      </c>
      <c r="AZ60" s="63">
        <v>-52.3</v>
      </c>
      <c r="BA60" s="63">
        <v>11.8</v>
      </c>
      <c r="BB60" s="63">
        <v>0</v>
      </c>
      <c r="BC60" s="63">
        <v>18.327999999999999</v>
      </c>
      <c r="BD60" s="63">
        <v>11.96</v>
      </c>
      <c r="BE60" s="63">
        <v>0</v>
      </c>
      <c r="BF60" s="198">
        <v>45063</v>
      </c>
      <c r="BG60" s="63" t="s">
        <v>1812</v>
      </c>
    </row>
    <row r="61" spans="1:59" x14ac:dyDescent="0.25">
      <c r="A61" s="25">
        <v>10060</v>
      </c>
      <c r="B61" t="s">
        <v>87</v>
      </c>
      <c r="C61" t="s">
        <v>534</v>
      </c>
      <c r="D61" s="27">
        <v>1101</v>
      </c>
      <c r="E61" s="27">
        <v>1</v>
      </c>
      <c r="F61" s="118" t="s">
        <v>515</v>
      </c>
      <c r="G61" t="s">
        <v>514</v>
      </c>
      <c r="H61" s="24" t="s">
        <v>8</v>
      </c>
      <c r="I61">
        <v>2.92E-2</v>
      </c>
      <c r="J61">
        <v>6.7409999999999997</v>
      </c>
      <c r="K61">
        <v>0.26800000000000002</v>
      </c>
      <c r="L61">
        <v>0.17549999999999999</v>
      </c>
      <c r="M61" s="140">
        <f t="shared" si="6"/>
        <v>0.05</v>
      </c>
      <c r="N61" s="140">
        <f t="shared" si="6"/>
        <v>6.7409999999999997</v>
      </c>
      <c r="O61" s="140">
        <f t="shared" si="6"/>
        <v>0.26800000000000002</v>
      </c>
      <c r="P61" s="140">
        <f t="shared" si="1"/>
        <v>0.17549999999999999</v>
      </c>
      <c r="Q61" s="161" t="s">
        <v>676</v>
      </c>
      <c r="R61" s="125">
        <v>0.85499999999999998</v>
      </c>
      <c r="S61" t="s">
        <v>676</v>
      </c>
      <c r="T61" t="s">
        <v>515</v>
      </c>
      <c r="U61" t="s">
        <v>515</v>
      </c>
      <c r="V61" s="118" t="s">
        <v>515</v>
      </c>
      <c r="W61">
        <v>40.729320000000001</v>
      </c>
      <c r="X61">
        <v>-86.756870000000006</v>
      </c>
      <c r="Y61">
        <v>5</v>
      </c>
      <c r="Z61">
        <v>17</v>
      </c>
      <c r="AA61">
        <v>2023</v>
      </c>
      <c r="AB61" t="b">
        <v>0</v>
      </c>
      <c r="AC61" s="19">
        <v>45063</v>
      </c>
      <c r="AD61" s="19" t="s">
        <v>515</v>
      </c>
      <c r="AE61" s="232">
        <v>0.60244212962962962</v>
      </c>
      <c r="AF61" s="198">
        <v>45063</v>
      </c>
      <c r="AG61" s="63" t="s">
        <v>515</v>
      </c>
      <c r="AH61" s="63" t="s">
        <v>515</v>
      </c>
      <c r="AI61" s="63">
        <v>743.9</v>
      </c>
      <c r="AJ61" s="63">
        <v>470.6</v>
      </c>
      <c r="AK61" s="63">
        <v>541.79999999999995</v>
      </c>
      <c r="AL61" s="63">
        <v>541764</v>
      </c>
      <c r="AM61" s="63">
        <v>0.26</v>
      </c>
      <c r="AN61" s="63">
        <v>548</v>
      </c>
      <c r="AO61" s="63">
        <v>0.28000000000000003</v>
      </c>
      <c r="AP61" s="63">
        <v>0.27900000000000003</v>
      </c>
      <c r="AQ61" s="63">
        <v>0.39800000000000002</v>
      </c>
      <c r="AR61" s="63">
        <v>80.7</v>
      </c>
      <c r="AS61" s="63">
        <v>7.61</v>
      </c>
      <c r="AT61" s="63">
        <v>82.7</v>
      </c>
      <c r="AU61" s="63">
        <v>40.729349999999997</v>
      </c>
      <c r="AV61" s="63">
        <v>-86.756860000000003</v>
      </c>
      <c r="AW61" s="63">
        <v>188.5</v>
      </c>
      <c r="AX61" s="63">
        <v>223.3</v>
      </c>
      <c r="AY61" s="63">
        <v>7.48</v>
      </c>
      <c r="AZ61" s="63">
        <v>-61</v>
      </c>
      <c r="BA61" s="63">
        <v>11.8</v>
      </c>
      <c r="BB61" s="63">
        <v>0</v>
      </c>
      <c r="BC61" s="63">
        <v>18.123999999999999</v>
      </c>
      <c r="BD61" s="63">
        <v>12.95</v>
      </c>
      <c r="BE61" s="63">
        <v>0</v>
      </c>
      <c r="BF61" s="198">
        <v>45063</v>
      </c>
      <c r="BG61" s="63" t="s">
        <v>1813</v>
      </c>
    </row>
    <row r="62" spans="1:59" x14ac:dyDescent="0.25">
      <c r="A62" s="25">
        <v>10061</v>
      </c>
      <c r="B62" t="s">
        <v>88</v>
      </c>
      <c r="C62" t="s">
        <v>534</v>
      </c>
      <c r="D62" s="27">
        <v>1101</v>
      </c>
      <c r="E62" s="27">
        <v>1</v>
      </c>
      <c r="F62" s="118" t="s">
        <v>515</v>
      </c>
      <c r="G62" t="s">
        <v>514</v>
      </c>
      <c r="H62" s="24" t="s">
        <v>8</v>
      </c>
      <c r="I62">
        <v>0.01</v>
      </c>
      <c r="J62">
        <v>6.6239999999999997</v>
      </c>
      <c r="K62">
        <v>3.5999999999999997E-2</v>
      </c>
      <c r="L62">
        <v>0.1115</v>
      </c>
      <c r="M62" s="140">
        <f t="shared" si="6"/>
        <v>0.05</v>
      </c>
      <c r="N62" s="140">
        <f t="shared" si="6"/>
        <v>6.6239999999999997</v>
      </c>
      <c r="O62" s="140">
        <f t="shared" si="6"/>
        <v>0.05</v>
      </c>
      <c r="P62" s="140">
        <f t="shared" si="1"/>
        <v>0.1115</v>
      </c>
      <c r="Q62" s="161" t="s">
        <v>676</v>
      </c>
      <c r="R62" s="125">
        <v>1.105</v>
      </c>
      <c r="S62" t="s">
        <v>676</v>
      </c>
      <c r="T62" t="s">
        <v>515</v>
      </c>
      <c r="U62" t="s">
        <v>515</v>
      </c>
      <c r="V62" s="118" t="s">
        <v>515</v>
      </c>
      <c r="W62">
        <v>40.72871</v>
      </c>
      <c r="X62">
        <v>-86.756010000000003</v>
      </c>
      <c r="Y62">
        <v>5</v>
      </c>
      <c r="Z62">
        <v>17</v>
      </c>
      <c r="AA62">
        <v>2023</v>
      </c>
      <c r="AB62" t="b">
        <v>0</v>
      </c>
      <c r="AC62" s="19">
        <v>45063</v>
      </c>
      <c r="AD62" s="19" t="s">
        <v>515</v>
      </c>
      <c r="AE62" s="232">
        <v>0.61186342592592591</v>
      </c>
      <c r="AF62" s="198">
        <v>45063</v>
      </c>
      <c r="AG62" s="63" t="s">
        <v>515</v>
      </c>
      <c r="AH62" s="63" t="s">
        <v>515</v>
      </c>
      <c r="AI62" s="63">
        <v>744.1</v>
      </c>
      <c r="AJ62" s="63">
        <v>466.6</v>
      </c>
      <c r="AK62" s="63">
        <v>536.79999999999995</v>
      </c>
      <c r="AL62" s="63">
        <v>536817</v>
      </c>
      <c r="AM62" s="63">
        <v>0.26</v>
      </c>
      <c r="AN62" s="63">
        <v>543</v>
      </c>
      <c r="AO62" s="63">
        <v>0.308</v>
      </c>
      <c r="AP62" s="63">
        <v>0.28399999999999997</v>
      </c>
      <c r="AQ62" s="63">
        <v>0.437</v>
      </c>
      <c r="AR62" s="63">
        <v>77.5</v>
      </c>
      <c r="AS62" s="63">
        <v>7.3</v>
      </c>
      <c r="AT62" s="63">
        <v>79.400000000000006</v>
      </c>
      <c r="AU62" s="63">
        <v>40.72871</v>
      </c>
      <c r="AV62" s="63">
        <v>-86.755979999999994</v>
      </c>
      <c r="AW62" s="63">
        <v>187.1</v>
      </c>
      <c r="AX62" s="63">
        <v>206.5</v>
      </c>
      <c r="AY62" s="63">
        <v>7.48</v>
      </c>
      <c r="AZ62" s="63">
        <v>-61.3</v>
      </c>
      <c r="BA62" s="63">
        <v>11.8</v>
      </c>
      <c r="BB62" s="63">
        <v>0</v>
      </c>
      <c r="BC62" s="63">
        <v>18.155999999999999</v>
      </c>
      <c r="BD62" s="63">
        <v>11.89</v>
      </c>
      <c r="BE62" s="63">
        <v>0</v>
      </c>
      <c r="BF62" s="198">
        <v>45063</v>
      </c>
      <c r="BG62" s="63" t="s">
        <v>1814</v>
      </c>
    </row>
    <row r="63" spans="1:59" x14ac:dyDescent="0.25">
      <c r="A63" s="25">
        <v>10062</v>
      </c>
      <c r="B63" t="s">
        <v>89</v>
      </c>
      <c r="C63" t="s">
        <v>535</v>
      </c>
      <c r="D63" s="27">
        <v>1102</v>
      </c>
      <c r="E63" s="27">
        <v>2</v>
      </c>
      <c r="F63" s="118" t="s">
        <v>515</v>
      </c>
      <c r="G63" t="s">
        <v>514</v>
      </c>
      <c r="H63" s="24" t="s">
        <v>8</v>
      </c>
      <c r="I63">
        <v>2.18E-2</v>
      </c>
      <c r="J63">
        <v>6.3220000000000001</v>
      </c>
      <c r="K63">
        <v>0.04</v>
      </c>
      <c r="L63">
        <v>0.1065</v>
      </c>
      <c r="M63" s="140">
        <f t="shared" si="6"/>
        <v>0.05</v>
      </c>
      <c r="N63" s="140">
        <f t="shared" si="6"/>
        <v>6.3220000000000001</v>
      </c>
      <c r="O63" s="140">
        <f t="shared" si="6"/>
        <v>0.05</v>
      </c>
      <c r="P63" s="140">
        <f t="shared" si="1"/>
        <v>0.1065</v>
      </c>
      <c r="Q63" s="161" t="s">
        <v>676</v>
      </c>
      <c r="R63" s="125">
        <v>1.27</v>
      </c>
      <c r="S63" t="s">
        <v>676</v>
      </c>
      <c r="T63" t="s">
        <v>515</v>
      </c>
      <c r="U63" t="s">
        <v>515</v>
      </c>
      <c r="V63" s="118" t="s">
        <v>515</v>
      </c>
      <c r="W63">
        <v>40.723641000000001</v>
      </c>
      <c r="X63">
        <v>-86.756487000000007</v>
      </c>
      <c r="Y63">
        <v>5</v>
      </c>
      <c r="Z63">
        <v>17</v>
      </c>
      <c r="AA63">
        <v>2023</v>
      </c>
      <c r="AB63" t="b">
        <v>0</v>
      </c>
      <c r="AC63" s="19">
        <v>45063</v>
      </c>
      <c r="AD63" s="19" t="s">
        <v>515</v>
      </c>
      <c r="AE63" s="232">
        <v>0.62930555555555556</v>
      </c>
      <c r="AF63" s="198">
        <v>45063</v>
      </c>
      <c r="AG63" s="63" t="s">
        <v>515</v>
      </c>
      <c r="AH63" s="63" t="s">
        <v>515</v>
      </c>
      <c r="AI63" s="63">
        <v>744.2</v>
      </c>
      <c r="AJ63" s="63">
        <v>467.1</v>
      </c>
      <c r="AK63" s="63">
        <v>535.20000000000005</v>
      </c>
      <c r="AL63" s="63">
        <v>535191</v>
      </c>
      <c r="AM63" s="63">
        <v>0.26</v>
      </c>
      <c r="AN63" s="63">
        <v>541.20000000000005</v>
      </c>
      <c r="AO63" s="63">
        <v>0.31</v>
      </c>
      <c r="AP63" s="63">
        <v>0.34100000000000003</v>
      </c>
      <c r="AQ63" s="63">
        <v>0.441</v>
      </c>
      <c r="AR63" s="63">
        <v>75.599999999999994</v>
      </c>
      <c r="AS63" s="63">
        <v>7.09</v>
      </c>
      <c r="AT63" s="63">
        <v>77.5</v>
      </c>
      <c r="AU63" s="63">
        <v>40.723619999999997</v>
      </c>
      <c r="AV63" s="63">
        <v>-86.756510000000006</v>
      </c>
      <c r="AW63" s="63">
        <v>186.8</v>
      </c>
      <c r="AX63" s="63">
        <v>197.1</v>
      </c>
      <c r="AY63" s="63">
        <v>7.47</v>
      </c>
      <c r="AZ63" s="63">
        <v>-60.6</v>
      </c>
      <c r="BA63" s="63">
        <v>11.8</v>
      </c>
      <c r="BB63" s="63">
        <v>0</v>
      </c>
      <c r="BC63" s="63">
        <v>18.338999999999999</v>
      </c>
      <c r="BD63" s="63">
        <v>13.4</v>
      </c>
      <c r="BE63" s="63">
        <v>0</v>
      </c>
      <c r="BF63" s="198">
        <v>45063</v>
      </c>
      <c r="BG63" s="63" t="s">
        <v>1815</v>
      </c>
    </row>
    <row r="64" spans="1:59" x14ac:dyDescent="0.25">
      <c r="A64" s="25">
        <v>10063</v>
      </c>
      <c r="B64" t="s">
        <v>90</v>
      </c>
      <c r="C64" t="s">
        <v>536</v>
      </c>
      <c r="D64" s="27">
        <v>1103</v>
      </c>
      <c r="E64" s="27">
        <v>3</v>
      </c>
      <c r="F64" s="118" t="s">
        <v>515</v>
      </c>
      <c r="G64" t="s">
        <v>514</v>
      </c>
      <c r="H64" s="24" t="s">
        <v>8</v>
      </c>
      <c r="I64">
        <v>0.38585000000000003</v>
      </c>
      <c r="J64">
        <v>4.9820000000000002</v>
      </c>
      <c r="K64">
        <v>3.3500000000000002E-2</v>
      </c>
      <c r="L64">
        <v>0.1145</v>
      </c>
      <c r="M64" s="140">
        <f t="shared" si="6"/>
        <v>0.38585000000000003</v>
      </c>
      <c r="N64" s="140">
        <f t="shared" si="6"/>
        <v>4.9820000000000002</v>
      </c>
      <c r="O64" s="140">
        <f t="shared" si="6"/>
        <v>0.05</v>
      </c>
      <c r="P64" s="140">
        <f t="shared" si="1"/>
        <v>0.1145</v>
      </c>
      <c r="Q64" s="161" t="s">
        <v>676</v>
      </c>
      <c r="R64" s="125">
        <v>1.56</v>
      </c>
      <c r="S64" t="s">
        <v>676</v>
      </c>
      <c r="T64" t="s">
        <v>515</v>
      </c>
      <c r="U64" t="s">
        <v>515</v>
      </c>
      <c r="V64" s="118" t="s">
        <v>515</v>
      </c>
      <c r="W64">
        <v>40.7087222222222</v>
      </c>
      <c r="X64">
        <v>-86.755277777777806</v>
      </c>
      <c r="Y64">
        <v>5</v>
      </c>
      <c r="Z64">
        <v>17</v>
      </c>
      <c r="AA64">
        <v>2023</v>
      </c>
      <c r="AB64" t="b">
        <v>0</v>
      </c>
      <c r="AC64" s="19">
        <v>45063</v>
      </c>
      <c r="AD64" s="19" t="s">
        <v>515</v>
      </c>
      <c r="AE64" s="232">
        <v>0.63959490740740743</v>
      </c>
      <c r="AF64" s="198">
        <v>45063</v>
      </c>
      <c r="AG64" s="63" t="s">
        <v>515</v>
      </c>
      <c r="AH64" s="63" t="s">
        <v>515</v>
      </c>
      <c r="AI64" s="63">
        <v>744.3</v>
      </c>
      <c r="AJ64" s="63">
        <v>468</v>
      </c>
      <c r="AK64" s="63">
        <v>535.20000000000005</v>
      </c>
      <c r="AL64" s="63">
        <v>535250</v>
      </c>
      <c r="AM64" s="63">
        <v>0.26</v>
      </c>
      <c r="AN64" s="63">
        <v>541.20000000000005</v>
      </c>
      <c r="AO64" s="63">
        <v>0.24299999999999999</v>
      </c>
      <c r="AP64" s="63">
        <v>0.23499999999999999</v>
      </c>
      <c r="AQ64" s="63">
        <v>0.34599999999999997</v>
      </c>
      <c r="AR64" s="63">
        <v>77.2</v>
      </c>
      <c r="AS64" s="63">
        <v>7.24</v>
      </c>
      <c r="AT64" s="63">
        <v>79.2</v>
      </c>
      <c r="AU64" s="63">
        <v>40.722059999999999</v>
      </c>
      <c r="AV64" s="63">
        <v>-86.755290000000002</v>
      </c>
      <c r="AW64" s="63">
        <v>185.5</v>
      </c>
      <c r="AX64" s="63">
        <v>191.6</v>
      </c>
      <c r="AY64" s="63">
        <v>7.51</v>
      </c>
      <c r="AZ64" s="63">
        <v>-62.9</v>
      </c>
      <c r="BA64" s="63">
        <v>11.8</v>
      </c>
      <c r="BB64" s="63">
        <v>0</v>
      </c>
      <c r="BC64" s="63">
        <v>18.423999999999999</v>
      </c>
      <c r="BD64" s="63">
        <v>11.81</v>
      </c>
      <c r="BE64" s="63">
        <v>0</v>
      </c>
      <c r="BF64" s="198">
        <v>45063</v>
      </c>
      <c r="BG64" s="63" t="s">
        <v>1818</v>
      </c>
    </row>
    <row r="65" spans="1:59" x14ac:dyDescent="0.25">
      <c r="A65" s="25">
        <v>10064</v>
      </c>
      <c r="B65" t="s">
        <v>91</v>
      </c>
      <c r="C65" t="s">
        <v>535</v>
      </c>
      <c r="D65" s="27">
        <v>1102</v>
      </c>
      <c r="E65" s="27">
        <v>2</v>
      </c>
      <c r="F65" s="118" t="s">
        <v>515</v>
      </c>
      <c r="G65" t="s">
        <v>514</v>
      </c>
      <c r="H65" s="24" t="s">
        <v>8</v>
      </c>
      <c r="I65">
        <v>0.1678</v>
      </c>
      <c r="J65">
        <v>6.6120000000000001</v>
      </c>
      <c r="K65">
        <v>1.4999999999999999E-2</v>
      </c>
      <c r="L65">
        <v>0.106</v>
      </c>
      <c r="M65" s="140">
        <f t="shared" si="6"/>
        <v>0.1678</v>
      </c>
      <c r="N65" s="140">
        <f t="shared" si="6"/>
        <v>6.6120000000000001</v>
      </c>
      <c r="O65" s="140">
        <f t="shared" si="6"/>
        <v>0.05</v>
      </c>
      <c r="P65" s="140">
        <f t="shared" si="1"/>
        <v>0.106</v>
      </c>
      <c r="Q65" s="161" t="s">
        <v>676</v>
      </c>
      <c r="R65" s="125">
        <v>1.32</v>
      </c>
      <c r="S65" t="s">
        <v>676</v>
      </c>
      <c r="T65" t="s">
        <v>515</v>
      </c>
      <c r="U65" t="s">
        <v>515</v>
      </c>
      <c r="V65" s="118" t="s">
        <v>515</v>
      </c>
      <c r="W65">
        <v>40.720305555555598</v>
      </c>
      <c r="X65">
        <v>-86.754222222222197</v>
      </c>
      <c r="Y65">
        <v>5</v>
      </c>
      <c r="Z65">
        <v>17</v>
      </c>
      <c r="AA65">
        <v>2023</v>
      </c>
      <c r="AB65" t="b">
        <v>0</v>
      </c>
      <c r="AC65" s="19">
        <v>45063</v>
      </c>
      <c r="AD65" s="19" t="s">
        <v>515</v>
      </c>
      <c r="AE65" s="232">
        <v>0.64793981481481477</v>
      </c>
      <c r="AF65" s="198">
        <v>45063</v>
      </c>
      <c r="AG65" s="63" t="s">
        <v>515</v>
      </c>
      <c r="AH65" s="63" t="s">
        <v>515</v>
      </c>
      <c r="AI65" s="63">
        <v>744.3</v>
      </c>
      <c r="AJ65" s="63">
        <v>468.2</v>
      </c>
      <c r="AK65" s="63">
        <v>535.79999999999995</v>
      </c>
      <c r="AL65" s="63">
        <v>535797</v>
      </c>
      <c r="AM65" s="63">
        <v>0.26</v>
      </c>
      <c r="AN65" s="63">
        <v>541.79999999999995</v>
      </c>
      <c r="AO65" s="63">
        <v>0.30399999999999999</v>
      </c>
      <c r="AP65" s="63">
        <v>0.30199999999999999</v>
      </c>
      <c r="AQ65" s="63">
        <v>0.432</v>
      </c>
      <c r="AR65" s="63">
        <v>76.599999999999994</v>
      </c>
      <c r="AS65" s="63">
        <v>7.19</v>
      </c>
      <c r="AT65" s="63">
        <v>78.599999999999994</v>
      </c>
      <c r="AU65" s="63">
        <v>40.720309999999998</v>
      </c>
      <c r="AV65" s="63">
        <v>-86.754230000000007</v>
      </c>
      <c r="AW65" s="63">
        <v>189.2</v>
      </c>
      <c r="AX65" s="63">
        <v>194.8</v>
      </c>
      <c r="AY65" s="63">
        <v>7.53</v>
      </c>
      <c r="AZ65" s="63">
        <v>-63.7</v>
      </c>
      <c r="BA65" s="63">
        <v>11.8</v>
      </c>
      <c r="BB65" s="63">
        <v>0</v>
      </c>
      <c r="BC65" s="63">
        <v>18.390999999999998</v>
      </c>
      <c r="BD65" s="63">
        <v>11.81</v>
      </c>
      <c r="BE65" s="63">
        <v>0</v>
      </c>
      <c r="BF65" s="198">
        <v>45063</v>
      </c>
      <c r="BG65" s="63" t="s">
        <v>1816</v>
      </c>
    </row>
    <row r="66" spans="1:59" x14ac:dyDescent="0.25">
      <c r="A66" s="25">
        <v>10065</v>
      </c>
      <c r="B66" t="s">
        <v>92</v>
      </c>
      <c r="C66" t="s">
        <v>535</v>
      </c>
      <c r="D66" s="27">
        <v>1102</v>
      </c>
      <c r="E66" s="27">
        <v>2</v>
      </c>
      <c r="F66" s="118" t="s">
        <v>515</v>
      </c>
      <c r="G66" t="s">
        <v>514</v>
      </c>
      <c r="H66" s="24" t="s">
        <v>8</v>
      </c>
      <c r="I66">
        <v>1.66E-2</v>
      </c>
      <c r="J66">
        <v>6.383</v>
      </c>
      <c r="K66">
        <v>3.4000000000000002E-2</v>
      </c>
      <c r="L66">
        <v>0.109</v>
      </c>
      <c r="M66" s="140">
        <f t="shared" ref="M66:O81" si="7">IF(I66&lt;0.1,0.05,I66)</f>
        <v>0.05</v>
      </c>
      <c r="N66" s="140">
        <f t="shared" si="7"/>
        <v>6.383</v>
      </c>
      <c r="O66" s="140">
        <f t="shared" si="7"/>
        <v>0.05</v>
      </c>
      <c r="P66" s="140">
        <f t="shared" ref="P66:P129" si="8">IF(L66&lt;0.1,0.05,L66)</f>
        <v>0.109</v>
      </c>
      <c r="Q66" s="161" t="s">
        <v>676</v>
      </c>
      <c r="R66" s="125">
        <v>1.24</v>
      </c>
      <c r="S66" t="s">
        <v>676</v>
      </c>
      <c r="T66" t="s">
        <v>515</v>
      </c>
      <c r="U66" t="s">
        <v>515</v>
      </c>
      <c r="V66" s="118" t="s">
        <v>515</v>
      </c>
      <c r="W66">
        <v>40.721412000000001</v>
      </c>
      <c r="X66">
        <v>-86.749593000000004</v>
      </c>
      <c r="Y66">
        <v>5</v>
      </c>
      <c r="Z66">
        <v>17</v>
      </c>
      <c r="AA66">
        <v>2023</v>
      </c>
      <c r="AB66" t="b">
        <v>0</v>
      </c>
      <c r="AC66" s="19">
        <v>45063</v>
      </c>
      <c r="AD66" s="19" t="s">
        <v>515</v>
      </c>
      <c r="AE66" s="232">
        <v>0.66180555555555554</v>
      </c>
      <c r="AF66" s="198">
        <v>45063</v>
      </c>
      <c r="AG66" s="63" t="s">
        <v>515</v>
      </c>
      <c r="AH66" s="63" t="s">
        <v>515</v>
      </c>
      <c r="AI66" s="63">
        <v>744.4</v>
      </c>
      <c r="AJ66" s="63">
        <v>459.8</v>
      </c>
      <c r="AK66" s="63">
        <v>524.1</v>
      </c>
      <c r="AL66" s="63">
        <v>524113</v>
      </c>
      <c r="AM66" s="63">
        <v>0.25</v>
      </c>
      <c r="AN66" s="63">
        <v>529.9</v>
      </c>
      <c r="AO66" s="63">
        <v>0.28399999999999997</v>
      </c>
      <c r="AP66" s="63">
        <v>0.27300000000000002</v>
      </c>
      <c r="AQ66" s="63">
        <v>0.40400000000000003</v>
      </c>
      <c r="AR66" s="63">
        <v>73.8</v>
      </c>
      <c r="AS66" s="63">
        <v>6.89</v>
      </c>
      <c r="AT66" s="63">
        <v>75.599999999999994</v>
      </c>
      <c r="AU66" s="63">
        <v>40.721400000000003</v>
      </c>
      <c r="AV66" s="63">
        <v>-86.749619999999993</v>
      </c>
      <c r="AW66" s="63">
        <v>189.6</v>
      </c>
      <c r="AX66" s="63">
        <v>198.3</v>
      </c>
      <c r="AY66" s="63">
        <v>7.47</v>
      </c>
      <c r="AZ66" s="63">
        <v>-60.5</v>
      </c>
      <c r="BA66" s="63">
        <v>11.8</v>
      </c>
      <c r="BB66" s="63">
        <v>0</v>
      </c>
      <c r="BC66" s="63">
        <v>18.579999999999998</v>
      </c>
      <c r="BD66" s="63">
        <v>10.71</v>
      </c>
      <c r="BE66" s="63">
        <v>0</v>
      </c>
      <c r="BF66" s="198">
        <v>45063</v>
      </c>
      <c r="BG66" s="63" t="s">
        <v>1817</v>
      </c>
    </row>
    <row r="67" spans="1:59" x14ac:dyDescent="0.25">
      <c r="A67" s="25">
        <v>10066</v>
      </c>
      <c r="B67" t="s">
        <v>93</v>
      </c>
      <c r="C67" t="s">
        <v>536</v>
      </c>
      <c r="D67" s="27">
        <v>1103</v>
      </c>
      <c r="E67" s="27">
        <v>3</v>
      </c>
      <c r="F67" s="118" t="s">
        <v>515</v>
      </c>
      <c r="G67" t="s">
        <v>514</v>
      </c>
      <c r="H67" s="24" t="s">
        <v>8</v>
      </c>
      <c r="I67">
        <v>0.20680000000000001</v>
      </c>
      <c r="J67">
        <v>7.0979999999999999</v>
      </c>
      <c r="K67">
        <v>3.5999999999999997E-2</v>
      </c>
      <c r="L67">
        <v>0.10299999999999999</v>
      </c>
      <c r="M67" s="140">
        <f t="shared" si="7"/>
        <v>0.20680000000000001</v>
      </c>
      <c r="N67" s="140">
        <f t="shared" si="7"/>
        <v>7.0979999999999999</v>
      </c>
      <c r="O67" s="140">
        <f t="shared" si="7"/>
        <v>0.05</v>
      </c>
      <c r="P67" s="140">
        <f t="shared" si="8"/>
        <v>0.10299999999999999</v>
      </c>
      <c r="Q67" s="161" t="s">
        <v>676</v>
      </c>
      <c r="R67" s="125">
        <v>1.1399999999999999</v>
      </c>
      <c r="S67" t="s">
        <v>676</v>
      </c>
      <c r="T67" t="s">
        <v>515</v>
      </c>
      <c r="U67" t="s">
        <v>515</v>
      </c>
      <c r="V67" s="118" t="s">
        <v>515</v>
      </c>
      <c r="W67">
        <v>40.715583333333299</v>
      </c>
      <c r="X67">
        <v>-86.748111111111101</v>
      </c>
      <c r="Y67">
        <v>5</v>
      </c>
      <c r="Z67">
        <v>17</v>
      </c>
      <c r="AA67">
        <v>2023</v>
      </c>
      <c r="AB67" t="b">
        <v>0</v>
      </c>
      <c r="AC67" s="19">
        <v>45063</v>
      </c>
      <c r="AD67" s="19" t="s">
        <v>515</v>
      </c>
      <c r="AE67" s="232">
        <v>0.67153935185185187</v>
      </c>
      <c r="AF67" s="198">
        <v>45063</v>
      </c>
      <c r="AG67" s="63" t="s">
        <v>515</v>
      </c>
      <c r="AH67" s="63" t="s">
        <v>515</v>
      </c>
      <c r="AI67" s="63">
        <v>744.4</v>
      </c>
      <c r="AJ67" s="63">
        <v>468.5</v>
      </c>
      <c r="AK67" s="63">
        <v>531.5</v>
      </c>
      <c r="AL67" s="63">
        <v>531542</v>
      </c>
      <c r="AM67" s="63">
        <v>0.26</v>
      </c>
      <c r="AN67" s="63">
        <v>537.20000000000005</v>
      </c>
      <c r="AO67" s="63">
        <v>0.28000000000000003</v>
      </c>
      <c r="AP67" s="63">
        <v>0.28999999999999998</v>
      </c>
      <c r="AQ67" s="63">
        <v>0.39800000000000002</v>
      </c>
      <c r="AR67" s="63">
        <v>77.099999999999994</v>
      </c>
      <c r="AS67" s="63">
        <v>7.17</v>
      </c>
      <c r="AT67" s="63">
        <v>79</v>
      </c>
      <c r="AU67" s="63">
        <v>40.715580000000003</v>
      </c>
      <c r="AV67" s="63">
        <v>-86.748180000000005</v>
      </c>
      <c r="AW67" s="63">
        <v>188.7</v>
      </c>
      <c r="AX67" s="63">
        <v>217.3</v>
      </c>
      <c r="AY67" s="63">
        <v>7.58</v>
      </c>
      <c r="AZ67" s="63">
        <v>-66.599999999999994</v>
      </c>
      <c r="BA67" s="63">
        <v>11.8</v>
      </c>
      <c r="BB67" s="63">
        <v>0</v>
      </c>
      <c r="BC67" s="63">
        <v>18.786999999999999</v>
      </c>
      <c r="BD67" s="63">
        <v>9.92</v>
      </c>
      <c r="BE67" s="63">
        <v>0</v>
      </c>
      <c r="BF67" s="198">
        <v>45063</v>
      </c>
      <c r="BG67" s="63" t="s">
        <v>1819</v>
      </c>
    </row>
    <row r="68" spans="1:59" x14ac:dyDescent="0.25">
      <c r="A68" s="25">
        <v>10067</v>
      </c>
      <c r="B68" t="s">
        <v>94</v>
      </c>
      <c r="C68" t="s">
        <v>536</v>
      </c>
      <c r="D68" s="27">
        <v>1103</v>
      </c>
      <c r="E68" s="27">
        <v>3</v>
      </c>
      <c r="F68" s="118" t="s">
        <v>515</v>
      </c>
      <c r="G68" t="s">
        <v>514</v>
      </c>
      <c r="H68" s="24" t="s">
        <v>8</v>
      </c>
      <c r="I68">
        <v>1.8599999999999998E-2</v>
      </c>
      <c r="J68">
        <v>6.532</v>
      </c>
      <c r="K68">
        <v>2.5000000000000001E-2</v>
      </c>
      <c r="L68">
        <v>0.41549999999999998</v>
      </c>
      <c r="M68" s="140">
        <f t="shared" si="7"/>
        <v>0.05</v>
      </c>
      <c r="N68" s="140">
        <f t="shared" si="7"/>
        <v>6.532</v>
      </c>
      <c r="O68" s="140">
        <f t="shared" si="7"/>
        <v>0.05</v>
      </c>
      <c r="P68" s="140">
        <f t="shared" si="8"/>
        <v>0.41549999999999998</v>
      </c>
      <c r="Q68" s="161" t="s">
        <v>676</v>
      </c>
      <c r="R68" s="125">
        <v>0.8</v>
      </c>
      <c r="S68" t="s">
        <v>676</v>
      </c>
      <c r="T68" t="s">
        <v>515</v>
      </c>
      <c r="U68" t="s">
        <v>515</v>
      </c>
      <c r="V68" s="118" t="s">
        <v>515</v>
      </c>
      <c r="W68">
        <v>40.714611111111097</v>
      </c>
      <c r="X68">
        <v>-86.749472222222195</v>
      </c>
      <c r="Y68">
        <v>5</v>
      </c>
      <c r="Z68">
        <v>17</v>
      </c>
      <c r="AA68">
        <v>2023</v>
      </c>
      <c r="AB68" t="b">
        <v>0</v>
      </c>
      <c r="AC68" s="19">
        <v>45063</v>
      </c>
      <c r="AD68" s="19" t="s">
        <v>515</v>
      </c>
      <c r="AE68" s="232">
        <v>0.68335648148148154</v>
      </c>
      <c r="AF68" s="198">
        <v>45063</v>
      </c>
      <c r="AG68" s="63" t="s">
        <v>515</v>
      </c>
      <c r="AH68" s="63" t="s">
        <v>515</v>
      </c>
      <c r="AI68" s="63">
        <v>744.6</v>
      </c>
      <c r="AJ68" s="63">
        <v>472.1</v>
      </c>
      <c r="AK68" s="63">
        <v>531.5</v>
      </c>
      <c r="AL68" s="63">
        <v>531504</v>
      </c>
      <c r="AM68" s="63">
        <v>0.26</v>
      </c>
      <c r="AN68" s="63">
        <v>536.9</v>
      </c>
      <c r="AO68" s="63">
        <v>0.25900000000000001</v>
      </c>
      <c r="AP68" s="63">
        <v>0.26100000000000001</v>
      </c>
      <c r="AQ68" s="63">
        <v>0.36799999999999999</v>
      </c>
      <c r="AR68" s="63">
        <v>77.900000000000006</v>
      </c>
      <c r="AS68" s="63">
        <v>7.19</v>
      </c>
      <c r="AT68" s="63">
        <v>79.8</v>
      </c>
      <c r="AU68" s="63">
        <v>40.714619999999996</v>
      </c>
      <c r="AV68" s="63">
        <v>-86.749510000000001</v>
      </c>
      <c r="AW68" s="63">
        <v>192.7</v>
      </c>
      <c r="AX68" s="63">
        <v>217.3</v>
      </c>
      <c r="AY68" s="63">
        <v>7.5</v>
      </c>
      <c r="AZ68" s="63">
        <v>-62.6</v>
      </c>
      <c r="BA68" s="63">
        <v>11.8</v>
      </c>
      <c r="BB68" s="63">
        <v>0</v>
      </c>
      <c r="BC68" s="63">
        <v>19.148</v>
      </c>
      <c r="BD68" s="63">
        <v>9.1999999999999993</v>
      </c>
      <c r="BE68" s="63">
        <v>0</v>
      </c>
      <c r="BF68" s="198">
        <v>45063</v>
      </c>
      <c r="BG68" s="63" t="s">
        <v>1820</v>
      </c>
    </row>
    <row r="69" spans="1:59" x14ac:dyDescent="0.25">
      <c r="A69" s="25">
        <v>10068</v>
      </c>
      <c r="B69" t="s">
        <v>95</v>
      </c>
      <c r="C69" t="s">
        <v>537</v>
      </c>
      <c r="D69" s="27" t="s">
        <v>516</v>
      </c>
      <c r="E69" s="27" t="str">
        <f t="shared" ref="E69:E91" si="9">RIGHT(D69,2)</f>
        <v>?</v>
      </c>
      <c r="F69" s="118" t="s">
        <v>515</v>
      </c>
      <c r="G69" t="s">
        <v>22</v>
      </c>
      <c r="H69" s="24" t="s">
        <v>513</v>
      </c>
      <c r="I69">
        <v>0.26019999999999999</v>
      </c>
      <c r="J69">
        <v>4.4909999999999997</v>
      </c>
      <c r="K69">
        <v>6.0000000000000001E-3</v>
      </c>
      <c r="L69" t="s">
        <v>515</v>
      </c>
      <c r="M69" s="140">
        <f t="shared" si="7"/>
        <v>0.26019999999999999</v>
      </c>
      <c r="N69" s="140">
        <f t="shared" si="7"/>
        <v>4.4909999999999997</v>
      </c>
      <c r="O69" s="140">
        <f t="shared" si="7"/>
        <v>0.05</v>
      </c>
      <c r="P69" s="140" t="str">
        <f t="shared" si="8"/>
        <v>NULL</v>
      </c>
      <c r="Q69" s="161" t="s">
        <v>676</v>
      </c>
      <c r="R69" s="125">
        <v>13.66</v>
      </c>
      <c r="S69" t="s">
        <v>676</v>
      </c>
      <c r="T69" t="s">
        <v>515</v>
      </c>
      <c r="U69" t="s">
        <v>515</v>
      </c>
      <c r="V69" s="118" t="s">
        <v>515</v>
      </c>
      <c r="W69">
        <v>40.780079999999998</v>
      </c>
      <c r="X69">
        <v>-85.634010000000004</v>
      </c>
      <c r="Y69">
        <v>5</v>
      </c>
      <c r="Z69">
        <v>22</v>
      </c>
      <c r="AA69">
        <v>2023</v>
      </c>
      <c r="AB69" t="b">
        <v>0</v>
      </c>
      <c r="AC69" s="19">
        <v>45068</v>
      </c>
      <c r="AD69" s="19" t="s">
        <v>515</v>
      </c>
      <c r="AE69" s="230">
        <v>0.63806712962962964</v>
      </c>
      <c r="AF69" s="19">
        <v>45068</v>
      </c>
      <c r="AG69" s="118" t="s">
        <v>515</v>
      </c>
      <c r="AH69" s="118" t="s">
        <v>515</v>
      </c>
      <c r="AI69" s="118">
        <v>744.6</v>
      </c>
      <c r="AJ69" s="118">
        <v>413.4</v>
      </c>
      <c r="AK69" s="118">
        <v>457.8</v>
      </c>
      <c r="AL69" s="118">
        <v>457811</v>
      </c>
      <c r="AM69" s="118">
        <v>0.22</v>
      </c>
      <c r="AN69" s="118">
        <v>461.9</v>
      </c>
      <c r="AO69" s="21">
        <v>0.45200000000000001</v>
      </c>
      <c r="AP69" s="118">
        <v>0.45800000000000002</v>
      </c>
      <c r="AQ69" s="118">
        <v>0.64200000000000002</v>
      </c>
      <c r="AR69" s="118">
        <v>163.30000000000001</v>
      </c>
      <c r="AS69" s="118">
        <v>14.85</v>
      </c>
      <c r="AT69" s="118">
        <v>166.1</v>
      </c>
      <c r="AU69" s="118">
        <v>40.780079999999998</v>
      </c>
      <c r="AV69" s="118">
        <v>-85.634799999999998</v>
      </c>
      <c r="AW69" s="118">
        <v>224</v>
      </c>
      <c r="AX69" s="118">
        <v>118.9</v>
      </c>
      <c r="AY69" s="118">
        <v>8.75</v>
      </c>
      <c r="AZ69" s="118">
        <v>-141.30000000000001</v>
      </c>
      <c r="BA69" s="118">
        <v>11.8</v>
      </c>
      <c r="BB69" s="118">
        <v>0</v>
      </c>
      <c r="BC69" s="118">
        <v>19.922000000000001</v>
      </c>
      <c r="BD69" s="118">
        <v>6.45</v>
      </c>
      <c r="BE69" s="118">
        <v>0</v>
      </c>
      <c r="BF69" s="19">
        <v>45068</v>
      </c>
      <c r="BG69" s="118" t="s">
        <v>1844</v>
      </c>
    </row>
    <row r="70" spans="1:59" x14ac:dyDescent="0.25">
      <c r="A70" s="25">
        <v>10069</v>
      </c>
      <c r="B70" t="s">
        <v>96</v>
      </c>
      <c r="C70" t="s">
        <v>537</v>
      </c>
      <c r="D70" s="27" t="s">
        <v>516</v>
      </c>
      <c r="E70" s="27" t="str">
        <f t="shared" si="9"/>
        <v>?</v>
      </c>
      <c r="F70" s="118" t="s">
        <v>515</v>
      </c>
      <c r="G70" t="s">
        <v>22</v>
      </c>
      <c r="H70" s="24" t="s">
        <v>513</v>
      </c>
      <c r="I70">
        <v>1.1096999999999999</v>
      </c>
      <c r="J70">
        <v>4.1236666666666704</v>
      </c>
      <c r="K70">
        <v>0.267666666666667</v>
      </c>
      <c r="L70" t="s">
        <v>515</v>
      </c>
      <c r="M70" s="140">
        <f t="shared" si="7"/>
        <v>1.1096999999999999</v>
      </c>
      <c r="N70" s="140">
        <f t="shared" si="7"/>
        <v>4.1236666666666704</v>
      </c>
      <c r="O70" s="140">
        <f t="shared" si="7"/>
        <v>0.267666666666667</v>
      </c>
      <c r="P70" s="140" t="str">
        <f t="shared" si="8"/>
        <v>NULL</v>
      </c>
      <c r="Q70" s="161" t="s">
        <v>676</v>
      </c>
      <c r="R70" s="125">
        <v>12.324999999999999</v>
      </c>
      <c r="S70" t="s">
        <v>676</v>
      </c>
      <c r="T70" t="s">
        <v>515</v>
      </c>
      <c r="U70" t="s">
        <v>515</v>
      </c>
      <c r="V70" s="118" t="s">
        <v>515</v>
      </c>
      <c r="W70">
        <v>40.776009999999999</v>
      </c>
      <c r="X70">
        <v>-85.631150000000005</v>
      </c>
      <c r="Y70">
        <v>5</v>
      </c>
      <c r="Z70">
        <v>22</v>
      </c>
      <c r="AA70">
        <v>2023</v>
      </c>
      <c r="AB70" t="b">
        <v>0</v>
      </c>
      <c r="AC70" s="19">
        <v>45068</v>
      </c>
      <c r="AD70" s="19" t="s">
        <v>515</v>
      </c>
      <c r="AE70" s="230">
        <v>0.65230324074074075</v>
      </c>
      <c r="AF70" s="19">
        <v>45068</v>
      </c>
      <c r="AG70" s="118" t="s">
        <v>515</v>
      </c>
      <c r="AH70" s="118" t="s">
        <v>515</v>
      </c>
      <c r="AI70" s="118">
        <v>744.6</v>
      </c>
      <c r="AJ70" s="118">
        <v>413.4</v>
      </c>
      <c r="AK70" s="118">
        <v>457.2</v>
      </c>
      <c r="AL70" s="118">
        <v>457236</v>
      </c>
      <c r="AM70" s="118">
        <v>0.22</v>
      </c>
      <c r="AN70" s="118">
        <v>461.3</v>
      </c>
      <c r="AO70" s="21">
        <v>0.56899999999999995</v>
      </c>
      <c r="AP70" s="118">
        <v>0.61599999999999999</v>
      </c>
      <c r="AQ70" s="118">
        <v>0.80800000000000005</v>
      </c>
      <c r="AR70" s="118">
        <v>172.8</v>
      </c>
      <c r="AS70" s="118">
        <v>15.7</v>
      </c>
      <c r="AT70" s="118">
        <v>175.8</v>
      </c>
      <c r="AU70" s="118">
        <v>40.775950000000002</v>
      </c>
      <c r="AV70" s="118">
        <v>-85.631129999999999</v>
      </c>
      <c r="AW70" s="118">
        <v>226.1</v>
      </c>
      <c r="AX70" s="118">
        <v>111</v>
      </c>
      <c r="AY70" s="118">
        <v>8.7799999999999994</v>
      </c>
      <c r="AZ70" s="118">
        <v>-143.19999999999999</v>
      </c>
      <c r="BA70" s="118">
        <v>11.8</v>
      </c>
      <c r="BB70" s="118">
        <v>0</v>
      </c>
      <c r="BC70" s="118">
        <v>19.981999999999999</v>
      </c>
      <c r="BD70" s="118">
        <v>6.54</v>
      </c>
      <c r="BE70" s="118">
        <v>0</v>
      </c>
      <c r="BF70" s="19">
        <v>45068</v>
      </c>
      <c r="BG70" s="118" t="s">
        <v>1845</v>
      </c>
    </row>
    <row r="71" spans="1:59" x14ac:dyDescent="0.25">
      <c r="A71" s="25">
        <v>10070</v>
      </c>
      <c r="B71" t="s">
        <v>97</v>
      </c>
      <c r="C71" t="s">
        <v>537</v>
      </c>
      <c r="D71" s="27" t="s">
        <v>516</v>
      </c>
      <c r="E71" s="27" t="str">
        <f t="shared" si="9"/>
        <v>?</v>
      </c>
      <c r="F71" s="118" t="s">
        <v>515</v>
      </c>
      <c r="G71" t="s">
        <v>22</v>
      </c>
      <c r="H71" s="24" t="s">
        <v>513</v>
      </c>
      <c r="I71">
        <v>0.47549999999999998</v>
      </c>
      <c r="J71">
        <v>4.7279999999999998</v>
      </c>
      <c r="K71">
        <v>-2E-3</v>
      </c>
      <c r="L71" t="s">
        <v>515</v>
      </c>
      <c r="M71" s="140">
        <f t="shared" si="7"/>
        <v>0.47549999999999998</v>
      </c>
      <c r="N71" s="140">
        <f t="shared" si="7"/>
        <v>4.7279999999999998</v>
      </c>
      <c r="O71" s="140">
        <f t="shared" si="7"/>
        <v>0.05</v>
      </c>
      <c r="P71" s="140" t="str">
        <f t="shared" si="8"/>
        <v>NULL</v>
      </c>
      <c r="Q71" s="161" t="s">
        <v>676</v>
      </c>
      <c r="R71" s="125">
        <v>12.84</v>
      </c>
      <c r="S71" t="s">
        <v>676</v>
      </c>
      <c r="T71" t="s">
        <v>515</v>
      </c>
      <c r="U71" t="s">
        <v>515</v>
      </c>
      <c r="V71" s="118" t="s">
        <v>515</v>
      </c>
      <c r="W71">
        <v>40.776359999999997</v>
      </c>
      <c r="X71">
        <v>-85.630380000000002</v>
      </c>
      <c r="Y71">
        <v>5</v>
      </c>
      <c r="Z71">
        <v>22</v>
      </c>
      <c r="AA71">
        <v>2023</v>
      </c>
      <c r="AB71" t="b">
        <v>0</v>
      </c>
      <c r="AC71" s="19">
        <v>45068</v>
      </c>
      <c r="AD71" s="19" t="s">
        <v>515</v>
      </c>
      <c r="AE71" s="230">
        <v>0.69118055555555558</v>
      </c>
      <c r="AF71" s="19">
        <v>45068</v>
      </c>
      <c r="AG71" s="118" t="s">
        <v>515</v>
      </c>
      <c r="AH71" s="118" t="s">
        <v>515</v>
      </c>
      <c r="AI71" s="118">
        <v>744.4</v>
      </c>
      <c r="AJ71" s="118">
        <v>413.5</v>
      </c>
      <c r="AK71" s="118">
        <v>454.6</v>
      </c>
      <c r="AL71" s="118">
        <v>454611</v>
      </c>
      <c r="AM71" s="118">
        <v>0.22</v>
      </c>
      <c r="AN71" s="118">
        <v>458.5</v>
      </c>
      <c r="AO71" s="21">
        <v>0.54</v>
      </c>
      <c r="AP71" s="118">
        <v>0.53200000000000003</v>
      </c>
      <c r="AQ71" s="118">
        <v>0.76700000000000002</v>
      </c>
      <c r="AR71" s="118">
        <v>184.1</v>
      </c>
      <c r="AS71" s="118">
        <v>16.63</v>
      </c>
      <c r="AT71" s="118">
        <v>187.3</v>
      </c>
      <c r="AU71" s="118">
        <v>40.776609999999998</v>
      </c>
      <c r="AV71" s="118">
        <v>-85.631829999999994</v>
      </c>
      <c r="AW71" s="118">
        <v>226.4</v>
      </c>
      <c r="AX71" s="118">
        <v>144.19999999999999</v>
      </c>
      <c r="AY71" s="118">
        <v>8.84</v>
      </c>
      <c r="AZ71" s="118">
        <v>-146.9</v>
      </c>
      <c r="BA71" s="118">
        <v>11.8</v>
      </c>
      <c r="BB71" s="118">
        <v>0</v>
      </c>
      <c r="BC71" s="118">
        <v>20.266999999999999</v>
      </c>
      <c r="BD71" s="118">
        <v>7.04</v>
      </c>
      <c r="BE71" s="118">
        <v>0</v>
      </c>
      <c r="BF71" s="19">
        <v>45068</v>
      </c>
      <c r="BG71" s="118" t="s">
        <v>1847</v>
      </c>
    </row>
    <row r="72" spans="1:59" x14ac:dyDescent="0.25">
      <c r="A72" s="25">
        <v>10071</v>
      </c>
      <c r="B72" t="s">
        <v>98</v>
      </c>
      <c r="C72" t="s">
        <v>537</v>
      </c>
      <c r="D72" s="27" t="s">
        <v>516</v>
      </c>
      <c r="E72" s="27" t="str">
        <f t="shared" si="9"/>
        <v>?</v>
      </c>
      <c r="F72" s="118" t="s">
        <v>515</v>
      </c>
      <c r="G72" t="s">
        <v>22</v>
      </c>
      <c r="H72" s="24" t="s">
        <v>513</v>
      </c>
      <c r="I72">
        <v>0.19700000000000001</v>
      </c>
      <c r="J72">
        <v>4.694</v>
      </c>
      <c r="K72">
        <v>2.7E-2</v>
      </c>
      <c r="L72" t="s">
        <v>515</v>
      </c>
      <c r="M72" s="140">
        <f t="shared" si="7"/>
        <v>0.19700000000000001</v>
      </c>
      <c r="N72" s="140">
        <f t="shared" si="7"/>
        <v>4.694</v>
      </c>
      <c r="O72" s="140">
        <f t="shared" si="7"/>
        <v>0.05</v>
      </c>
      <c r="P72" s="140" t="str">
        <f t="shared" si="8"/>
        <v>NULL</v>
      </c>
      <c r="Q72" s="161" t="s">
        <v>676</v>
      </c>
      <c r="R72" s="125">
        <v>9.9350000000000005</v>
      </c>
      <c r="S72" t="s">
        <v>676</v>
      </c>
      <c r="T72" t="s">
        <v>515</v>
      </c>
      <c r="U72" t="s">
        <v>515</v>
      </c>
      <c r="V72" s="118" t="s">
        <v>515</v>
      </c>
      <c r="W72">
        <v>40.776620000000001</v>
      </c>
      <c r="X72">
        <v>-85.631929999999997</v>
      </c>
      <c r="Y72">
        <v>5</v>
      </c>
      <c r="Z72">
        <v>22</v>
      </c>
      <c r="AA72">
        <v>2023</v>
      </c>
      <c r="AB72" t="b">
        <v>0</v>
      </c>
      <c r="AC72" s="19">
        <v>45068</v>
      </c>
      <c r="AD72" s="19" t="s">
        <v>515</v>
      </c>
      <c r="AE72" s="230">
        <v>0.69813657407407403</v>
      </c>
      <c r="AF72" s="19">
        <v>45068</v>
      </c>
      <c r="AG72" s="118" t="s">
        <v>515</v>
      </c>
      <c r="AH72" s="118" t="s">
        <v>515</v>
      </c>
      <c r="AI72" s="118">
        <v>744.3</v>
      </c>
      <c r="AJ72" s="118">
        <v>417</v>
      </c>
      <c r="AK72" s="118">
        <v>455.4</v>
      </c>
      <c r="AL72" s="118">
        <v>455370</v>
      </c>
      <c r="AM72" s="118">
        <v>0.22</v>
      </c>
      <c r="AN72" s="118">
        <v>459</v>
      </c>
      <c r="AO72" s="21">
        <v>0.52400000000000002</v>
      </c>
      <c r="AP72" s="118">
        <v>0.51300000000000001</v>
      </c>
      <c r="AQ72" s="118">
        <v>0.74399999999999999</v>
      </c>
      <c r="AR72" s="118">
        <v>179.5</v>
      </c>
      <c r="AS72" s="118">
        <v>16.11</v>
      </c>
      <c r="AT72" s="118">
        <v>182.6</v>
      </c>
      <c r="AU72" s="118">
        <v>40.776470000000003</v>
      </c>
      <c r="AV72" s="118">
        <v>-85.632549999999995</v>
      </c>
      <c r="AW72" s="118">
        <v>220.7</v>
      </c>
      <c r="AX72" s="118">
        <v>126.5</v>
      </c>
      <c r="AY72" s="118">
        <v>8.7899999999999991</v>
      </c>
      <c r="AZ72" s="118">
        <v>-143.9</v>
      </c>
      <c r="BA72" s="118">
        <v>11.8</v>
      </c>
      <c r="BB72" s="118">
        <v>0</v>
      </c>
      <c r="BC72" s="118">
        <v>20.585999999999999</v>
      </c>
      <c r="BD72" s="118">
        <v>7.03</v>
      </c>
      <c r="BE72" s="118">
        <v>0</v>
      </c>
      <c r="BF72" s="19">
        <v>45068</v>
      </c>
      <c r="BG72" s="118" t="s">
        <v>1848</v>
      </c>
    </row>
    <row r="73" spans="1:59" x14ac:dyDescent="0.25">
      <c r="A73" s="25">
        <v>10072</v>
      </c>
      <c r="B73" t="s">
        <v>99</v>
      </c>
      <c r="C73" t="s">
        <v>537</v>
      </c>
      <c r="D73" s="27" t="s">
        <v>516</v>
      </c>
      <c r="E73" s="27" t="str">
        <f t="shared" si="9"/>
        <v>?</v>
      </c>
      <c r="F73" s="118" t="s">
        <v>515</v>
      </c>
      <c r="G73" t="s">
        <v>22</v>
      </c>
      <c r="H73" s="24" t="s">
        <v>513</v>
      </c>
      <c r="I73">
        <v>0.2364</v>
      </c>
      <c r="J73">
        <v>4.2460000000000004</v>
      </c>
      <c r="K73">
        <v>1.7999999999999999E-2</v>
      </c>
      <c r="L73" t="s">
        <v>515</v>
      </c>
      <c r="M73" s="140">
        <f t="shared" si="7"/>
        <v>0.2364</v>
      </c>
      <c r="N73" s="140">
        <f t="shared" si="7"/>
        <v>4.2460000000000004</v>
      </c>
      <c r="O73" s="140">
        <f t="shared" si="7"/>
        <v>0.05</v>
      </c>
      <c r="P73" s="140" t="str">
        <f t="shared" si="8"/>
        <v>NULL</v>
      </c>
      <c r="Q73" s="161" t="s">
        <v>676</v>
      </c>
      <c r="R73" s="125">
        <v>9.9550000000000001</v>
      </c>
      <c r="S73" t="s">
        <v>676</v>
      </c>
      <c r="T73" t="s">
        <v>515</v>
      </c>
      <c r="U73" t="s">
        <v>515</v>
      </c>
      <c r="V73" s="118" t="s">
        <v>515</v>
      </c>
      <c r="W73">
        <v>40.776470000000003</v>
      </c>
      <c r="X73">
        <v>-85.632549999999995</v>
      </c>
      <c r="Y73">
        <v>5</v>
      </c>
      <c r="Z73">
        <v>22</v>
      </c>
      <c r="AA73">
        <v>2023</v>
      </c>
      <c r="AB73" t="b">
        <v>0</v>
      </c>
      <c r="AC73" s="19">
        <v>45068</v>
      </c>
      <c r="AD73" s="19" t="s">
        <v>515</v>
      </c>
      <c r="AE73" s="230">
        <v>0.70192129629629629</v>
      </c>
      <c r="AF73" s="19">
        <v>45068</v>
      </c>
      <c r="AG73" s="118" t="s">
        <v>515</v>
      </c>
      <c r="AH73" s="118" t="s">
        <v>515</v>
      </c>
      <c r="AI73" s="118">
        <v>744.4</v>
      </c>
      <c r="AJ73" s="118">
        <v>423.6</v>
      </c>
      <c r="AK73" s="118">
        <v>458.2</v>
      </c>
      <c r="AL73" s="118">
        <v>458245</v>
      </c>
      <c r="AM73" s="118">
        <v>0.22</v>
      </c>
      <c r="AN73" s="118">
        <v>461.5</v>
      </c>
      <c r="AO73" s="21">
        <v>0.35699999999999998</v>
      </c>
      <c r="AP73" s="118">
        <v>0.37</v>
      </c>
      <c r="AQ73" s="118">
        <v>0.50700000000000001</v>
      </c>
      <c r="AR73" s="118">
        <v>182.2</v>
      </c>
      <c r="AS73" s="118">
        <v>16.21</v>
      </c>
      <c r="AT73" s="118">
        <v>185.3</v>
      </c>
      <c r="AU73" s="118">
        <v>40.777940000000001</v>
      </c>
      <c r="AV73" s="118">
        <v>-85.63306</v>
      </c>
      <c r="AW73" s="118">
        <v>220.4</v>
      </c>
      <c r="AX73" s="118">
        <v>151.69999999999999</v>
      </c>
      <c r="AY73" s="118">
        <v>8.8699999999999992</v>
      </c>
      <c r="AZ73" s="118">
        <v>-148.5</v>
      </c>
      <c r="BA73" s="118">
        <v>11.8</v>
      </c>
      <c r="BB73" s="118">
        <v>0</v>
      </c>
      <c r="BC73" s="118">
        <v>21.045000000000002</v>
      </c>
      <c r="BD73" s="118">
        <v>4.84</v>
      </c>
      <c r="BE73" s="118">
        <v>0</v>
      </c>
      <c r="BF73" s="19">
        <v>45068</v>
      </c>
      <c r="BG73" s="118" t="s">
        <v>1849</v>
      </c>
    </row>
    <row r="74" spans="1:59" x14ac:dyDescent="0.25">
      <c r="A74" s="25">
        <v>10073</v>
      </c>
      <c r="B74" t="s">
        <v>100</v>
      </c>
      <c r="C74" t="s">
        <v>537</v>
      </c>
      <c r="D74" s="27" t="s">
        <v>516</v>
      </c>
      <c r="E74" s="27" t="str">
        <f t="shared" si="9"/>
        <v>?</v>
      </c>
      <c r="F74" s="118" t="s">
        <v>515</v>
      </c>
      <c r="G74" t="s">
        <v>22</v>
      </c>
      <c r="H74" s="24" t="s">
        <v>513</v>
      </c>
      <c r="I74">
        <v>0.2271</v>
      </c>
      <c r="J74">
        <v>4.8410000000000002</v>
      </c>
      <c r="K74">
        <v>0.24299999999999999</v>
      </c>
      <c r="L74" t="s">
        <v>515</v>
      </c>
      <c r="M74" s="140">
        <f t="shared" si="7"/>
        <v>0.2271</v>
      </c>
      <c r="N74" s="140">
        <f t="shared" si="7"/>
        <v>4.8410000000000002</v>
      </c>
      <c r="O74" s="140">
        <f t="shared" si="7"/>
        <v>0.24299999999999999</v>
      </c>
      <c r="P74" s="140" t="str">
        <f t="shared" si="8"/>
        <v>NULL</v>
      </c>
      <c r="Q74" s="161" t="s">
        <v>676</v>
      </c>
      <c r="R74" s="125">
        <v>11.6</v>
      </c>
      <c r="S74" t="s">
        <v>676</v>
      </c>
      <c r="T74" t="s">
        <v>515</v>
      </c>
      <c r="U74" t="s">
        <v>515</v>
      </c>
      <c r="V74" s="118" t="s">
        <v>515</v>
      </c>
      <c r="W74">
        <v>40.777940000000001</v>
      </c>
      <c r="X74">
        <v>-85.63306</v>
      </c>
      <c r="Y74">
        <v>5</v>
      </c>
      <c r="Z74">
        <v>22</v>
      </c>
      <c r="AA74">
        <v>2023</v>
      </c>
      <c r="AB74" t="b">
        <v>0</v>
      </c>
      <c r="AC74" s="19">
        <v>45068</v>
      </c>
      <c r="AD74" s="19" t="s">
        <v>515</v>
      </c>
      <c r="AE74" s="230">
        <v>0.71233796296296292</v>
      </c>
      <c r="AF74" s="19">
        <v>45068</v>
      </c>
      <c r="AG74" s="118" t="s">
        <v>515</v>
      </c>
      <c r="AH74" s="118" t="s">
        <v>515</v>
      </c>
      <c r="AI74" s="118">
        <v>744.4</v>
      </c>
      <c r="AJ74" s="118">
        <v>411.3</v>
      </c>
      <c r="AK74" s="118">
        <v>450.4</v>
      </c>
      <c r="AL74" s="118">
        <v>450429</v>
      </c>
      <c r="AM74" s="118">
        <v>0.22</v>
      </c>
      <c r="AN74" s="118">
        <v>454.1</v>
      </c>
      <c r="AO74" s="21">
        <v>0.57599999999999996</v>
      </c>
      <c r="AP74" s="118">
        <v>0.57399999999999995</v>
      </c>
      <c r="AQ74" s="118">
        <v>0.81799999999999995</v>
      </c>
      <c r="AR74" s="118">
        <v>199.1</v>
      </c>
      <c r="AS74" s="118">
        <v>17.920000000000002</v>
      </c>
      <c r="AT74" s="118">
        <v>202.5</v>
      </c>
      <c r="AU74" s="118">
        <v>40.778820000000003</v>
      </c>
      <c r="AV74" s="118">
        <v>-85.634559999999993</v>
      </c>
      <c r="AW74" s="118">
        <v>227.1</v>
      </c>
      <c r="AX74" s="118">
        <v>151.6</v>
      </c>
      <c r="AY74" s="118">
        <v>8.94</v>
      </c>
      <c r="AZ74" s="118">
        <v>-152.19999999999999</v>
      </c>
      <c r="BA74" s="118">
        <v>11.8</v>
      </c>
      <c r="BB74" s="118">
        <v>0</v>
      </c>
      <c r="BC74" s="118">
        <v>20.443999999999999</v>
      </c>
      <c r="BD74" s="118">
        <v>8.1300000000000008</v>
      </c>
      <c r="BE74" s="118">
        <v>0</v>
      </c>
      <c r="BF74" s="19">
        <v>45068</v>
      </c>
      <c r="BG74" s="118" t="s">
        <v>1850</v>
      </c>
    </row>
    <row r="75" spans="1:59" x14ac:dyDescent="0.25">
      <c r="A75" s="25">
        <v>10074</v>
      </c>
      <c r="B75" t="s">
        <v>101</v>
      </c>
      <c r="C75" t="s">
        <v>537</v>
      </c>
      <c r="D75" s="27" t="s">
        <v>516</v>
      </c>
      <c r="E75" s="27" t="str">
        <f t="shared" si="9"/>
        <v>?</v>
      </c>
      <c r="F75" s="118" t="s">
        <v>515</v>
      </c>
      <c r="G75" t="s">
        <v>22</v>
      </c>
      <c r="H75" s="24" t="s">
        <v>513</v>
      </c>
      <c r="I75">
        <v>1.6473</v>
      </c>
      <c r="J75">
        <v>4.1206666666666703</v>
      </c>
      <c r="K75">
        <v>0.48266666666666602</v>
      </c>
      <c r="L75" t="s">
        <v>515</v>
      </c>
      <c r="M75" s="140">
        <f t="shared" si="7"/>
        <v>1.6473</v>
      </c>
      <c r="N75" s="140">
        <f t="shared" si="7"/>
        <v>4.1206666666666703</v>
      </c>
      <c r="O75" s="140">
        <f t="shared" si="7"/>
        <v>0.48266666666666602</v>
      </c>
      <c r="P75" s="140" t="str">
        <f t="shared" si="8"/>
        <v>NULL</v>
      </c>
      <c r="Q75" s="161" t="s">
        <v>676</v>
      </c>
      <c r="R75" s="125">
        <v>11.815</v>
      </c>
      <c r="S75" t="s">
        <v>676</v>
      </c>
      <c r="T75" t="s">
        <v>515</v>
      </c>
      <c r="U75" t="s">
        <v>515</v>
      </c>
      <c r="V75" s="118" t="s">
        <v>515</v>
      </c>
      <c r="W75">
        <v>40.778799999999997</v>
      </c>
      <c r="X75">
        <v>-85.634619999999998</v>
      </c>
      <c r="Y75">
        <v>5</v>
      </c>
      <c r="Z75">
        <v>22</v>
      </c>
      <c r="AA75">
        <v>2023</v>
      </c>
      <c r="AB75" t="b">
        <v>0</v>
      </c>
      <c r="AC75" s="19">
        <v>45068</v>
      </c>
      <c r="AD75" s="19" t="s">
        <v>515</v>
      </c>
      <c r="AE75" s="230">
        <v>0.80973379629629627</v>
      </c>
      <c r="AF75" s="19">
        <v>45068</v>
      </c>
      <c r="AG75" s="118" t="s">
        <v>515</v>
      </c>
      <c r="AH75" s="118" t="s">
        <v>515</v>
      </c>
      <c r="AI75" s="118">
        <v>743.6</v>
      </c>
      <c r="AJ75" s="118">
        <v>372.6</v>
      </c>
      <c r="AK75" s="118">
        <v>390.7</v>
      </c>
      <c r="AL75" s="118">
        <v>390655</v>
      </c>
      <c r="AM75" s="118">
        <v>0.19</v>
      </c>
      <c r="AN75" s="118">
        <v>392.4</v>
      </c>
      <c r="AO75" s="21">
        <v>0.32100000000000001</v>
      </c>
      <c r="AP75" s="118">
        <v>0.307</v>
      </c>
      <c r="AQ75" s="118">
        <v>0.45600000000000002</v>
      </c>
      <c r="AR75" s="118">
        <v>313.5</v>
      </c>
      <c r="AS75" s="118">
        <v>27.08</v>
      </c>
      <c r="AT75" s="118">
        <v>318.89999999999998</v>
      </c>
      <c r="AU75" s="118">
        <v>40.772359999999999</v>
      </c>
      <c r="AV75" s="118">
        <v>-85.644130000000004</v>
      </c>
      <c r="AW75" s="118">
        <v>223.3</v>
      </c>
      <c r="AX75" s="118">
        <v>119.7</v>
      </c>
      <c r="AY75" s="118">
        <v>9.4700000000000006</v>
      </c>
      <c r="AZ75" s="118">
        <v>-184.3</v>
      </c>
      <c r="BA75" s="118">
        <v>11.8</v>
      </c>
      <c r="BB75" s="118">
        <v>0</v>
      </c>
      <c r="BC75" s="118">
        <v>22.574000000000002</v>
      </c>
      <c r="BD75" s="118">
        <v>31.02</v>
      </c>
      <c r="BE75" s="118">
        <v>0</v>
      </c>
      <c r="BF75" s="19">
        <v>45068</v>
      </c>
      <c r="BG75" s="118" t="s">
        <v>1851</v>
      </c>
    </row>
    <row r="76" spans="1:59" x14ac:dyDescent="0.25">
      <c r="A76" s="25">
        <v>10075</v>
      </c>
      <c r="B76" t="s">
        <v>102</v>
      </c>
      <c r="C76" t="s">
        <v>537</v>
      </c>
      <c r="D76" s="27" t="s">
        <v>516</v>
      </c>
      <c r="E76" s="27" t="str">
        <f t="shared" si="9"/>
        <v>?</v>
      </c>
      <c r="F76" s="118" t="s">
        <v>515</v>
      </c>
      <c r="G76" t="s">
        <v>22</v>
      </c>
      <c r="H76" s="24" t="s">
        <v>513</v>
      </c>
      <c r="I76">
        <v>0.54759999999999998</v>
      </c>
      <c r="J76">
        <v>4.2670000000000003</v>
      </c>
      <c r="K76">
        <v>1.7000000000000001E-2</v>
      </c>
      <c r="L76" t="s">
        <v>515</v>
      </c>
      <c r="M76" s="140">
        <f t="shared" si="7"/>
        <v>0.54759999999999998</v>
      </c>
      <c r="N76" s="140">
        <f t="shared" si="7"/>
        <v>4.2670000000000003</v>
      </c>
      <c r="O76" s="140">
        <f t="shared" si="7"/>
        <v>0.05</v>
      </c>
      <c r="P76" s="140" t="str">
        <f t="shared" si="8"/>
        <v>NULL</v>
      </c>
      <c r="Q76" s="161" t="s">
        <v>676</v>
      </c>
      <c r="R76" s="125">
        <v>13.414999999999999</v>
      </c>
      <c r="S76" t="s">
        <v>676</v>
      </c>
      <c r="T76" t="s">
        <v>515</v>
      </c>
      <c r="U76" t="s">
        <v>515</v>
      </c>
      <c r="V76" s="118" t="s">
        <v>515</v>
      </c>
      <c r="W76">
        <v>40.772579999999998</v>
      </c>
      <c r="X76">
        <v>-85.644739999999999</v>
      </c>
      <c r="Y76">
        <v>5</v>
      </c>
      <c r="Z76">
        <v>22</v>
      </c>
      <c r="AA76">
        <v>2023</v>
      </c>
      <c r="AB76" t="b">
        <v>0</v>
      </c>
      <c r="AC76" s="19">
        <v>45068</v>
      </c>
      <c r="AD76" s="19" t="s">
        <v>515</v>
      </c>
      <c r="AE76" s="230">
        <v>0.83060185185185187</v>
      </c>
      <c r="AF76" s="19">
        <v>45068</v>
      </c>
      <c r="AG76" s="118" t="s">
        <v>515</v>
      </c>
      <c r="AH76" s="118" t="s">
        <v>515</v>
      </c>
      <c r="AI76" s="118">
        <v>743.5</v>
      </c>
      <c r="AJ76" s="118">
        <v>416.2</v>
      </c>
      <c r="AK76" s="118">
        <v>430.6</v>
      </c>
      <c r="AL76" s="118">
        <v>430628</v>
      </c>
      <c r="AM76" s="118">
        <v>0.21</v>
      </c>
      <c r="AN76" s="118">
        <v>432.1</v>
      </c>
      <c r="AO76" s="21">
        <v>0.309</v>
      </c>
      <c r="AP76" s="118">
        <v>0.30499999999999999</v>
      </c>
      <c r="AQ76" s="118">
        <v>0.439</v>
      </c>
      <c r="AR76" s="118">
        <v>227</v>
      </c>
      <c r="AS76" s="118">
        <v>19.37</v>
      </c>
      <c r="AT76" s="118">
        <v>230.9</v>
      </c>
      <c r="AU76" s="118">
        <v>40.769880000000001</v>
      </c>
      <c r="AV76" s="118">
        <v>-85.647189999999995</v>
      </c>
      <c r="AW76" s="118">
        <v>228.7</v>
      </c>
      <c r="AX76" s="118">
        <v>141.80000000000001</v>
      </c>
      <c r="AY76" s="118">
        <v>9.0399999999999991</v>
      </c>
      <c r="AZ76" s="118">
        <v>-159.30000000000001</v>
      </c>
      <c r="BA76" s="118">
        <v>11.8</v>
      </c>
      <c r="BB76" s="118">
        <v>0</v>
      </c>
      <c r="BC76" s="118">
        <v>23.251000000000001</v>
      </c>
      <c r="BD76" s="118">
        <v>5.79</v>
      </c>
      <c r="BE76" s="118">
        <v>0</v>
      </c>
      <c r="BF76" s="19">
        <v>45068</v>
      </c>
      <c r="BG76" s="118" t="s">
        <v>1852</v>
      </c>
    </row>
    <row r="77" spans="1:59" x14ac:dyDescent="0.25">
      <c r="A77" s="25">
        <v>10076</v>
      </c>
      <c r="B77" t="s">
        <v>103</v>
      </c>
      <c r="C77" t="s">
        <v>537</v>
      </c>
      <c r="D77" s="27" t="s">
        <v>516</v>
      </c>
      <c r="E77" s="27" t="str">
        <f t="shared" si="9"/>
        <v>?</v>
      </c>
      <c r="F77" s="118" t="s">
        <v>515</v>
      </c>
      <c r="G77" t="s">
        <v>22</v>
      </c>
      <c r="H77" s="24" t="s">
        <v>9</v>
      </c>
      <c r="I77">
        <v>0.75190000000000001</v>
      </c>
      <c r="J77">
        <v>4.8159999999999998</v>
      </c>
      <c r="K77">
        <v>6.8000000000000005E-2</v>
      </c>
      <c r="L77">
        <v>0.182</v>
      </c>
      <c r="M77" s="140">
        <f t="shared" si="7"/>
        <v>0.75190000000000001</v>
      </c>
      <c r="N77" s="140">
        <f t="shared" si="7"/>
        <v>4.8159999999999998</v>
      </c>
      <c r="O77" s="140">
        <f t="shared" si="7"/>
        <v>0.05</v>
      </c>
      <c r="P77" s="140">
        <f t="shared" si="8"/>
        <v>0.182</v>
      </c>
      <c r="Q77" s="161" t="s">
        <v>676</v>
      </c>
      <c r="R77" s="125">
        <v>7.5549999999999997</v>
      </c>
      <c r="S77" t="s">
        <v>676</v>
      </c>
      <c r="T77" t="s">
        <v>515</v>
      </c>
      <c r="U77" t="s">
        <v>515</v>
      </c>
      <c r="V77" s="118" t="s">
        <v>515</v>
      </c>
      <c r="W77">
        <v>40.779642000000003</v>
      </c>
      <c r="X77">
        <v>-85.636830000000003</v>
      </c>
      <c r="Y77">
        <v>5</v>
      </c>
      <c r="Z77">
        <v>22</v>
      </c>
      <c r="AA77">
        <v>2023</v>
      </c>
      <c r="AB77" t="b">
        <v>0</v>
      </c>
      <c r="AC77" s="19">
        <v>45068</v>
      </c>
      <c r="AD77" s="19" t="s">
        <v>515</v>
      </c>
      <c r="AE77" s="230">
        <v>0.84584490740740736</v>
      </c>
      <c r="AF77" s="19">
        <v>45068</v>
      </c>
      <c r="AG77" s="118" t="s">
        <v>515</v>
      </c>
      <c r="AH77" s="118" t="s">
        <v>515</v>
      </c>
      <c r="AI77" s="118">
        <v>743.4</v>
      </c>
      <c r="AJ77" s="118">
        <v>400.1</v>
      </c>
      <c r="AK77" s="118">
        <v>424.9</v>
      </c>
      <c r="AL77" s="118">
        <v>424884</v>
      </c>
      <c r="AM77" s="118">
        <v>0.2</v>
      </c>
      <c r="AN77" s="118">
        <v>427.3</v>
      </c>
      <c r="AO77" s="21">
        <v>0.317</v>
      </c>
      <c r="AP77" s="118">
        <v>0.32100000000000001</v>
      </c>
      <c r="AQ77" s="118">
        <v>0.44900000000000001</v>
      </c>
      <c r="AR77" s="118">
        <v>250.4</v>
      </c>
      <c r="AS77" s="118">
        <v>21.9</v>
      </c>
      <c r="AT77" s="118">
        <v>254.8</v>
      </c>
      <c r="AU77" s="118">
        <v>40.771839999999997</v>
      </c>
      <c r="AV77" s="118">
        <v>-85.647180000000006</v>
      </c>
      <c r="AW77" s="118">
        <v>228.1</v>
      </c>
      <c r="AX77" s="118">
        <v>138.9</v>
      </c>
      <c r="AY77" s="118">
        <v>9.09</v>
      </c>
      <c r="AZ77" s="118">
        <v>-161.6</v>
      </c>
      <c r="BA77" s="118">
        <v>11.8</v>
      </c>
      <c r="BB77" s="118">
        <v>0</v>
      </c>
      <c r="BC77" s="118">
        <v>21.95</v>
      </c>
      <c r="BD77" s="118">
        <v>11.24</v>
      </c>
      <c r="BE77" s="118">
        <v>0</v>
      </c>
      <c r="BF77" s="19">
        <v>45068</v>
      </c>
      <c r="BG77" s="118" t="s">
        <v>1853</v>
      </c>
    </row>
    <row r="78" spans="1:59" x14ac:dyDescent="0.25">
      <c r="A78" s="25">
        <v>10077</v>
      </c>
      <c r="B78" t="s">
        <v>104</v>
      </c>
      <c r="C78" t="s">
        <v>537</v>
      </c>
      <c r="D78" s="27" t="s">
        <v>516</v>
      </c>
      <c r="E78" s="27" t="str">
        <f t="shared" si="9"/>
        <v>?</v>
      </c>
      <c r="F78" s="118" t="s">
        <v>515</v>
      </c>
      <c r="G78" t="s">
        <v>22</v>
      </c>
      <c r="H78" s="24" t="s">
        <v>9</v>
      </c>
      <c r="I78">
        <v>1.1999999999999999E-3</v>
      </c>
      <c r="J78">
        <v>6.093</v>
      </c>
      <c r="K78">
        <v>0.47499999999999998</v>
      </c>
      <c r="L78">
        <v>0.3755</v>
      </c>
      <c r="M78" s="140">
        <f t="shared" si="7"/>
        <v>0.05</v>
      </c>
      <c r="N78" s="140">
        <f t="shared" si="7"/>
        <v>6.093</v>
      </c>
      <c r="O78" s="140">
        <f t="shared" si="7"/>
        <v>0.47499999999999998</v>
      </c>
      <c r="P78" s="140">
        <f t="shared" si="8"/>
        <v>0.3755</v>
      </c>
      <c r="Q78" s="161" t="s">
        <v>676</v>
      </c>
      <c r="R78" s="125">
        <v>13.055</v>
      </c>
      <c r="S78" t="s">
        <v>676</v>
      </c>
      <c r="T78" t="s">
        <v>515</v>
      </c>
      <c r="U78" t="s">
        <v>515</v>
      </c>
      <c r="V78" s="118" t="s">
        <v>515</v>
      </c>
      <c r="W78">
        <v>40.779795</v>
      </c>
      <c r="X78">
        <v>-85.637938000000005</v>
      </c>
      <c r="Y78">
        <v>5</v>
      </c>
      <c r="Z78">
        <v>22</v>
      </c>
      <c r="AA78">
        <v>2023</v>
      </c>
      <c r="AB78" t="b">
        <v>0</v>
      </c>
      <c r="AC78" s="19">
        <v>45068</v>
      </c>
      <c r="AD78" s="19" t="s">
        <v>515</v>
      </c>
      <c r="AE78" s="230">
        <v>0.85973379629629632</v>
      </c>
      <c r="AF78" s="19">
        <v>45068</v>
      </c>
      <c r="AG78" s="118" t="s">
        <v>515</v>
      </c>
      <c r="AH78" s="118" t="s">
        <v>515</v>
      </c>
      <c r="AI78" s="118">
        <v>743.1</v>
      </c>
      <c r="AJ78" s="118">
        <v>413.7</v>
      </c>
      <c r="AK78" s="118">
        <v>416.2</v>
      </c>
      <c r="AL78" s="118">
        <v>416196</v>
      </c>
      <c r="AM78" s="118">
        <v>0.2</v>
      </c>
      <c r="AN78" s="118">
        <v>416.4</v>
      </c>
      <c r="AO78" s="21">
        <v>0.36399999999999999</v>
      </c>
      <c r="AP78" s="118">
        <v>0.372</v>
      </c>
      <c r="AQ78" s="118">
        <v>0.51600000000000001</v>
      </c>
      <c r="AR78" s="118">
        <v>280.3</v>
      </c>
      <c r="AS78" s="118">
        <v>23.27</v>
      </c>
      <c r="AT78" s="118">
        <v>285.2</v>
      </c>
      <c r="AU78" s="118">
        <v>40.770310000000002</v>
      </c>
      <c r="AV78" s="118">
        <v>-85.645660000000007</v>
      </c>
      <c r="AW78" s="118">
        <v>231.2</v>
      </c>
      <c r="AX78" s="118">
        <v>141.19999999999999</v>
      </c>
      <c r="AY78" s="118">
        <v>9.09</v>
      </c>
      <c r="AZ78" s="118">
        <v>-163.19999999999999</v>
      </c>
      <c r="BA78" s="118">
        <v>11.8</v>
      </c>
      <c r="BB78" s="118">
        <v>0</v>
      </c>
      <c r="BC78" s="118">
        <v>24.69</v>
      </c>
      <c r="BD78" s="118">
        <v>13.77</v>
      </c>
      <c r="BE78" s="118">
        <v>0</v>
      </c>
      <c r="BF78" s="19">
        <v>45068</v>
      </c>
      <c r="BG78" s="118" t="s">
        <v>1854</v>
      </c>
    </row>
    <row r="79" spans="1:59" x14ac:dyDescent="0.25">
      <c r="A79" s="25">
        <v>10078</v>
      </c>
      <c r="B79" t="s">
        <v>105</v>
      </c>
      <c r="C79" t="s">
        <v>537</v>
      </c>
      <c r="D79" s="27" t="s">
        <v>516</v>
      </c>
      <c r="E79" s="27" t="str">
        <f t="shared" si="9"/>
        <v>?</v>
      </c>
      <c r="F79" s="118" t="s">
        <v>515</v>
      </c>
      <c r="G79" t="s">
        <v>22</v>
      </c>
      <c r="H79" s="24" t="s">
        <v>9</v>
      </c>
      <c r="I79">
        <v>1.49275</v>
      </c>
      <c r="J79">
        <v>5.508</v>
      </c>
      <c r="K79">
        <v>0.60550000000000004</v>
      </c>
      <c r="L79">
        <v>0.3775</v>
      </c>
      <c r="M79" s="140">
        <f t="shared" si="7"/>
        <v>1.49275</v>
      </c>
      <c r="N79" s="140">
        <f t="shared" si="7"/>
        <v>5.508</v>
      </c>
      <c r="O79" s="140">
        <f t="shared" si="7"/>
        <v>0.60550000000000004</v>
      </c>
      <c r="P79" s="140">
        <f t="shared" si="8"/>
        <v>0.3775</v>
      </c>
      <c r="Q79" s="161" t="s">
        <v>676</v>
      </c>
      <c r="R79" s="125">
        <v>6.46</v>
      </c>
      <c r="S79" t="s">
        <v>676</v>
      </c>
      <c r="T79" t="s">
        <v>515</v>
      </c>
      <c r="U79" t="s">
        <v>515</v>
      </c>
      <c r="V79" s="118" t="s">
        <v>515</v>
      </c>
      <c r="W79">
        <v>40.779929000000003</v>
      </c>
      <c r="X79">
        <v>-85.639607999999996</v>
      </c>
      <c r="Y79">
        <v>5</v>
      </c>
      <c r="Z79">
        <v>22</v>
      </c>
      <c r="AA79">
        <v>2023</v>
      </c>
      <c r="AB79" t="b">
        <v>0</v>
      </c>
      <c r="AC79" s="19">
        <v>45068</v>
      </c>
      <c r="AD79" s="19" t="s">
        <v>515</v>
      </c>
      <c r="AE79" s="118" t="s">
        <v>515</v>
      </c>
      <c r="AF79" s="118" t="s">
        <v>515</v>
      </c>
      <c r="AG79" s="118" t="s">
        <v>515</v>
      </c>
      <c r="AH79" s="118" t="s">
        <v>515</v>
      </c>
      <c r="AI79" s="118" t="s">
        <v>515</v>
      </c>
      <c r="AJ79" s="118" t="s">
        <v>515</v>
      </c>
      <c r="AK79" s="118" t="s">
        <v>515</v>
      </c>
      <c r="AL79" s="118" t="s">
        <v>515</v>
      </c>
      <c r="AM79" s="118" t="s">
        <v>515</v>
      </c>
      <c r="AN79" s="118" t="s">
        <v>515</v>
      </c>
      <c r="AO79" s="21" t="s">
        <v>515</v>
      </c>
      <c r="AP79" s="118" t="s">
        <v>515</v>
      </c>
      <c r="AQ79" s="118" t="s">
        <v>515</v>
      </c>
      <c r="AR79" s="118" t="s">
        <v>515</v>
      </c>
      <c r="AS79" s="118" t="s">
        <v>515</v>
      </c>
      <c r="AT79" s="118" t="s">
        <v>515</v>
      </c>
      <c r="AU79" s="118" t="s">
        <v>515</v>
      </c>
      <c r="AV79" s="118" t="s">
        <v>515</v>
      </c>
      <c r="AW79" s="118" t="s">
        <v>515</v>
      </c>
      <c r="AX79" s="118" t="s">
        <v>515</v>
      </c>
      <c r="AY79" s="118" t="s">
        <v>515</v>
      </c>
      <c r="AZ79" s="118" t="s">
        <v>515</v>
      </c>
      <c r="BA79" s="118" t="s">
        <v>515</v>
      </c>
      <c r="BB79" s="118" t="s">
        <v>515</v>
      </c>
      <c r="BC79" s="118" t="s">
        <v>515</v>
      </c>
      <c r="BD79" s="118" t="s">
        <v>515</v>
      </c>
      <c r="BE79" s="118" t="s">
        <v>515</v>
      </c>
      <c r="BF79" s="118" t="s">
        <v>515</v>
      </c>
      <c r="BG79" s="118" t="s">
        <v>515</v>
      </c>
    </row>
    <row r="80" spans="1:59" x14ac:dyDescent="0.25">
      <c r="A80" s="25">
        <v>10079</v>
      </c>
      <c r="B80" t="s">
        <v>106</v>
      </c>
      <c r="C80" t="s">
        <v>537</v>
      </c>
      <c r="D80" s="27" t="s">
        <v>516</v>
      </c>
      <c r="E80" s="27" t="str">
        <f t="shared" si="9"/>
        <v>?</v>
      </c>
      <c r="F80" s="118" t="s">
        <v>515</v>
      </c>
      <c r="G80" t="s">
        <v>22</v>
      </c>
      <c r="H80" s="24" t="s">
        <v>9</v>
      </c>
      <c r="I80">
        <v>11.497299999999999</v>
      </c>
      <c r="J80">
        <v>0.09</v>
      </c>
      <c r="K80">
        <v>1.2609999999999999</v>
      </c>
      <c r="L80" t="s">
        <v>515</v>
      </c>
      <c r="M80" s="140">
        <f t="shared" si="7"/>
        <v>11.497299999999999</v>
      </c>
      <c r="N80" s="140">
        <f t="shared" si="7"/>
        <v>0.05</v>
      </c>
      <c r="O80" s="140">
        <f t="shared" si="7"/>
        <v>1.2609999999999999</v>
      </c>
      <c r="P80" s="140" t="str">
        <f t="shared" si="8"/>
        <v>NULL</v>
      </c>
      <c r="Q80" s="161" t="s">
        <v>676</v>
      </c>
      <c r="R80" s="125">
        <v>137.72333333333299</v>
      </c>
      <c r="S80" t="s">
        <v>676</v>
      </c>
      <c r="T80" t="s">
        <v>515</v>
      </c>
      <c r="U80" t="s">
        <v>515</v>
      </c>
      <c r="V80" s="118" t="s">
        <v>515</v>
      </c>
      <c r="W80">
        <v>40.780073999999999</v>
      </c>
      <c r="X80">
        <v>-85.642408000000003</v>
      </c>
      <c r="Y80">
        <v>5</v>
      </c>
      <c r="Z80">
        <v>22</v>
      </c>
      <c r="AA80">
        <v>2023</v>
      </c>
      <c r="AB80" t="b">
        <v>0</v>
      </c>
      <c r="AC80" s="19">
        <v>45068</v>
      </c>
      <c r="AD80" s="19" t="s">
        <v>515</v>
      </c>
      <c r="AE80" s="118" t="s">
        <v>515</v>
      </c>
      <c r="AF80" s="118" t="s">
        <v>515</v>
      </c>
      <c r="AG80" s="118" t="s">
        <v>515</v>
      </c>
      <c r="AH80" s="118" t="s">
        <v>515</v>
      </c>
      <c r="AI80" s="118" t="s">
        <v>515</v>
      </c>
      <c r="AJ80" s="118" t="s">
        <v>515</v>
      </c>
      <c r="AK80" s="118" t="s">
        <v>515</v>
      </c>
      <c r="AL80" s="118" t="s">
        <v>515</v>
      </c>
      <c r="AM80" s="118" t="s">
        <v>515</v>
      </c>
      <c r="AN80" s="118" t="s">
        <v>515</v>
      </c>
      <c r="AO80" s="21" t="s">
        <v>515</v>
      </c>
      <c r="AP80" s="118" t="s">
        <v>515</v>
      </c>
      <c r="AQ80" s="118" t="s">
        <v>515</v>
      </c>
      <c r="AR80" s="118" t="s">
        <v>515</v>
      </c>
      <c r="AS80" s="118" t="s">
        <v>515</v>
      </c>
      <c r="AT80" s="118" t="s">
        <v>515</v>
      </c>
      <c r="AU80" s="118" t="s">
        <v>515</v>
      </c>
      <c r="AV80" s="118" t="s">
        <v>515</v>
      </c>
      <c r="AW80" s="118" t="s">
        <v>515</v>
      </c>
      <c r="AX80" s="118" t="s">
        <v>515</v>
      </c>
      <c r="AY80" s="118" t="s">
        <v>515</v>
      </c>
      <c r="AZ80" s="118" t="s">
        <v>515</v>
      </c>
      <c r="BA80" s="118" t="s">
        <v>515</v>
      </c>
      <c r="BB80" s="118" t="s">
        <v>515</v>
      </c>
      <c r="BC80" s="118" t="s">
        <v>515</v>
      </c>
      <c r="BD80" s="118" t="s">
        <v>515</v>
      </c>
      <c r="BE80" s="118" t="s">
        <v>515</v>
      </c>
      <c r="BF80" s="118" t="s">
        <v>515</v>
      </c>
      <c r="BG80" s="118" t="s">
        <v>515</v>
      </c>
    </row>
    <row r="81" spans="1:59" x14ac:dyDescent="0.25">
      <c r="A81" s="25">
        <v>10080</v>
      </c>
      <c r="B81" t="s">
        <v>107</v>
      </c>
      <c r="C81" t="s">
        <v>537</v>
      </c>
      <c r="D81" s="27" t="s">
        <v>516</v>
      </c>
      <c r="E81" s="27" t="str">
        <f t="shared" si="9"/>
        <v>?</v>
      </c>
      <c r="F81" s="118" t="s">
        <v>515</v>
      </c>
      <c r="G81" t="s">
        <v>22</v>
      </c>
      <c r="H81" s="24" t="s">
        <v>9</v>
      </c>
      <c r="I81" t="s">
        <v>515</v>
      </c>
      <c r="J81" t="s">
        <v>515</v>
      </c>
      <c r="K81" t="s">
        <v>515</v>
      </c>
      <c r="L81">
        <v>0.127</v>
      </c>
      <c r="M81" s="140" t="str">
        <f t="shared" si="7"/>
        <v>NULL</v>
      </c>
      <c r="N81" s="140" t="str">
        <f t="shared" si="7"/>
        <v>NULL</v>
      </c>
      <c r="O81" s="140" t="str">
        <f t="shared" si="7"/>
        <v>NULL</v>
      </c>
      <c r="P81" s="140">
        <f t="shared" si="8"/>
        <v>0.127</v>
      </c>
      <c r="Q81" s="161" t="s">
        <v>676</v>
      </c>
      <c r="R81" s="125">
        <v>12.494999999999999</v>
      </c>
      <c r="S81" t="s">
        <v>676</v>
      </c>
      <c r="T81" t="s">
        <v>515</v>
      </c>
      <c r="U81" t="s">
        <v>515</v>
      </c>
      <c r="V81" s="118" t="s">
        <v>515</v>
      </c>
      <c r="W81">
        <v>40.78031</v>
      </c>
      <c r="X81">
        <v>-85.644042999999996</v>
      </c>
      <c r="Y81">
        <v>5</v>
      </c>
      <c r="Z81">
        <v>22</v>
      </c>
      <c r="AA81">
        <v>2023</v>
      </c>
      <c r="AB81" t="b">
        <v>0</v>
      </c>
      <c r="AC81" s="19">
        <v>45068</v>
      </c>
      <c r="AD81" s="19" t="s">
        <v>515</v>
      </c>
      <c r="AE81" s="118" t="s">
        <v>515</v>
      </c>
      <c r="AF81" s="118" t="s">
        <v>515</v>
      </c>
      <c r="AG81" s="118" t="s">
        <v>515</v>
      </c>
      <c r="AH81" s="118" t="s">
        <v>515</v>
      </c>
      <c r="AI81" s="118" t="s">
        <v>515</v>
      </c>
      <c r="AJ81" s="118" t="s">
        <v>515</v>
      </c>
      <c r="AK81" s="118" t="s">
        <v>515</v>
      </c>
      <c r="AL81" s="118" t="s">
        <v>515</v>
      </c>
      <c r="AM81" s="118" t="s">
        <v>515</v>
      </c>
      <c r="AN81" s="118" t="s">
        <v>515</v>
      </c>
      <c r="AO81" s="21" t="s">
        <v>515</v>
      </c>
      <c r="AP81" s="118" t="s">
        <v>515</v>
      </c>
      <c r="AQ81" s="118" t="s">
        <v>515</v>
      </c>
      <c r="AR81" s="118" t="s">
        <v>515</v>
      </c>
      <c r="AS81" s="118" t="s">
        <v>515</v>
      </c>
      <c r="AT81" s="118" t="s">
        <v>515</v>
      </c>
      <c r="AU81" s="118" t="s">
        <v>515</v>
      </c>
      <c r="AV81" s="118" t="s">
        <v>515</v>
      </c>
      <c r="AW81" s="118" t="s">
        <v>515</v>
      </c>
      <c r="AX81" s="118" t="s">
        <v>515</v>
      </c>
      <c r="AY81" s="118" t="s">
        <v>515</v>
      </c>
      <c r="AZ81" s="118" t="s">
        <v>515</v>
      </c>
      <c r="BA81" s="118" t="s">
        <v>515</v>
      </c>
      <c r="BB81" s="118" t="s">
        <v>515</v>
      </c>
      <c r="BC81" s="118" t="s">
        <v>515</v>
      </c>
      <c r="BD81" s="118" t="s">
        <v>515</v>
      </c>
      <c r="BE81" s="118" t="s">
        <v>515</v>
      </c>
      <c r="BF81" s="118" t="s">
        <v>515</v>
      </c>
      <c r="BG81" s="118" t="s">
        <v>515</v>
      </c>
    </row>
    <row r="82" spans="1:59" x14ac:dyDescent="0.25">
      <c r="A82" s="25">
        <v>10081</v>
      </c>
      <c r="B82" t="s">
        <v>108</v>
      </c>
      <c r="C82" t="s">
        <v>537</v>
      </c>
      <c r="D82" s="27" t="s">
        <v>516</v>
      </c>
      <c r="E82" s="27" t="str">
        <f t="shared" si="9"/>
        <v>?</v>
      </c>
      <c r="F82" s="118" t="s">
        <v>515</v>
      </c>
      <c r="G82" t="s">
        <v>22</v>
      </c>
      <c r="H82" s="24" t="s">
        <v>9</v>
      </c>
      <c r="I82">
        <v>2.7248999999999999</v>
      </c>
      <c r="J82">
        <v>0.188</v>
      </c>
      <c r="K82">
        <v>0.23100000000000001</v>
      </c>
      <c r="L82">
        <v>0.57999999999999996</v>
      </c>
      <c r="M82" s="140">
        <f t="shared" ref="M82:O97" si="10">IF(I82&lt;0.1,0.05,I82)</f>
        <v>2.7248999999999999</v>
      </c>
      <c r="N82" s="140">
        <f t="shared" si="10"/>
        <v>0.188</v>
      </c>
      <c r="O82" s="140">
        <f t="shared" si="10"/>
        <v>0.23100000000000001</v>
      </c>
      <c r="P82" s="140">
        <f t="shared" si="8"/>
        <v>0.57999999999999996</v>
      </c>
      <c r="Q82" s="161">
        <v>7.1862821537216098E-2</v>
      </c>
      <c r="R82" s="125">
        <v>58.64</v>
      </c>
      <c r="S82" t="s">
        <v>676</v>
      </c>
      <c r="T82" t="s">
        <v>515</v>
      </c>
      <c r="U82" t="s">
        <v>515</v>
      </c>
      <c r="V82" s="118" t="s">
        <v>515</v>
      </c>
      <c r="W82">
        <v>40.779530000000001</v>
      </c>
      <c r="X82">
        <v>-85.645204000000007</v>
      </c>
      <c r="Y82">
        <v>5</v>
      </c>
      <c r="Z82">
        <v>22</v>
      </c>
      <c r="AA82">
        <v>2023</v>
      </c>
      <c r="AB82" t="b">
        <v>0</v>
      </c>
      <c r="AC82" s="19">
        <v>45068</v>
      </c>
      <c r="AD82" s="19" t="s">
        <v>515</v>
      </c>
      <c r="AE82" s="118" t="s">
        <v>515</v>
      </c>
      <c r="AF82" s="118" t="s">
        <v>515</v>
      </c>
      <c r="AG82" s="118" t="s">
        <v>515</v>
      </c>
      <c r="AH82" s="118" t="s">
        <v>515</v>
      </c>
      <c r="AI82" s="118" t="s">
        <v>515</v>
      </c>
      <c r="AJ82" s="118" t="s">
        <v>515</v>
      </c>
      <c r="AK82" s="118" t="s">
        <v>515</v>
      </c>
      <c r="AL82" s="118" t="s">
        <v>515</v>
      </c>
      <c r="AM82" s="118" t="s">
        <v>515</v>
      </c>
      <c r="AN82" s="118" t="s">
        <v>515</v>
      </c>
      <c r="AO82" s="21" t="s">
        <v>515</v>
      </c>
      <c r="AP82" s="118" t="s">
        <v>515</v>
      </c>
      <c r="AQ82" s="118" t="s">
        <v>515</v>
      </c>
      <c r="AR82" s="118" t="s">
        <v>515</v>
      </c>
      <c r="AS82" s="118" t="s">
        <v>515</v>
      </c>
      <c r="AT82" s="118" t="s">
        <v>515</v>
      </c>
      <c r="AU82" s="118" t="s">
        <v>515</v>
      </c>
      <c r="AV82" s="118" t="s">
        <v>515</v>
      </c>
      <c r="AW82" s="118" t="s">
        <v>515</v>
      </c>
      <c r="AX82" s="118" t="s">
        <v>515</v>
      </c>
      <c r="AY82" s="118" t="s">
        <v>515</v>
      </c>
      <c r="AZ82" s="118" t="s">
        <v>515</v>
      </c>
      <c r="BA82" s="118" t="s">
        <v>515</v>
      </c>
      <c r="BB82" s="118" t="s">
        <v>515</v>
      </c>
      <c r="BC82" s="118" t="s">
        <v>515</v>
      </c>
      <c r="BD82" s="118" t="s">
        <v>515</v>
      </c>
      <c r="BE82" s="118" t="s">
        <v>515</v>
      </c>
      <c r="BF82" s="118" t="s">
        <v>515</v>
      </c>
      <c r="BG82" s="118" t="s">
        <v>515</v>
      </c>
    </row>
    <row r="83" spans="1:59" x14ac:dyDescent="0.25">
      <c r="A83" s="25">
        <v>10082</v>
      </c>
      <c r="B83" t="s">
        <v>109</v>
      </c>
      <c r="C83" t="s">
        <v>537</v>
      </c>
      <c r="D83" s="27" t="s">
        <v>516</v>
      </c>
      <c r="E83" s="27" t="str">
        <f t="shared" si="9"/>
        <v>?</v>
      </c>
      <c r="F83" s="118" t="s">
        <v>515</v>
      </c>
      <c r="G83" t="s">
        <v>22</v>
      </c>
      <c r="H83" s="24" t="s">
        <v>9</v>
      </c>
      <c r="I83">
        <v>0.40360000000000001</v>
      </c>
      <c r="J83">
        <v>4.9320000000000004</v>
      </c>
      <c r="K83">
        <v>4.2000000000000003E-2</v>
      </c>
      <c r="L83">
        <v>0.127</v>
      </c>
      <c r="M83" s="140">
        <f t="shared" si="10"/>
        <v>0.40360000000000001</v>
      </c>
      <c r="N83" s="140">
        <f t="shared" si="10"/>
        <v>4.9320000000000004</v>
      </c>
      <c r="O83" s="140">
        <f t="shared" si="10"/>
        <v>0.05</v>
      </c>
      <c r="P83" s="140">
        <f t="shared" si="8"/>
        <v>0.127</v>
      </c>
      <c r="Q83" s="161" t="s">
        <v>676</v>
      </c>
      <c r="R83" s="125">
        <v>11.51</v>
      </c>
      <c r="S83" t="s">
        <v>676</v>
      </c>
      <c r="T83" t="s">
        <v>515</v>
      </c>
      <c r="U83" t="s">
        <v>515</v>
      </c>
      <c r="V83" s="118" t="s">
        <v>515</v>
      </c>
      <c r="W83">
        <v>40.778305000000003</v>
      </c>
      <c r="X83">
        <v>-85.646731000000003</v>
      </c>
      <c r="Y83">
        <v>5</v>
      </c>
      <c r="Z83">
        <v>22</v>
      </c>
      <c r="AA83">
        <v>2023</v>
      </c>
      <c r="AB83" t="b">
        <v>0</v>
      </c>
      <c r="AC83" s="19">
        <v>45068</v>
      </c>
      <c r="AD83" s="19" t="s">
        <v>515</v>
      </c>
      <c r="AE83" s="118" t="s">
        <v>515</v>
      </c>
      <c r="AF83" s="118" t="s">
        <v>515</v>
      </c>
      <c r="AG83" s="118" t="s">
        <v>515</v>
      </c>
      <c r="AH83" s="118" t="s">
        <v>515</v>
      </c>
      <c r="AI83" s="118" t="s">
        <v>515</v>
      </c>
      <c r="AJ83" s="118" t="s">
        <v>515</v>
      </c>
      <c r="AK83" s="118" t="s">
        <v>515</v>
      </c>
      <c r="AL83" s="118" t="s">
        <v>515</v>
      </c>
      <c r="AM83" s="118" t="s">
        <v>515</v>
      </c>
      <c r="AN83" s="118" t="s">
        <v>515</v>
      </c>
      <c r="AO83" s="21" t="s">
        <v>515</v>
      </c>
      <c r="AP83" s="118" t="s">
        <v>515</v>
      </c>
      <c r="AQ83" s="118" t="s">
        <v>515</v>
      </c>
      <c r="AR83" s="118" t="s">
        <v>515</v>
      </c>
      <c r="AS83" s="118" t="s">
        <v>515</v>
      </c>
      <c r="AT83" s="118" t="s">
        <v>515</v>
      </c>
      <c r="AU83" s="118" t="s">
        <v>515</v>
      </c>
      <c r="AV83" s="118" t="s">
        <v>515</v>
      </c>
      <c r="AW83" s="118" t="s">
        <v>515</v>
      </c>
      <c r="AX83" s="118" t="s">
        <v>515</v>
      </c>
      <c r="AY83" s="118" t="s">
        <v>515</v>
      </c>
      <c r="AZ83" s="118" t="s">
        <v>515</v>
      </c>
      <c r="BA83" s="118" t="s">
        <v>515</v>
      </c>
      <c r="BB83" s="118" t="s">
        <v>515</v>
      </c>
      <c r="BC83" s="118" t="s">
        <v>515</v>
      </c>
      <c r="BD83" s="118" t="s">
        <v>515</v>
      </c>
      <c r="BE83" s="118" t="s">
        <v>515</v>
      </c>
      <c r="BF83" s="118" t="s">
        <v>515</v>
      </c>
      <c r="BG83" s="118" t="s">
        <v>515</v>
      </c>
    </row>
    <row r="84" spans="1:59" x14ac:dyDescent="0.25">
      <c r="A84" s="25">
        <v>10083</v>
      </c>
      <c r="B84" t="s">
        <v>110</v>
      </c>
      <c r="C84" t="s">
        <v>537</v>
      </c>
      <c r="D84" s="27" t="s">
        <v>516</v>
      </c>
      <c r="E84" s="27" t="str">
        <f t="shared" si="9"/>
        <v>?</v>
      </c>
      <c r="F84" s="118" t="s">
        <v>515</v>
      </c>
      <c r="G84" t="s">
        <v>22</v>
      </c>
      <c r="H84" s="24" t="s">
        <v>9</v>
      </c>
      <c r="I84">
        <v>0.4234</v>
      </c>
      <c r="J84">
        <v>3.1139999999999999</v>
      </c>
      <c r="K84">
        <v>1.4E-2</v>
      </c>
      <c r="L84">
        <v>0.115</v>
      </c>
      <c r="M84" s="140">
        <f t="shared" si="10"/>
        <v>0.4234</v>
      </c>
      <c r="N84" s="140">
        <f t="shared" si="10"/>
        <v>3.1139999999999999</v>
      </c>
      <c r="O84" s="140">
        <f t="shared" si="10"/>
        <v>0.05</v>
      </c>
      <c r="P84" s="140">
        <f t="shared" si="8"/>
        <v>0.115</v>
      </c>
      <c r="Q84" s="161" t="s">
        <v>676</v>
      </c>
      <c r="R84" s="125">
        <v>11.07</v>
      </c>
      <c r="S84" t="s">
        <v>676</v>
      </c>
      <c r="T84" t="s">
        <v>515</v>
      </c>
      <c r="U84" t="s">
        <v>515</v>
      </c>
      <c r="V84" s="118" t="s">
        <v>515</v>
      </c>
      <c r="W84">
        <v>40.779248000000003</v>
      </c>
      <c r="X84">
        <v>-85.645563999999993</v>
      </c>
      <c r="Y84">
        <v>5</v>
      </c>
      <c r="Z84">
        <v>22</v>
      </c>
      <c r="AA84">
        <v>2023</v>
      </c>
      <c r="AB84" t="b">
        <v>0</v>
      </c>
      <c r="AC84" s="19">
        <v>45068</v>
      </c>
      <c r="AD84" s="19" t="s">
        <v>515</v>
      </c>
      <c r="AE84" s="118" t="s">
        <v>515</v>
      </c>
      <c r="AF84" s="118" t="s">
        <v>515</v>
      </c>
      <c r="AG84" s="118" t="s">
        <v>515</v>
      </c>
      <c r="AH84" s="118" t="s">
        <v>515</v>
      </c>
      <c r="AI84" s="118" t="s">
        <v>515</v>
      </c>
      <c r="AJ84" s="118" t="s">
        <v>515</v>
      </c>
      <c r="AK84" s="118" t="s">
        <v>515</v>
      </c>
      <c r="AL84" s="118" t="s">
        <v>515</v>
      </c>
      <c r="AM84" s="118" t="s">
        <v>515</v>
      </c>
      <c r="AN84" s="118" t="s">
        <v>515</v>
      </c>
      <c r="AO84" s="21" t="s">
        <v>515</v>
      </c>
      <c r="AP84" s="118" t="s">
        <v>515</v>
      </c>
      <c r="AQ84" s="118" t="s">
        <v>515</v>
      </c>
      <c r="AR84" s="118" t="s">
        <v>515</v>
      </c>
      <c r="AS84" s="118" t="s">
        <v>515</v>
      </c>
      <c r="AT84" s="118" t="s">
        <v>515</v>
      </c>
      <c r="AU84" s="118" t="s">
        <v>515</v>
      </c>
      <c r="AV84" s="118" t="s">
        <v>515</v>
      </c>
      <c r="AW84" s="118" t="s">
        <v>515</v>
      </c>
      <c r="AX84" s="118" t="s">
        <v>515</v>
      </c>
      <c r="AY84" s="118" t="s">
        <v>515</v>
      </c>
      <c r="AZ84" s="118" t="s">
        <v>515</v>
      </c>
      <c r="BA84" s="118" t="s">
        <v>515</v>
      </c>
      <c r="BB84" s="118" t="s">
        <v>515</v>
      </c>
      <c r="BC84" s="118" t="s">
        <v>515</v>
      </c>
      <c r="BD84" s="118" t="s">
        <v>515</v>
      </c>
      <c r="BE84" s="118" t="s">
        <v>515</v>
      </c>
      <c r="BF84" s="118" t="s">
        <v>515</v>
      </c>
      <c r="BG84" s="118" t="s">
        <v>515</v>
      </c>
    </row>
    <row r="85" spans="1:59" x14ac:dyDescent="0.25">
      <c r="A85" s="25">
        <v>10084</v>
      </c>
      <c r="B85" t="s">
        <v>111</v>
      </c>
      <c r="C85" t="s">
        <v>537</v>
      </c>
      <c r="D85" s="27" t="s">
        <v>516</v>
      </c>
      <c r="E85" s="27" t="str">
        <f t="shared" si="9"/>
        <v>?</v>
      </c>
      <c r="F85" s="118" t="s">
        <v>515</v>
      </c>
      <c r="G85" t="s">
        <v>22</v>
      </c>
      <c r="H85" s="24" t="s">
        <v>9</v>
      </c>
      <c r="I85">
        <v>0.6724</v>
      </c>
      <c r="J85">
        <v>4.0439999999999996</v>
      </c>
      <c r="K85">
        <v>0.03</v>
      </c>
      <c r="L85">
        <v>0.14399999999999999</v>
      </c>
      <c r="M85" s="140">
        <f t="shared" si="10"/>
        <v>0.6724</v>
      </c>
      <c r="N85" s="140">
        <f t="shared" si="10"/>
        <v>4.0439999999999996</v>
      </c>
      <c r="O85" s="140">
        <f t="shared" si="10"/>
        <v>0.05</v>
      </c>
      <c r="P85" s="140">
        <f t="shared" si="8"/>
        <v>0.14399999999999999</v>
      </c>
      <c r="Q85" s="161" t="s">
        <v>676</v>
      </c>
      <c r="R85" s="125">
        <v>12.74</v>
      </c>
      <c r="S85" t="s">
        <v>676</v>
      </c>
      <c r="T85" t="s">
        <v>515</v>
      </c>
      <c r="U85" t="s">
        <v>515</v>
      </c>
      <c r="V85" s="118" t="s">
        <v>515</v>
      </c>
      <c r="W85">
        <v>40.779868999999998</v>
      </c>
      <c r="X85">
        <v>-85.6447</v>
      </c>
      <c r="Y85">
        <v>5</v>
      </c>
      <c r="Z85">
        <v>22</v>
      </c>
      <c r="AA85">
        <v>2023</v>
      </c>
      <c r="AB85" t="b">
        <v>0</v>
      </c>
      <c r="AC85" s="19">
        <v>45068</v>
      </c>
      <c r="AD85" s="19" t="s">
        <v>515</v>
      </c>
      <c r="AE85" s="118" t="s">
        <v>515</v>
      </c>
      <c r="AF85" s="118" t="s">
        <v>515</v>
      </c>
      <c r="AG85" s="118" t="s">
        <v>515</v>
      </c>
      <c r="AH85" s="118" t="s">
        <v>515</v>
      </c>
      <c r="AI85" s="118" t="s">
        <v>515</v>
      </c>
      <c r="AJ85" s="118" t="s">
        <v>515</v>
      </c>
      <c r="AK85" s="118" t="s">
        <v>515</v>
      </c>
      <c r="AL85" s="118" t="s">
        <v>515</v>
      </c>
      <c r="AM85" s="118" t="s">
        <v>515</v>
      </c>
      <c r="AN85" s="118" t="s">
        <v>515</v>
      </c>
      <c r="AO85" s="21" t="s">
        <v>515</v>
      </c>
      <c r="AP85" s="118" t="s">
        <v>515</v>
      </c>
      <c r="AQ85" s="118" t="s">
        <v>515</v>
      </c>
      <c r="AR85" s="118" t="s">
        <v>515</v>
      </c>
      <c r="AS85" s="118" t="s">
        <v>515</v>
      </c>
      <c r="AT85" s="118" t="s">
        <v>515</v>
      </c>
      <c r="AU85" s="118" t="s">
        <v>515</v>
      </c>
      <c r="AV85" s="118" t="s">
        <v>515</v>
      </c>
      <c r="AW85" s="118" t="s">
        <v>515</v>
      </c>
      <c r="AX85" s="118" t="s">
        <v>515</v>
      </c>
      <c r="AY85" s="118" t="s">
        <v>515</v>
      </c>
      <c r="AZ85" s="118" t="s">
        <v>515</v>
      </c>
      <c r="BA85" s="118" t="s">
        <v>515</v>
      </c>
      <c r="BB85" s="118" t="s">
        <v>515</v>
      </c>
      <c r="BC85" s="118" t="s">
        <v>515</v>
      </c>
      <c r="BD85" s="118" t="s">
        <v>515</v>
      </c>
      <c r="BE85" s="118" t="s">
        <v>515</v>
      </c>
      <c r="BF85" s="118" t="s">
        <v>515</v>
      </c>
      <c r="BG85" s="118" t="s">
        <v>515</v>
      </c>
    </row>
    <row r="86" spans="1:59" x14ac:dyDescent="0.25">
      <c r="A86" s="25">
        <v>10085</v>
      </c>
      <c r="B86" t="s">
        <v>112</v>
      </c>
      <c r="C86" t="s">
        <v>537</v>
      </c>
      <c r="D86" s="27" t="s">
        <v>516</v>
      </c>
      <c r="E86" s="27" t="str">
        <f t="shared" si="9"/>
        <v>?</v>
      </c>
      <c r="F86" s="118" t="s">
        <v>515</v>
      </c>
      <c r="G86" t="s">
        <v>22</v>
      </c>
      <c r="H86" s="24" t="s">
        <v>9</v>
      </c>
      <c r="I86">
        <v>2.71</v>
      </c>
      <c r="J86">
        <v>0.1</v>
      </c>
      <c r="K86">
        <v>0.28499999999999998</v>
      </c>
      <c r="L86">
        <v>0.79549999999999998</v>
      </c>
      <c r="M86" s="140">
        <f t="shared" si="10"/>
        <v>2.71</v>
      </c>
      <c r="N86" s="140">
        <f t="shared" si="10"/>
        <v>0.1</v>
      </c>
      <c r="O86" s="140">
        <f t="shared" si="10"/>
        <v>0.28499999999999998</v>
      </c>
      <c r="P86" s="140">
        <f t="shared" si="8"/>
        <v>0.79549999999999998</v>
      </c>
      <c r="Q86" s="161">
        <v>1.0314795694475199E-2</v>
      </c>
      <c r="R86" s="125">
        <v>56.215000000000003</v>
      </c>
      <c r="S86" t="s">
        <v>676</v>
      </c>
      <c r="T86" t="s">
        <v>515</v>
      </c>
      <c r="U86" t="s">
        <v>515</v>
      </c>
      <c r="V86" s="118" t="s">
        <v>515</v>
      </c>
      <c r="W86">
        <v>40.776752999999999</v>
      </c>
      <c r="X86">
        <v>-85.646072000000004</v>
      </c>
      <c r="Y86">
        <v>5</v>
      </c>
      <c r="Z86">
        <v>22</v>
      </c>
      <c r="AA86">
        <v>2023</v>
      </c>
      <c r="AB86" t="b">
        <v>0</v>
      </c>
      <c r="AC86" s="19">
        <v>45068</v>
      </c>
      <c r="AD86" s="19" t="s">
        <v>515</v>
      </c>
      <c r="AE86" s="118" t="s">
        <v>515</v>
      </c>
      <c r="AF86" s="118" t="s">
        <v>515</v>
      </c>
      <c r="AG86" s="118" t="s">
        <v>515</v>
      </c>
      <c r="AH86" s="118" t="s">
        <v>515</v>
      </c>
      <c r="AI86" s="118" t="s">
        <v>515</v>
      </c>
      <c r="AJ86" s="118" t="s">
        <v>515</v>
      </c>
      <c r="AK86" s="118" t="s">
        <v>515</v>
      </c>
      <c r="AL86" s="118" t="s">
        <v>515</v>
      </c>
      <c r="AM86" s="118" t="s">
        <v>515</v>
      </c>
      <c r="AN86" s="118" t="s">
        <v>515</v>
      </c>
      <c r="AO86" s="21" t="s">
        <v>515</v>
      </c>
      <c r="AP86" s="118" t="s">
        <v>515</v>
      </c>
      <c r="AQ86" s="118" t="s">
        <v>515</v>
      </c>
      <c r="AR86" s="118" t="s">
        <v>515</v>
      </c>
      <c r="AS86" s="118" t="s">
        <v>515</v>
      </c>
      <c r="AT86" s="118" t="s">
        <v>515</v>
      </c>
      <c r="AU86" s="118" t="s">
        <v>515</v>
      </c>
      <c r="AV86" s="118" t="s">
        <v>515</v>
      </c>
      <c r="AW86" s="118" t="s">
        <v>515</v>
      </c>
      <c r="AX86" s="118" t="s">
        <v>515</v>
      </c>
      <c r="AY86" s="118" t="s">
        <v>515</v>
      </c>
      <c r="AZ86" s="118" t="s">
        <v>515</v>
      </c>
      <c r="BA86" s="118" t="s">
        <v>515</v>
      </c>
      <c r="BB86" s="118" t="s">
        <v>515</v>
      </c>
      <c r="BC86" s="118" t="s">
        <v>515</v>
      </c>
      <c r="BD86" s="118" t="s">
        <v>515</v>
      </c>
      <c r="BE86" s="118" t="s">
        <v>515</v>
      </c>
      <c r="BF86" s="118" t="s">
        <v>515</v>
      </c>
      <c r="BG86" s="118" t="s">
        <v>515</v>
      </c>
    </row>
    <row r="87" spans="1:59" x14ac:dyDescent="0.25">
      <c r="A87" s="25">
        <v>10086</v>
      </c>
      <c r="B87" t="s">
        <v>113</v>
      </c>
      <c r="C87" t="s">
        <v>537</v>
      </c>
      <c r="D87" s="27" t="s">
        <v>516</v>
      </c>
      <c r="E87" s="27" t="str">
        <f t="shared" si="9"/>
        <v>?</v>
      </c>
      <c r="F87" s="118" t="s">
        <v>515</v>
      </c>
      <c r="G87" t="s">
        <v>22</v>
      </c>
      <c r="H87" s="24" t="s">
        <v>9</v>
      </c>
      <c r="I87">
        <v>3.41995</v>
      </c>
      <c r="J87">
        <v>7.4999999999999997E-2</v>
      </c>
      <c r="K87">
        <v>0.67400000000000004</v>
      </c>
      <c r="L87">
        <v>0.78549999999999998</v>
      </c>
      <c r="M87" s="140">
        <f t="shared" si="10"/>
        <v>3.41995</v>
      </c>
      <c r="N87" s="140">
        <f t="shared" si="10"/>
        <v>0.05</v>
      </c>
      <c r="O87" s="140">
        <f t="shared" si="10"/>
        <v>0.67400000000000004</v>
      </c>
      <c r="P87" s="140">
        <f t="shared" si="8"/>
        <v>0.78549999999999998</v>
      </c>
      <c r="Q87" s="161" t="s">
        <v>676</v>
      </c>
      <c r="R87" s="125">
        <v>61.704999999999998</v>
      </c>
      <c r="S87" t="s">
        <v>676</v>
      </c>
      <c r="T87" t="s">
        <v>515</v>
      </c>
      <c r="U87" t="s">
        <v>515</v>
      </c>
      <c r="V87" s="118" t="s">
        <v>515</v>
      </c>
      <c r="W87">
        <v>40.771569</v>
      </c>
      <c r="X87">
        <v>-85.640629000000004</v>
      </c>
      <c r="Y87">
        <v>5</v>
      </c>
      <c r="Z87">
        <v>22</v>
      </c>
      <c r="AA87">
        <v>2023</v>
      </c>
      <c r="AB87" t="b">
        <v>0</v>
      </c>
      <c r="AC87" s="19">
        <v>45068</v>
      </c>
      <c r="AD87" s="19" t="s">
        <v>515</v>
      </c>
      <c r="AE87" s="118" t="s">
        <v>515</v>
      </c>
      <c r="AF87" s="118" t="s">
        <v>515</v>
      </c>
      <c r="AG87" s="118" t="s">
        <v>515</v>
      </c>
      <c r="AH87" s="118" t="s">
        <v>515</v>
      </c>
      <c r="AI87" s="118" t="s">
        <v>515</v>
      </c>
      <c r="AJ87" s="118" t="s">
        <v>515</v>
      </c>
      <c r="AK87" s="118" t="s">
        <v>515</v>
      </c>
      <c r="AL87" s="118" t="s">
        <v>515</v>
      </c>
      <c r="AM87" s="118" t="s">
        <v>515</v>
      </c>
      <c r="AN87" s="118" t="s">
        <v>515</v>
      </c>
      <c r="AO87" s="21" t="s">
        <v>515</v>
      </c>
      <c r="AP87" s="118" t="s">
        <v>515</v>
      </c>
      <c r="AQ87" s="118" t="s">
        <v>515</v>
      </c>
      <c r="AR87" s="118" t="s">
        <v>515</v>
      </c>
      <c r="AS87" s="118" t="s">
        <v>515</v>
      </c>
      <c r="AT87" s="118" t="s">
        <v>515</v>
      </c>
      <c r="AU87" s="118" t="s">
        <v>515</v>
      </c>
      <c r="AV87" s="118" t="s">
        <v>515</v>
      </c>
      <c r="AW87" s="118" t="s">
        <v>515</v>
      </c>
      <c r="AX87" s="118" t="s">
        <v>515</v>
      </c>
      <c r="AY87" s="118" t="s">
        <v>515</v>
      </c>
      <c r="AZ87" s="118" t="s">
        <v>515</v>
      </c>
      <c r="BA87" s="118" t="s">
        <v>515</v>
      </c>
      <c r="BB87" s="118" t="s">
        <v>515</v>
      </c>
      <c r="BC87" s="118" t="s">
        <v>515</v>
      </c>
      <c r="BD87" s="118" t="s">
        <v>515</v>
      </c>
      <c r="BE87" s="118" t="s">
        <v>515</v>
      </c>
      <c r="BF87" s="118" t="s">
        <v>515</v>
      </c>
      <c r="BG87" s="118" t="s">
        <v>515</v>
      </c>
    </row>
    <row r="88" spans="1:59" x14ac:dyDescent="0.25">
      <c r="A88" s="25">
        <v>10087</v>
      </c>
      <c r="B88" t="s">
        <v>114</v>
      </c>
      <c r="C88" t="s">
        <v>537</v>
      </c>
      <c r="D88" s="27" t="s">
        <v>516</v>
      </c>
      <c r="E88" s="27" t="str">
        <f t="shared" si="9"/>
        <v>?</v>
      </c>
      <c r="F88" s="118" t="s">
        <v>515</v>
      </c>
      <c r="G88" t="s">
        <v>22</v>
      </c>
      <c r="H88" s="24" t="s">
        <v>9</v>
      </c>
      <c r="I88">
        <v>0.39639999999999997</v>
      </c>
      <c r="J88">
        <v>4.47</v>
      </c>
      <c r="K88">
        <v>0.184</v>
      </c>
      <c r="L88">
        <v>0.17150000000000001</v>
      </c>
      <c r="M88" s="140">
        <f t="shared" si="10"/>
        <v>0.39639999999999997</v>
      </c>
      <c r="N88" s="140">
        <f t="shared" si="10"/>
        <v>4.47</v>
      </c>
      <c r="O88" s="140">
        <f t="shared" si="10"/>
        <v>0.184</v>
      </c>
      <c r="P88" s="140">
        <f t="shared" si="8"/>
        <v>0.17150000000000001</v>
      </c>
      <c r="Q88" s="161" t="s">
        <v>676</v>
      </c>
      <c r="R88" s="125">
        <v>16.105</v>
      </c>
      <c r="S88" t="s">
        <v>676</v>
      </c>
      <c r="T88" t="s">
        <v>515</v>
      </c>
      <c r="U88" t="s">
        <v>515</v>
      </c>
      <c r="V88" s="118" t="s">
        <v>515</v>
      </c>
      <c r="W88">
        <v>40.772606000000003</v>
      </c>
      <c r="X88">
        <v>-85.640024999999994</v>
      </c>
      <c r="Y88">
        <v>5</v>
      </c>
      <c r="Z88">
        <v>22</v>
      </c>
      <c r="AA88">
        <v>2023</v>
      </c>
      <c r="AB88" t="b">
        <v>0</v>
      </c>
      <c r="AC88" s="19">
        <v>45068</v>
      </c>
      <c r="AD88" s="19" t="s">
        <v>515</v>
      </c>
      <c r="AE88" s="118" t="s">
        <v>515</v>
      </c>
      <c r="AF88" s="118" t="s">
        <v>515</v>
      </c>
      <c r="AG88" s="118" t="s">
        <v>515</v>
      </c>
      <c r="AH88" s="118" t="s">
        <v>515</v>
      </c>
      <c r="AI88" s="118" t="s">
        <v>515</v>
      </c>
      <c r="AJ88" s="118" t="s">
        <v>515</v>
      </c>
      <c r="AK88" s="118" t="s">
        <v>515</v>
      </c>
      <c r="AL88" s="118" t="s">
        <v>515</v>
      </c>
      <c r="AM88" s="118" t="s">
        <v>515</v>
      </c>
      <c r="AN88" s="118" t="s">
        <v>515</v>
      </c>
      <c r="AO88" s="21" t="s">
        <v>515</v>
      </c>
      <c r="AP88" s="118" t="s">
        <v>515</v>
      </c>
      <c r="AQ88" s="118" t="s">
        <v>515</v>
      </c>
      <c r="AR88" s="118" t="s">
        <v>515</v>
      </c>
      <c r="AS88" s="118" t="s">
        <v>515</v>
      </c>
      <c r="AT88" s="118" t="s">
        <v>515</v>
      </c>
      <c r="AU88" s="118" t="s">
        <v>515</v>
      </c>
      <c r="AV88" s="118" t="s">
        <v>515</v>
      </c>
      <c r="AW88" s="118" t="s">
        <v>515</v>
      </c>
      <c r="AX88" s="118" t="s">
        <v>515</v>
      </c>
      <c r="AY88" s="118" t="s">
        <v>515</v>
      </c>
      <c r="AZ88" s="118" t="s">
        <v>515</v>
      </c>
      <c r="BA88" s="118" t="s">
        <v>515</v>
      </c>
      <c r="BB88" s="118" t="s">
        <v>515</v>
      </c>
      <c r="BC88" s="118" t="s">
        <v>515</v>
      </c>
      <c r="BD88" s="118" t="s">
        <v>515</v>
      </c>
      <c r="BE88" s="118" t="s">
        <v>515</v>
      </c>
      <c r="BF88" s="118" t="s">
        <v>515</v>
      </c>
      <c r="BG88" s="118" t="s">
        <v>515</v>
      </c>
    </row>
    <row r="89" spans="1:59" x14ac:dyDescent="0.25">
      <c r="A89" s="25">
        <v>10088</v>
      </c>
      <c r="B89" t="s">
        <v>115</v>
      </c>
      <c r="C89" t="s">
        <v>538</v>
      </c>
      <c r="D89" s="27" t="s">
        <v>516</v>
      </c>
      <c r="E89" s="27" t="str">
        <f t="shared" si="9"/>
        <v>?</v>
      </c>
      <c r="F89" s="118" t="s">
        <v>515</v>
      </c>
      <c r="G89" t="s">
        <v>22</v>
      </c>
      <c r="H89" s="24" t="s">
        <v>513</v>
      </c>
      <c r="I89" t="s">
        <v>515</v>
      </c>
      <c r="J89" t="s">
        <v>515</v>
      </c>
      <c r="K89" t="s">
        <v>515</v>
      </c>
      <c r="L89" t="s">
        <v>515</v>
      </c>
      <c r="M89" s="140" t="str">
        <f t="shared" si="10"/>
        <v>NULL</v>
      </c>
      <c r="N89" s="140" t="str">
        <f t="shared" si="10"/>
        <v>NULL</v>
      </c>
      <c r="O89" s="140" t="str">
        <f t="shared" si="10"/>
        <v>NULL</v>
      </c>
      <c r="P89" s="140" t="str">
        <f t="shared" si="8"/>
        <v>NULL</v>
      </c>
      <c r="Q89" s="161" t="s">
        <v>676</v>
      </c>
      <c r="R89" s="125" t="s">
        <v>676</v>
      </c>
      <c r="S89" t="s">
        <v>676</v>
      </c>
      <c r="T89" t="s">
        <v>515</v>
      </c>
      <c r="U89" t="s">
        <v>515</v>
      </c>
      <c r="V89" s="118" t="s">
        <v>515</v>
      </c>
      <c r="W89">
        <v>40.769869999999997</v>
      </c>
      <c r="X89">
        <v>-85.647289999999998</v>
      </c>
      <c r="Y89">
        <v>5</v>
      </c>
      <c r="Z89">
        <v>22</v>
      </c>
      <c r="AA89">
        <v>2023</v>
      </c>
      <c r="AB89" t="b">
        <v>0</v>
      </c>
      <c r="AC89" s="19" t="e">
        <v>#VALUE!</v>
      </c>
      <c r="AD89" s="19" t="s">
        <v>515</v>
      </c>
      <c r="AE89" s="233">
        <v>0.68057870370370366</v>
      </c>
      <c r="AF89" s="234">
        <v>45068</v>
      </c>
      <c r="AG89" s="28" t="s">
        <v>515</v>
      </c>
      <c r="AH89" s="28" t="s">
        <v>515</v>
      </c>
      <c r="AI89" s="28">
        <v>744.6</v>
      </c>
      <c r="AJ89" s="28">
        <v>415.7</v>
      </c>
      <c r="AK89" s="28">
        <v>456.8</v>
      </c>
      <c r="AL89" s="28">
        <v>456806</v>
      </c>
      <c r="AM89" s="28">
        <v>0.22</v>
      </c>
      <c r="AN89" s="28">
        <v>460.6</v>
      </c>
      <c r="AO89" s="28">
        <v>0.63800000000000001</v>
      </c>
      <c r="AP89" s="28">
        <v>0.65</v>
      </c>
      <c r="AQ89" s="28">
        <v>0.90500000000000003</v>
      </c>
      <c r="AR89" s="28">
        <v>183.1</v>
      </c>
      <c r="AS89" s="28">
        <v>16.53</v>
      </c>
      <c r="AT89" s="28">
        <v>186.3</v>
      </c>
      <c r="AU89" s="28">
        <v>40.776310000000002</v>
      </c>
      <c r="AV89" s="28">
        <v>-85.630260000000007</v>
      </c>
      <c r="AW89" s="28">
        <v>227.6</v>
      </c>
      <c r="AX89" s="28">
        <v>106.4</v>
      </c>
      <c r="AY89" s="28">
        <v>8.8000000000000007</v>
      </c>
      <c r="AZ89" s="28">
        <v>-144.5</v>
      </c>
      <c r="BA89" s="28">
        <v>11.8</v>
      </c>
      <c r="BB89" s="28">
        <v>0</v>
      </c>
      <c r="BC89" s="28">
        <v>20.286999999999999</v>
      </c>
      <c r="BD89" s="28">
        <v>5.34</v>
      </c>
      <c r="BE89" s="28">
        <v>0</v>
      </c>
      <c r="BF89" s="234">
        <v>45068</v>
      </c>
      <c r="BG89" s="28" t="s">
        <v>516</v>
      </c>
    </row>
    <row r="90" spans="1:59" x14ac:dyDescent="0.25">
      <c r="A90" s="25">
        <v>10089</v>
      </c>
      <c r="B90" t="s">
        <v>115</v>
      </c>
      <c r="C90" t="s">
        <v>538</v>
      </c>
      <c r="D90" s="27" t="s">
        <v>516</v>
      </c>
      <c r="E90" s="27" t="str">
        <f t="shared" si="9"/>
        <v>?</v>
      </c>
      <c r="F90" s="118" t="s">
        <v>515</v>
      </c>
      <c r="G90" t="s">
        <v>22</v>
      </c>
      <c r="H90" s="24" t="s">
        <v>513</v>
      </c>
      <c r="I90" t="s">
        <v>515</v>
      </c>
      <c r="J90" t="s">
        <v>515</v>
      </c>
      <c r="K90" t="s">
        <v>515</v>
      </c>
      <c r="L90" t="s">
        <v>515</v>
      </c>
      <c r="M90" s="140" t="str">
        <f t="shared" si="10"/>
        <v>NULL</v>
      </c>
      <c r="N90" s="140" t="str">
        <f t="shared" si="10"/>
        <v>NULL</v>
      </c>
      <c r="O90" s="140" t="str">
        <f t="shared" si="10"/>
        <v>NULL</v>
      </c>
      <c r="P90" s="140" t="str">
        <f t="shared" si="8"/>
        <v>NULL</v>
      </c>
      <c r="Q90" s="161" t="s">
        <v>676</v>
      </c>
      <c r="R90" s="125" t="s">
        <v>676</v>
      </c>
      <c r="S90" t="s">
        <v>676</v>
      </c>
      <c r="T90" t="s">
        <v>515</v>
      </c>
      <c r="U90" t="s">
        <v>515</v>
      </c>
      <c r="V90" s="118" t="s">
        <v>515</v>
      </c>
      <c r="W90">
        <v>40.771740000000001</v>
      </c>
      <c r="X90">
        <v>-85.646940000000001</v>
      </c>
      <c r="Y90">
        <v>5</v>
      </c>
      <c r="Z90">
        <v>22</v>
      </c>
      <c r="AA90">
        <v>2023</v>
      </c>
      <c r="AB90" t="b">
        <v>0</v>
      </c>
      <c r="AC90" s="19" t="e">
        <v>#VALUE!</v>
      </c>
      <c r="AD90" s="19" t="s">
        <v>515</v>
      </c>
      <c r="AE90" s="233">
        <v>0.67041666666666666</v>
      </c>
      <c r="AF90" s="234">
        <v>45068</v>
      </c>
      <c r="AG90" s="28" t="s">
        <v>515</v>
      </c>
      <c r="AH90" s="28" t="s">
        <v>515</v>
      </c>
      <c r="AI90" s="28">
        <v>744.7</v>
      </c>
      <c r="AJ90" s="28">
        <v>419</v>
      </c>
      <c r="AK90" s="28">
        <v>455.7</v>
      </c>
      <c r="AL90" s="28">
        <v>455652</v>
      </c>
      <c r="AM90" s="28">
        <v>0.22</v>
      </c>
      <c r="AN90" s="28">
        <v>459.1</v>
      </c>
      <c r="AO90" s="28">
        <v>0.55500000000000005</v>
      </c>
      <c r="AP90" s="28">
        <v>0.57099999999999995</v>
      </c>
      <c r="AQ90" s="28">
        <v>0.78800000000000003</v>
      </c>
      <c r="AR90" s="28">
        <v>189.7</v>
      </c>
      <c r="AS90" s="28">
        <v>16.96</v>
      </c>
      <c r="AT90" s="28">
        <v>193</v>
      </c>
      <c r="AU90" s="28">
        <v>40.775019999999998</v>
      </c>
      <c r="AV90" s="28">
        <v>-85.631919999999994</v>
      </c>
      <c r="AW90" s="28">
        <v>239.7</v>
      </c>
      <c r="AX90" s="28">
        <v>105.6</v>
      </c>
      <c r="AY90" s="28">
        <v>8.84</v>
      </c>
      <c r="AZ90" s="28">
        <v>-146.80000000000001</v>
      </c>
      <c r="BA90" s="28">
        <v>11.8</v>
      </c>
      <c r="BB90" s="28">
        <v>0</v>
      </c>
      <c r="BC90" s="28">
        <v>20.788</v>
      </c>
      <c r="BD90" s="28">
        <v>8.92</v>
      </c>
      <c r="BE90" s="28">
        <v>0</v>
      </c>
      <c r="BF90" s="234">
        <v>45068</v>
      </c>
      <c r="BG90" s="28" t="s">
        <v>1846</v>
      </c>
    </row>
    <row r="91" spans="1:59" x14ac:dyDescent="0.25">
      <c r="A91" s="25">
        <v>10090</v>
      </c>
      <c r="B91" t="s">
        <v>115</v>
      </c>
      <c r="C91" t="s">
        <v>538</v>
      </c>
      <c r="D91" s="27" t="s">
        <v>516</v>
      </c>
      <c r="E91" s="27" t="str">
        <f t="shared" si="9"/>
        <v>?</v>
      </c>
      <c r="F91" s="118" t="s">
        <v>515</v>
      </c>
      <c r="G91" t="s">
        <v>22</v>
      </c>
      <c r="H91" s="24" t="s">
        <v>513</v>
      </c>
      <c r="I91" t="s">
        <v>515</v>
      </c>
      <c r="J91" t="s">
        <v>515</v>
      </c>
      <c r="K91" t="s">
        <v>515</v>
      </c>
      <c r="L91" t="s">
        <v>515</v>
      </c>
      <c r="M91" s="140" t="str">
        <f t="shared" si="10"/>
        <v>NULL</v>
      </c>
      <c r="N91" s="140" t="str">
        <f t="shared" si="10"/>
        <v>NULL</v>
      </c>
      <c r="O91" s="140" t="str">
        <f t="shared" si="10"/>
        <v>NULL</v>
      </c>
      <c r="P91" s="140" t="str">
        <f t="shared" si="8"/>
        <v>NULL</v>
      </c>
      <c r="Q91" s="161" t="s">
        <v>676</v>
      </c>
      <c r="R91" s="125" t="s">
        <v>676</v>
      </c>
      <c r="S91" t="s">
        <v>676</v>
      </c>
      <c r="T91" t="s">
        <v>515</v>
      </c>
      <c r="U91" t="s">
        <v>515</v>
      </c>
      <c r="V91" s="118" t="s">
        <v>515</v>
      </c>
      <c r="W91">
        <v>40.770240000000001</v>
      </c>
      <c r="X91">
        <v>-85.645709999999994</v>
      </c>
      <c r="Y91">
        <v>5</v>
      </c>
      <c r="Z91">
        <v>22</v>
      </c>
      <c r="AA91">
        <v>2023</v>
      </c>
      <c r="AB91" t="b">
        <v>0</v>
      </c>
      <c r="AC91" s="19" t="e">
        <v>#VALUE!</v>
      </c>
      <c r="AD91" s="19" t="s">
        <v>515</v>
      </c>
      <c r="AE91" s="118" t="s">
        <v>515</v>
      </c>
      <c r="AF91" s="118" t="s">
        <v>515</v>
      </c>
      <c r="AG91" s="118" t="s">
        <v>515</v>
      </c>
      <c r="AH91" s="118" t="s">
        <v>515</v>
      </c>
      <c r="AI91" s="118" t="s">
        <v>515</v>
      </c>
      <c r="AJ91" s="118" t="s">
        <v>515</v>
      </c>
      <c r="AK91" s="118" t="s">
        <v>515</v>
      </c>
      <c r="AL91" s="118" t="s">
        <v>515</v>
      </c>
      <c r="AM91" s="118" t="s">
        <v>515</v>
      </c>
      <c r="AN91" s="118" t="s">
        <v>515</v>
      </c>
      <c r="AO91" s="21" t="s">
        <v>515</v>
      </c>
      <c r="AP91" s="118" t="s">
        <v>515</v>
      </c>
      <c r="AQ91" s="118" t="s">
        <v>515</v>
      </c>
      <c r="AR91" s="118" t="s">
        <v>515</v>
      </c>
      <c r="AS91" s="118" t="s">
        <v>515</v>
      </c>
      <c r="AT91" s="118" t="s">
        <v>515</v>
      </c>
      <c r="AU91" s="118" t="s">
        <v>515</v>
      </c>
      <c r="AV91" s="118" t="s">
        <v>515</v>
      </c>
      <c r="AW91" s="118" t="s">
        <v>515</v>
      </c>
      <c r="AX91" s="118" t="s">
        <v>515</v>
      </c>
      <c r="AY91" s="118" t="s">
        <v>515</v>
      </c>
      <c r="AZ91" s="118" t="s">
        <v>515</v>
      </c>
      <c r="BA91" s="118" t="s">
        <v>515</v>
      </c>
      <c r="BB91" s="118" t="s">
        <v>515</v>
      </c>
      <c r="BC91" s="118" t="s">
        <v>515</v>
      </c>
      <c r="BD91" s="118" t="s">
        <v>515</v>
      </c>
      <c r="BE91" s="118" t="s">
        <v>515</v>
      </c>
      <c r="BF91" s="118" t="s">
        <v>515</v>
      </c>
      <c r="BG91" s="118" t="s">
        <v>515</v>
      </c>
    </row>
    <row r="92" spans="1:59" x14ac:dyDescent="0.25">
      <c r="A92" s="25">
        <v>10091</v>
      </c>
      <c r="B92" t="s">
        <v>116</v>
      </c>
      <c r="C92" t="s">
        <v>539</v>
      </c>
      <c r="D92" s="27">
        <v>4101</v>
      </c>
      <c r="E92" s="27">
        <v>1</v>
      </c>
      <c r="F92" s="118">
        <v>6865</v>
      </c>
      <c r="G92" t="s">
        <v>20</v>
      </c>
      <c r="H92" s="24" t="s">
        <v>8</v>
      </c>
      <c r="I92">
        <v>0.70120000000000005</v>
      </c>
      <c r="J92">
        <v>2.028</v>
      </c>
      <c r="K92">
        <v>0.27400000000000002</v>
      </c>
      <c r="L92">
        <v>6.4000000000000001E-2</v>
      </c>
      <c r="M92" s="140">
        <f t="shared" si="10"/>
        <v>0.70120000000000005</v>
      </c>
      <c r="N92" s="140">
        <f t="shared" si="10"/>
        <v>2.028</v>
      </c>
      <c r="O92" s="140">
        <f t="shared" si="10"/>
        <v>0.27400000000000002</v>
      </c>
      <c r="P92" s="140">
        <f t="shared" si="8"/>
        <v>0.05</v>
      </c>
      <c r="Q92" s="161" t="s">
        <v>676</v>
      </c>
      <c r="R92" s="125">
        <v>7.96</v>
      </c>
      <c r="S92" t="s">
        <v>676</v>
      </c>
      <c r="T92" t="s">
        <v>515</v>
      </c>
      <c r="U92" t="s">
        <v>515</v>
      </c>
      <c r="V92" s="118" t="s">
        <v>515</v>
      </c>
      <c r="W92">
        <v>40.83475</v>
      </c>
      <c r="X92">
        <v>-86.8080833333333</v>
      </c>
      <c r="Y92">
        <v>5</v>
      </c>
      <c r="Z92">
        <v>25</v>
      </c>
      <c r="AA92">
        <v>2023</v>
      </c>
      <c r="AB92" t="b">
        <v>0</v>
      </c>
      <c r="AC92" s="19">
        <v>45071</v>
      </c>
      <c r="AD92" s="19" t="s">
        <v>515</v>
      </c>
      <c r="AE92" s="230">
        <v>0.59835648148148146</v>
      </c>
      <c r="AF92" s="19">
        <v>45071</v>
      </c>
      <c r="AG92" s="118" t="s">
        <v>515</v>
      </c>
      <c r="AH92" s="118" t="s">
        <v>515</v>
      </c>
      <c r="AI92" s="118">
        <v>750.3</v>
      </c>
      <c r="AJ92" s="118">
        <v>522.9</v>
      </c>
      <c r="AK92" s="118">
        <v>568.70000000000005</v>
      </c>
      <c r="AL92" s="118">
        <v>568730</v>
      </c>
      <c r="AM92" s="118">
        <v>0.28000000000000003</v>
      </c>
      <c r="AN92" s="118">
        <v>573.1</v>
      </c>
      <c r="AO92" s="21">
        <v>0.56899999999999995</v>
      </c>
      <c r="AP92" s="118">
        <v>0.58099999999999996</v>
      </c>
      <c r="AQ92" s="118">
        <v>0.80800000000000005</v>
      </c>
      <c r="AR92" s="118">
        <v>182.1</v>
      </c>
      <c r="AS92" s="118">
        <v>16.28</v>
      </c>
      <c r="AT92" s="118">
        <v>184.7</v>
      </c>
      <c r="AU92" s="118">
        <v>40.834699999999998</v>
      </c>
      <c r="AV92" s="118">
        <v>-86.807990000000004</v>
      </c>
      <c r="AW92" s="118">
        <v>197.6</v>
      </c>
      <c r="AX92" s="118">
        <v>173.5</v>
      </c>
      <c r="AY92" s="118">
        <v>8.0299999999999994</v>
      </c>
      <c r="AZ92" s="118">
        <v>-101.9</v>
      </c>
      <c r="BA92" s="118">
        <v>11.8</v>
      </c>
      <c r="BB92" s="118">
        <v>0</v>
      </c>
      <c r="BC92" s="118">
        <v>20.777999999999999</v>
      </c>
      <c r="BD92" s="118">
        <v>9.3800000000000008</v>
      </c>
      <c r="BE92" s="118">
        <v>0</v>
      </c>
      <c r="BF92" s="19">
        <v>45071</v>
      </c>
      <c r="BG92" s="118" t="s">
        <v>1875</v>
      </c>
    </row>
    <row r="93" spans="1:59" x14ac:dyDescent="0.25">
      <c r="A93" s="25">
        <v>10092</v>
      </c>
      <c r="B93" t="s">
        <v>117</v>
      </c>
      <c r="C93" t="s">
        <v>540</v>
      </c>
      <c r="D93" s="27">
        <v>4102</v>
      </c>
      <c r="E93" s="27">
        <v>2</v>
      </c>
      <c r="F93" s="118">
        <v>8165</v>
      </c>
      <c r="G93" t="s">
        <v>20</v>
      </c>
      <c r="H93" s="24" t="s">
        <v>8</v>
      </c>
      <c r="I93">
        <v>0.1807</v>
      </c>
      <c r="J93">
        <v>1.91</v>
      </c>
      <c r="K93">
        <v>0.127</v>
      </c>
      <c r="L93">
        <v>6.8500000000000005E-2</v>
      </c>
      <c r="M93" s="140">
        <f t="shared" si="10"/>
        <v>0.1807</v>
      </c>
      <c r="N93" s="140">
        <f t="shared" si="10"/>
        <v>1.91</v>
      </c>
      <c r="O93" s="140">
        <f t="shared" si="10"/>
        <v>0.127</v>
      </c>
      <c r="P93" s="140">
        <f t="shared" si="8"/>
        <v>0.05</v>
      </c>
      <c r="Q93" s="161" t="s">
        <v>676</v>
      </c>
      <c r="R93" s="125">
        <v>12.91</v>
      </c>
      <c r="S93" t="s">
        <v>676</v>
      </c>
      <c r="T93" t="s">
        <v>515</v>
      </c>
      <c r="U93" t="s">
        <v>515</v>
      </c>
      <c r="V93" s="118" t="s">
        <v>515</v>
      </c>
      <c r="W93">
        <v>40.840722222222198</v>
      </c>
      <c r="X93">
        <v>-86.805111111111103</v>
      </c>
      <c r="Y93">
        <v>5</v>
      </c>
      <c r="Z93">
        <v>25</v>
      </c>
      <c r="AA93">
        <v>2023</v>
      </c>
      <c r="AB93" t="b">
        <v>0</v>
      </c>
      <c r="AC93" s="19">
        <v>45071</v>
      </c>
      <c r="AD93" s="19" t="s">
        <v>515</v>
      </c>
      <c r="AE93" s="230">
        <v>0.61334490740740744</v>
      </c>
      <c r="AF93" s="19">
        <v>45071</v>
      </c>
      <c r="AG93" s="118" t="s">
        <v>515</v>
      </c>
      <c r="AH93" s="118" t="s">
        <v>515</v>
      </c>
      <c r="AI93" s="118">
        <v>750.1</v>
      </c>
      <c r="AJ93" s="118">
        <v>551.4</v>
      </c>
      <c r="AK93" s="118">
        <v>598.20000000000005</v>
      </c>
      <c r="AL93" s="118">
        <v>598226</v>
      </c>
      <c r="AM93" s="118">
        <v>0.28999999999999998</v>
      </c>
      <c r="AN93" s="118">
        <v>602.70000000000005</v>
      </c>
      <c r="AO93" s="21">
        <v>0.51100000000000001</v>
      </c>
      <c r="AP93" s="118">
        <v>0.50900000000000001</v>
      </c>
      <c r="AQ93" s="118">
        <v>0.72599999999999998</v>
      </c>
      <c r="AR93" s="118">
        <v>153.4</v>
      </c>
      <c r="AS93" s="118">
        <v>13.68</v>
      </c>
      <c r="AT93" s="118">
        <v>155.6</v>
      </c>
      <c r="AU93" s="118">
        <v>40.840699999999998</v>
      </c>
      <c r="AV93" s="118">
        <v>-86.805090000000007</v>
      </c>
      <c r="AW93" s="118">
        <v>195</v>
      </c>
      <c r="AX93" s="118">
        <v>187.9</v>
      </c>
      <c r="AY93" s="118">
        <v>7.69</v>
      </c>
      <c r="AZ93" s="118">
        <v>-82.2</v>
      </c>
      <c r="BA93" s="118">
        <v>11.8</v>
      </c>
      <c r="BB93" s="118">
        <v>0</v>
      </c>
      <c r="BC93" s="118">
        <v>20.905000000000001</v>
      </c>
      <c r="BD93" s="118">
        <v>8.2899999999999991</v>
      </c>
      <c r="BE93" s="118">
        <v>0</v>
      </c>
      <c r="BF93" s="19">
        <v>45071</v>
      </c>
      <c r="BG93" s="118" t="s">
        <v>1876</v>
      </c>
    </row>
    <row r="94" spans="1:59" x14ac:dyDescent="0.25">
      <c r="A94" s="25">
        <v>10093</v>
      </c>
      <c r="B94" t="s">
        <v>118</v>
      </c>
      <c r="C94" t="s">
        <v>541</v>
      </c>
      <c r="D94" s="27">
        <v>4103</v>
      </c>
      <c r="E94" s="27">
        <v>3</v>
      </c>
      <c r="F94" s="118" t="s">
        <v>515</v>
      </c>
      <c r="G94" t="s">
        <v>20</v>
      </c>
      <c r="H94" s="24" t="s">
        <v>8</v>
      </c>
      <c r="I94" t="s">
        <v>515</v>
      </c>
      <c r="J94" t="s">
        <v>515</v>
      </c>
      <c r="K94" t="s">
        <v>515</v>
      </c>
      <c r="L94">
        <v>8.0500000000000002E-2</v>
      </c>
      <c r="M94" s="140" t="str">
        <f t="shared" si="10"/>
        <v>NULL</v>
      </c>
      <c r="N94" s="140" t="str">
        <f t="shared" si="10"/>
        <v>NULL</v>
      </c>
      <c r="O94" s="140" t="str">
        <f t="shared" si="10"/>
        <v>NULL</v>
      </c>
      <c r="P94" s="140">
        <f t="shared" si="8"/>
        <v>0.05</v>
      </c>
      <c r="Q94" s="161" t="s">
        <v>676</v>
      </c>
      <c r="R94" s="125">
        <v>6.85</v>
      </c>
      <c r="S94" t="s">
        <v>676</v>
      </c>
      <c r="T94" t="s">
        <v>515</v>
      </c>
      <c r="U94" t="s">
        <v>515</v>
      </c>
      <c r="V94" s="118" t="s">
        <v>515</v>
      </c>
      <c r="W94">
        <v>40.8428055555556</v>
      </c>
      <c r="X94">
        <v>-86.816888888888897</v>
      </c>
      <c r="Y94">
        <v>5</v>
      </c>
      <c r="Z94">
        <v>25</v>
      </c>
      <c r="AA94">
        <v>2023</v>
      </c>
      <c r="AB94" t="b">
        <v>0</v>
      </c>
      <c r="AC94" s="19">
        <v>45071</v>
      </c>
      <c r="AD94" s="19" t="s">
        <v>515</v>
      </c>
      <c r="AE94" s="230">
        <v>0.64009259259259255</v>
      </c>
      <c r="AF94" s="19">
        <v>45071</v>
      </c>
      <c r="AG94" s="118" t="s">
        <v>515</v>
      </c>
      <c r="AH94" s="118" t="s">
        <v>515</v>
      </c>
      <c r="AI94" s="118">
        <v>750.4</v>
      </c>
      <c r="AJ94" s="118">
        <v>599.70000000000005</v>
      </c>
      <c r="AK94" s="118">
        <v>637.70000000000005</v>
      </c>
      <c r="AL94" s="118">
        <v>637684</v>
      </c>
      <c r="AM94" s="118">
        <v>0.31</v>
      </c>
      <c r="AN94" s="118">
        <v>641.4</v>
      </c>
      <c r="AO94" s="21">
        <v>0.433</v>
      </c>
      <c r="AP94" s="118">
        <v>0.45600000000000002</v>
      </c>
      <c r="AQ94" s="118">
        <v>0.61499999999999999</v>
      </c>
      <c r="AR94" s="118">
        <v>103.2</v>
      </c>
      <c r="AS94" s="118">
        <v>9.0299999999999994</v>
      </c>
      <c r="AT94" s="118">
        <v>104.6</v>
      </c>
      <c r="AU94" s="118">
        <v>40.842799999999997</v>
      </c>
      <c r="AV94" s="118">
        <v>-86.816950000000006</v>
      </c>
      <c r="AW94" s="118">
        <v>197.7</v>
      </c>
      <c r="AX94" s="118">
        <v>200.2</v>
      </c>
      <c r="AY94" s="118">
        <v>7.78</v>
      </c>
      <c r="AZ94" s="118">
        <v>-87.7</v>
      </c>
      <c r="BA94" s="118">
        <v>11.8</v>
      </c>
      <c r="BB94" s="118">
        <v>0</v>
      </c>
      <c r="BC94" s="118">
        <v>21.882999999999999</v>
      </c>
      <c r="BD94" s="118">
        <v>9.01</v>
      </c>
      <c r="BE94" s="118">
        <v>0</v>
      </c>
      <c r="BF94" s="19">
        <v>45071</v>
      </c>
      <c r="BG94" s="118" t="s">
        <v>1877</v>
      </c>
    </row>
    <row r="95" spans="1:59" x14ac:dyDescent="0.25">
      <c r="A95" s="25">
        <v>10094</v>
      </c>
      <c r="B95" t="s">
        <v>119</v>
      </c>
      <c r="C95" t="s">
        <v>542</v>
      </c>
      <c r="D95" s="27">
        <v>4104</v>
      </c>
      <c r="E95" s="27">
        <v>4</v>
      </c>
      <c r="F95" s="118" t="s">
        <v>515</v>
      </c>
      <c r="G95" t="s">
        <v>20</v>
      </c>
      <c r="H95" s="24" t="s">
        <v>8</v>
      </c>
      <c r="I95">
        <v>0.34229999999999999</v>
      </c>
      <c r="J95">
        <v>1.986</v>
      </c>
      <c r="K95">
        <v>0.17449999999999999</v>
      </c>
      <c r="L95">
        <v>5.45E-2</v>
      </c>
      <c r="M95" s="140">
        <f t="shared" si="10"/>
        <v>0.34229999999999999</v>
      </c>
      <c r="N95" s="140">
        <f t="shared" si="10"/>
        <v>1.986</v>
      </c>
      <c r="O95" s="140">
        <f t="shared" si="10"/>
        <v>0.17449999999999999</v>
      </c>
      <c r="P95" s="140">
        <f t="shared" si="8"/>
        <v>0.05</v>
      </c>
      <c r="Q95" s="161" t="s">
        <v>676</v>
      </c>
      <c r="R95" s="125">
        <v>11.404999999999999</v>
      </c>
      <c r="S95" t="s">
        <v>676</v>
      </c>
      <c r="T95" t="s">
        <v>515</v>
      </c>
      <c r="U95" t="s">
        <v>515</v>
      </c>
      <c r="V95" s="118" t="s">
        <v>515</v>
      </c>
      <c r="W95">
        <v>40.847638888888902</v>
      </c>
      <c r="X95">
        <v>-86.813833333333307</v>
      </c>
      <c r="Y95">
        <v>5</v>
      </c>
      <c r="Z95">
        <v>25</v>
      </c>
      <c r="AA95">
        <v>2023</v>
      </c>
      <c r="AB95" t="b">
        <v>0</v>
      </c>
      <c r="AC95" s="19">
        <v>45071</v>
      </c>
      <c r="AD95" s="19" t="s">
        <v>515</v>
      </c>
      <c r="AE95" s="230">
        <v>0.65540509259259261</v>
      </c>
      <c r="AF95" s="19">
        <v>45071</v>
      </c>
      <c r="AG95" s="118" t="s">
        <v>515</v>
      </c>
      <c r="AH95" s="118" t="s">
        <v>515</v>
      </c>
      <c r="AI95" s="118">
        <v>750.1</v>
      </c>
      <c r="AJ95" s="118">
        <v>566.79999999999995</v>
      </c>
      <c r="AK95" s="118">
        <v>606.4</v>
      </c>
      <c r="AL95" s="118">
        <v>606394</v>
      </c>
      <c r="AM95" s="118">
        <v>0.28999999999999998</v>
      </c>
      <c r="AN95" s="118">
        <v>610.20000000000005</v>
      </c>
      <c r="AO95" s="21">
        <v>0.52900000000000003</v>
      </c>
      <c r="AP95" s="118">
        <v>0.54400000000000004</v>
      </c>
      <c r="AQ95" s="118">
        <v>0.751</v>
      </c>
      <c r="AR95" s="118">
        <v>159.30000000000001</v>
      </c>
      <c r="AS95" s="118">
        <v>14.02</v>
      </c>
      <c r="AT95" s="118">
        <v>161.6</v>
      </c>
      <c r="AU95" s="118">
        <v>40.847659999999998</v>
      </c>
      <c r="AV95" s="118">
        <v>-86.813839999999999</v>
      </c>
      <c r="AW95" s="118">
        <v>193.1</v>
      </c>
      <c r="AX95" s="118">
        <v>200.8</v>
      </c>
      <c r="AY95" s="118">
        <v>8.0500000000000007</v>
      </c>
      <c r="AZ95" s="118">
        <v>-103.3</v>
      </c>
      <c r="BA95" s="118">
        <v>11.8</v>
      </c>
      <c r="BB95" s="118">
        <v>0</v>
      </c>
      <c r="BC95" s="118">
        <v>21.585000000000001</v>
      </c>
      <c r="BD95" s="118">
        <v>9.15</v>
      </c>
      <c r="BE95" s="118">
        <v>0</v>
      </c>
      <c r="BF95" s="19">
        <v>45071</v>
      </c>
      <c r="BG95" s="118" t="s">
        <v>1878</v>
      </c>
    </row>
    <row r="96" spans="1:59" x14ac:dyDescent="0.25">
      <c r="A96" s="25">
        <v>10095</v>
      </c>
      <c r="B96" t="s">
        <v>120</v>
      </c>
      <c r="C96" t="s">
        <v>543</v>
      </c>
      <c r="D96" s="27">
        <v>4106</v>
      </c>
      <c r="E96" s="27">
        <v>6</v>
      </c>
      <c r="F96" s="118">
        <v>8245</v>
      </c>
      <c r="G96" t="s">
        <v>20</v>
      </c>
      <c r="H96" s="24" t="s">
        <v>8</v>
      </c>
      <c r="I96" t="s">
        <v>515</v>
      </c>
      <c r="J96" t="s">
        <v>515</v>
      </c>
      <c r="K96" t="s">
        <v>515</v>
      </c>
      <c r="L96">
        <v>6.9000000000000006E-2</v>
      </c>
      <c r="M96" s="140" t="str">
        <f t="shared" si="10"/>
        <v>NULL</v>
      </c>
      <c r="N96" s="140" t="str">
        <f t="shared" si="10"/>
        <v>NULL</v>
      </c>
      <c r="O96" s="140" t="str">
        <f t="shared" si="10"/>
        <v>NULL</v>
      </c>
      <c r="P96" s="140">
        <f t="shared" si="8"/>
        <v>0.05</v>
      </c>
      <c r="Q96" s="161" t="s">
        <v>676</v>
      </c>
      <c r="R96" s="125">
        <v>0.94499999999999995</v>
      </c>
      <c r="S96" t="s">
        <v>676</v>
      </c>
      <c r="T96" t="s">
        <v>515</v>
      </c>
      <c r="U96" t="s">
        <v>515</v>
      </c>
      <c r="V96" s="118" t="s">
        <v>515</v>
      </c>
      <c r="W96">
        <v>40.834944444444403</v>
      </c>
      <c r="X96">
        <v>-86.782055555555601</v>
      </c>
      <c r="Y96">
        <v>5</v>
      </c>
      <c r="Z96">
        <v>25</v>
      </c>
      <c r="AA96">
        <v>2023</v>
      </c>
      <c r="AB96" t="b">
        <v>0</v>
      </c>
      <c r="AC96" s="19">
        <v>45071</v>
      </c>
      <c r="AD96" s="19" t="s">
        <v>515</v>
      </c>
      <c r="AE96" s="230">
        <v>0.7329282407407407</v>
      </c>
      <c r="AF96" s="19">
        <v>45071</v>
      </c>
      <c r="AG96" s="118" t="s">
        <v>515</v>
      </c>
      <c r="AH96" s="118" t="s">
        <v>515</v>
      </c>
      <c r="AI96" s="118">
        <v>749.7</v>
      </c>
      <c r="AJ96" s="118">
        <v>629.1</v>
      </c>
      <c r="AK96" s="118">
        <v>692.3</v>
      </c>
      <c r="AL96" s="118">
        <v>692270</v>
      </c>
      <c r="AM96" s="118">
        <v>0.34</v>
      </c>
      <c r="AN96" s="118">
        <v>698.2</v>
      </c>
      <c r="AO96" s="21">
        <v>0.54100000000000004</v>
      </c>
      <c r="AP96" s="118">
        <v>0.57499999999999996</v>
      </c>
      <c r="AQ96" s="118">
        <v>0.76900000000000002</v>
      </c>
      <c r="AR96" s="118">
        <v>86.9</v>
      </c>
      <c r="AS96" s="118">
        <v>7.85</v>
      </c>
      <c r="AT96" s="118">
        <v>88.1</v>
      </c>
      <c r="AU96" s="118">
        <v>40.834960000000002</v>
      </c>
      <c r="AV96" s="118">
        <v>-86.782079999999993</v>
      </c>
      <c r="AW96" s="118">
        <v>199.8</v>
      </c>
      <c r="AX96" s="118">
        <v>184.5</v>
      </c>
      <c r="AY96" s="118">
        <v>7.87</v>
      </c>
      <c r="AZ96" s="118">
        <v>-92.9</v>
      </c>
      <c r="BA96" s="118">
        <v>11.8</v>
      </c>
      <c r="BB96" s="118">
        <v>0</v>
      </c>
      <c r="BC96" s="118">
        <v>20.221</v>
      </c>
      <c r="BD96" s="118">
        <v>5.89</v>
      </c>
      <c r="BE96" s="118">
        <v>0</v>
      </c>
      <c r="BF96" s="19">
        <v>45071</v>
      </c>
      <c r="BG96" s="118" t="s">
        <v>1736</v>
      </c>
    </row>
    <row r="97" spans="1:59" x14ac:dyDescent="0.25">
      <c r="A97" s="25">
        <v>10096</v>
      </c>
      <c r="B97" t="s">
        <v>121</v>
      </c>
      <c r="C97" t="s">
        <v>544</v>
      </c>
      <c r="D97" s="27">
        <v>4107</v>
      </c>
      <c r="E97" s="27">
        <v>7</v>
      </c>
      <c r="F97" s="118" t="s">
        <v>515</v>
      </c>
      <c r="G97" t="s">
        <v>20</v>
      </c>
      <c r="H97" s="24" t="s">
        <v>8</v>
      </c>
      <c r="I97" t="s">
        <v>515</v>
      </c>
      <c r="J97" t="s">
        <v>515</v>
      </c>
      <c r="K97" t="s">
        <v>515</v>
      </c>
      <c r="L97">
        <v>3.2500000000000001E-2</v>
      </c>
      <c r="M97" s="140" t="str">
        <f t="shared" si="10"/>
        <v>NULL</v>
      </c>
      <c r="N97" s="140" t="str">
        <f t="shared" si="10"/>
        <v>NULL</v>
      </c>
      <c r="O97" s="140" t="str">
        <f t="shared" si="10"/>
        <v>NULL</v>
      </c>
      <c r="P97" s="140">
        <f t="shared" si="8"/>
        <v>0.05</v>
      </c>
      <c r="Q97" s="161" t="s">
        <v>676</v>
      </c>
      <c r="R97" s="125">
        <v>0.69499999999999995</v>
      </c>
      <c r="S97" t="s">
        <v>676</v>
      </c>
      <c r="T97" t="s">
        <v>515</v>
      </c>
      <c r="U97" t="s">
        <v>515</v>
      </c>
      <c r="V97" s="118" t="s">
        <v>515</v>
      </c>
      <c r="W97">
        <v>40.8471388888889</v>
      </c>
      <c r="X97">
        <v>-86.759583333333296</v>
      </c>
      <c r="Y97">
        <v>5</v>
      </c>
      <c r="Z97">
        <v>25</v>
      </c>
      <c r="AA97">
        <v>2023</v>
      </c>
      <c r="AB97" t="b">
        <v>0</v>
      </c>
      <c r="AC97" s="19">
        <v>45071</v>
      </c>
      <c r="AD97" s="19" t="s">
        <v>515</v>
      </c>
      <c r="AE97" s="230">
        <v>0.75417824074074069</v>
      </c>
      <c r="AF97" s="19">
        <v>45071</v>
      </c>
      <c r="AG97" s="118" t="s">
        <v>515</v>
      </c>
      <c r="AH97" s="118" t="s">
        <v>515</v>
      </c>
      <c r="AI97" s="118">
        <v>749.5</v>
      </c>
      <c r="AJ97" s="118">
        <v>634.20000000000005</v>
      </c>
      <c r="AK97" s="118">
        <v>707.6</v>
      </c>
      <c r="AL97" s="118">
        <v>707616</v>
      </c>
      <c r="AM97" s="118">
        <v>0.35</v>
      </c>
      <c r="AN97" s="118">
        <v>714.4</v>
      </c>
      <c r="AO97" s="21">
        <v>1.0189999999999999</v>
      </c>
      <c r="AP97" s="118">
        <v>0.89</v>
      </c>
      <c r="AQ97" s="118">
        <v>1.4470000000000001</v>
      </c>
      <c r="AR97" s="118">
        <v>84</v>
      </c>
      <c r="AS97" s="118">
        <v>7.68</v>
      </c>
      <c r="AT97" s="118">
        <v>85.2</v>
      </c>
      <c r="AU97" s="118">
        <v>40.847119999999997</v>
      </c>
      <c r="AV97" s="118">
        <v>-86.760210000000001</v>
      </c>
      <c r="AW97" s="118">
        <v>194.4</v>
      </c>
      <c r="AX97" s="118">
        <v>213.4</v>
      </c>
      <c r="AY97" s="118">
        <v>7.82</v>
      </c>
      <c r="AZ97" s="118">
        <v>-89.9</v>
      </c>
      <c r="BA97" s="118">
        <v>11.8</v>
      </c>
      <c r="BB97" s="118">
        <v>0</v>
      </c>
      <c r="BC97" s="118">
        <v>19.567</v>
      </c>
      <c r="BD97" s="118">
        <v>6.17</v>
      </c>
      <c r="BE97" s="118">
        <v>0</v>
      </c>
      <c r="BF97" s="19">
        <v>45071</v>
      </c>
      <c r="BG97" s="118" t="s">
        <v>1882</v>
      </c>
    </row>
    <row r="98" spans="1:59" x14ac:dyDescent="0.25">
      <c r="A98" s="25">
        <v>10097</v>
      </c>
      <c r="B98" t="s">
        <v>122</v>
      </c>
      <c r="C98" t="s">
        <v>545</v>
      </c>
      <c r="D98" s="27">
        <v>4108</v>
      </c>
      <c r="E98" s="27">
        <v>8</v>
      </c>
      <c r="F98" s="118">
        <v>5065</v>
      </c>
      <c r="G98" t="s">
        <v>20</v>
      </c>
      <c r="H98" s="24" t="s">
        <v>8</v>
      </c>
      <c r="I98">
        <v>1.0458499999999999</v>
      </c>
      <c r="J98">
        <v>3.0815000000000001</v>
      </c>
      <c r="K98">
        <v>0.373</v>
      </c>
      <c r="L98">
        <v>4.1000000000000002E-2</v>
      </c>
      <c r="M98" s="140">
        <f t="shared" ref="M98:O113" si="11">IF(I98&lt;0.1,0.05,I98)</f>
        <v>1.0458499999999999</v>
      </c>
      <c r="N98" s="140">
        <f t="shared" si="11"/>
        <v>3.0815000000000001</v>
      </c>
      <c r="O98" s="140">
        <f t="shared" si="11"/>
        <v>0.373</v>
      </c>
      <c r="P98" s="140">
        <f t="shared" si="8"/>
        <v>0.05</v>
      </c>
      <c r="Q98" s="161" t="s">
        <v>676</v>
      </c>
      <c r="R98" s="125">
        <v>1.2450000000000001</v>
      </c>
      <c r="S98" t="s">
        <v>676</v>
      </c>
      <c r="T98" t="s">
        <v>515</v>
      </c>
      <c r="U98" t="s">
        <v>515</v>
      </c>
      <c r="V98" s="118" t="s">
        <v>515</v>
      </c>
      <c r="W98">
        <v>40.810944444444402</v>
      </c>
      <c r="X98">
        <v>-86.794555555555604</v>
      </c>
      <c r="Y98">
        <v>5</v>
      </c>
      <c r="Z98">
        <v>25</v>
      </c>
      <c r="AA98">
        <v>2023</v>
      </c>
      <c r="AB98" t="b">
        <v>0</v>
      </c>
      <c r="AC98" s="19">
        <v>45071</v>
      </c>
      <c r="AD98" s="19" t="s">
        <v>515</v>
      </c>
      <c r="AE98" s="230">
        <v>0.79699074074074072</v>
      </c>
      <c r="AF98" s="19">
        <v>45071</v>
      </c>
      <c r="AG98" s="118" t="s">
        <v>515</v>
      </c>
      <c r="AH98" s="118" t="s">
        <v>515</v>
      </c>
      <c r="AI98" s="118">
        <v>749.2</v>
      </c>
      <c r="AJ98" s="118">
        <v>652.29999999999995</v>
      </c>
      <c r="AK98" s="118">
        <v>699.2</v>
      </c>
      <c r="AL98" s="118">
        <v>699230</v>
      </c>
      <c r="AM98" s="118">
        <v>0.34</v>
      </c>
      <c r="AN98" s="118">
        <v>703.7</v>
      </c>
      <c r="AO98" s="21">
        <v>0.48499999999999999</v>
      </c>
      <c r="AP98" s="118">
        <v>0.48899999999999999</v>
      </c>
      <c r="AQ98" s="118">
        <v>0.68899999999999995</v>
      </c>
      <c r="AR98" s="118">
        <v>96.5</v>
      </c>
      <c r="AS98" s="118">
        <v>8.5</v>
      </c>
      <c r="AT98" s="118">
        <v>97.9</v>
      </c>
      <c r="AU98" s="118">
        <v>40.810899999999997</v>
      </c>
      <c r="AV98" s="118">
        <v>-86.794589999999999</v>
      </c>
      <c r="AW98" s="118">
        <v>194.6</v>
      </c>
      <c r="AX98" s="118">
        <v>242.6</v>
      </c>
      <c r="AY98" s="118">
        <v>7.86</v>
      </c>
      <c r="AZ98" s="118">
        <v>-92.6</v>
      </c>
      <c r="BA98" s="118">
        <v>11.8</v>
      </c>
      <c r="BB98" s="118">
        <v>0</v>
      </c>
      <c r="BC98" s="118">
        <v>21.486000000000001</v>
      </c>
      <c r="BD98" s="118">
        <v>6.09</v>
      </c>
      <c r="BE98" s="118">
        <v>0</v>
      </c>
      <c r="BF98" s="19">
        <v>45071</v>
      </c>
      <c r="BG98" s="118" t="s">
        <v>1737</v>
      </c>
    </row>
    <row r="99" spans="1:59" x14ac:dyDescent="0.25">
      <c r="A99" s="25">
        <v>10098</v>
      </c>
      <c r="B99" t="s">
        <v>123</v>
      </c>
      <c r="C99" t="s">
        <v>546</v>
      </c>
      <c r="D99" s="27">
        <v>4109</v>
      </c>
      <c r="E99" s="27">
        <v>9</v>
      </c>
      <c r="F99" s="118">
        <v>3385</v>
      </c>
      <c r="G99" t="s">
        <v>20</v>
      </c>
      <c r="H99" s="24" t="s">
        <v>8</v>
      </c>
      <c r="I99" t="s">
        <v>515</v>
      </c>
      <c r="J99" t="s">
        <v>515</v>
      </c>
      <c r="K99" t="s">
        <v>515</v>
      </c>
      <c r="L99">
        <v>4.3499999999999997E-2</v>
      </c>
      <c r="M99" s="140" t="str">
        <f t="shared" si="11"/>
        <v>NULL</v>
      </c>
      <c r="N99" s="140" t="str">
        <f t="shared" si="11"/>
        <v>NULL</v>
      </c>
      <c r="O99" s="140" t="str">
        <f t="shared" si="11"/>
        <v>NULL</v>
      </c>
      <c r="P99" s="140">
        <f t="shared" si="8"/>
        <v>0.05</v>
      </c>
      <c r="Q99" s="161" t="s">
        <v>676</v>
      </c>
      <c r="R99" s="125">
        <v>6.3449999999999998</v>
      </c>
      <c r="S99" t="s">
        <v>676</v>
      </c>
      <c r="T99" t="s">
        <v>515</v>
      </c>
      <c r="U99" t="s">
        <v>515</v>
      </c>
      <c r="V99" s="118" t="s">
        <v>515</v>
      </c>
      <c r="W99">
        <v>40.8039722222222</v>
      </c>
      <c r="X99">
        <v>-86.776277777777807</v>
      </c>
      <c r="Y99">
        <v>5</v>
      </c>
      <c r="Z99">
        <v>25</v>
      </c>
      <c r="AA99">
        <v>2023</v>
      </c>
      <c r="AB99" t="b">
        <v>0</v>
      </c>
      <c r="AC99" s="19">
        <v>45071</v>
      </c>
      <c r="AD99" s="19" t="s">
        <v>515</v>
      </c>
      <c r="AE99" s="230">
        <v>0.81468750000000001</v>
      </c>
      <c r="AF99" s="19">
        <v>45071</v>
      </c>
      <c r="AG99" s="118" t="s">
        <v>515</v>
      </c>
      <c r="AH99" s="118" t="s">
        <v>515</v>
      </c>
      <c r="AI99" s="118">
        <v>749.2</v>
      </c>
      <c r="AJ99" s="118">
        <v>624.20000000000005</v>
      </c>
      <c r="AK99" s="118">
        <v>670</v>
      </c>
      <c r="AL99" s="118">
        <v>670045</v>
      </c>
      <c r="AM99" s="118">
        <v>0.33</v>
      </c>
      <c r="AN99" s="118">
        <v>674.4</v>
      </c>
      <c r="AO99" s="21">
        <v>0.56699999999999995</v>
      </c>
      <c r="AP99" s="118">
        <v>0.57399999999999995</v>
      </c>
      <c r="AQ99" s="118">
        <v>0.80500000000000005</v>
      </c>
      <c r="AR99" s="118">
        <v>133.69999999999999</v>
      </c>
      <c r="AS99" s="118">
        <v>11.8</v>
      </c>
      <c r="AT99" s="118">
        <v>135.6</v>
      </c>
      <c r="AU99" s="118">
        <v>40.803840000000001</v>
      </c>
      <c r="AV99" s="118">
        <v>-86.776610000000005</v>
      </c>
      <c r="AW99" s="118">
        <v>194.5</v>
      </c>
      <c r="AX99" s="118">
        <v>226.3</v>
      </c>
      <c r="AY99" s="118">
        <v>8.0500000000000007</v>
      </c>
      <c r="AZ99" s="118">
        <v>-103.8</v>
      </c>
      <c r="BA99" s="118">
        <v>11.8</v>
      </c>
      <c r="BB99" s="118">
        <v>0</v>
      </c>
      <c r="BC99" s="118">
        <v>21.420999999999999</v>
      </c>
      <c r="BD99" s="118">
        <v>5.7</v>
      </c>
      <c r="BE99" s="118">
        <v>0</v>
      </c>
      <c r="BF99" s="19">
        <v>45071</v>
      </c>
      <c r="BG99" s="118" t="s">
        <v>1739</v>
      </c>
    </row>
    <row r="100" spans="1:59" x14ac:dyDescent="0.25">
      <c r="A100" s="25">
        <v>10099</v>
      </c>
      <c r="B100" t="s">
        <v>124</v>
      </c>
      <c r="C100" t="s">
        <v>547</v>
      </c>
      <c r="D100" s="27">
        <v>4110</v>
      </c>
      <c r="E100" s="27">
        <v>10</v>
      </c>
      <c r="F100" s="118">
        <v>2205</v>
      </c>
      <c r="G100" t="s">
        <v>20</v>
      </c>
      <c r="H100" s="24" t="s">
        <v>8</v>
      </c>
      <c r="I100" t="s">
        <v>515</v>
      </c>
      <c r="J100" t="s">
        <v>515</v>
      </c>
      <c r="K100" t="s">
        <v>515</v>
      </c>
      <c r="L100">
        <v>9.8000000000000004E-2</v>
      </c>
      <c r="M100" s="140" t="str">
        <f t="shared" si="11"/>
        <v>NULL</v>
      </c>
      <c r="N100" s="140" t="str">
        <f t="shared" si="11"/>
        <v>NULL</v>
      </c>
      <c r="O100" s="140" t="str">
        <f t="shared" si="11"/>
        <v>NULL</v>
      </c>
      <c r="P100" s="140">
        <f t="shared" si="8"/>
        <v>0.05</v>
      </c>
      <c r="Q100" s="161" t="s">
        <v>676</v>
      </c>
      <c r="R100" s="125">
        <v>8.1300000000000008</v>
      </c>
      <c r="S100" t="s">
        <v>676</v>
      </c>
      <c r="T100" t="s">
        <v>515</v>
      </c>
      <c r="U100" t="s">
        <v>515</v>
      </c>
      <c r="V100" s="118" t="s">
        <v>515</v>
      </c>
      <c r="W100">
        <v>40.7951388888889</v>
      </c>
      <c r="X100">
        <v>-86.773527777777801</v>
      </c>
      <c r="Y100">
        <v>5</v>
      </c>
      <c r="Z100">
        <v>25</v>
      </c>
      <c r="AA100">
        <v>2023</v>
      </c>
      <c r="AB100" t="b">
        <v>0</v>
      </c>
      <c r="AC100" s="19">
        <v>45071</v>
      </c>
      <c r="AD100" s="19" t="s">
        <v>515</v>
      </c>
      <c r="AE100" s="230">
        <v>0.82814814814814819</v>
      </c>
      <c r="AF100" s="19">
        <v>45071</v>
      </c>
      <c r="AG100" s="118" t="s">
        <v>515</v>
      </c>
      <c r="AH100" s="118" t="s">
        <v>515</v>
      </c>
      <c r="AI100" s="118">
        <v>749.1</v>
      </c>
      <c r="AJ100" s="118">
        <v>637.20000000000005</v>
      </c>
      <c r="AK100" s="118">
        <v>680.1</v>
      </c>
      <c r="AL100" s="118">
        <v>680066</v>
      </c>
      <c r="AM100" s="118">
        <v>0.33</v>
      </c>
      <c r="AN100" s="118">
        <v>684.2</v>
      </c>
      <c r="AO100" s="21">
        <v>0.52500000000000002</v>
      </c>
      <c r="AP100" s="118">
        <v>0.53600000000000003</v>
      </c>
      <c r="AQ100" s="118">
        <v>0.746</v>
      </c>
      <c r="AR100" s="118">
        <v>137.1</v>
      </c>
      <c r="AS100" s="118">
        <v>12.03</v>
      </c>
      <c r="AT100" s="118">
        <v>139</v>
      </c>
      <c r="AU100" s="118">
        <v>40.79513</v>
      </c>
      <c r="AV100" s="118">
        <v>-86.772260000000003</v>
      </c>
      <c r="AW100" s="118">
        <v>195.3</v>
      </c>
      <c r="AX100" s="118">
        <v>236.1</v>
      </c>
      <c r="AY100" s="118">
        <v>8.1</v>
      </c>
      <c r="AZ100" s="118">
        <v>-106.3</v>
      </c>
      <c r="BA100" s="118">
        <v>11.8</v>
      </c>
      <c r="BB100" s="118">
        <v>0</v>
      </c>
      <c r="BC100" s="118">
        <v>21.696999999999999</v>
      </c>
      <c r="BD100" s="118">
        <v>5.6</v>
      </c>
      <c r="BE100" s="118">
        <v>0</v>
      </c>
      <c r="BF100" s="19">
        <v>45071</v>
      </c>
      <c r="BG100" s="118" t="s">
        <v>1741</v>
      </c>
    </row>
    <row r="101" spans="1:59" x14ac:dyDescent="0.25">
      <c r="A101" s="25">
        <v>10100</v>
      </c>
      <c r="B101" t="s">
        <v>125</v>
      </c>
      <c r="C101" t="s">
        <v>548</v>
      </c>
      <c r="D101" s="27">
        <v>4111</v>
      </c>
      <c r="E101" s="27">
        <v>11</v>
      </c>
      <c r="F101" s="118">
        <v>1385</v>
      </c>
      <c r="G101" t="s">
        <v>20</v>
      </c>
      <c r="H101" s="24" t="s">
        <v>8</v>
      </c>
      <c r="I101">
        <v>0.96625000000000005</v>
      </c>
      <c r="J101">
        <v>2.9355000000000002</v>
      </c>
      <c r="K101">
        <v>0.43099999999999999</v>
      </c>
      <c r="L101">
        <v>7.85E-2</v>
      </c>
      <c r="M101" s="140">
        <f t="shared" si="11"/>
        <v>0.96625000000000005</v>
      </c>
      <c r="N101" s="140">
        <f t="shared" si="11"/>
        <v>2.9355000000000002</v>
      </c>
      <c r="O101" s="140">
        <f t="shared" si="11"/>
        <v>0.43099999999999999</v>
      </c>
      <c r="P101" s="140">
        <f t="shared" si="8"/>
        <v>0.05</v>
      </c>
      <c r="Q101" s="161" t="s">
        <v>676</v>
      </c>
      <c r="R101" s="125">
        <v>8.7449999999999992</v>
      </c>
      <c r="S101" t="s">
        <v>676</v>
      </c>
      <c r="T101" t="s">
        <v>515</v>
      </c>
      <c r="U101" t="s">
        <v>515</v>
      </c>
      <c r="V101" s="118" t="s">
        <v>515</v>
      </c>
      <c r="W101">
        <v>40.786972222222197</v>
      </c>
      <c r="X101">
        <v>-86.771083333333294</v>
      </c>
      <c r="Y101">
        <v>5</v>
      </c>
      <c r="Z101">
        <v>25</v>
      </c>
      <c r="AA101">
        <v>2023</v>
      </c>
      <c r="AB101" t="b">
        <v>0</v>
      </c>
      <c r="AC101" s="19">
        <v>45071</v>
      </c>
      <c r="AD101" s="19" t="s">
        <v>515</v>
      </c>
      <c r="AE101" s="230">
        <v>0.83908564814814812</v>
      </c>
      <c r="AF101" s="19">
        <v>45071</v>
      </c>
      <c r="AG101" s="118" t="s">
        <v>515</v>
      </c>
      <c r="AH101" s="118" t="s">
        <v>515</v>
      </c>
      <c r="AI101" s="118">
        <v>748.9</v>
      </c>
      <c r="AJ101" s="118">
        <v>610.29999999999995</v>
      </c>
      <c r="AK101" s="118">
        <v>639.79999999999995</v>
      </c>
      <c r="AL101" s="118">
        <v>639813</v>
      </c>
      <c r="AM101" s="118">
        <v>0.31</v>
      </c>
      <c r="AN101" s="118">
        <v>642.70000000000005</v>
      </c>
      <c r="AO101" s="21">
        <v>0.51300000000000001</v>
      </c>
      <c r="AP101" s="118">
        <v>0.50600000000000001</v>
      </c>
      <c r="AQ101" s="118">
        <v>0.72799999999999998</v>
      </c>
      <c r="AR101" s="118">
        <v>184</v>
      </c>
      <c r="AS101" s="118">
        <v>15.88</v>
      </c>
      <c r="AT101" s="118">
        <v>186.6</v>
      </c>
      <c r="AU101" s="118">
        <v>40.786960000000001</v>
      </c>
      <c r="AV101" s="118">
        <v>-86.770970000000005</v>
      </c>
      <c r="AW101" s="118">
        <v>198.4</v>
      </c>
      <c r="AX101" s="118">
        <v>220.1</v>
      </c>
      <c r="AY101" s="118">
        <v>8.35</v>
      </c>
      <c r="AZ101" s="118">
        <v>-121.2</v>
      </c>
      <c r="BA101" s="118">
        <v>11.8</v>
      </c>
      <c r="BB101" s="118">
        <v>0</v>
      </c>
      <c r="BC101" s="118">
        <v>22.584</v>
      </c>
      <c r="BD101" s="118">
        <v>6.71</v>
      </c>
      <c r="BE101" s="118">
        <v>0</v>
      </c>
      <c r="BF101" s="19">
        <v>45071</v>
      </c>
      <c r="BG101" s="118" t="s">
        <v>1742</v>
      </c>
    </row>
    <row r="102" spans="1:59" x14ac:dyDescent="0.25">
      <c r="A102" s="25">
        <v>10101</v>
      </c>
      <c r="B102" t="s">
        <v>126</v>
      </c>
      <c r="C102" t="s">
        <v>549</v>
      </c>
      <c r="D102" s="27">
        <v>4113</v>
      </c>
      <c r="E102" s="27">
        <v>13</v>
      </c>
      <c r="F102" s="118" t="s">
        <v>515</v>
      </c>
      <c r="G102" t="s">
        <v>20</v>
      </c>
      <c r="H102" s="24" t="s">
        <v>8</v>
      </c>
      <c r="I102" t="s">
        <v>515</v>
      </c>
      <c r="J102" t="s">
        <v>515</v>
      </c>
      <c r="K102" t="s">
        <v>515</v>
      </c>
      <c r="L102">
        <v>9.5000000000000001E-2</v>
      </c>
      <c r="M102" s="140" t="str">
        <f t="shared" si="11"/>
        <v>NULL</v>
      </c>
      <c r="N102" s="140" t="str">
        <f t="shared" si="11"/>
        <v>NULL</v>
      </c>
      <c r="O102" s="140" t="str">
        <f t="shared" si="11"/>
        <v>NULL</v>
      </c>
      <c r="P102" s="140">
        <f t="shared" si="8"/>
        <v>0.05</v>
      </c>
      <c r="Q102" s="161" t="s">
        <v>676</v>
      </c>
      <c r="R102" s="125">
        <v>12.775</v>
      </c>
      <c r="S102" t="s">
        <v>676</v>
      </c>
      <c r="T102" t="s">
        <v>515</v>
      </c>
      <c r="U102" t="s">
        <v>515</v>
      </c>
      <c r="V102" s="118" t="s">
        <v>515</v>
      </c>
      <c r="W102">
        <v>40.840111111111099</v>
      </c>
      <c r="X102">
        <v>-86.810888888888897</v>
      </c>
      <c r="Y102">
        <v>5</v>
      </c>
      <c r="Z102">
        <v>25</v>
      </c>
      <c r="AA102">
        <v>2023</v>
      </c>
      <c r="AB102" t="b">
        <v>0</v>
      </c>
      <c r="AC102" s="19">
        <v>45071</v>
      </c>
      <c r="AD102" s="19" t="s">
        <v>515</v>
      </c>
      <c r="AE102" s="230">
        <v>0.62634259259259262</v>
      </c>
      <c r="AF102" s="19">
        <v>45071</v>
      </c>
      <c r="AG102" s="118" t="s">
        <v>515</v>
      </c>
      <c r="AH102" s="118" t="s">
        <v>515</v>
      </c>
      <c r="AI102" s="118">
        <v>750.1</v>
      </c>
      <c r="AJ102" s="118">
        <v>562.6</v>
      </c>
      <c r="AK102" s="118">
        <v>603.79999999999995</v>
      </c>
      <c r="AL102" s="118">
        <v>603756</v>
      </c>
      <c r="AM102" s="118">
        <v>0.28999999999999998</v>
      </c>
      <c r="AN102" s="118">
        <v>607.70000000000005</v>
      </c>
      <c r="AO102" s="21">
        <v>0.58699999999999997</v>
      </c>
      <c r="AP102" s="118">
        <v>0.59699999999999998</v>
      </c>
      <c r="AQ102" s="118">
        <v>0.83399999999999996</v>
      </c>
      <c r="AR102" s="118">
        <v>157.19999999999999</v>
      </c>
      <c r="AS102" s="118">
        <v>13.87</v>
      </c>
      <c r="AT102" s="118">
        <v>159.4</v>
      </c>
      <c r="AU102" s="118">
        <v>40.840119999999999</v>
      </c>
      <c r="AV102" s="118">
        <v>-86.810940000000002</v>
      </c>
      <c r="AW102" s="118">
        <v>195.2</v>
      </c>
      <c r="AX102" s="118">
        <v>190.9</v>
      </c>
      <c r="AY102" s="118">
        <v>7.91</v>
      </c>
      <c r="AZ102" s="118">
        <v>-95</v>
      </c>
      <c r="BA102" s="118">
        <v>11.8</v>
      </c>
      <c r="BB102" s="118">
        <v>0</v>
      </c>
      <c r="BC102" s="118">
        <v>21.43</v>
      </c>
      <c r="BD102" s="118">
        <v>10.93</v>
      </c>
      <c r="BE102" s="118">
        <v>0</v>
      </c>
      <c r="BF102" s="19">
        <v>45071</v>
      </c>
      <c r="BG102" s="118" t="s">
        <v>1881</v>
      </c>
    </row>
    <row r="103" spans="1:59" x14ac:dyDescent="0.25">
      <c r="A103" s="25">
        <v>10102</v>
      </c>
      <c r="B103" t="s">
        <v>127</v>
      </c>
      <c r="C103" t="s">
        <v>550</v>
      </c>
      <c r="D103" s="27" t="s">
        <v>516</v>
      </c>
      <c r="E103" s="27" t="str">
        <f t="shared" ref="E103:E145" si="12">RIGHT(D103,2)</f>
        <v>?</v>
      </c>
      <c r="F103" s="118" t="s">
        <v>515</v>
      </c>
      <c r="G103" t="s">
        <v>20</v>
      </c>
      <c r="H103" s="24" t="s">
        <v>9</v>
      </c>
      <c r="I103">
        <v>32.07405</v>
      </c>
      <c r="J103">
        <v>0.161</v>
      </c>
      <c r="K103">
        <v>3.7675000000000001</v>
      </c>
      <c r="L103">
        <v>12.9475</v>
      </c>
      <c r="M103" s="140">
        <f t="shared" si="11"/>
        <v>32.07405</v>
      </c>
      <c r="N103" s="140">
        <f t="shared" si="11"/>
        <v>0.161</v>
      </c>
      <c r="O103" s="140">
        <f t="shared" si="11"/>
        <v>3.7675000000000001</v>
      </c>
      <c r="P103" s="140">
        <f t="shared" si="8"/>
        <v>12.9475</v>
      </c>
      <c r="Q103" s="161" t="s">
        <v>676</v>
      </c>
      <c r="R103" s="125">
        <v>105.79</v>
      </c>
      <c r="S103" t="s">
        <v>676</v>
      </c>
      <c r="T103" t="s">
        <v>515</v>
      </c>
      <c r="U103" t="s">
        <v>515</v>
      </c>
      <c r="V103" s="118" t="s">
        <v>515</v>
      </c>
      <c r="W103">
        <v>40.834735999999999</v>
      </c>
      <c r="X103">
        <v>-86.808921999999995</v>
      </c>
      <c r="Y103">
        <v>5</v>
      </c>
      <c r="Z103">
        <v>25</v>
      </c>
      <c r="AA103">
        <v>2023</v>
      </c>
      <c r="AB103" t="b">
        <v>0</v>
      </c>
      <c r="AC103" s="19">
        <v>45071</v>
      </c>
      <c r="AD103" s="19" t="s">
        <v>515</v>
      </c>
      <c r="AE103" s="118" t="s">
        <v>515</v>
      </c>
      <c r="AF103" s="118" t="s">
        <v>515</v>
      </c>
      <c r="AG103" s="118" t="s">
        <v>515</v>
      </c>
      <c r="AH103" s="118" t="s">
        <v>515</v>
      </c>
      <c r="AI103" s="118" t="s">
        <v>515</v>
      </c>
      <c r="AJ103" s="118" t="s">
        <v>515</v>
      </c>
      <c r="AK103" s="118" t="s">
        <v>515</v>
      </c>
      <c r="AL103" s="118" t="s">
        <v>515</v>
      </c>
      <c r="AM103" s="118" t="s">
        <v>515</v>
      </c>
      <c r="AN103" s="118" t="s">
        <v>515</v>
      </c>
      <c r="AO103" s="21" t="s">
        <v>515</v>
      </c>
      <c r="AP103" s="118" t="s">
        <v>515</v>
      </c>
      <c r="AQ103" s="118" t="s">
        <v>515</v>
      </c>
      <c r="AR103" s="118" t="s">
        <v>515</v>
      </c>
      <c r="AS103" s="118" t="s">
        <v>515</v>
      </c>
      <c r="AT103" s="118" t="s">
        <v>515</v>
      </c>
      <c r="AU103" s="118" t="s">
        <v>515</v>
      </c>
      <c r="AV103" s="118" t="s">
        <v>515</v>
      </c>
      <c r="AW103" s="118" t="s">
        <v>515</v>
      </c>
      <c r="AX103" s="118" t="s">
        <v>515</v>
      </c>
      <c r="AY103" s="118" t="s">
        <v>515</v>
      </c>
      <c r="AZ103" s="118" t="s">
        <v>515</v>
      </c>
      <c r="BA103" s="118" t="s">
        <v>515</v>
      </c>
      <c r="BB103" s="118" t="s">
        <v>515</v>
      </c>
      <c r="BC103" s="118" t="s">
        <v>515</v>
      </c>
      <c r="BD103" s="118" t="s">
        <v>515</v>
      </c>
      <c r="BE103" s="118" t="s">
        <v>515</v>
      </c>
      <c r="BF103" s="118" t="s">
        <v>515</v>
      </c>
      <c r="BG103" s="118" t="s">
        <v>515</v>
      </c>
    </row>
    <row r="104" spans="1:59" x14ac:dyDescent="0.25">
      <c r="A104" s="25">
        <v>10103</v>
      </c>
      <c r="B104" t="s">
        <v>128</v>
      </c>
      <c r="C104" t="s">
        <v>550</v>
      </c>
      <c r="D104" s="27" t="s">
        <v>516</v>
      </c>
      <c r="E104" s="27" t="str">
        <f t="shared" si="12"/>
        <v>?</v>
      </c>
      <c r="F104" s="118" t="s">
        <v>515</v>
      </c>
      <c r="G104" t="s">
        <v>20</v>
      </c>
      <c r="H104" s="24" t="s">
        <v>9</v>
      </c>
      <c r="I104" t="s">
        <v>515</v>
      </c>
      <c r="J104" t="s">
        <v>515</v>
      </c>
      <c r="K104" t="s">
        <v>515</v>
      </c>
      <c r="L104">
        <v>8.3500000000000005E-2</v>
      </c>
      <c r="M104" s="140" t="str">
        <f t="shared" si="11"/>
        <v>NULL</v>
      </c>
      <c r="N104" s="140" t="str">
        <f t="shared" si="11"/>
        <v>NULL</v>
      </c>
      <c r="O104" s="140" t="str">
        <f t="shared" si="11"/>
        <v>NULL</v>
      </c>
      <c r="P104" s="140">
        <f t="shared" si="8"/>
        <v>0.05</v>
      </c>
      <c r="Q104" s="161" t="s">
        <v>676</v>
      </c>
      <c r="R104" s="125">
        <v>17.73</v>
      </c>
      <c r="S104" t="s">
        <v>676</v>
      </c>
      <c r="T104" t="s">
        <v>515</v>
      </c>
      <c r="U104" t="s">
        <v>515</v>
      </c>
      <c r="V104" s="118" t="s">
        <v>515</v>
      </c>
      <c r="W104">
        <v>40.840400000000002</v>
      </c>
      <c r="X104">
        <v>-86.31326</v>
      </c>
      <c r="Y104">
        <v>5</v>
      </c>
      <c r="Z104">
        <v>25</v>
      </c>
      <c r="AA104">
        <v>2023</v>
      </c>
      <c r="AB104" t="b">
        <v>0</v>
      </c>
      <c r="AC104" s="19">
        <v>45071</v>
      </c>
      <c r="AD104" s="19" t="s">
        <v>515</v>
      </c>
      <c r="AE104" s="118" t="s">
        <v>515</v>
      </c>
      <c r="AF104" s="118" t="s">
        <v>515</v>
      </c>
      <c r="AG104" s="118" t="s">
        <v>515</v>
      </c>
      <c r="AH104" s="118" t="s">
        <v>515</v>
      </c>
      <c r="AI104" s="118" t="s">
        <v>515</v>
      </c>
      <c r="AJ104" s="118" t="s">
        <v>515</v>
      </c>
      <c r="AK104" s="118" t="s">
        <v>515</v>
      </c>
      <c r="AL104" s="118" t="s">
        <v>515</v>
      </c>
      <c r="AM104" s="118" t="s">
        <v>515</v>
      </c>
      <c r="AN104" s="118" t="s">
        <v>515</v>
      </c>
      <c r="AO104" s="21" t="s">
        <v>515</v>
      </c>
      <c r="AP104" s="118" t="s">
        <v>515</v>
      </c>
      <c r="AQ104" s="118" t="s">
        <v>515</v>
      </c>
      <c r="AR104" s="118" t="s">
        <v>515</v>
      </c>
      <c r="AS104" s="118" t="s">
        <v>515</v>
      </c>
      <c r="AT104" s="118" t="s">
        <v>515</v>
      </c>
      <c r="AU104" s="118" t="s">
        <v>515</v>
      </c>
      <c r="AV104" s="118" t="s">
        <v>515</v>
      </c>
      <c r="AW104" s="118" t="s">
        <v>515</v>
      </c>
      <c r="AX104" s="118" t="s">
        <v>515</v>
      </c>
      <c r="AY104" s="118" t="s">
        <v>515</v>
      </c>
      <c r="AZ104" s="118" t="s">
        <v>515</v>
      </c>
      <c r="BA104" s="118" t="s">
        <v>515</v>
      </c>
      <c r="BB104" s="118" t="s">
        <v>515</v>
      </c>
      <c r="BC104" s="118" t="s">
        <v>515</v>
      </c>
      <c r="BD104" s="118" t="s">
        <v>515</v>
      </c>
      <c r="BE104" s="118" t="s">
        <v>515</v>
      </c>
      <c r="BF104" s="118" t="s">
        <v>515</v>
      </c>
      <c r="BG104" s="118" t="s">
        <v>515</v>
      </c>
    </row>
    <row r="105" spans="1:59" x14ac:dyDescent="0.25">
      <c r="A105" s="25">
        <v>10104</v>
      </c>
      <c r="B105" t="s">
        <v>129</v>
      </c>
      <c r="C105" t="s">
        <v>550</v>
      </c>
      <c r="D105" s="27" t="s">
        <v>516</v>
      </c>
      <c r="E105" s="27" t="str">
        <f t="shared" si="12"/>
        <v>?</v>
      </c>
      <c r="F105" s="118" t="s">
        <v>515</v>
      </c>
      <c r="G105" t="s">
        <v>20</v>
      </c>
      <c r="H105" s="24" t="s">
        <v>9</v>
      </c>
      <c r="I105">
        <v>4.2089499999999997</v>
      </c>
      <c r="J105">
        <v>8.7999999999999995E-2</v>
      </c>
      <c r="K105">
        <v>1.0994999999999999</v>
      </c>
      <c r="L105">
        <v>0.39500000000000002</v>
      </c>
      <c r="M105" s="140">
        <f t="shared" si="11"/>
        <v>4.2089499999999997</v>
      </c>
      <c r="N105" s="140">
        <f t="shared" si="11"/>
        <v>0.05</v>
      </c>
      <c r="O105" s="140">
        <f t="shared" si="11"/>
        <v>1.0994999999999999</v>
      </c>
      <c r="P105" s="140">
        <f t="shared" si="8"/>
        <v>0.39500000000000002</v>
      </c>
      <c r="Q105" s="161" t="s">
        <v>676</v>
      </c>
      <c r="R105" s="125">
        <v>41.335000000000001</v>
      </c>
      <c r="S105" t="s">
        <v>676</v>
      </c>
      <c r="T105" t="s">
        <v>515</v>
      </c>
      <c r="U105" t="s">
        <v>515</v>
      </c>
      <c r="V105" s="118" t="s">
        <v>515</v>
      </c>
      <c r="W105">
        <v>40.843319999999999</v>
      </c>
      <c r="X105">
        <v>-86.817499999999995</v>
      </c>
      <c r="Y105">
        <v>5</v>
      </c>
      <c r="Z105">
        <v>25</v>
      </c>
      <c r="AA105">
        <v>2023</v>
      </c>
      <c r="AB105" t="b">
        <v>0</v>
      </c>
      <c r="AC105" s="19">
        <v>45071</v>
      </c>
      <c r="AD105" s="19" t="s">
        <v>515</v>
      </c>
      <c r="AE105" s="118" t="s">
        <v>515</v>
      </c>
      <c r="AF105" s="118" t="s">
        <v>515</v>
      </c>
      <c r="AG105" s="118" t="s">
        <v>515</v>
      </c>
      <c r="AH105" s="118" t="s">
        <v>515</v>
      </c>
      <c r="AI105" s="118" t="s">
        <v>515</v>
      </c>
      <c r="AJ105" s="118" t="s">
        <v>515</v>
      </c>
      <c r="AK105" s="118" t="s">
        <v>515</v>
      </c>
      <c r="AL105" s="118" t="s">
        <v>515</v>
      </c>
      <c r="AM105" s="118" t="s">
        <v>515</v>
      </c>
      <c r="AN105" s="118" t="s">
        <v>515</v>
      </c>
      <c r="AO105" s="21" t="s">
        <v>515</v>
      </c>
      <c r="AP105" s="118" t="s">
        <v>515</v>
      </c>
      <c r="AQ105" s="118" t="s">
        <v>515</v>
      </c>
      <c r="AR105" s="118" t="s">
        <v>515</v>
      </c>
      <c r="AS105" s="118" t="s">
        <v>515</v>
      </c>
      <c r="AT105" s="118" t="s">
        <v>515</v>
      </c>
      <c r="AU105" s="118" t="s">
        <v>515</v>
      </c>
      <c r="AV105" s="118" t="s">
        <v>515</v>
      </c>
      <c r="AW105" s="118" t="s">
        <v>515</v>
      </c>
      <c r="AX105" s="118" t="s">
        <v>515</v>
      </c>
      <c r="AY105" s="118" t="s">
        <v>515</v>
      </c>
      <c r="AZ105" s="118" t="s">
        <v>515</v>
      </c>
      <c r="BA105" s="118" t="s">
        <v>515</v>
      </c>
      <c r="BB105" s="118" t="s">
        <v>515</v>
      </c>
      <c r="BC105" s="118" t="s">
        <v>515</v>
      </c>
      <c r="BD105" s="118" t="s">
        <v>515</v>
      </c>
      <c r="BE105" s="118" t="s">
        <v>515</v>
      </c>
      <c r="BF105" s="118" t="s">
        <v>515</v>
      </c>
      <c r="BG105" s="118" t="s">
        <v>515</v>
      </c>
    </row>
    <row r="106" spans="1:59" x14ac:dyDescent="0.25">
      <c r="A106" s="25">
        <v>10105</v>
      </c>
      <c r="B106" t="s">
        <v>130</v>
      </c>
      <c r="C106" t="s">
        <v>551</v>
      </c>
      <c r="D106" s="27" t="s">
        <v>516</v>
      </c>
      <c r="E106" s="27" t="str">
        <f t="shared" si="12"/>
        <v>?</v>
      </c>
      <c r="F106" s="118" t="s">
        <v>515</v>
      </c>
      <c r="G106" t="s">
        <v>19</v>
      </c>
      <c r="H106" s="24" t="s">
        <v>9</v>
      </c>
      <c r="I106" t="s">
        <v>515</v>
      </c>
      <c r="J106" t="s">
        <v>515</v>
      </c>
      <c r="K106" t="s">
        <v>515</v>
      </c>
      <c r="L106">
        <v>7.85E-2</v>
      </c>
      <c r="M106" s="140" t="str">
        <f t="shared" si="11"/>
        <v>NULL</v>
      </c>
      <c r="N106" s="140" t="str">
        <f t="shared" si="11"/>
        <v>NULL</v>
      </c>
      <c r="O106" s="140" t="str">
        <f t="shared" si="11"/>
        <v>NULL</v>
      </c>
      <c r="P106" s="140">
        <f t="shared" si="8"/>
        <v>0.05</v>
      </c>
      <c r="Q106" s="161">
        <v>1.07232955647139E-2</v>
      </c>
      <c r="R106" s="125">
        <v>17.95</v>
      </c>
      <c r="S106" t="s">
        <v>676</v>
      </c>
      <c r="T106" t="s">
        <v>515</v>
      </c>
      <c r="U106" t="s">
        <v>515</v>
      </c>
      <c r="V106" s="118" t="s">
        <v>515</v>
      </c>
      <c r="W106">
        <v>40.714060000000003</v>
      </c>
      <c r="X106">
        <v>-85.937079999999995</v>
      </c>
      <c r="Y106">
        <v>5</v>
      </c>
      <c r="Z106">
        <v>31</v>
      </c>
      <c r="AA106">
        <v>2023</v>
      </c>
      <c r="AB106" t="b">
        <v>0</v>
      </c>
      <c r="AC106" s="19">
        <v>45077</v>
      </c>
      <c r="AD106" s="19" t="s">
        <v>515</v>
      </c>
      <c r="AE106" s="118" t="s">
        <v>515</v>
      </c>
      <c r="AF106" s="118" t="s">
        <v>515</v>
      </c>
      <c r="AG106" s="118" t="s">
        <v>515</v>
      </c>
      <c r="AH106" s="118" t="s">
        <v>515</v>
      </c>
      <c r="AI106" s="118" t="s">
        <v>515</v>
      </c>
      <c r="AJ106" s="118" t="s">
        <v>515</v>
      </c>
      <c r="AK106" s="118" t="s">
        <v>515</v>
      </c>
      <c r="AL106" s="118" t="s">
        <v>515</v>
      </c>
      <c r="AM106" s="118" t="s">
        <v>515</v>
      </c>
      <c r="AN106" s="118" t="s">
        <v>515</v>
      </c>
      <c r="AO106" s="21" t="s">
        <v>515</v>
      </c>
      <c r="AP106" s="118" t="s">
        <v>515</v>
      </c>
      <c r="AQ106" s="118" t="s">
        <v>515</v>
      </c>
      <c r="AR106" s="118" t="s">
        <v>515</v>
      </c>
      <c r="AS106" s="118" t="s">
        <v>515</v>
      </c>
      <c r="AT106" s="118" t="s">
        <v>515</v>
      </c>
      <c r="AU106" s="118" t="s">
        <v>515</v>
      </c>
      <c r="AV106" s="118" t="s">
        <v>515</v>
      </c>
      <c r="AW106" s="118" t="s">
        <v>515</v>
      </c>
      <c r="AX106" s="118" t="s">
        <v>515</v>
      </c>
      <c r="AY106" s="118" t="s">
        <v>515</v>
      </c>
      <c r="AZ106" s="118" t="s">
        <v>515</v>
      </c>
      <c r="BA106" s="118" t="s">
        <v>515</v>
      </c>
      <c r="BB106" s="118" t="s">
        <v>515</v>
      </c>
      <c r="BC106" s="118" t="s">
        <v>515</v>
      </c>
      <c r="BD106" s="118" t="s">
        <v>515</v>
      </c>
      <c r="BE106" s="118" t="s">
        <v>515</v>
      </c>
      <c r="BF106" s="118" t="s">
        <v>515</v>
      </c>
      <c r="BG106" s="118" t="s">
        <v>515</v>
      </c>
    </row>
    <row r="107" spans="1:59" x14ac:dyDescent="0.25">
      <c r="A107" s="25">
        <v>10106</v>
      </c>
      <c r="B107" t="s">
        <v>131</v>
      </c>
      <c r="C107" t="s">
        <v>551</v>
      </c>
      <c r="D107" s="27" t="s">
        <v>516</v>
      </c>
      <c r="E107" s="27" t="str">
        <f t="shared" si="12"/>
        <v>?</v>
      </c>
      <c r="F107" s="118" t="s">
        <v>515</v>
      </c>
      <c r="G107" t="s">
        <v>19</v>
      </c>
      <c r="H107" s="24" t="s">
        <v>9</v>
      </c>
      <c r="I107" t="s">
        <v>515</v>
      </c>
      <c r="J107" t="s">
        <v>515</v>
      </c>
      <c r="K107" t="s">
        <v>515</v>
      </c>
      <c r="L107">
        <v>0.11600000000000001</v>
      </c>
      <c r="M107" s="140" t="str">
        <f t="shared" si="11"/>
        <v>NULL</v>
      </c>
      <c r="N107" s="140" t="str">
        <f t="shared" si="11"/>
        <v>NULL</v>
      </c>
      <c r="O107" s="140" t="str">
        <f t="shared" si="11"/>
        <v>NULL</v>
      </c>
      <c r="P107" s="140">
        <f t="shared" si="8"/>
        <v>0.11600000000000001</v>
      </c>
      <c r="Q107" s="161">
        <v>6.5223728705696205E-2</v>
      </c>
      <c r="R107" s="125">
        <v>16.225000000000001</v>
      </c>
      <c r="S107" t="s">
        <v>676</v>
      </c>
      <c r="T107" t="s">
        <v>515</v>
      </c>
      <c r="U107" t="s">
        <v>515</v>
      </c>
      <c r="V107" s="118" t="s">
        <v>515</v>
      </c>
      <c r="W107">
        <v>40.714280000000002</v>
      </c>
      <c r="X107">
        <v>-85.937610000000006</v>
      </c>
      <c r="Y107">
        <v>5</v>
      </c>
      <c r="Z107">
        <v>31</v>
      </c>
      <c r="AA107">
        <v>2023</v>
      </c>
      <c r="AB107" t="b">
        <v>0</v>
      </c>
      <c r="AC107" s="19">
        <v>45077</v>
      </c>
      <c r="AD107" s="19" t="s">
        <v>515</v>
      </c>
      <c r="AE107" s="118" t="s">
        <v>515</v>
      </c>
      <c r="AF107" s="118" t="s">
        <v>515</v>
      </c>
      <c r="AG107" s="118" t="s">
        <v>515</v>
      </c>
      <c r="AH107" s="118" t="s">
        <v>515</v>
      </c>
      <c r="AI107" s="118" t="s">
        <v>515</v>
      </c>
      <c r="AJ107" s="118" t="s">
        <v>515</v>
      </c>
      <c r="AK107" s="118" t="s">
        <v>515</v>
      </c>
      <c r="AL107" s="118" t="s">
        <v>515</v>
      </c>
      <c r="AM107" s="118" t="s">
        <v>515</v>
      </c>
      <c r="AN107" s="118" t="s">
        <v>515</v>
      </c>
      <c r="AO107" s="21" t="s">
        <v>515</v>
      </c>
      <c r="AP107" s="118" t="s">
        <v>515</v>
      </c>
      <c r="AQ107" s="118" t="s">
        <v>515</v>
      </c>
      <c r="AR107" s="118" t="s">
        <v>515</v>
      </c>
      <c r="AS107" s="118" t="s">
        <v>515</v>
      </c>
      <c r="AT107" s="118" t="s">
        <v>515</v>
      </c>
      <c r="AU107" s="118" t="s">
        <v>515</v>
      </c>
      <c r="AV107" s="118" t="s">
        <v>515</v>
      </c>
      <c r="AW107" s="118" t="s">
        <v>515</v>
      </c>
      <c r="AX107" s="118" t="s">
        <v>515</v>
      </c>
      <c r="AY107" s="118" t="s">
        <v>515</v>
      </c>
      <c r="AZ107" s="118" t="s">
        <v>515</v>
      </c>
      <c r="BA107" s="118" t="s">
        <v>515</v>
      </c>
      <c r="BB107" s="118" t="s">
        <v>515</v>
      </c>
      <c r="BC107" s="118" t="s">
        <v>515</v>
      </c>
      <c r="BD107" s="118" t="s">
        <v>515</v>
      </c>
      <c r="BE107" s="118" t="s">
        <v>515</v>
      </c>
      <c r="BF107" s="118" t="s">
        <v>515</v>
      </c>
      <c r="BG107" s="118" t="s">
        <v>515</v>
      </c>
    </row>
    <row r="108" spans="1:59" x14ac:dyDescent="0.25">
      <c r="A108" s="25">
        <v>10107</v>
      </c>
      <c r="B108" t="s">
        <v>132</v>
      </c>
      <c r="C108" t="s">
        <v>551</v>
      </c>
      <c r="D108" s="27" t="s">
        <v>516</v>
      </c>
      <c r="E108" s="27" t="str">
        <f t="shared" si="12"/>
        <v>?</v>
      </c>
      <c r="F108" s="118" t="s">
        <v>515</v>
      </c>
      <c r="G108" t="s">
        <v>19</v>
      </c>
      <c r="H108" s="24" t="s">
        <v>9</v>
      </c>
      <c r="I108" t="s">
        <v>515</v>
      </c>
      <c r="J108" t="s">
        <v>515</v>
      </c>
      <c r="K108" t="s">
        <v>515</v>
      </c>
      <c r="L108">
        <v>6.0999999999999999E-2</v>
      </c>
      <c r="M108" s="140" t="str">
        <f t="shared" si="11"/>
        <v>NULL</v>
      </c>
      <c r="N108" s="140" t="str">
        <f t="shared" si="11"/>
        <v>NULL</v>
      </c>
      <c r="O108" s="140" t="str">
        <f t="shared" si="11"/>
        <v>NULL</v>
      </c>
      <c r="P108" s="140">
        <f t="shared" si="8"/>
        <v>0.05</v>
      </c>
      <c r="Q108" s="161">
        <v>1.6282870721887499E-3</v>
      </c>
      <c r="R108" s="125">
        <v>12.36</v>
      </c>
      <c r="S108" t="s">
        <v>676</v>
      </c>
      <c r="T108" t="s">
        <v>515</v>
      </c>
      <c r="U108" t="s">
        <v>515</v>
      </c>
      <c r="V108" s="118" t="s">
        <v>515</v>
      </c>
      <c r="W108">
        <v>40.705238000000001</v>
      </c>
      <c r="X108">
        <v>-85.953678999999994</v>
      </c>
      <c r="Y108">
        <v>5</v>
      </c>
      <c r="Z108">
        <v>31</v>
      </c>
      <c r="AA108">
        <v>2023</v>
      </c>
      <c r="AB108" t="b">
        <v>0</v>
      </c>
      <c r="AC108" s="19">
        <v>45077</v>
      </c>
      <c r="AD108" s="19" t="s">
        <v>515</v>
      </c>
      <c r="AE108" s="118" t="s">
        <v>515</v>
      </c>
      <c r="AF108" s="230" t="s">
        <v>515</v>
      </c>
      <c r="AG108" s="19" t="s">
        <v>515</v>
      </c>
      <c r="AH108" s="118" t="s">
        <v>515</v>
      </c>
      <c r="AI108" s="118" t="s">
        <v>515</v>
      </c>
      <c r="AJ108" s="118" t="s">
        <v>515</v>
      </c>
      <c r="AK108" s="118" t="s">
        <v>515</v>
      </c>
      <c r="AL108" s="118" t="s">
        <v>515</v>
      </c>
      <c r="AM108" s="118" t="s">
        <v>515</v>
      </c>
      <c r="AN108" s="118" t="s">
        <v>515</v>
      </c>
      <c r="AO108" s="118" t="s">
        <v>515</v>
      </c>
      <c r="AP108" s="23" t="s">
        <v>515</v>
      </c>
      <c r="AQ108" s="118" t="s">
        <v>515</v>
      </c>
      <c r="AR108" s="118" t="s">
        <v>515</v>
      </c>
      <c r="AS108" s="118" t="s">
        <v>515</v>
      </c>
      <c r="AT108" s="118" t="s">
        <v>515</v>
      </c>
      <c r="AU108" s="118" t="s">
        <v>515</v>
      </c>
      <c r="AV108" s="118" t="s">
        <v>515</v>
      </c>
      <c r="AW108" s="118" t="s">
        <v>515</v>
      </c>
      <c r="AX108" s="118" t="s">
        <v>515</v>
      </c>
      <c r="AY108" s="118" t="s">
        <v>515</v>
      </c>
      <c r="AZ108" s="118" t="s">
        <v>515</v>
      </c>
      <c r="BA108" s="118" t="s">
        <v>515</v>
      </c>
      <c r="BB108" s="118" t="s">
        <v>515</v>
      </c>
      <c r="BC108" s="118" t="s">
        <v>515</v>
      </c>
      <c r="BD108" s="118" t="s">
        <v>515</v>
      </c>
      <c r="BE108" s="118" t="s">
        <v>515</v>
      </c>
      <c r="BF108" s="118" t="s">
        <v>515</v>
      </c>
      <c r="BG108" s="19" t="s">
        <v>515</v>
      </c>
    </row>
    <row r="109" spans="1:59" x14ac:dyDescent="0.25">
      <c r="A109" s="25">
        <v>10108</v>
      </c>
      <c r="B109" t="s">
        <v>133</v>
      </c>
      <c r="C109" t="s">
        <v>551</v>
      </c>
      <c r="D109" s="27" t="s">
        <v>516</v>
      </c>
      <c r="E109" s="27" t="str">
        <f t="shared" si="12"/>
        <v>?</v>
      </c>
      <c r="F109" s="118" t="s">
        <v>515</v>
      </c>
      <c r="G109" t="s">
        <v>19</v>
      </c>
      <c r="H109" s="24" t="s">
        <v>9</v>
      </c>
      <c r="I109" t="s">
        <v>515</v>
      </c>
      <c r="J109" t="s">
        <v>515</v>
      </c>
      <c r="K109" t="s">
        <v>515</v>
      </c>
      <c r="L109">
        <v>0.15049999999999999</v>
      </c>
      <c r="M109" s="140" t="str">
        <f t="shared" si="11"/>
        <v>NULL</v>
      </c>
      <c r="N109" s="140" t="str">
        <f t="shared" si="11"/>
        <v>NULL</v>
      </c>
      <c r="O109" s="140" t="str">
        <f t="shared" si="11"/>
        <v>NULL</v>
      </c>
      <c r="P109" s="140">
        <f t="shared" si="8"/>
        <v>0.15049999999999999</v>
      </c>
      <c r="Q109" s="161" t="s">
        <v>676</v>
      </c>
      <c r="R109" s="125">
        <v>28.03</v>
      </c>
      <c r="S109" t="s">
        <v>676</v>
      </c>
      <c r="T109" t="s">
        <v>515</v>
      </c>
      <c r="U109" t="s">
        <v>515</v>
      </c>
      <c r="V109" s="118" t="s">
        <v>515</v>
      </c>
      <c r="W109">
        <v>40.703919999999997</v>
      </c>
      <c r="X109">
        <v>-85.936480000000003</v>
      </c>
      <c r="Y109">
        <v>5</v>
      </c>
      <c r="Z109">
        <v>31</v>
      </c>
      <c r="AA109">
        <v>2023</v>
      </c>
      <c r="AB109" t="b">
        <v>0</v>
      </c>
      <c r="AC109" s="19">
        <v>45077</v>
      </c>
      <c r="AD109" s="19" t="s">
        <v>515</v>
      </c>
      <c r="AE109" s="118" t="s">
        <v>515</v>
      </c>
      <c r="AF109" s="230" t="s">
        <v>515</v>
      </c>
      <c r="AG109" s="19" t="s">
        <v>515</v>
      </c>
      <c r="AH109" s="118" t="s">
        <v>515</v>
      </c>
      <c r="AI109" s="118" t="s">
        <v>515</v>
      </c>
      <c r="AJ109" s="118" t="s">
        <v>515</v>
      </c>
      <c r="AK109" s="118" t="s">
        <v>515</v>
      </c>
      <c r="AL109" s="118" t="s">
        <v>515</v>
      </c>
      <c r="AM109" s="118" t="s">
        <v>515</v>
      </c>
      <c r="AN109" s="118" t="s">
        <v>515</v>
      </c>
      <c r="AO109" s="118" t="s">
        <v>515</v>
      </c>
      <c r="AP109" s="23" t="s">
        <v>515</v>
      </c>
      <c r="AQ109" s="118" t="s">
        <v>515</v>
      </c>
      <c r="AR109" s="118" t="s">
        <v>515</v>
      </c>
      <c r="AS109" s="118" t="s">
        <v>515</v>
      </c>
      <c r="AT109" s="118" t="s">
        <v>515</v>
      </c>
      <c r="AU109" s="118" t="s">
        <v>515</v>
      </c>
      <c r="AV109" s="118" t="s">
        <v>515</v>
      </c>
      <c r="AW109" s="118" t="s">
        <v>515</v>
      </c>
      <c r="AX109" s="118" t="s">
        <v>515</v>
      </c>
      <c r="AY109" s="118" t="s">
        <v>515</v>
      </c>
      <c r="AZ109" s="118" t="s">
        <v>515</v>
      </c>
      <c r="BA109" s="118" t="s">
        <v>515</v>
      </c>
      <c r="BB109" s="118" t="s">
        <v>515</v>
      </c>
      <c r="BC109" s="118" t="s">
        <v>515</v>
      </c>
      <c r="BD109" s="118" t="s">
        <v>515</v>
      </c>
      <c r="BE109" s="118" t="s">
        <v>515</v>
      </c>
      <c r="BF109" s="118" t="s">
        <v>515</v>
      </c>
      <c r="BG109" s="19" t="s">
        <v>515</v>
      </c>
    </row>
    <row r="110" spans="1:59" x14ac:dyDescent="0.25">
      <c r="A110" s="25">
        <v>10109</v>
      </c>
      <c r="B110" t="s">
        <v>134</v>
      </c>
      <c r="C110" t="s">
        <v>551</v>
      </c>
      <c r="D110" s="27" t="s">
        <v>516</v>
      </c>
      <c r="E110" s="27" t="str">
        <f t="shared" si="12"/>
        <v>?</v>
      </c>
      <c r="F110" s="118" t="s">
        <v>515</v>
      </c>
      <c r="G110" t="s">
        <v>19</v>
      </c>
      <c r="H110" s="24" t="s">
        <v>9</v>
      </c>
      <c r="I110" t="s">
        <v>515</v>
      </c>
      <c r="J110" t="s">
        <v>515</v>
      </c>
      <c r="K110" t="s">
        <v>515</v>
      </c>
      <c r="L110">
        <v>0.193</v>
      </c>
      <c r="M110" s="140" t="str">
        <f t="shared" si="11"/>
        <v>NULL</v>
      </c>
      <c r="N110" s="140" t="str">
        <f t="shared" si="11"/>
        <v>NULL</v>
      </c>
      <c r="O110" s="140" t="str">
        <f t="shared" si="11"/>
        <v>NULL</v>
      </c>
      <c r="P110" s="140">
        <f t="shared" si="8"/>
        <v>0.193</v>
      </c>
      <c r="Q110" s="161" t="s">
        <v>676</v>
      </c>
      <c r="R110" s="125">
        <v>10.945</v>
      </c>
      <c r="S110" t="s">
        <v>676</v>
      </c>
      <c r="T110" t="s">
        <v>515</v>
      </c>
      <c r="U110" t="s">
        <v>515</v>
      </c>
      <c r="V110" s="118" t="s">
        <v>515</v>
      </c>
      <c r="W110">
        <v>40.702379999999998</v>
      </c>
      <c r="X110">
        <v>-85.936080000000004</v>
      </c>
      <c r="Y110">
        <v>5</v>
      </c>
      <c r="Z110">
        <v>31</v>
      </c>
      <c r="AA110">
        <v>2023</v>
      </c>
      <c r="AB110" t="b">
        <v>0</v>
      </c>
      <c r="AC110" s="19">
        <v>45077</v>
      </c>
      <c r="AD110" s="19" t="s">
        <v>515</v>
      </c>
      <c r="AE110" s="118" t="s">
        <v>515</v>
      </c>
      <c r="AF110" s="230" t="s">
        <v>515</v>
      </c>
      <c r="AG110" s="19" t="s">
        <v>515</v>
      </c>
      <c r="AH110" s="118" t="s">
        <v>515</v>
      </c>
      <c r="AI110" s="118" t="s">
        <v>515</v>
      </c>
      <c r="AJ110" s="118" t="s">
        <v>515</v>
      </c>
      <c r="AK110" s="118" t="s">
        <v>515</v>
      </c>
      <c r="AL110" s="118" t="s">
        <v>515</v>
      </c>
      <c r="AM110" s="118" t="s">
        <v>515</v>
      </c>
      <c r="AN110" s="118" t="s">
        <v>515</v>
      </c>
      <c r="AO110" s="118" t="s">
        <v>515</v>
      </c>
      <c r="AP110" s="23" t="s">
        <v>515</v>
      </c>
      <c r="AQ110" s="118" t="s">
        <v>515</v>
      </c>
      <c r="AR110" s="118" t="s">
        <v>515</v>
      </c>
      <c r="AS110" s="118" t="s">
        <v>515</v>
      </c>
      <c r="AT110" s="118" t="s">
        <v>515</v>
      </c>
      <c r="AU110" s="118" t="s">
        <v>515</v>
      </c>
      <c r="AV110" s="118" t="s">
        <v>515</v>
      </c>
      <c r="AW110" s="118" t="s">
        <v>515</v>
      </c>
      <c r="AX110" s="118" t="s">
        <v>515</v>
      </c>
      <c r="AY110" s="118" t="s">
        <v>515</v>
      </c>
      <c r="AZ110" s="118" t="s">
        <v>515</v>
      </c>
      <c r="BA110" s="118" t="s">
        <v>515</v>
      </c>
      <c r="BB110" s="118" t="s">
        <v>515</v>
      </c>
      <c r="BC110" s="118" t="s">
        <v>515</v>
      </c>
      <c r="BD110" s="118" t="s">
        <v>515</v>
      </c>
      <c r="BE110" s="118" t="s">
        <v>515</v>
      </c>
      <c r="BF110" s="118" t="s">
        <v>515</v>
      </c>
      <c r="BG110" s="19" t="s">
        <v>515</v>
      </c>
    </row>
    <row r="111" spans="1:59" x14ac:dyDescent="0.25">
      <c r="A111" s="25">
        <v>10110</v>
      </c>
      <c r="B111" t="s">
        <v>135</v>
      </c>
      <c r="C111" t="s">
        <v>551</v>
      </c>
      <c r="D111" s="27" t="s">
        <v>516</v>
      </c>
      <c r="E111" s="27" t="str">
        <f t="shared" si="12"/>
        <v>?</v>
      </c>
      <c r="F111" s="118" t="s">
        <v>515</v>
      </c>
      <c r="G111" t="s">
        <v>19</v>
      </c>
      <c r="H111" s="24" t="s">
        <v>9</v>
      </c>
      <c r="I111">
        <v>1.2656499999999999</v>
      </c>
      <c r="J111">
        <v>4.2969999999999997</v>
      </c>
      <c r="K111">
        <v>0.44650000000000001</v>
      </c>
      <c r="L111">
        <v>0.182</v>
      </c>
      <c r="M111" s="140">
        <f t="shared" si="11"/>
        <v>1.2656499999999999</v>
      </c>
      <c r="N111" s="140">
        <f t="shared" si="11"/>
        <v>4.2969999999999997</v>
      </c>
      <c r="O111" s="140">
        <f t="shared" si="11"/>
        <v>0.44650000000000001</v>
      </c>
      <c r="P111" s="140">
        <f t="shared" si="8"/>
        <v>0.182</v>
      </c>
      <c r="Q111" s="161" t="s">
        <v>676</v>
      </c>
      <c r="R111" s="125">
        <v>18.024999999999999</v>
      </c>
      <c r="S111" t="s">
        <v>676</v>
      </c>
      <c r="T111" t="s">
        <v>515</v>
      </c>
      <c r="U111" t="s">
        <v>515</v>
      </c>
      <c r="V111" s="118" t="s">
        <v>515</v>
      </c>
      <c r="W111">
        <v>40.700699999999998</v>
      </c>
      <c r="X111">
        <v>-85.935270000000003</v>
      </c>
      <c r="Y111">
        <v>5</v>
      </c>
      <c r="Z111">
        <v>31</v>
      </c>
      <c r="AA111">
        <v>2023</v>
      </c>
      <c r="AB111" t="b">
        <v>0</v>
      </c>
      <c r="AC111" s="19">
        <v>45077</v>
      </c>
      <c r="AD111" s="19" t="s">
        <v>515</v>
      </c>
      <c r="AE111" s="118" t="s">
        <v>515</v>
      </c>
      <c r="AF111" s="230" t="s">
        <v>515</v>
      </c>
      <c r="AG111" s="19" t="s">
        <v>515</v>
      </c>
      <c r="AH111" s="118" t="s">
        <v>515</v>
      </c>
      <c r="AI111" s="118" t="s">
        <v>515</v>
      </c>
      <c r="AJ111" s="118" t="s">
        <v>515</v>
      </c>
      <c r="AK111" s="118" t="s">
        <v>515</v>
      </c>
      <c r="AL111" s="118" t="s">
        <v>515</v>
      </c>
      <c r="AM111" s="118" t="s">
        <v>515</v>
      </c>
      <c r="AN111" s="118" t="s">
        <v>515</v>
      </c>
      <c r="AO111" s="118" t="s">
        <v>515</v>
      </c>
      <c r="AP111" s="23" t="s">
        <v>515</v>
      </c>
      <c r="AQ111" s="118" t="s">
        <v>515</v>
      </c>
      <c r="AR111" s="118" t="s">
        <v>515</v>
      </c>
      <c r="AS111" s="118" t="s">
        <v>515</v>
      </c>
      <c r="AT111" s="118" t="s">
        <v>515</v>
      </c>
      <c r="AU111" s="118" t="s">
        <v>515</v>
      </c>
      <c r="AV111" s="118" t="s">
        <v>515</v>
      </c>
      <c r="AW111" s="118" t="s">
        <v>515</v>
      </c>
      <c r="AX111" s="118" t="s">
        <v>515</v>
      </c>
      <c r="AY111" s="118" t="s">
        <v>515</v>
      </c>
      <c r="AZ111" s="118" t="s">
        <v>515</v>
      </c>
      <c r="BA111" s="118" t="s">
        <v>515</v>
      </c>
      <c r="BB111" s="118" t="s">
        <v>515</v>
      </c>
      <c r="BC111" s="118" t="s">
        <v>515</v>
      </c>
      <c r="BD111" s="118" t="s">
        <v>515</v>
      </c>
      <c r="BE111" s="118" t="s">
        <v>515</v>
      </c>
      <c r="BF111" s="118" t="s">
        <v>515</v>
      </c>
      <c r="BG111" s="19" t="s">
        <v>515</v>
      </c>
    </row>
    <row r="112" spans="1:59" x14ac:dyDescent="0.25">
      <c r="A112" s="25">
        <v>10111</v>
      </c>
      <c r="B112" t="s">
        <v>136</v>
      </c>
      <c r="C112" t="s">
        <v>551</v>
      </c>
      <c r="D112" s="27" t="s">
        <v>516</v>
      </c>
      <c r="E112" s="27" t="str">
        <f t="shared" si="12"/>
        <v>?</v>
      </c>
      <c r="F112" s="118" t="s">
        <v>515</v>
      </c>
      <c r="G112" t="s">
        <v>19</v>
      </c>
      <c r="H112" s="24" t="s">
        <v>9</v>
      </c>
      <c r="I112">
        <v>1.01905</v>
      </c>
      <c r="J112">
        <v>4.6455000000000002</v>
      </c>
      <c r="K112">
        <v>0.40500000000000003</v>
      </c>
      <c r="L112">
        <v>9.7000000000000003E-2</v>
      </c>
      <c r="M112" s="140">
        <f t="shared" si="11"/>
        <v>1.01905</v>
      </c>
      <c r="N112" s="140">
        <f t="shared" si="11"/>
        <v>4.6455000000000002</v>
      </c>
      <c r="O112" s="140">
        <f t="shared" si="11"/>
        <v>0.40500000000000003</v>
      </c>
      <c r="P112" s="140">
        <f t="shared" si="8"/>
        <v>0.05</v>
      </c>
      <c r="Q112" s="161" t="s">
        <v>676</v>
      </c>
      <c r="R112" s="125">
        <v>45.52</v>
      </c>
      <c r="S112" t="s">
        <v>676</v>
      </c>
      <c r="T112" t="s">
        <v>515</v>
      </c>
      <c r="U112" t="s">
        <v>515</v>
      </c>
      <c r="V112" s="118" t="s">
        <v>515</v>
      </c>
      <c r="W112">
        <v>40.680329999999998</v>
      </c>
      <c r="X112">
        <v>-85.895390000000006</v>
      </c>
      <c r="Y112">
        <v>5</v>
      </c>
      <c r="Z112">
        <v>31</v>
      </c>
      <c r="AA112">
        <v>2023</v>
      </c>
      <c r="AB112" t="b">
        <v>0</v>
      </c>
      <c r="AC112" s="19">
        <v>45077</v>
      </c>
      <c r="AD112" s="19" t="s">
        <v>515</v>
      </c>
      <c r="AE112" s="118" t="s">
        <v>515</v>
      </c>
      <c r="AF112" s="230" t="s">
        <v>515</v>
      </c>
      <c r="AG112" s="19" t="s">
        <v>515</v>
      </c>
      <c r="AH112" s="118" t="s">
        <v>515</v>
      </c>
      <c r="AI112" s="118" t="s">
        <v>515</v>
      </c>
      <c r="AJ112" s="118" t="s">
        <v>515</v>
      </c>
      <c r="AK112" s="118" t="s">
        <v>515</v>
      </c>
      <c r="AL112" s="118" t="s">
        <v>515</v>
      </c>
      <c r="AM112" s="118" t="s">
        <v>515</v>
      </c>
      <c r="AN112" s="118" t="s">
        <v>515</v>
      </c>
      <c r="AO112" s="118" t="s">
        <v>515</v>
      </c>
      <c r="AP112" s="23" t="s">
        <v>515</v>
      </c>
      <c r="AQ112" s="118" t="s">
        <v>515</v>
      </c>
      <c r="AR112" s="118" t="s">
        <v>515</v>
      </c>
      <c r="AS112" s="118" t="s">
        <v>515</v>
      </c>
      <c r="AT112" s="118" t="s">
        <v>515</v>
      </c>
      <c r="AU112" s="118" t="s">
        <v>515</v>
      </c>
      <c r="AV112" s="118" t="s">
        <v>515</v>
      </c>
      <c r="AW112" s="118" t="s">
        <v>515</v>
      </c>
      <c r="AX112" s="118" t="s">
        <v>515</v>
      </c>
      <c r="AY112" s="118" t="s">
        <v>515</v>
      </c>
      <c r="AZ112" s="118" t="s">
        <v>515</v>
      </c>
      <c r="BA112" s="118" t="s">
        <v>515</v>
      </c>
      <c r="BB112" s="118" t="s">
        <v>515</v>
      </c>
      <c r="BC112" s="118" t="s">
        <v>515</v>
      </c>
      <c r="BD112" s="118" t="s">
        <v>515</v>
      </c>
      <c r="BE112" s="118" t="s">
        <v>515</v>
      </c>
      <c r="BF112" s="118" t="s">
        <v>515</v>
      </c>
      <c r="BG112" s="19" t="s">
        <v>515</v>
      </c>
    </row>
    <row r="113" spans="1:59" x14ac:dyDescent="0.25">
      <c r="A113" s="25">
        <v>10112</v>
      </c>
      <c r="B113" t="s">
        <v>137</v>
      </c>
      <c r="C113" t="s">
        <v>551</v>
      </c>
      <c r="D113" s="27" t="s">
        <v>516</v>
      </c>
      <c r="E113" s="27" t="str">
        <f t="shared" si="12"/>
        <v>?</v>
      </c>
      <c r="F113" s="118" t="s">
        <v>515</v>
      </c>
      <c r="G113" t="s">
        <v>19</v>
      </c>
      <c r="H113" s="24" t="s">
        <v>9</v>
      </c>
      <c r="I113">
        <v>1.58325</v>
      </c>
      <c r="J113">
        <v>2.9550000000000001</v>
      </c>
      <c r="K113">
        <v>0.52200000000000002</v>
      </c>
      <c r="L113">
        <v>0.17649999999999999</v>
      </c>
      <c r="M113" s="140">
        <f t="shared" si="11"/>
        <v>1.58325</v>
      </c>
      <c r="N113" s="140">
        <f t="shared" si="11"/>
        <v>2.9550000000000001</v>
      </c>
      <c r="O113" s="140">
        <f t="shared" si="11"/>
        <v>0.52200000000000002</v>
      </c>
      <c r="P113" s="140">
        <f t="shared" si="8"/>
        <v>0.17649999999999999</v>
      </c>
      <c r="Q113" s="161">
        <v>3.4368241732352298E-2</v>
      </c>
      <c r="R113" s="125">
        <v>43.74</v>
      </c>
      <c r="S113" t="s">
        <v>676</v>
      </c>
      <c r="T113" t="s">
        <v>515</v>
      </c>
      <c r="U113" t="s">
        <v>515</v>
      </c>
      <c r="V113" s="118" t="s">
        <v>515</v>
      </c>
      <c r="W113">
        <v>40.667999999999999</v>
      </c>
      <c r="X113">
        <v>-85.848759999999999</v>
      </c>
      <c r="Y113">
        <v>5</v>
      </c>
      <c r="Z113">
        <v>31</v>
      </c>
      <c r="AA113">
        <v>2023</v>
      </c>
      <c r="AB113" t="b">
        <v>0</v>
      </c>
      <c r="AC113" s="19">
        <v>45077</v>
      </c>
      <c r="AD113" s="19" t="s">
        <v>515</v>
      </c>
      <c r="AE113" s="118" t="s">
        <v>515</v>
      </c>
      <c r="AF113" s="230" t="s">
        <v>515</v>
      </c>
      <c r="AG113" s="19" t="s">
        <v>515</v>
      </c>
      <c r="AH113" s="118" t="s">
        <v>515</v>
      </c>
      <c r="AI113" s="118" t="s">
        <v>515</v>
      </c>
      <c r="AJ113" s="118" t="s">
        <v>515</v>
      </c>
      <c r="AK113" s="118" t="s">
        <v>515</v>
      </c>
      <c r="AL113" s="118" t="s">
        <v>515</v>
      </c>
      <c r="AM113" s="118" t="s">
        <v>515</v>
      </c>
      <c r="AN113" s="118" t="s">
        <v>515</v>
      </c>
      <c r="AO113" s="118" t="s">
        <v>515</v>
      </c>
      <c r="AP113" s="23" t="s">
        <v>515</v>
      </c>
      <c r="AQ113" s="118" t="s">
        <v>515</v>
      </c>
      <c r="AR113" s="118" t="s">
        <v>515</v>
      </c>
      <c r="AS113" s="118" t="s">
        <v>515</v>
      </c>
      <c r="AT113" s="118" t="s">
        <v>515</v>
      </c>
      <c r="AU113" s="118" t="s">
        <v>515</v>
      </c>
      <c r="AV113" s="118" t="s">
        <v>515</v>
      </c>
      <c r="AW113" s="118" t="s">
        <v>515</v>
      </c>
      <c r="AX113" s="118" t="s">
        <v>515</v>
      </c>
      <c r="AY113" s="118" t="s">
        <v>515</v>
      </c>
      <c r="AZ113" s="118" t="s">
        <v>515</v>
      </c>
      <c r="BA113" s="118" t="s">
        <v>515</v>
      </c>
      <c r="BB113" s="118" t="s">
        <v>515</v>
      </c>
      <c r="BC113" s="118" t="s">
        <v>515</v>
      </c>
      <c r="BD113" s="118" t="s">
        <v>515</v>
      </c>
      <c r="BE113" s="118" t="s">
        <v>515</v>
      </c>
      <c r="BF113" s="118" t="s">
        <v>515</v>
      </c>
      <c r="BG113" s="19" t="s">
        <v>515</v>
      </c>
    </row>
    <row r="114" spans="1:59" x14ac:dyDescent="0.25">
      <c r="A114" s="25">
        <v>10113</v>
      </c>
      <c r="B114" t="s">
        <v>115</v>
      </c>
      <c r="C114" t="s">
        <v>552</v>
      </c>
      <c r="D114" s="27" t="s">
        <v>516</v>
      </c>
      <c r="E114" s="27" t="str">
        <f t="shared" si="12"/>
        <v>?</v>
      </c>
      <c r="F114" s="118" t="s">
        <v>515</v>
      </c>
      <c r="G114" t="s">
        <v>19</v>
      </c>
      <c r="H114" s="24" t="s">
        <v>9</v>
      </c>
      <c r="I114" t="s">
        <v>515</v>
      </c>
      <c r="J114" t="s">
        <v>515</v>
      </c>
      <c r="K114" t="s">
        <v>515</v>
      </c>
      <c r="L114" t="s">
        <v>515</v>
      </c>
      <c r="M114" s="140" t="str">
        <f t="shared" ref="M114:O129" si="13">IF(I114&lt;0.1,0.05,I114)</f>
        <v>NULL</v>
      </c>
      <c r="N114" s="140" t="str">
        <f t="shared" si="13"/>
        <v>NULL</v>
      </c>
      <c r="O114" s="140" t="str">
        <f t="shared" si="13"/>
        <v>NULL</v>
      </c>
      <c r="P114" s="140" t="str">
        <f t="shared" si="8"/>
        <v>NULL</v>
      </c>
      <c r="Q114" s="161" t="s">
        <v>676</v>
      </c>
      <c r="R114" s="125" t="s">
        <v>676</v>
      </c>
      <c r="S114" t="s">
        <v>676</v>
      </c>
      <c r="T114" t="s">
        <v>515</v>
      </c>
      <c r="U114" t="s">
        <v>515</v>
      </c>
      <c r="V114" s="118" t="s">
        <v>515</v>
      </c>
      <c r="W114">
        <v>40.680329999999998</v>
      </c>
      <c r="X114">
        <v>-85.895390000000006</v>
      </c>
      <c r="Y114">
        <v>5</v>
      </c>
      <c r="Z114">
        <v>31</v>
      </c>
      <c r="AA114">
        <v>2023</v>
      </c>
      <c r="AB114" t="b">
        <v>0</v>
      </c>
      <c r="AC114" s="19" t="e">
        <v>#VALUE!</v>
      </c>
      <c r="AD114" s="19" t="s">
        <v>515</v>
      </c>
      <c r="AE114" s="118" t="s">
        <v>515</v>
      </c>
      <c r="AF114" s="118" t="s">
        <v>515</v>
      </c>
      <c r="AG114" s="118" t="s">
        <v>515</v>
      </c>
      <c r="AH114" s="118" t="s">
        <v>515</v>
      </c>
      <c r="AI114" s="118" t="s">
        <v>515</v>
      </c>
      <c r="AJ114" s="118" t="s">
        <v>515</v>
      </c>
      <c r="AK114" s="118" t="s">
        <v>515</v>
      </c>
      <c r="AL114" s="118" t="s">
        <v>515</v>
      </c>
      <c r="AM114" s="118" t="s">
        <v>515</v>
      </c>
      <c r="AN114" s="118" t="s">
        <v>515</v>
      </c>
      <c r="AO114" s="21" t="s">
        <v>515</v>
      </c>
      <c r="AP114" s="118" t="s">
        <v>515</v>
      </c>
      <c r="AQ114" s="118" t="s">
        <v>515</v>
      </c>
      <c r="AR114" s="118" t="s">
        <v>515</v>
      </c>
      <c r="AS114" s="118" t="s">
        <v>515</v>
      </c>
      <c r="AT114" s="118" t="s">
        <v>515</v>
      </c>
      <c r="AU114" s="118" t="s">
        <v>515</v>
      </c>
      <c r="AV114" s="118" t="s">
        <v>515</v>
      </c>
      <c r="AW114" s="118" t="s">
        <v>515</v>
      </c>
      <c r="AX114" s="118" t="s">
        <v>515</v>
      </c>
      <c r="AY114" s="118" t="s">
        <v>515</v>
      </c>
      <c r="AZ114" s="118" t="s">
        <v>515</v>
      </c>
      <c r="BA114" s="118" t="s">
        <v>515</v>
      </c>
      <c r="BB114" s="118" t="s">
        <v>515</v>
      </c>
      <c r="BC114" s="118" t="s">
        <v>515</v>
      </c>
      <c r="BD114" s="118" t="s">
        <v>515</v>
      </c>
      <c r="BE114" s="118" t="s">
        <v>515</v>
      </c>
      <c r="BF114" s="118" t="s">
        <v>515</v>
      </c>
      <c r="BG114" s="118" t="s">
        <v>515</v>
      </c>
    </row>
    <row r="115" spans="1:59" x14ac:dyDescent="0.25">
      <c r="A115" s="25">
        <v>10114</v>
      </c>
      <c r="B115" t="s">
        <v>138</v>
      </c>
      <c r="C115" t="s">
        <v>553</v>
      </c>
      <c r="D115" s="27" t="s">
        <v>516</v>
      </c>
      <c r="E115" s="27" t="str">
        <f t="shared" si="12"/>
        <v>?</v>
      </c>
      <c r="F115" s="118" t="s">
        <v>515</v>
      </c>
      <c r="G115" t="s">
        <v>22</v>
      </c>
      <c r="H115" s="24" t="s">
        <v>9</v>
      </c>
      <c r="I115">
        <v>1.3992500000000001</v>
      </c>
      <c r="J115">
        <v>4.4545000000000003</v>
      </c>
      <c r="K115">
        <v>0.32050000000000001</v>
      </c>
      <c r="L115">
        <v>9.1499999999999998E-2</v>
      </c>
      <c r="M115" s="140">
        <f t="shared" si="13"/>
        <v>1.3992500000000001</v>
      </c>
      <c r="N115" s="140">
        <f t="shared" si="13"/>
        <v>4.4545000000000003</v>
      </c>
      <c r="O115" s="140">
        <f t="shared" si="13"/>
        <v>0.32050000000000001</v>
      </c>
      <c r="P115" s="140">
        <f t="shared" si="8"/>
        <v>0.05</v>
      </c>
      <c r="Q115" s="161" t="s">
        <v>676</v>
      </c>
      <c r="R115" s="125">
        <v>1.94</v>
      </c>
      <c r="S115" t="s">
        <v>676</v>
      </c>
      <c r="T115" t="s">
        <v>515</v>
      </c>
      <c r="U115" t="s">
        <v>515</v>
      </c>
      <c r="V115" s="118" t="s">
        <v>515</v>
      </c>
      <c r="W115">
        <v>40.803359999999998</v>
      </c>
      <c r="X115">
        <v>-85.665150999999994</v>
      </c>
      <c r="Y115">
        <v>6</v>
      </c>
      <c r="Z115">
        <v>8</v>
      </c>
      <c r="AA115">
        <v>2023</v>
      </c>
      <c r="AB115" t="b">
        <v>0</v>
      </c>
      <c r="AC115" s="19">
        <v>45085</v>
      </c>
      <c r="AD115" s="19" t="s">
        <v>515</v>
      </c>
      <c r="AE115" s="230">
        <v>0.4597222222222222</v>
      </c>
      <c r="AF115" s="19">
        <v>45085</v>
      </c>
      <c r="AG115" s="118" t="s">
        <v>515</v>
      </c>
      <c r="AH115" s="118" t="s">
        <v>515</v>
      </c>
      <c r="AI115" s="118">
        <v>738.3</v>
      </c>
      <c r="AJ115" s="118">
        <v>462.1</v>
      </c>
      <c r="AK115" s="118">
        <v>482.6</v>
      </c>
      <c r="AL115" s="118">
        <v>482615</v>
      </c>
      <c r="AM115" s="118">
        <v>0.23</v>
      </c>
      <c r="AN115" s="118">
        <v>484.6</v>
      </c>
      <c r="AO115" s="21">
        <v>6.6000000000000003E-2</v>
      </c>
      <c r="AP115" s="118">
        <v>5.8999999999999997E-2</v>
      </c>
      <c r="AQ115" s="118">
        <v>9.2999999999999999E-2</v>
      </c>
      <c r="AR115" s="118">
        <v>86.7</v>
      </c>
      <c r="AS115" s="118">
        <v>7.46</v>
      </c>
      <c r="AT115" s="118">
        <v>89</v>
      </c>
      <c r="AU115" s="118">
        <v>40.803319999999999</v>
      </c>
      <c r="AV115" s="118">
        <v>-85.665220000000005</v>
      </c>
      <c r="AW115" s="118">
        <v>235.3</v>
      </c>
      <c r="AX115" s="118">
        <v>201.4</v>
      </c>
      <c r="AY115" s="118">
        <v>8.3800000000000008</v>
      </c>
      <c r="AZ115" s="118">
        <v>-106.9</v>
      </c>
      <c r="BA115" s="118">
        <v>11.8</v>
      </c>
      <c r="BB115" s="118">
        <v>0</v>
      </c>
      <c r="BC115" s="118">
        <v>22.771999999999998</v>
      </c>
      <c r="BD115" s="118">
        <v>-5.2</v>
      </c>
      <c r="BE115" s="118">
        <v>0</v>
      </c>
      <c r="BF115" s="19">
        <v>45085</v>
      </c>
      <c r="BG115" s="118" t="s">
        <v>1855</v>
      </c>
    </row>
    <row r="116" spans="1:59" x14ac:dyDescent="0.25">
      <c r="A116" s="25">
        <v>10115</v>
      </c>
      <c r="B116" t="s">
        <v>139</v>
      </c>
      <c r="C116" t="s">
        <v>553</v>
      </c>
      <c r="D116" s="27" t="s">
        <v>516</v>
      </c>
      <c r="E116" s="27" t="str">
        <f t="shared" si="12"/>
        <v>?</v>
      </c>
      <c r="F116" s="118" t="s">
        <v>515</v>
      </c>
      <c r="G116" t="s">
        <v>22</v>
      </c>
      <c r="H116" s="24" t="s">
        <v>9</v>
      </c>
      <c r="I116">
        <v>7.8799999999999995E-2</v>
      </c>
      <c r="J116">
        <v>3.984</v>
      </c>
      <c r="K116">
        <v>0.111</v>
      </c>
      <c r="L116">
        <v>8.6999999999999994E-2</v>
      </c>
      <c r="M116" s="140">
        <f t="shared" si="13"/>
        <v>0.05</v>
      </c>
      <c r="N116" s="140">
        <f t="shared" si="13"/>
        <v>3.984</v>
      </c>
      <c r="O116" s="140">
        <f t="shared" si="13"/>
        <v>0.111</v>
      </c>
      <c r="P116" s="140">
        <f t="shared" si="8"/>
        <v>0.05</v>
      </c>
      <c r="Q116" s="161" t="s">
        <v>676</v>
      </c>
      <c r="R116" s="125">
        <v>5.2450000000000001</v>
      </c>
      <c r="S116" t="s">
        <v>676</v>
      </c>
      <c r="T116" t="s">
        <v>515</v>
      </c>
      <c r="U116" t="s">
        <v>515</v>
      </c>
      <c r="V116" s="118" t="s">
        <v>515</v>
      </c>
      <c r="W116">
        <v>40.791944999999998</v>
      </c>
      <c r="X116">
        <v>-85.667055000000005</v>
      </c>
      <c r="Y116">
        <v>6</v>
      </c>
      <c r="Z116">
        <v>8</v>
      </c>
      <c r="AA116">
        <v>2023</v>
      </c>
      <c r="AB116" t="b">
        <v>0</v>
      </c>
      <c r="AC116" s="19">
        <v>45085</v>
      </c>
      <c r="AD116" s="19" t="s">
        <v>515</v>
      </c>
      <c r="AE116" s="230">
        <v>0.49549768518518517</v>
      </c>
      <c r="AF116" s="19">
        <v>45085</v>
      </c>
      <c r="AG116" s="118" t="s">
        <v>515</v>
      </c>
      <c r="AH116" s="118" t="s">
        <v>515</v>
      </c>
      <c r="AI116" s="118">
        <v>738</v>
      </c>
      <c r="AJ116" s="118">
        <v>470.1</v>
      </c>
      <c r="AK116" s="118">
        <v>481.3</v>
      </c>
      <c r="AL116" s="118">
        <v>481260</v>
      </c>
      <c r="AM116" s="118">
        <v>0.23</v>
      </c>
      <c r="AN116" s="118">
        <v>482.4</v>
      </c>
      <c r="AO116" s="21">
        <v>0.126</v>
      </c>
      <c r="AP116" s="118">
        <v>0.13700000000000001</v>
      </c>
      <c r="AQ116" s="118">
        <v>0.17899999999999999</v>
      </c>
      <c r="AR116" s="118">
        <v>94.4</v>
      </c>
      <c r="AS116" s="118">
        <v>7.97</v>
      </c>
      <c r="AT116" s="118">
        <v>96.8</v>
      </c>
      <c r="AU116" s="118">
        <v>40.792059999999999</v>
      </c>
      <c r="AV116" s="118">
        <v>-85.667000000000002</v>
      </c>
      <c r="AW116" s="118">
        <v>221.7</v>
      </c>
      <c r="AX116" s="118">
        <v>189.2</v>
      </c>
      <c r="AY116" s="118">
        <v>8.39</v>
      </c>
      <c r="AZ116" s="118">
        <v>-107.7</v>
      </c>
      <c r="BA116" s="118">
        <v>11.8</v>
      </c>
      <c r="BB116" s="118">
        <v>0</v>
      </c>
      <c r="BC116" s="118">
        <v>23.79</v>
      </c>
      <c r="BD116" s="118">
        <v>-2.95</v>
      </c>
      <c r="BE116" s="118">
        <v>0</v>
      </c>
      <c r="BF116" s="19">
        <v>45085</v>
      </c>
      <c r="BG116" s="118" t="s">
        <v>1857</v>
      </c>
    </row>
    <row r="117" spans="1:59" x14ac:dyDescent="0.25">
      <c r="A117" s="25">
        <v>10116</v>
      </c>
      <c r="B117" t="s">
        <v>140</v>
      </c>
      <c r="C117" t="s">
        <v>553</v>
      </c>
      <c r="D117" s="27" t="s">
        <v>516</v>
      </c>
      <c r="E117" s="27" t="str">
        <f t="shared" si="12"/>
        <v>?</v>
      </c>
      <c r="F117" s="118" t="s">
        <v>515</v>
      </c>
      <c r="G117" t="s">
        <v>22</v>
      </c>
      <c r="H117" s="24" t="s">
        <v>9</v>
      </c>
      <c r="I117">
        <v>4.7399999999999998E-2</v>
      </c>
      <c r="J117">
        <v>4.2510000000000003</v>
      </c>
      <c r="K117">
        <v>0.26600000000000001</v>
      </c>
      <c r="L117">
        <v>0.1105</v>
      </c>
      <c r="M117" s="140">
        <f t="shared" si="13"/>
        <v>0.05</v>
      </c>
      <c r="N117" s="140">
        <f t="shared" si="13"/>
        <v>4.2510000000000003</v>
      </c>
      <c r="O117" s="140">
        <f t="shared" si="13"/>
        <v>0.26600000000000001</v>
      </c>
      <c r="P117" s="140">
        <f t="shared" si="8"/>
        <v>0.1105</v>
      </c>
      <c r="Q117" s="161" t="s">
        <v>676</v>
      </c>
      <c r="R117" s="125">
        <v>8.8000000000000007</v>
      </c>
      <c r="S117" t="s">
        <v>676</v>
      </c>
      <c r="T117" t="s">
        <v>515</v>
      </c>
      <c r="U117" t="s">
        <v>515</v>
      </c>
      <c r="V117" s="118" t="s">
        <v>515</v>
      </c>
      <c r="W117">
        <v>40.772627</v>
      </c>
      <c r="X117">
        <v>-85.639786000000001</v>
      </c>
      <c r="Y117">
        <v>6</v>
      </c>
      <c r="Z117">
        <v>8</v>
      </c>
      <c r="AA117">
        <v>2023</v>
      </c>
      <c r="AB117" t="b">
        <v>0</v>
      </c>
      <c r="AC117" s="19">
        <v>45085</v>
      </c>
      <c r="AD117" s="19" t="s">
        <v>515</v>
      </c>
      <c r="AE117" s="230">
        <v>0.52528935185185188</v>
      </c>
      <c r="AF117" s="19">
        <v>45085</v>
      </c>
      <c r="AG117" s="118" t="s">
        <v>515</v>
      </c>
      <c r="AH117" s="118" t="s">
        <v>515</v>
      </c>
      <c r="AI117" s="118">
        <v>738</v>
      </c>
      <c r="AJ117" s="118">
        <v>461</v>
      </c>
      <c r="AK117" s="118">
        <v>467</v>
      </c>
      <c r="AL117" s="118">
        <v>466997</v>
      </c>
      <c r="AM117" s="118">
        <v>0.22</v>
      </c>
      <c r="AN117" s="118">
        <v>467.6</v>
      </c>
      <c r="AO117" s="21">
        <v>0.16800000000000001</v>
      </c>
      <c r="AP117" s="118">
        <v>0.17</v>
      </c>
      <c r="AQ117" s="118">
        <v>0.23799999999999999</v>
      </c>
      <c r="AR117" s="118">
        <v>125.2</v>
      </c>
      <c r="AS117" s="118">
        <v>10.46</v>
      </c>
      <c r="AT117" s="118">
        <v>128.5</v>
      </c>
      <c r="AU117" s="118">
        <v>40.773069999999997</v>
      </c>
      <c r="AV117" s="118">
        <v>-85.639560000000003</v>
      </c>
      <c r="AW117" s="118">
        <v>253.8</v>
      </c>
      <c r="AX117" s="118">
        <v>179.5</v>
      </c>
      <c r="AY117" s="118">
        <v>8.77</v>
      </c>
      <c r="AZ117" s="118">
        <v>-127.9</v>
      </c>
      <c r="BA117" s="118">
        <v>11.8</v>
      </c>
      <c r="BB117" s="118">
        <v>0</v>
      </c>
      <c r="BC117" s="118">
        <v>24.327000000000002</v>
      </c>
      <c r="BD117" s="118">
        <v>-2.96</v>
      </c>
      <c r="BE117" s="118">
        <v>0</v>
      </c>
      <c r="BF117" s="19">
        <v>45085</v>
      </c>
      <c r="BG117" s="118" t="s">
        <v>1843</v>
      </c>
    </row>
    <row r="118" spans="1:59" x14ac:dyDescent="0.25">
      <c r="A118" s="25">
        <v>10117</v>
      </c>
      <c r="B118" t="s">
        <v>141</v>
      </c>
      <c r="C118" t="s">
        <v>553</v>
      </c>
      <c r="D118" s="27" t="s">
        <v>516</v>
      </c>
      <c r="E118" s="27" t="str">
        <f t="shared" si="12"/>
        <v>?</v>
      </c>
      <c r="F118" s="118" t="s">
        <v>515</v>
      </c>
      <c r="G118" t="s">
        <v>22</v>
      </c>
      <c r="H118" s="24" t="s">
        <v>9</v>
      </c>
      <c r="I118">
        <v>0.23005</v>
      </c>
      <c r="J118">
        <v>4.1885000000000003</v>
      </c>
      <c r="K118">
        <v>8.1000000000000003E-2</v>
      </c>
      <c r="L118">
        <v>0.1085</v>
      </c>
      <c r="M118" s="140">
        <f t="shared" si="13"/>
        <v>0.23005</v>
      </c>
      <c r="N118" s="140">
        <f t="shared" si="13"/>
        <v>4.1885000000000003</v>
      </c>
      <c r="O118" s="140">
        <f t="shared" si="13"/>
        <v>0.05</v>
      </c>
      <c r="P118" s="140">
        <f t="shared" si="8"/>
        <v>0.1085</v>
      </c>
      <c r="Q118" s="161" t="s">
        <v>676</v>
      </c>
      <c r="R118" s="125">
        <v>5.915</v>
      </c>
      <c r="S118" t="s">
        <v>676</v>
      </c>
      <c r="T118" t="s">
        <v>515</v>
      </c>
      <c r="U118" t="s">
        <v>515</v>
      </c>
      <c r="V118" s="118" t="s">
        <v>515</v>
      </c>
      <c r="W118">
        <v>40.776755000000001</v>
      </c>
      <c r="X118">
        <v>-85.646033000000003</v>
      </c>
      <c r="Y118">
        <v>6</v>
      </c>
      <c r="Z118">
        <v>8</v>
      </c>
      <c r="AA118">
        <v>2023</v>
      </c>
      <c r="AB118" t="b">
        <v>0</v>
      </c>
      <c r="AC118" s="19">
        <v>45085</v>
      </c>
      <c r="AD118" s="19" t="s">
        <v>515</v>
      </c>
      <c r="AE118" s="230">
        <v>0.54152777777777783</v>
      </c>
      <c r="AF118" s="19">
        <v>45085</v>
      </c>
      <c r="AG118" s="118" t="s">
        <v>515</v>
      </c>
      <c r="AH118" s="118" t="s">
        <v>515</v>
      </c>
      <c r="AI118" s="118">
        <v>738</v>
      </c>
      <c r="AJ118" s="118">
        <v>471.3</v>
      </c>
      <c r="AK118" s="118">
        <v>467.8</v>
      </c>
      <c r="AL118" s="118">
        <v>467757</v>
      </c>
      <c r="AM118" s="118">
        <v>0.22</v>
      </c>
      <c r="AN118" s="118">
        <v>467.4</v>
      </c>
      <c r="AO118" s="21">
        <v>0.125</v>
      </c>
      <c r="AP118" s="118">
        <v>0.128</v>
      </c>
      <c r="AQ118" s="118">
        <v>0.17699999999999999</v>
      </c>
      <c r="AR118" s="118">
        <v>127.7</v>
      </c>
      <c r="AS118" s="118">
        <v>10.46</v>
      </c>
      <c r="AT118" s="118">
        <v>131</v>
      </c>
      <c r="AU118" s="118">
        <v>40.776769999999999</v>
      </c>
      <c r="AV118" s="118">
        <v>-85.646029999999996</v>
      </c>
      <c r="AW118" s="118">
        <v>222.6</v>
      </c>
      <c r="AX118" s="118">
        <v>190.9</v>
      </c>
      <c r="AY118" s="118">
        <v>8.73</v>
      </c>
      <c r="AZ118" s="118">
        <v>-125.9</v>
      </c>
      <c r="BA118" s="118">
        <v>11.8</v>
      </c>
      <c r="BB118" s="118">
        <v>0</v>
      </c>
      <c r="BC118" s="118">
        <v>25.391999999999999</v>
      </c>
      <c r="BD118" s="118">
        <v>-0.65</v>
      </c>
      <c r="BE118" s="118">
        <v>0</v>
      </c>
      <c r="BF118" s="19">
        <v>45085</v>
      </c>
      <c r="BG118" s="118" t="s">
        <v>1858</v>
      </c>
    </row>
    <row r="119" spans="1:59" x14ac:dyDescent="0.25">
      <c r="A119" s="25">
        <v>10118</v>
      </c>
      <c r="B119" t="s">
        <v>142</v>
      </c>
      <c r="C119" t="s">
        <v>553</v>
      </c>
      <c r="D119" s="27" t="s">
        <v>516</v>
      </c>
      <c r="E119" s="27" t="str">
        <f t="shared" si="12"/>
        <v>?</v>
      </c>
      <c r="F119" s="118" t="s">
        <v>515</v>
      </c>
      <c r="G119" t="s">
        <v>22</v>
      </c>
      <c r="H119" s="24" t="s">
        <v>9</v>
      </c>
      <c r="I119">
        <v>5.4300000000000001E-2</v>
      </c>
      <c r="J119">
        <v>4.3099999999999996</v>
      </c>
      <c r="K119">
        <v>0.125</v>
      </c>
      <c r="L119">
        <v>8.6499999999999994E-2</v>
      </c>
      <c r="M119" s="140">
        <f t="shared" si="13"/>
        <v>0.05</v>
      </c>
      <c r="N119" s="140">
        <f t="shared" si="13"/>
        <v>4.3099999999999996</v>
      </c>
      <c r="O119" s="140">
        <f t="shared" si="13"/>
        <v>0.125</v>
      </c>
      <c r="P119" s="140">
        <f t="shared" si="8"/>
        <v>0.05</v>
      </c>
      <c r="Q119" s="161" t="s">
        <v>676</v>
      </c>
      <c r="R119" s="125">
        <v>10.16</v>
      </c>
      <c r="S119" t="s">
        <v>676</v>
      </c>
      <c r="T119" t="s">
        <v>515</v>
      </c>
      <c r="U119" t="s">
        <v>515</v>
      </c>
      <c r="V119" s="118" t="s">
        <v>515</v>
      </c>
      <c r="W119">
        <v>40.779870000000003</v>
      </c>
      <c r="X119">
        <v>-85.644681000000006</v>
      </c>
      <c r="Y119">
        <v>6</v>
      </c>
      <c r="Z119">
        <v>8</v>
      </c>
      <c r="AA119">
        <v>2023</v>
      </c>
      <c r="AB119" t="b">
        <v>0</v>
      </c>
      <c r="AC119" s="19">
        <v>45085</v>
      </c>
      <c r="AD119" s="19" t="s">
        <v>515</v>
      </c>
      <c r="AE119" s="230">
        <v>0.552337962962963</v>
      </c>
      <c r="AF119" s="19">
        <v>45085</v>
      </c>
      <c r="AG119" s="118" t="s">
        <v>515</v>
      </c>
      <c r="AH119" s="118" t="s">
        <v>515</v>
      </c>
      <c r="AI119" s="118">
        <v>737.9</v>
      </c>
      <c r="AJ119" s="118">
        <v>464.9</v>
      </c>
      <c r="AK119" s="118">
        <v>474.2</v>
      </c>
      <c r="AL119" s="118">
        <v>474207</v>
      </c>
      <c r="AM119" s="118">
        <v>0.23</v>
      </c>
      <c r="AN119" s="118">
        <v>475.1</v>
      </c>
      <c r="AO119" s="21">
        <v>0.14799999999999999</v>
      </c>
      <c r="AP119" s="118">
        <v>0.14099999999999999</v>
      </c>
      <c r="AQ119" s="118">
        <v>0.21</v>
      </c>
      <c r="AR119" s="118">
        <v>117.2</v>
      </c>
      <c r="AS119" s="118">
        <v>9.86</v>
      </c>
      <c r="AT119" s="118">
        <v>120.3</v>
      </c>
      <c r="AU119" s="118">
        <v>40.779919999999997</v>
      </c>
      <c r="AV119" s="118">
        <v>-85.644589999999994</v>
      </c>
      <c r="AW119" s="118">
        <v>225.6</v>
      </c>
      <c r="AX119" s="118">
        <v>176.7</v>
      </c>
      <c r="AY119" s="118">
        <v>8.7100000000000009</v>
      </c>
      <c r="AZ119" s="118">
        <v>-124.7</v>
      </c>
      <c r="BA119" s="118">
        <v>11.8</v>
      </c>
      <c r="BB119" s="118">
        <v>0</v>
      </c>
      <c r="BC119" s="118">
        <v>23.975999999999999</v>
      </c>
      <c r="BD119" s="118">
        <v>-1.57</v>
      </c>
      <c r="BE119" s="118">
        <v>0</v>
      </c>
      <c r="BF119" s="19">
        <v>45085</v>
      </c>
      <c r="BG119" s="118" t="s">
        <v>1859</v>
      </c>
    </row>
    <row r="120" spans="1:59" x14ac:dyDescent="0.25">
      <c r="A120" s="25">
        <v>10119</v>
      </c>
      <c r="B120" t="s">
        <v>143</v>
      </c>
      <c r="C120" t="s">
        <v>553</v>
      </c>
      <c r="D120" s="27" t="s">
        <v>516</v>
      </c>
      <c r="E120" s="27" t="str">
        <f t="shared" si="12"/>
        <v>?</v>
      </c>
      <c r="F120" s="118" t="s">
        <v>515</v>
      </c>
      <c r="G120" t="s">
        <v>22</v>
      </c>
      <c r="H120" s="24" t="s">
        <v>9</v>
      </c>
      <c r="I120">
        <v>4.58E-2</v>
      </c>
      <c r="J120">
        <v>4.4569999999999999</v>
      </c>
      <c r="K120">
        <v>0.115</v>
      </c>
      <c r="L120">
        <v>7.85E-2</v>
      </c>
      <c r="M120" s="140">
        <f t="shared" si="13"/>
        <v>0.05</v>
      </c>
      <c r="N120" s="140">
        <f t="shared" si="13"/>
        <v>4.4569999999999999</v>
      </c>
      <c r="O120" s="140">
        <f t="shared" si="13"/>
        <v>0.115</v>
      </c>
      <c r="P120" s="140">
        <f t="shared" si="8"/>
        <v>0.05</v>
      </c>
      <c r="Q120" s="161" t="s">
        <v>676</v>
      </c>
      <c r="R120" s="125">
        <v>7.9249999999999998</v>
      </c>
      <c r="S120" t="s">
        <v>676</v>
      </c>
      <c r="T120" t="s">
        <v>515</v>
      </c>
      <c r="U120" t="s">
        <v>515</v>
      </c>
      <c r="V120" s="118" t="s">
        <v>515</v>
      </c>
      <c r="W120">
        <v>40.779496000000002</v>
      </c>
      <c r="X120">
        <v>-85.636241999999996</v>
      </c>
      <c r="Y120">
        <v>6</v>
      </c>
      <c r="Z120">
        <v>8</v>
      </c>
      <c r="AA120">
        <v>2023</v>
      </c>
      <c r="AB120" t="b">
        <v>0</v>
      </c>
      <c r="AC120" s="19">
        <v>45085</v>
      </c>
      <c r="AD120" s="19" t="s">
        <v>515</v>
      </c>
      <c r="AE120" s="230">
        <v>0.58060185185185187</v>
      </c>
      <c r="AF120" s="19">
        <v>45085</v>
      </c>
      <c r="AG120" s="118" t="s">
        <v>515</v>
      </c>
      <c r="AH120" s="118" t="s">
        <v>515</v>
      </c>
      <c r="AI120" s="118">
        <v>737.7</v>
      </c>
      <c r="AJ120" s="118">
        <v>398.1</v>
      </c>
      <c r="AK120" s="118">
        <v>389.2</v>
      </c>
      <c r="AL120" s="118">
        <v>389185</v>
      </c>
      <c r="AM120" s="118">
        <v>0.19</v>
      </c>
      <c r="AN120" s="118">
        <v>388.2</v>
      </c>
      <c r="AO120" s="21">
        <v>0.11</v>
      </c>
      <c r="AP120" s="118">
        <v>0.113</v>
      </c>
      <c r="AQ120" s="118">
        <v>0.156</v>
      </c>
      <c r="AR120" s="118">
        <v>123.5</v>
      </c>
      <c r="AS120" s="118">
        <v>9.98</v>
      </c>
      <c r="AT120" s="118">
        <v>126.7</v>
      </c>
      <c r="AU120" s="118">
        <v>40.77948</v>
      </c>
      <c r="AV120" s="118">
        <v>-85.636250000000004</v>
      </c>
      <c r="AW120" s="118">
        <v>225.3</v>
      </c>
      <c r="AX120" s="118">
        <v>145.19999999999999</v>
      </c>
      <c r="AY120" s="118">
        <v>8.75</v>
      </c>
      <c r="AZ120" s="118">
        <v>-127.2</v>
      </c>
      <c r="BA120" s="118">
        <v>11.8</v>
      </c>
      <c r="BB120" s="118">
        <v>0</v>
      </c>
      <c r="BC120" s="118">
        <v>26.198</v>
      </c>
      <c r="BD120" s="118">
        <v>5.24</v>
      </c>
      <c r="BE120" s="118">
        <v>0</v>
      </c>
      <c r="BF120" s="19">
        <v>45085</v>
      </c>
      <c r="BG120" s="118" t="s">
        <v>1842</v>
      </c>
    </row>
    <row r="121" spans="1:59" x14ac:dyDescent="0.25">
      <c r="A121" s="25">
        <v>10120</v>
      </c>
      <c r="B121" t="s">
        <v>144</v>
      </c>
      <c r="C121" t="s">
        <v>553</v>
      </c>
      <c r="D121" s="27" t="s">
        <v>516</v>
      </c>
      <c r="E121" s="27" t="str">
        <f t="shared" si="12"/>
        <v>?</v>
      </c>
      <c r="F121" s="118" t="s">
        <v>515</v>
      </c>
      <c r="G121" t="s">
        <v>22</v>
      </c>
      <c r="H121" s="24" t="s">
        <v>9</v>
      </c>
      <c r="I121">
        <v>1.0083</v>
      </c>
      <c r="J121">
        <v>4.4279999999999999</v>
      </c>
      <c r="K121">
        <v>0.221</v>
      </c>
      <c r="L121">
        <v>9.35E-2</v>
      </c>
      <c r="M121" s="140">
        <f t="shared" si="13"/>
        <v>1.0083</v>
      </c>
      <c r="N121" s="140">
        <f t="shared" si="13"/>
        <v>4.4279999999999999</v>
      </c>
      <c r="O121" s="140">
        <f t="shared" si="13"/>
        <v>0.221</v>
      </c>
      <c r="P121" s="140">
        <f t="shared" si="8"/>
        <v>0.05</v>
      </c>
      <c r="Q121" s="161" t="s">
        <v>676</v>
      </c>
      <c r="R121" s="125">
        <v>6.335</v>
      </c>
      <c r="S121" t="s">
        <v>676</v>
      </c>
      <c r="T121" t="s">
        <v>515</v>
      </c>
      <c r="U121" t="s">
        <v>515</v>
      </c>
      <c r="V121" s="118" t="s">
        <v>515</v>
      </c>
      <c r="W121">
        <v>40.772309</v>
      </c>
      <c r="X121">
        <v>-85.605089000000007</v>
      </c>
      <c r="Y121">
        <v>6</v>
      </c>
      <c r="Z121">
        <v>8</v>
      </c>
      <c r="AA121">
        <v>2023</v>
      </c>
      <c r="AB121" t="b">
        <v>0</v>
      </c>
      <c r="AC121" s="19">
        <v>45085</v>
      </c>
      <c r="AD121" s="19" t="s">
        <v>515</v>
      </c>
      <c r="AE121" s="230">
        <v>0.60993055555555553</v>
      </c>
      <c r="AF121" s="19">
        <v>45085</v>
      </c>
      <c r="AG121" s="118" t="s">
        <v>515</v>
      </c>
      <c r="AH121" s="118" t="s">
        <v>515</v>
      </c>
      <c r="AI121" s="118">
        <v>737.5</v>
      </c>
      <c r="AJ121" s="118">
        <v>493.8</v>
      </c>
      <c r="AK121" s="118">
        <v>494.3</v>
      </c>
      <c r="AL121" s="118">
        <v>494285</v>
      </c>
      <c r="AM121" s="118">
        <v>0.24</v>
      </c>
      <c r="AN121" s="118">
        <v>494.3</v>
      </c>
      <c r="AO121" s="21">
        <v>0.14799999999999999</v>
      </c>
      <c r="AP121" s="118">
        <v>0.14199999999999999</v>
      </c>
      <c r="AQ121" s="118">
        <v>0.21</v>
      </c>
      <c r="AR121" s="118">
        <v>138.1</v>
      </c>
      <c r="AS121" s="118">
        <v>11.41</v>
      </c>
      <c r="AT121" s="118">
        <v>141.69999999999999</v>
      </c>
      <c r="AU121" s="118">
        <v>40.772370000000002</v>
      </c>
      <c r="AV121" s="118">
        <v>-85.605069999999998</v>
      </c>
      <c r="AW121" s="118">
        <v>229.5</v>
      </c>
      <c r="AX121" s="118">
        <v>108.3</v>
      </c>
      <c r="AY121" s="118">
        <v>8.9</v>
      </c>
      <c r="AZ121" s="118">
        <v>-134.80000000000001</v>
      </c>
      <c r="BA121" s="118">
        <v>11.8</v>
      </c>
      <c r="BB121" s="118">
        <v>0</v>
      </c>
      <c r="BC121" s="118">
        <v>24.954000000000001</v>
      </c>
      <c r="BD121" s="118">
        <v>-2.78</v>
      </c>
      <c r="BE121" s="118">
        <v>0</v>
      </c>
      <c r="BF121" s="19">
        <v>45085</v>
      </c>
      <c r="BG121" s="118" t="s">
        <v>1860</v>
      </c>
    </row>
    <row r="122" spans="1:59" x14ac:dyDescent="0.25">
      <c r="A122" s="25">
        <v>10121</v>
      </c>
      <c r="B122" t="s">
        <v>145</v>
      </c>
      <c r="C122" t="s">
        <v>553</v>
      </c>
      <c r="D122" s="27" t="s">
        <v>516</v>
      </c>
      <c r="E122" s="27" t="str">
        <f t="shared" si="12"/>
        <v>?</v>
      </c>
      <c r="F122" s="118" t="s">
        <v>515</v>
      </c>
      <c r="G122" t="s">
        <v>22</v>
      </c>
      <c r="H122" s="24" t="s">
        <v>9</v>
      </c>
      <c r="I122">
        <v>1.0095499999999999</v>
      </c>
      <c r="J122">
        <v>2.8774999999999999</v>
      </c>
      <c r="K122">
        <v>0.2445</v>
      </c>
      <c r="L122">
        <v>7.5499999999999998E-2</v>
      </c>
      <c r="M122" s="140">
        <f t="shared" si="13"/>
        <v>1.0095499999999999</v>
      </c>
      <c r="N122" s="140">
        <f t="shared" si="13"/>
        <v>2.8774999999999999</v>
      </c>
      <c r="O122" s="140">
        <f t="shared" si="13"/>
        <v>0.2445</v>
      </c>
      <c r="P122" s="140">
        <f t="shared" si="8"/>
        <v>0.05</v>
      </c>
      <c r="Q122" s="161" t="s">
        <v>676</v>
      </c>
      <c r="R122" s="125">
        <v>11.055</v>
      </c>
      <c r="S122" t="s">
        <v>676</v>
      </c>
      <c r="T122" t="s">
        <v>515</v>
      </c>
      <c r="U122" t="s">
        <v>515</v>
      </c>
      <c r="V122" s="118" t="s">
        <v>515</v>
      </c>
      <c r="W122">
        <v>40.751244</v>
      </c>
      <c r="X122">
        <v>-85.581817999999998</v>
      </c>
      <c r="Y122">
        <v>6</v>
      </c>
      <c r="Z122">
        <v>8</v>
      </c>
      <c r="AA122">
        <v>2023</v>
      </c>
      <c r="AB122" t="b">
        <v>0</v>
      </c>
      <c r="AC122" s="19">
        <v>45085</v>
      </c>
      <c r="AD122" s="19" t="s">
        <v>515</v>
      </c>
      <c r="AE122" s="230">
        <v>0.64905092592592595</v>
      </c>
      <c r="AF122" s="19">
        <v>45085</v>
      </c>
      <c r="AG122" s="118" t="s">
        <v>515</v>
      </c>
      <c r="AH122" s="118" t="s">
        <v>515</v>
      </c>
      <c r="AI122" s="118">
        <v>737.4</v>
      </c>
      <c r="AJ122" s="118">
        <v>553.5</v>
      </c>
      <c r="AK122" s="118">
        <v>549.29999999999995</v>
      </c>
      <c r="AL122" s="118">
        <v>549287</v>
      </c>
      <c r="AM122" s="118">
        <v>0.26</v>
      </c>
      <c r="AN122" s="118">
        <v>548.79999999999995</v>
      </c>
      <c r="AO122" s="21">
        <v>0.32300000000000001</v>
      </c>
      <c r="AP122" s="118">
        <v>0.32600000000000001</v>
      </c>
      <c r="AQ122" s="118">
        <v>0.45800000000000002</v>
      </c>
      <c r="AR122" s="118">
        <v>140.6</v>
      </c>
      <c r="AS122" s="118">
        <v>11.51</v>
      </c>
      <c r="AT122" s="118">
        <v>144.19999999999999</v>
      </c>
      <c r="AU122" s="118">
        <v>40.75121</v>
      </c>
      <c r="AV122" s="118">
        <v>-85.581900000000005</v>
      </c>
      <c r="AW122" s="118">
        <v>221.3</v>
      </c>
      <c r="AX122" s="118">
        <v>223.7</v>
      </c>
      <c r="AY122" s="118">
        <v>8.59</v>
      </c>
      <c r="AZ122" s="118">
        <v>-118.8</v>
      </c>
      <c r="BA122" s="118">
        <v>11.8</v>
      </c>
      <c r="BB122" s="118">
        <v>0</v>
      </c>
      <c r="BC122" s="118">
        <v>25.402000000000001</v>
      </c>
      <c r="BD122" s="118">
        <v>2.5</v>
      </c>
      <c r="BE122" s="118">
        <v>0</v>
      </c>
      <c r="BF122" s="19">
        <v>45085</v>
      </c>
      <c r="BG122" s="118" t="s">
        <v>1861</v>
      </c>
    </row>
    <row r="123" spans="1:59" x14ac:dyDescent="0.25">
      <c r="A123" s="25">
        <v>10122</v>
      </c>
      <c r="B123" s="118" t="s">
        <v>1887</v>
      </c>
      <c r="C123" s="118" t="s">
        <v>553</v>
      </c>
      <c r="D123" s="27" t="s">
        <v>516</v>
      </c>
      <c r="E123" s="27" t="str">
        <f t="shared" si="12"/>
        <v>?</v>
      </c>
      <c r="F123" s="118" t="s">
        <v>515</v>
      </c>
      <c r="G123" t="s">
        <v>22</v>
      </c>
      <c r="H123" s="24" t="s">
        <v>9</v>
      </c>
      <c r="I123" t="s">
        <v>515</v>
      </c>
      <c r="J123" t="s">
        <v>515</v>
      </c>
      <c r="K123" t="s">
        <v>515</v>
      </c>
      <c r="L123" t="s">
        <v>515</v>
      </c>
      <c r="M123" s="140" t="str">
        <f t="shared" si="13"/>
        <v>NULL</v>
      </c>
      <c r="N123" s="140" t="str">
        <f t="shared" si="13"/>
        <v>NULL</v>
      </c>
      <c r="O123" s="140" t="str">
        <f t="shared" si="13"/>
        <v>NULL</v>
      </c>
      <c r="P123" s="140" t="str">
        <f t="shared" si="8"/>
        <v>NULL</v>
      </c>
      <c r="Q123" s="161" t="s">
        <v>676</v>
      </c>
      <c r="R123" s="125" t="s">
        <v>676</v>
      </c>
      <c r="S123" t="s">
        <v>676</v>
      </c>
      <c r="T123" t="s">
        <v>515</v>
      </c>
      <c r="U123" t="s">
        <v>515</v>
      </c>
      <c r="V123" s="118" t="s">
        <v>515</v>
      </c>
      <c r="W123">
        <v>40.803417000000003</v>
      </c>
      <c r="X123">
        <v>-86.664721999999998</v>
      </c>
      <c r="Y123">
        <v>6</v>
      </c>
      <c r="Z123">
        <v>8</v>
      </c>
      <c r="AA123">
        <v>2023</v>
      </c>
      <c r="AB123" t="b">
        <v>0</v>
      </c>
      <c r="AC123" s="19" t="e">
        <v>#VALUE!</v>
      </c>
      <c r="AD123" s="19" t="s">
        <v>515</v>
      </c>
      <c r="AE123" s="230">
        <v>0.46791666666666665</v>
      </c>
      <c r="AF123" s="19">
        <v>45085</v>
      </c>
      <c r="AG123" s="118" t="s">
        <v>515</v>
      </c>
      <c r="AH123" s="118" t="s">
        <v>515</v>
      </c>
      <c r="AI123" s="118">
        <v>738.3</v>
      </c>
      <c r="AJ123" s="118">
        <v>468.5</v>
      </c>
      <c r="AK123" s="118">
        <v>480.5</v>
      </c>
      <c r="AL123" s="118">
        <v>480498</v>
      </c>
      <c r="AM123" s="118">
        <v>0.23</v>
      </c>
      <c r="AN123" s="118">
        <v>481.7</v>
      </c>
      <c r="AO123" s="21">
        <v>6.2E-2</v>
      </c>
      <c r="AP123" s="118">
        <v>7.3999999999999996E-2</v>
      </c>
      <c r="AQ123" s="118">
        <v>8.7999999999999995E-2</v>
      </c>
      <c r="AR123" s="118">
        <v>91.3</v>
      </c>
      <c r="AS123" s="118">
        <v>7.72</v>
      </c>
      <c r="AT123" s="118">
        <v>93.6</v>
      </c>
      <c r="AU123" s="118">
        <v>40.803370000000001</v>
      </c>
      <c r="AV123" s="118">
        <v>-85.664739999999995</v>
      </c>
      <c r="AW123" s="118">
        <v>232.2</v>
      </c>
      <c r="AX123" s="118">
        <v>207</v>
      </c>
      <c r="AY123" s="118">
        <v>8.25</v>
      </c>
      <c r="AZ123" s="118">
        <v>-100.1</v>
      </c>
      <c r="BA123" s="118">
        <v>11.8</v>
      </c>
      <c r="BB123" s="118">
        <v>0</v>
      </c>
      <c r="BC123" s="118">
        <v>23.693999999999999</v>
      </c>
      <c r="BD123" s="118">
        <v>-3.81</v>
      </c>
      <c r="BE123" s="118">
        <v>0</v>
      </c>
      <c r="BF123" s="19">
        <v>45085</v>
      </c>
      <c r="BG123" s="118" t="s">
        <v>1856</v>
      </c>
    </row>
    <row r="124" spans="1:59" x14ac:dyDescent="0.25">
      <c r="A124" s="25">
        <v>10123</v>
      </c>
      <c r="B124" t="s">
        <v>146</v>
      </c>
      <c r="C124" t="s">
        <v>554</v>
      </c>
      <c r="D124" s="27" t="s">
        <v>516</v>
      </c>
      <c r="E124" s="27" t="str">
        <f t="shared" si="12"/>
        <v>?</v>
      </c>
      <c r="F124" s="118" t="s">
        <v>515</v>
      </c>
      <c r="G124" t="s">
        <v>514</v>
      </c>
      <c r="H124" s="24" t="s">
        <v>9</v>
      </c>
      <c r="I124">
        <v>4.5699999999999998E-2</v>
      </c>
      <c r="J124">
        <v>1.2829999999999999</v>
      </c>
      <c r="K124">
        <v>-3.0000000000000001E-3</v>
      </c>
      <c r="L124">
        <v>6.225E-2</v>
      </c>
      <c r="M124" s="140">
        <f t="shared" si="13"/>
        <v>0.05</v>
      </c>
      <c r="N124" s="140">
        <f t="shared" si="13"/>
        <v>1.2829999999999999</v>
      </c>
      <c r="O124" s="140">
        <f t="shared" si="13"/>
        <v>0.05</v>
      </c>
      <c r="P124" s="140">
        <f t="shared" si="8"/>
        <v>0.05</v>
      </c>
      <c r="Q124" s="161" t="s">
        <v>676</v>
      </c>
      <c r="R124" s="125">
        <v>7.48</v>
      </c>
      <c r="S124" t="s">
        <v>676</v>
      </c>
      <c r="T124" t="s">
        <v>515</v>
      </c>
      <c r="U124" t="s">
        <v>515</v>
      </c>
      <c r="V124" s="118" t="s">
        <v>515</v>
      </c>
      <c r="W124">
        <v>40.693679000000003</v>
      </c>
      <c r="X124">
        <v>-86.766957000000005</v>
      </c>
      <c r="Y124">
        <v>6</v>
      </c>
      <c r="Z124">
        <v>9</v>
      </c>
      <c r="AA124">
        <v>2023</v>
      </c>
      <c r="AB124" t="b">
        <v>0</v>
      </c>
      <c r="AC124" s="19">
        <v>45086</v>
      </c>
      <c r="AD124" s="19" t="s">
        <v>515</v>
      </c>
      <c r="AE124" s="230">
        <v>0.41848379629629628</v>
      </c>
      <c r="AF124" s="19">
        <v>45086</v>
      </c>
      <c r="AG124" s="118" t="s">
        <v>515</v>
      </c>
      <c r="AH124" s="118" t="s">
        <v>515</v>
      </c>
      <c r="AI124" s="118">
        <v>743.2</v>
      </c>
      <c r="AJ124" s="118">
        <v>670.7</v>
      </c>
      <c r="AK124" s="118">
        <v>703.9</v>
      </c>
      <c r="AL124" s="118">
        <v>703945</v>
      </c>
      <c r="AM124" s="118">
        <v>0.34</v>
      </c>
      <c r="AN124" s="118">
        <v>707.2</v>
      </c>
      <c r="AO124" s="21">
        <v>0.22</v>
      </c>
      <c r="AP124" s="118">
        <v>0.23100000000000001</v>
      </c>
      <c r="AQ124" s="118">
        <v>0.313</v>
      </c>
      <c r="AR124" s="118">
        <v>103.1</v>
      </c>
      <c r="AS124" s="118">
        <v>8.91</v>
      </c>
      <c r="AT124" s="118">
        <v>105.6</v>
      </c>
      <c r="AU124" s="118">
        <v>40.693629999999999</v>
      </c>
      <c r="AV124" s="118">
        <v>-86.766940000000005</v>
      </c>
      <c r="AW124" s="118">
        <v>187.8</v>
      </c>
      <c r="AX124" s="118">
        <v>269</v>
      </c>
      <c r="AY124" s="118">
        <v>6.43</v>
      </c>
      <c r="AZ124" s="118">
        <v>-4.3</v>
      </c>
      <c r="BA124" s="118">
        <v>11.8</v>
      </c>
      <c r="BB124" s="118">
        <v>0</v>
      </c>
      <c r="BC124" s="118">
        <v>22.527000000000001</v>
      </c>
      <c r="BD124" s="118">
        <v>6.76</v>
      </c>
      <c r="BE124" s="118">
        <v>0</v>
      </c>
      <c r="BF124" s="19">
        <v>45086</v>
      </c>
      <c r="BG124" s="118" t="s">
        <v>1821</v>
      </c>
    </row>
    <row r="125" spans="1:59" x14ac:dyDescent="0.25">
      <c r="A125" s="25">
        <v>10124</v>
      </c>
      <c r="B125" t="s">
        <v>147</v>
      </c>
      <c r="C125" t="s">
        <v>554</v>
      </c>
      <c r="D125" s="27" t="s">
        <v>516</v>
      </c>
      <c r="E125" s="27" t="str">
        <f t="shared" si="12"/>
        <v>?</v>
      </c>
      <c r="F125" s="118" t="s">
        <v>515</v>
      </c>
      <c r="G125" t="s">
        <v>514</v>
      </c>
      <c r="H125" s="24" t="s">
        <v>9</v>
      </c>
      <c r="I125">
        <v>0.1394</v>
      </c>
      <c r="J125">
        <v>1.8640000000000001</v>
      </c>
      <c r="K125">
        <v>-4.0000000000000001E-3</v>
      </c>
      <c r="L125">
        <v>0.10525</v>
      </c>
      <c r="M125" s="140">
        <f t="shared" si="13"/>
        <v>0.1394</v>
      </c>
      <c r="N125" s="140">
        <f t="shared" si="13"/>
        <v>1.8640000000000001</v>
      </c>
      <c r="O125" s="140">
        <f t="shared" si="13"/>
        <v>0.05</v>
      </c>
      <c r="P125" s="140">
        <f t="shared" si="8"/>
        <v>0.10525</v>
      </c>
      <c r="Q125" s="161" t="s">
        <v>676</v>
      </c>
      <c r="R125" s="125">
        <v>4.2</v>
      </c>
      <c r="S125" t="s">
        <v>676</v>
      </c>
      <c r="T125" t="s">
        <v>515</v>
      </c>
      <c r="U125" t="s">
        <v>515</v>
      </c>
      <c r="V125" s="118" t="s">
        <v>515</v>
      </c>
      <c r="W125">
        <v>40.665942999999999</v>
      </c>
      <c r="X125">
        <v>-86.752898999999999</v>
      </c>
      <c r="Y125">
        <v>6</v>
      </c>
      <c r="Z125">
        <v>9</v>
      </c>
      <c r="AA125">
        <v>2023</v>
      </c>
      <c r="AB125" t="b">
        <v>0</v>
      </c>
      <c r="AC125" s="19">
        <v>45086</v>
      </c>
      <c r="AD125" s="19" t="s">
        <v>515</v>
      </c>
      <c r="AE125" s="230">
        <v>0.4611574074074074</v>
      </c>
      <c r="AF125" s="19">
        <v>45086</v>
      </c>
      <c r="AG125" s="118" t="s">
        <v>515</v>
      </c>
      <c r="AH125" s="118" t="s">
        <v>515</v>
      </c>
      <c r="AI125" s="118">
        <v>742.9</v>
      </c>
      <c r="AJ125" s="118">
        <v>663.1</v>
      </c>
      <c r="AK125" s="118">
        <v>681.4</v>
      </c>
      <c r="AL125" s="118">
        <v>681360</v>
      </c>
      <c r="AM125" s="118">
        <v>0.33</v>
      </c>
      <c r="AN125" s="118">
        <v>683.2</v>
      </c>
      <c r="AO125" s="21">
        <v>0.14199999999999999</v>
      </c>
      <c r="AP125" s="118">
        <v>0.159</v>
      </c>
      <c r="AQ125" s="118">
        <v>0.20100000000000001</v>
      </c>
      <c r="AR125" s="118">
        <v>114.6</v>
      </c>
      <c r="AS125" s="118">
        <v>9.7100000000000009</v>
      </c>
      <c r="AT125" s="118">
        <v>117.4</v>
      </c>
      <c r="AU125" s="118">
        <v>40.665909999999997</v>
      </c>
      <c r="AV125" s="118">
        <v>-86.752849999999995</v>
      </c>
      <c r="AW125" s="118">
        <v>183.5</v>
      </c>
      <c r="AX125" s="118">
        <v>143.9</v>
      </c>
      <c r="AY125" s="118">
        <v>8.16</v>
      </c>
      <c r="AZ125" s="118">
        <v>-108.1</v>
      </c>
      <c r="BA125" s="118">
        <v>11.8</v>
      </c>
      <c r="BB125" s="118">
        <v>0</v>
      </c>
      <c r="BC125" s="118">
        <v>23.597999999999999</v>
      </c>
      <c r="BD125" s="118">
        <v>5.36</v>
      </c>
      <c r="BE125" s="118">
        <v>0</v>
      </c>
      <c r="BF125" s="19">
        <v>45086</v>
      </c>
      <c r="BG125" s="118" t="s">
        <v>1822</v>
      </c>
    </row>
    <row r="126" spans="1:59" x14ac:dyDescent="0.25">
      <c r="A126" s="25">
        <v>10125</v>
      </c>
      <c r="B126" t="s">
        <v>148</v>
      </c>
      <c r="C126" t="s">
        <v>554</v>
      </c>
      <c r="D126" s="27" t="s">
        <v>516</v>
      </c>
      <c r="E126" s="27" t="str">
        <f t="shared" si="12"/>
        <v>?</v>
      </c>
      <c r="F126" s="118" t="s">
        <v>515</v>
      </c>
      <c r="G126" t="s">
        <v>514</v>
      </c>
      <c r="H126" s="24" t="s">
        <v>9</v>
      </c>
      <c r="I126">
        <v>0.17979999999999999</v>
      </c>
      <c r="J126">
        <v>1.7070000000000001</v>
      </c>
      <c r="K126">
        <v>1E-3</v>
      </c>
      <c r="L126">
        <v>5.9499999999999997E-2</v>
      </c>
      <c r="M126" s="140">
        <f t="shared" si="13"/>
        <v>0.17979999999999999</v>
      </c>
      <c r="N126" s="140">
        <f t="shared" si="13"/>
        <v>1.7070000000000001</v>
      </c>
      <c r="O126" s="140">
        <f t="shared" si="13"/>
        <v>0.05</v>
      </c>
      <c r="P126" s="140">
        <f t="shared" si="8"/>
        <v>0.05</v>
      </c>
      <c r="Q126" s="161" t="s">
        <v>676</v>
      </c>
      <c r="R126" s="125">
        <v>3.585</v>
      </c>
      <c r="S126" t="s">
        <v>676</v>
      </c>
      <c r="T126" t="s">
        <v>515</v>
      </c>
      <c r="U126" t="s">
        <v>515</v>
      </c>
      <c r="V126" s="118" t="s">
        <v>515</v>
      </c>
      <c r="W126">
        <v>40.680971</v>
      </c>
      <c r="X126">
        <v>-86.752351000000004</v>
      </c>
      <c r="Y126">
        <v>6</v>
      </c>
      <c r="Z126">
        <v>9</v>
      </c>
      <c r="AA126">
        <v>2023</v>
      </c>
      <c r="AB126" t="b">
        <v>0</v>
      </c>
      <c r="AC126" s="19">
        <v>45086</v>
      </c>
      <c r="AD126" s="19" t="s">
        <v>515</v>
      </c>
      <c r="AE126" s="230">
        <v>0.49157407407407405</v>
      </c>
      <c r="AF126" s="19">
        <v>45086</v>
      </c>
      <c r="AG126" s="118" t="s">
        <v>515</v>
      </c>
      <c r="AH126" s="118" t="s">
        <v>515</v>
      </c>
      <c r="AI126" s="118">
        <v>742.7</v>
      </c>
      <c r="AJ126" s="118">
        <v>693.3</v>
      </c>
      <c r="AK126" s="118">
        <v>710.8</v>
      </c>
      <c r="AL126" s="118">
        <v>710805</v>
      </c>
      <c r="AM126" s="118">
        <v>0.35</v>
      </c>
      <c r="AN126" s="118">
        <v>712.6</v>
      </c>
      <c r="AO126" s="21">
        <v>0.121</v>
      </c>
      <c r="AP126" s="118">
        <v>0.13</v>
      </c>
      <c r="AQ126" s="118">
        <v>0.17199999999999999</v>
      </c>
      <c r="AR126" s="118">
        <v>111.9</v>
      </c>
      <c r="AS126" s="118">
        <v>9.4499999999999993</v>
      </c>
      <c r="AT126" s="118">
        <v>114.6</v>
      </c>
      <c r="AU126" s="118">
        <v>40.680999999999997</v>
      </c>
      <c r="AV126" s="118">
        <v>-86.752350000000007</v>
      </c>
      <c r="AW126" s="118">
        <v>183.7</v>
      </c>
      <c r="AX126" s="118">
        <v>139.4</v>
      </c>
      <c r="AY126" s="118">
        <v>8.02</v>
      </c>
      <c r="AZ126" s="118">
        <v>-99.8</v>
      </c>
      <c r="BA126" s="118">
        <v>11.8</v>
      </c>
      <c r="BB126" s="118">
        <v>0</v>
      </c>
      <c r="BC126" s="118">
        <v>23.712</v>
      </c>
      <c r="BD126" s="118">
        <v>4.49</v>
      </c>
      <c r="BE126" s="118">
        <v>0</v>
      </c>
      <c r="BF126" s="19">
        <v>45086</v>
      </c>
      <c r="BG126" s="118" t="s">
        <v>1823</v>
      </c>
    </row>
    <row r="127" spans="1:59" x14ac:dyDescent="0.25">
      <c r="A127" s="25">
        <v>10126</v>
      </c>
      <c r="B127" t="s">
        <v>149</v>
      </c>
      <c r="C127" t="s">
        <v>554</v>
      </c>
      <c r="D127" s="27" t="s">
        <v>516</v>
      </c>
      <c r="E127" s="27" t="str">
        <f t="shared" si="12"/>
        <v>?</v>
      </c>
      <c r="F127" s="118" t="s">
        <v>515</v>
      </c>
      <c r="G127" t="s">
        <v>514</v>
      </c>
      <c r="H127" s="24" t="s">
        <v>9</v>
      </c>
      <c r="I127">
        <v>9.9149999999999905E-2</v>
      </c>
      <c r="J127">
        <v>1.2809999999999999</v>
      </c>
      <c r="K127">
        <v>0.13300000000000001</v>
      </c>
      <c r="L127">
        <v>7.5749999999999998E-2</v>
      </c>
      <c r="M127" s="140">
        <f t="shared" si="13"/>
        <v>0.05</v>
      </c>
      <c r="N127" s="140">
        <f t="shared" si="13"/>
        <v>1.2809999999999999</v>
      </c>
      <c r="O127" s="140">
        <f t="shared" si="13"/>
        <v>0.13300000000000001</v>
      </c>
      <c r="P127" s="140">
        <f t="shared" si="8"/>
        <v>0.05</v>
      </c>
      <c r="Q127" s="161" t="s">
        <v>676</v>
      </c>
      <c r="R127" s="125">
        <v>7.87</v>
      </c>
      <c r="S127" t="s">
        <v>676</v>
      </c>
      <c r="T127" t="s">
        <v>515</v>
      </c>
      <c r="U127" t="s">
        <v>515</v>
      </c>
      <c r="V127" s="118" t="s">
        <v>515</v>
      </c>
      <c r="W127">
        <v>40.730862999999999</v>
      </c>
      <c r="X127">
        <v>-86.757981000000001</v>
      </c>
      <c r="Y127">
        <v>6</v>
      </c>
      <c r="Z127">
        <v>9</v>
      </c>
      <c r="AA127">
        <v>2023</v>
      </c>
      <c r="AB127" t="b">
        <v>0</v>
      </c>
      <c r="AC127" s="19">
        <v>45086</v>
      </c>
      <c r="AD127" s="19" t="s">
        <v>515</v>
      </c>
      <c r="AE127" s="230">
        <v>0.5289814814814815</v>
      </c>
      <c r="AF127" s="19">
        <v>45086</v>
      </c>
      <c r="AG127" s="118" t="s">
        <v>515</v>
      </c>
      <c r="AH127" s="118" t="s">
        <v>515</v>
      </c>
      <c r="AI127" s="118">
        <v>742.9</v>
      </c>
      <c r="AJ127" s="118">
        <v>722.1</v>
      </c>
      <c r="AK127" s="118">
        <v>738.1</v>
      </c>
      <c r="AL127" s="118">
        <v>738073</v>
      </c>
      <c r="AM127" s="118">
        <v>0.36</v>
      </c>
      <c r="AN127" s="118">
        <v>739.7</v>
      </c>
      <c r="AO127" s="21">
        <v>0.224</v>
      </c>
      <c r="AP127" s="118">
        <v>0.247</v>
      </c>
      <c r="AQ127" s="118">
        <v>0.318</v>
      </c>
      <c r="AR127" s="118">
        <v>111.2</v>
      </c>
      <c r="AS127" s="118">
        <v>9.3699999999999992</v>
      </c>
      <c r="AT127" s="118">
        <v>114</v>
      </c>
      <c r="AU127" s="118">
        <v>40.73086</v>
      </c>
      <c r="AV127" s="118">
        <v>-86.757940000000005</v>
      </c>
      <c r="AW127" s="118">
        <v>191.1</v>
      </c>
      <c r="AX127" s="118">
        <v>121.3</v>
      </c>
      <c r="AY127" s="118">
        <v>7.97</v>
      </c>
      <c r="AZ127" s="118">
        <v>-97</v>
      </c>
      <c r="BA127" s="118">
        <v>11.8</v>
      </c>
      <c r="BB127" s="118">
        <v>0</v>
      </c>
      <c r="BC127" s="118">
        <v>23.864000000000001</v>
      </c>
      <c r="BD127" s="118">
        <v>7.56</v>
      </c>
      <c r="BE127" s="118">
        <v>0</v>
      </c>
      <c r="BF127" s="19">
        <v>45086</v>
      </c>
      <c r="BG127" s="118" t="s">
        <v>1824</v>
      </c>
    </row>
    <row r="128" spans="1:59" x14ac:dyDescent="0.25">
      <c r="A128" s="25">
        <v>10127</v>
      </c>
      <c r="B128" t="s">
        <v>150</v>
      </c>
      <c r="C128" t="s">
        <v>554</v>
      </c>
      <c r="D128" s="27" t="s">
        <v>516</v>
      </c>
      <c r="E128" s="27" t="str">
        <f t="shared" si="12"/>
        <v>?</v>
      </c>
      <c r="F128" s="118" t="s">
        <v>515</v>
      </c>
      <c r="G128" t="s">
        <v>514</v>
      </c>
      <c r="H128" s="24" t="s">
        <v>9</v>
      </c>
      <c r="I128">
        <v>9.3100000000000002E-2</v>
      </c>
      <c r="J128">
        <v>1.2889999999999999</v>
      </c>
      <c r="K128">
        <v>-3.0000000000000001E-3</v>
      </c>
      <c r="L128">
        <v>5.3499999999999999E-2</v>
      </c>
      <c r="M128" s="140">
        <f t="shared" si="13"/>
        <v>0.05</v>
      </c>
      <c r="N128" s="140">
        <f t="shared" si="13"/>
        <v>1.2889999999999999</v>
      </c>
      <c r="O128" s="140">
        <f t="shared" si="13"/>
        <v>0.05</v>
      </c>
      <c r="P128" s="140">
        <f t="shared" si="8"/>
        <v>0.05</v>
      </c>
      <c r="Q128" s="161" t="s">
        <v>676</v>
      </c>
      <c r="R128" s="125">
        <v>4.5949999999999998</v>
      </c>
      <c r="S128" t="s">
        <v>676</v>
      </c>
      <c r="T128" t="s">
        <v>515</v>
      </c>
      <c r="U128" t="s">
        <v>515</v>
      </c>
      <c r="V128" s="118" t="s">
        <v>515</v>
      </c>
      <c r="W128">
        <v>40.745583000000003</v>
      </c>
      <c r="X128">
        <v>-86.757176999999999</v>
      </c>
      <c r="Y128">
        <v>6</v>
      </c>
      <c r="Z128">
        <v>9</v>
      </c>
      <c r="AA128">
        <v>2023</v>
      </c>
      <c r="AB128" t="b">
        <v>0</v>
      </c>
      <c r="AC128" s="19">
        <v>45086</v>
      </c>
      <c r="AD128" s="19" t="s">
        <v>515</v>
      </c>
      <c r="AE128" s="230">
        <v>0.62089120370370365</v>
      </c>
      <c r="AF128" s="19">
        <v>45086</v>
      </c>
      <c r="AG128" s="118" t="s">
        <v>515</v>
      </c>
      <c r="AH128" s="118" t="s">
        <v>515</v>
      </c>
      <c r="AI128" s="118">
        <v>742</v>
      </c>
      <c r="AJ128" s="118">
        <v>720.4</v>
      </c>
      <c r="AK128" s="118">
        <v>725.2</v>
      </c>
      <c r="AL128" s="118">
        <v>725243</v>
      </c>
      <c r="AM128" s="118">
        <v>0.35</v>
      </c>
      <c r="AN128" s="118">
        <v>725.7</v>
      </c>
      <c r="AO128" s="21">
        <v>0.109</v>
      </c>
      <c r="AP128" s="118">
        <v>0.10199999999999999</v>
      </c>
      <c r="AQ128" s="118">
        <v>0.154</v>
      </c>
      <c r="AR128" s="118">
        <v>123</v>
      </c>
      <c r="AS128" s="118">
        <v>10.210000000000001</v>
      </c>
      <c r="AT128" s="118">
        <v>126</v>
      </c>
      <c r="AU128" s="118">
        <v>40.745559999999998</v>
      </c>
      <c r="AV128" s="118">
        <v>-86.757180000000005</v>
      </c>
      <c r="AW128" s="118">
        <v>184.2</v>
      </c>
      <c r="AX128" s="118">
        <v>142.1</v>
      </c>
      <c r="AY128" s="118">
        <v>8.06</v>
      </c>
      <c r="AZ128" s="118">
        <v>-102.5</v>
      </c>
      <c r="BA128" s="118">
        <v>11.8</v>
      </c>
      <c r="BB128" s="118">
        <v>0</v>
      </c>
      <c r="BC128" s="118">
        <v>24.652999999999999</v>
      </c>
      <c r="BD128" s="118">
        <v>10.19</v>
      </c>
      <c r="BE128" s="118">
        <v>0</v>
      </c>
      <c r="BF128" s="19">
        <v>45086</v>
      </c>
      <c r="BG128" s="118" t="s">
        <v>1826</v>
      </c>
    </row>
    <row r="129" spans="1:59" x14ac:dyDescent="0.25">
      <c r="A129" s="25">
        <v>10128</v>
      </c>
      <c r="B129" t="s">
        <v>151</v>
      </c>
      <c r="C129" t="s">
        <v>554</v>
      </c>
      <c r="D129" s="27" t="s">
        <v>516</v>
      </c>
      <c r="E129" s="27" t="str">
        <f t="shared" si="12"/>
        <v>?</v>
      </c>
      <c r="F129" s="118" t="s">
        <v>515</v>
      </c>
      <c r="G129" t="s">
        <v>514</v>
      </c>
      <c r="H129" s="24" t="s">
        <v>512</v>
      </c>
      <c r="I129">
        <v>1.2999999999999999E-2</v>
      </c>
      <c r="J129">
        <v>1.4119999999999999</v>
      </c>
      <c r="K129">
        <v>-2E-3</v>
      </c>
      <c r="L129">
        <v>6.3E-2</v>
      </c>
      <c r="M129" s="140">
        <f t="shared" si="13"/>
        <v>0.05</v>
      </c>
      <c r="N129" s="140">
        <f t="shared" si="13"/>
        <v>1.4119999999999999</v>
      </c>
      <c r="O129" s="140">
        <f t="shared" si="13"/>
        <v>0.05</v>
      </c>
      <c r="P129" s="140">
        <f t="shared" si="8"/>
        <v>0.05</v>
      </c>
      <c r="Q129" s="161" t="s">
        <v>676</v>
      </c>
      <c r="R129" s="125">
        <v>9.08</v>
      </c>
      <c r="S129" t="s">
        <v>676</v>
      </c>
      <c r="T129" t="s">
        <v>515</v>
      </c>
      <c r="U129" t="s">
        <v>515</v>
      </c>
      <c r="V129" s="118" t="s">
        <v>515</v>
      </c>
      <c r="W129">
        <v>40.731816999999999</v>
      </c>
      <c r="X129">
        <v>-86.755086000000006</v>
      </c>
      <c r="Y129">
        <v>6</v>
      </c>
      <c r="Z129">
        <v>9</v>
      </c>
      <c r="AA129">
        <v>2023</v>
      </c>
      <c r="AB129" t="b">
        <v>0</v>
      </c>
      <c r="AC129" s="19">
        <v>45086</v>
      </c>
      <c r="AD129" s="19" t="s">
        <v>515</v>
      </c>
      <c r="AE129" s="230">
        <v>0.57862268518518523</v>
      </c>
      <c r="AF129" s="19">
        <v>45086</v>
      </c>
      <c r="AG129" s="118" t="s">
        <v>515</v>
      </c>
      <c r="AH129" s="118" t="s">
        <v>515</v>
      </c>
      <c r="AI129" s="118">
        <v>742.3</v>
      </c>
      <c r="AJ129" s="118">
        <v>712.1</v>
      </c>
      <c r="AK129" s="118">
        <v>722.8</v>
      </c>
      <c r="AL129" s="118">
        <v>722775</v>
      </c>
      <c r="AM129" s="118">
        <v>0.35</v>
      </c>
      <c r="AN129" s="118">
        <v>723.9</v>
      </c>
      <c r="AO129" s="21">
        <v>0.22800000000000001</v>
      </c>
      <c r="AP129" s="118">
        <v>0.40799999999999997</v>
      </c>
      <c r="AQ129" s="118">
        <v>0.32400000000000001</v>
      </c>
      <c r="AR129" s="118">
        <v>110.2</v>
      </c>
      <c r="AS129" s="118">
        <v>9.2200000000000006</v>
      </c>
      <c r="AT129" s="118">
        <v>112.9</v>
      </c>
      <c r="AU129" s="118">
        <v>40.731879999999997</v>
      </c>
      <c r="AV129" s="118">
        <v>-86.75506</v>
      </c>
      <c r="AW129" s="118">
        <v>182.4</v>
      </c>
      <c r="AX129" s="118">
        <v>187.2</v>
      </c>
      <c r="AY129" s="118">
        <v>8.07</v>
      </c>
      <c r="AZ129" s="118">
        <v>-102.5</v>
      </c>
      <c r="BA129" s="118">
        <v>11.8</v>
      </c>
      <c r="BB129" s="118">
        <v>0</v>
      </c>
      <c r="BC129" s="118">
        <v>24.228999999999999</v>
      </c>
      <c r="BD129" s="118">
        <v>4.58</v>
      </c>
      <c r="BE129" s="118">
        <v>0</v>
      </c>
      <c r="BF129" s="19">
        <v>45086</v>
      </c>
      <c r="BG129" s="118" t="s">
        <v>1825</v>
      </c>
    </row>
    <row r="130" spans="1:59" x14ac:dyDescent="0.25">
      <c r="A130" s="25">
        <v>10129</v>
      </c>
      <c r="B130" t="s">
        <v>152</v>
      </c>
      <c r="C130" t="s">
        <v>555</v>
      </c>
      <c r="D130" s="27" t="s">
        <v>516</v>
      </c>
      <c r="E130" s="27" t="str">
        <f t="shared" si="12"/>
        <v>?</v>
      </c>
      <c r="F130" s="118" t="s">
        <v>515</v>
      </c>
      <c r="G130" t="s">
        <v>19</v>
      </c>
      <c r="H130" s="24" t="s">
        <v>9</v>
      </c>
      <c r="I130" t="s">
        <v>515</v>
      </c>
      <c r="J130" t="s">
        <v>515</v>
      </c>
      <c r="K130" t="s">
        <v>515</v>
      </c>
      <c r="L130" t="s">
        <v>515</v>
      </c>
      <c r="M130" s="140" t="str">
        <f t="shared" ref="M130:O145" si="14">IF(I130&lt;0.1,0.05,I130)</f>
        <v>NULL</v>
      </c>
      <c r="N130" s="140" t="str">
        <f t="shared" si="14"/>
        <v>NULL</v>
      </c>
      <c r="O130" s="140" t="str">
        <f t="shared" si="14"/>
        <v>NULL</v>
      </c>
      <c r="P130" s="140" t="str">
        <f t="shared" ref="P130:P193" si="15">IF(L130&lt;0.1,0.05,L130)</f>
        <v>NULL</v>
      </c>
      <c r="Q130" s="161">
        <v>7.7938801783066003</v>
      </c>
      <c r="R130" s="125">
        <v>130.465</v>
      </c>
      <c r="S130" t="s">
        <v>676</v>
      </c>
      <c r="T130" t="s">
        <v>515</v>
      </c>
      <c r="U130" t="s">
        <v>515</v>
      </c>
      <c r="V130" s="118" t="s">
        <v>515</v>
      </c>
      <c r="W130">
        <v>40.714060000000003</v>
      </c>
      <c r="X130">
        <v>-85.937079999999995</v>
      </c>
      <c r="Y130">
        <v>6</v>
      </c>
      <c r="Z130">
        <v>15</v>
      </c>
      <c r="AA130">
        <v>2023</v>
      </c>
      <c r="AB130" t="b">
        <v>0</v>
      </c>
      <c r="AC130" s="19">
        <v>45092</v>
      </c>
      <c r="AD130" s="19" t="s">
        <v>515</v>
      </c>
      <c r="AE130" s="230">
        <v>0.72190972222222227</v>
      </c>
      <c r="AF130" s="19">
        <v>45092</v>
      </c>
      <c r="AG130" s="118" t="s">
        <v>515</v>
      </c>
      <c r="AH130" s="118" t="s">
        <v>515</v>
      </c>
      <c r="AI130" s="118">
        <v>733.9</v>
      </c>
      <c r="AJ130" s="118">
        <v>465.2</v>
      </c>
      <c r="AK130" s="118">
        <v>497.4</v>
      </c>
      <c r="AL130" s="118">
        <v>497420</v>
      </c>
      <c r="AM130" s="118">
        <v>0.24</v>
      </c>
      <c r="AN130" s="118">
        <v>500.5</v>
      </c>
      <c r="AO130" s="21">
        <v>0.58899999999999997</v>
      </c>
      <c r="AP130" s="118">
        <v>0.57799999999999996</v>
      </c>
      <c r="AQ130" s="118">
        <v>0.83599999999999997</v>
      </c>
      <c r="AR130" s="118">
        <v>146.1</v>
      </c>
      <c r="AS130" s="118">
        <v>12.85</v>
      </c>
      <c r="AT130" s="118">
        <v>150.69999999999999</v>
      </c>
      <c r="AU130" s="118">
        <v>40.714109999999998</v>
      </c>
      <c r="AV130" s="118">
        <v>-85.937070000000006</v>
      </c>
      <c r="AW130" s="118">
        <v>215.4</v>
      </c>
      <c r="AX130" s="118">
        <v>109.7</v>
      </c>
      <c r="AY130" s="118">
        <v>9.1999999999999993</v>
      </c>
      <c r="AZ130" s="118">
        <v>-144.69999999999999</v>
      </c>
      <c r="BA130" s="118">
        <v>11.8</v>
      </c>
      <c r="BB130" s="118">
        <v>0</v>
      </c>
      <c r="BC130" s="118">
        <v>21.611000000000001</v>
      </c>
      <c r="BD130" s="118">
        <v>16.87</v>
      </c>
      <c r="BE130" s="118">
        <v>0</v>
      </c>
      <c r="BF130" s="19">
        <v>45092</v>
      </c>
      <c r="BG130" s="118" t="s">
        <v>1837</v>
      </c>
    </row>
    <row r="131" spans="1:59" x14ac:dyDescent="0.25">
      <c r="A131" s="25">
        <v>10130</v>
      </c>
      <c r="B131" t="s">
        <v>153</v>
      </c>
      <c r="C131" t="s">
        <v>555</v>
      </c>
      <c r="D131" s="27" t="s">
        <v>516</v>
      </c>
      <c r="E131" s="27" t="str">
        <f t="shared" si="12"/>
        <v>?</v>
      </c>
      <c r="F131" s="118" t="s">
        <v>515</v>
      </c>
      <c r="G131" t="s">
        <v>19</v>
      </c>
      <c r="H131" s="24" t="s">
        <v>9</v>
      </c>
      <c r="I131" t="s">
        <v>515</v>
      </c>
      <c r="J131" t="s">
        <v>515</v>
      </c>
      <c r="K131" t="s">
        <v>515</v>
      </c>
      <c r="L131" t="s">
        <v>515</v>
      </c>
      <c r="M131" s="140" t="str">
        <f t="shared" si="14"/>
        <v>NULL</v>
      </c>
      <c r="N131" s="140" t="str">
        <f t="shared" si="14"/>
        <v>NULL</v>
      </c>
      <c r="O131" s="140" t="str">
        <f t="shared" si="14"/>
        <v>NULL</v>
      </c>
      <c r="P131" s="140" t="str">
        <f t="shared" si="15"/>
        <v>NULL</v>
      </c>
      <c r="Q131" s="161" t="s">
        <v>676</v>
      </c>
      <c r="R131" s="125">
        <v>25.26</v>
      </c>
      <c r="S131" t="s">
        <v>676</v>
      </c>
      <c r="T131" t="s">
        <v>515</v>
      </c>
      <c r="U131" t="s">
        <v>515</v>
      </c>
      <c r="V131" s="118" t="s">
        <v>515</v>
      </c>
      <c r="W131">
        <v>40.714280000000002</v>
      </c>
      <c r="X131">
        <v>-85.937610000000006</v>
      </c>
      <c r="Y131">
        <v>6</v>
      </c>
      <c r="Z131">
        <v>15</v>
      </c>
      <c r="AA131">
        <v>2023</v>
      </c>
      <c r="AB131" t="b">
        <v>0</v>
      </c>
      <c r="AC131" s="19">
        <v>45092</v>
      </c>
      <c r="AD131" s="19" t="s">
        <v>515</v>
      </c>
      <c r="AE131" s="230">
        <v>0.74010416666666667</v>
      </c>
      <c r="AF131" s="19">
        <v>45092</v>
      </c>
      <c r="AG131" s="118" t="s">
        <v>515</v>
      </c>
      <c r="AH131" s="118" t="s">
        <v>515</v>
      </c>
      <c r="AI131" s="118">
        <v>733.9</v>
      </c>
      <c r="AJ131" s="118">
        <v>469.6</v>
      </c>
      <c r="AK131" s="118">
        <v>491.7</v>
      </c>
      <c r="AL131" s="118">
        <v>491690</v>
      </c>
      <c r="AM131" s="118">
        <v>0.24</v>
      </c>
      <c r="AN131" s="118">
        <v>493.9</v>
      </c>
      <c r="AO131" s="21">
        <v>0.125</v>
      </c>
      <c r="AP131" s="118">
        <v>0.13400000000000001</v>
      </c>
      <c r="AQ131" s="118">
        <v>0.17799999999999999</v>
      </c>
      <c r="AR131" s="118">
        <v>165.5</v>
      </c>
      <c r="AS131" s="118">
        <v>14.27</v>
      </c>
      <c r="AT131" s="118">
        <v>170.7</v>
      </c>
      <c r="AU131" s="118">
        <v>40.714590000000001</v>
      </c>
      <c r="AV131" s="118">
        <v>-85.937870000000004</v>
      </c>
      <c r="AW131" s="118">
        <v>224.1</v>
      </c>
      <c r="AX131" s="118">
        <v>146.4</v>
      </c>
      <c r="AY131" s="118">
        <v>9.1199999999999992</v>
      </c>
      <c r="AZ131" s="118">
        <v>-140.80000000000001</v>
      </c>
      <c r="BA131" s="118">
        <v>11.8</v>
      </c>
      <c r="BB131" s="118">
        <v>0</v>
      </c>
      <c r="BC131" s="118">
        <v>22.652000000000001</v>
      </c>
      <c r="BD131" s="118">
        <v>32.659999999999997</v>
      </c>
      <c r="BE131" s="118">
        <v>0</v>
      </c>
      <c r="BF131" s="19">
        <v>45092</v>
      </c>
      <c r="BG131" s="118" t="s">
        <v>1838</v>
      </c>
    </row>
    <row r="132" spans="1:59" x14ac:dyDescent="0.25">
      <c r="A132" s="25">
        <v>10131</v>
      </c>
      <c r="B132" t="s">
        <v>154</v>
      </c>
      <c r="C132" t="s">
        <v>555</v>
      </c>
      <c r="D132" s="27" t="s">
        <v>516</v>
      </c>
      <c r="E132" s="27" t="str">
        <f t="shared" si="12"/>
        <v>?</v>
      </c>
      <c r="F132" s="118" t="s">
        <v>515</v>
      </c>
      <c r="G132" t="s">
        <v>19</v>
      </c>
      <c r="H132" s="24" t="s">
        <v>9</v>
      </c>
      <c r="I132">
        <v>0.26290000000000002</v>
      </c>
      <c r="J132">
        <v>4.4749999999999996</v>
      </c>
      <c r="K132">
        <v>-6.0000000000000001E-3</v>
      </c>
      <c r="L132" t="s">
        <v>515</v>
      </c>
      <c r="M132" s="140">
        <f t="shared" si="14"/>
        <v>0.26290000000000002</v>
      </c>
      <c r="N132" s="140">
        <f t="shared" si="14"/>
        <v>4.4749999999999996</v>
      </c>
      <c r="O132" s="140">
        <f t="shared" si="14"/>
        <v>0.05</v>
      </c>
      <c r="P132" s="140" t="str">
        <f t="shared" si="15"/>
        <v>NULL</v>
      </c>
      <c r="Q132" s="161">
        <v>0.22453229633048599</v>
      </c>
      <c r="R132" s="125">
        <v>16.105</v>
      </c>
      <c r="S132" t="s">
        <v>676</v>
      </c>
      <c r="T132" t="s">
        <v>515</v>
      </c>
      <c r="U132" t="s">
        <v>515</v>
      </c>
      <c r="V132" s="118" t="s">
        <v>515</v>
      </c>
      <c r="W132">
        <v>40.705269299999998</v>
      </c>
      <c r="X132">
        <v>-85.953777700000003</v>
      </c>
      <c r="Y132">
        <v>6</v>
      </c>
      <c r="Z132">
        <v>15</v>
      </c>
      <c r="AA132">
        <v>2023</v>
      </c>
      <c r="AB132" t="b">
        <v>0</v>
      </c>
      <c r="AC132" s="19">
        <v>45092</v>
      </c>
      <c r="AD132" s="19" t="s">
        <v>515</v>
      </c>
      <c r="AE132" s="230">
        <v>0.60797453703703708</v>
      </c>
      <c r="AF132" s="19">
        <v>45092</v>
      </c>
      <c r="AG132" s="118" t="s">
        <v>515</v>
      </c>
      <c r="AH132" s="118" t="s">
        <v>515</v>
      </c>
      <c r="AI132" s="118">
        <v>734.5</v>
      </c>
      <c r="AJ132" s="118">
        <v>462.9</v>
      </c>
      <c r="AK132" s="118">
        <v>509.3</v>
      </c>
      <c r="AL132" s="118">
        <v>509267</v>
      </c>
      <c r="AM132" s="118">
        <v>0.25</v>
      </c>
      <c r="AN132" s="118">
        <v>513.6</v>
      </c>
      <c r="AO132" s="21">
        <v>0.45700000000000002</v>
      </c>
      <c r="AP132" s="118">
        <v>0.44900000000000001</v>
      </c>
      <c r="AQ132" s="118">
        <v>0.64900000000000002</v>
      </c>
      <c r="AR132" s="118">
        <v>107.3</v>
      </c>
      <c r="AS132" s="118">
        <v>9.6999999999999993</v>
      </c>
      <c r="AT132" s="118">
        <v>110.7</v>
      </c>
      <c r="AU132" s="118">
        <v>40.705280000000002</v>
      </c>
      <c r="AV132" s="118">
        <v>-85.953739999999996</v>
      </c>
      <c r="AW132" s="118">
        <v>220.1</v>
      </c>
      <c r="AX132" s="118">
        <v>139.4</v>
      </c>
      <c r="AY132" s="118">
        <v>8.49</v>
      </c>
      <c r="AZ132" s="118">
        <v>-106</v>
      </c>
      <c r="BA132" s="118">
        <v>11.8</v>
      </c>
      <c r="BB132" s="118">
        <v>0</v>
      </c>
      <c r="BC132" s="118">
        <v>20.234999999999999</v>
      </c>
      <c r="BD132" s="118">
        <v>7.3</v>
      </c>
      <c r="BE132" s="118">
        <v>0</v>
      </c>
      <c r="BF132" s="19">
        <v>45092</v>
      </c>
      <c r="BG132" s="118" t="s">
        <v>1839</v>
      </c>
    </row>
    <row r="133" spans="1:59" x14ac:dyDescent="0.25">
      <c r="A133" s="25">
        <v>10132</v>
      </c>
      <c r="B133" t="s">
        <v>155</v>
      </c>
      <c r="C133" t="s">
        <v>555</v>
      </c>
      <c r="D133" s="27" t="s">
        <v>516</v>
      </c>
      <c r="E133" s="27" t="str">
        <f t="shared" si="12"/>
        <v>?</v>
      </c>
      <c r="F133" s="118" t="s">
        <v>515</v>
      </c>
      <c r="G133" t="s">
        <v>19</v>
      </c>
      <c r="H133" s="24" t="s">
        <v>9</v>
      </c>
      <c r="I133">
        <v>0.34370000000000001</v>
      </c>
      <c r="J133">
        <v>4.0279999999999996</v>
      </c>
      <c r="K133">
        <v>-1.2E-2</v>
      </c>
      <c r="L133" t="s">
        <v>515</v>
      </c>
      <c r="M133" s="140">
        <f t="shared" si="14"/>
        <v>0.34370000000000001</v>
      </c>
      <c r="N133" s="140">
        <f t="shared" si="14"/>
        <v>4.0279999999999996</v>
      </c>
      <c r="O133" s="140">
        <f t="shared" si="14"/>
        <v>0.05</v>
      </c>
      <c r="P133" s="140" t="str">
        <f t="shared" si="15"/>
        <v>NULL</v>
      </c>
      <c r="Q133" s="161">
        <v>0.195805238460455</v>
      </c>
      <c r="R133" s="125">
        <v>63.484999999999999</v>
      </c>
      <c r="S133" t="s">
        <v>676</v>
      </c>
      <c r="T133" t="s">
        <v>515</v>
      </c>
      <c r="U133" t="s">
        <v>515</v>
      </c>
      <c r="V133" s="118" t="s">
        <v>515</v>
      </c>
      <c r="W133">
        <v>40.703340900000001</v>
      </c>
      <c r="X133">
        <v>-85.936390299999999</v>
      </c>
      <c r="Y133">
        <v>6</v>
      </c>
      <c r="Z133">
        <v>15</v>
      </c>
      <c r="AA133">
        <v>2023</v>
      </c>
      <c r="AB133" t="b">
        <v>0</v>
      </c>
      <c r="AC133" s="19">
        <v>45092</v>
      </c>
      <c r="AD133" s="19" t="s">
        <v>515</v>
      </c>
      <c r="AE133" s="230">
        <v>0.63898148148148148</v>
      </c>
      <c r="AF133" s="19">
        <v>45092</v>
      </c>
      <c r="AG133" s="118" t="s">
        <v>515</v>
      </c>
      <c r="AH133" s="118" t="s">
        <v>515</v>
      </c>
      <c r="AI133" s="118">
        <v>734.5</v>
      </c>
      <c r="AJ133" s="118">
        <v>459.8</v>
      </c>
      <c r="AK133" s="118">
        <v>497.5</v>
      </c>
      <c r="AL133" s="118">
        <v>497484</v>
      </c>
      <c r="AM133" s="118">
        <v>0.24</v>
      </c>
      <c r="AN133" s="118">
        <v>501.1</v>
      </c>
      <c r="AO133" s="21">
        <v>0.34699999999999998</v>
      </c>
      <c r="AP133" s="118">
        <v>0.34399999999999997</v>
      </c>
      <c r="AQ133" s="118">
        <v>0.49199999999999999</v>
      </c>
      <c r="AR133" s="118">
        <v>135.9</v>
      </c>
      <c r="AS133" s="118">
        <v>12.09</v>
      </c>
      <c r="AT133" s="118">
        <v>140.19999999999999</v>
      </c>
      <c r="AU133" s="118">
        <v>40.703330000000001</v>
      </c>
      <c r="AV133" s="118">
        <v>-85.936359999999993</v>
      </c>
      <c r="AW133" s="118">
        <v>226.7</v>
      </c>
      <c r="AX133" s="118">
        <v>176.8</v>
      </c>
      <c r="AY133" s="118">
        <v>8.76</v>
      </c>
      <c r="AZ133" s="118">
        <v>-120.8</v>
      </c>
      <c r="BA133" s="118">
        <v>11.8</v>
      </c>
      <c r="BB133" s="118">
        <v>0</v>
      </c>
      <c r="BC133" s="118">
        <v>21.032</v>
      </c>
      <c r="BD133" s="118">
        <v>11.69</v>
      </c>
      <c r="BE133" s="118">
        <v>0</v>
      </c>
      <c r="BF133" s="19">
        <v>45092</v>
      </c>
      <c r="BG133" s="118" t="s">
        <v>1829</v>
      </c>
    </row>
    <row r="134" spans="1:59" x14ac:dyDescent="0.25">
      <c r="A134" s="25">
        <v>10133</v>
      </c>
      <c r="B134" t="s">
        <v>156</v>
      </c>
      <c r="C134" t="s">
        <v>555</v>
      </c>
      <c r="D134" s="27" t="s">
        <v>516</v>
      </c>
      <c r="E134" s="27" t="str">
        <f t="shared" si="12"/>
        <v>?</v>
      </c>
      <c r="F134" s="118" t="s">
        <v>515</v>
      </c>
      <c r="G134" t="s">
        <v>19</v>
      </c>
      <c r="H134" s="24" t="s">
        <v>9</v>
      </c>
      <c r="I134">
        <v>0.65510000000000002</v>
      </c>
      <c r="J134">
        <v>4.258</v>
      </c>
      <c r="K134">
        <v>3.4000000000000002E-2</v>
      </c>
      <c r="L134" t="s">
        <v>515</v>
      </c>
      <c r="M134" s="140">
        <f t="shared" si="14"/>
        <v>0.65510000000000002</v>
      </c>
      <c r="N134" s="140">
        <f t="shared" si="14"/>
        <v>4.258</v>
      </c>
      <c r="O134" s="140">
        <f t="shared" si="14"/>
        <v>0.05</v>
      </c>
      <c r="P134" s="140" t="str">
        <f t="shared" si="15"/>
        <v>NULL</v>
      </c>
      <c r="Q134" s="161">
        <v>0.125498500754892</v>
      </c>
      <c r="R134" s="125">
        <v>27.184999999999999</v>
      </c>
      <c r="S134" t="s">
        <v>676</v>
      </c>
      <c r="T134" t="s">
        <v>515</v>
      </c>
      <c r="U134" t="s">
        <v>515</v>
      </c>
      <c r="V134" s="118" t="s">
        <v>515</v>
      </c>
      <c r="W134">
        <v>40.702086299999998</v>
      </c>
      <c r="X134">
        <v>-85.935530999999997</v>
      </c>
      <c r="Y134">
        <v>6</v>
      </c>
      <c r="Z134">
        <v>15</v>
      </c>
      <c r="AA134">
        <v>2023</v>
      </c>
      <c r="AB134" t="b">
        <v>0</v>
      </c>
      <c r="AC134" s="19">
        <v>45092</v>
      </c>
      <c r="AD134" s="19" t="s">
        <v>515</v>
      </c>
      <c r="AE134" s="230">
        <v>0.64951388888888884</v>
      </c>
      <c r="AF134" s="19">
        <v>45092</v>
      </c>
      <c r="AG134" s="118" t="s">
        <v>515</v>
      </c>
      <c r="AH134" s="118" t="s">
        <v>515</v>
      </c>
      <c r="AI134" s="118">
        <v>734.4</v>
      </c>
      <c r="AJ134" s="118">
        <v>462.5</v>
      </c>
      <c r="AK134" s="118">
        <v>499.8</v>
      </c>
      <c r="AL134" s="118">
        <v>499785</v>
      </c>
      <c r="AM134" s="118">
        <v>0.24</v>
      </c>
      <c r="AN134" s="118">
        <v>503.3</v>
      </c>
      <c r="AO134" s="21">
        <v>0.24399999999999999</v>
      </c>
      <c r="AP134" s="118">
        <v>0.247</v>
      </c>
      <c r="AQ134" s="118">
        <v>0.34599999999999997</v>
      </c>
      <c r="AR134" s="118">
        <v>119.7</v>
      </c>
      <c r="AS134" s="118">
        <v>10.63</v>
      </c>
      <c r="AT134" s="118">
        <v>123.4</v>
      </c>
      <c r="AU134" s="118">
        <v>40.702080000000002</v>
      </c>
      <c r="AV134" s="118">
        <v>-85.935590000000005</v>
      </c>
      <c r="AW134" s="118">
        <v>226.7</v>
      </c>
      <c r="AX134" s="118">
        <v>138.30000000000001</v>
      </c>
      <c r="AY134" s="118">
        <v>8.69</v>
      </c>
      <c r="AZ134" s="118">
        <v>-117.1</v>
      </c>
      <c r="BA134" s="118">
        <v>11.8</v>
      </c>
      <c r="BB134" s="118">
        <v>0</v>
      </c>
      <c r="BC134" s="118">
        <v>21.09</v>
      </c>
      <c r="BD134" s="118">
        <v>9.33</v>
      </c>
      <c r="BE134" s="118">
        <v>0</v>
      </c>
      <c r="BF134" s="19">
        <v>45092</v>
      </c>
      <c r="BG134" s="118" t="s">
        <v>1840</v>
      </c>
    </row>
    <row r="135" spans="1:59" x14ac:dyDescent="0.25">
      <c r="A135" s="25">
        <v>10134</v>
      </c>
      <c r="B135" t="s">
        <v>157</v>
      </c>
      <c r="C135" t="s">
        <v>555</v>
      </c>
      <c r="D135" s="27" t="s">
        <v>516</v>
      </c>
      <c r="E135" s="27" t="str">
        <f t="shared" si="12"/>
        <v>?</v>
      </c>
      <c r="F135" s="118" t="s">
        <v>515</v>
      </c>
      <c r="G135" t="s">
        <v>19</v>
      </c>
      <c r="H135" s="24" t="s">
        <v>9</v>
      </c>
      <c r="I135">
        <v>2.1141000000000001</v>
      </c>
      <c r="J135">
        <v>4.5010000000000003</v>
      </c>
      <c r="K135">
        <v>0.60099999999999998</v>
      </c>
      <c r="L135" t="s">
        <v>515</v>
      </c>
      <c r="M135" s="140">
        <f t="shared" si="14"/>
        <v>2.1141000000000001</v>
      </c>
      <c r="N135" s="140">
        <f t="shared" si="14"/>
        <v>4.5010000000000003</v>
      </c>
      <c r="O135" s="140">
        <f t="shared" si="14"/>
        <v>0.60099999999999998</v>
      </c>
      <c r="P135" s="140" t="str">
        <f t="shared" si="15"/>
        <v>NULL</v>
      </c>
      <c r="Q135" s="161">
        <v>2.3844229874553001E-2</v>
      </c>
      <c r="R135" s="125">
        <v>41.545000000000002</v>
      </c>
      <c r="S135" t="s">
        <v>676</v>
      </c>
      <c r="T135" t="s">
        <v>515</v>
      </c>
      <c r="U135" t="s">
        <v>515</v>
      </c>
      <c r="V135" s="118" t="s">
        <v>515</v>
      </c>
      <c r="W135">
        <v>40.7008279</v>
      </c>
      <c r="X135">
        <v>-85.935082100000002</v>
      </c>
      <c r="Y135">
        <v>6</v>
      </c>
      <c r="Z135">
        <v>15</v>
      </c>
      <c r="AA135">
        <v>2023</v>
      </c>
      <c r="AB135" t="b">
        <v>0</v>
      </c>
      <c r="AC135" s="19">
        <v>45092</v>
      </c>
      <c r="AD135" s="19" t="s">
        <v>515</v>
      </c>
      <c r="AE135" s="230">
        <v>0.66035879629629635</v>
      </c>
      <c r="AF135" s="19">
        <v>45092</v>
      </c>
      <c r="AG135" s="118" t="s">
        <v>515</v>
      </c>
      <c r="AH135" s="118" t="s">
        <v>515</v>
      </c>
      <c r="AI135" s="118">
        <v>734.3</v>
      </c>
      <c r="AJ135" s="118">
        <v>462.5</v>
      </c>
      <c r="AK135" s="118">
        <v>497.4</v>
      </c>
      <c r="AL135" s="118">
        <v>497393</v>
      </c>
      <c r="AM135" s="118">
        <v>0.24</v>
      </c>
      <c r="AN135" s="118">
        <v>500.7</v>
      </c>
      <c r="AO135" s="21">
        <v>0.154</v>
      </c>
      <c r="AP135" s="118">
        <v>0.151</v>
      </c>
      <c r="AQ135" s="118">
        <v>0.218</v>
      </c>
      <c r="AR135" s="118">
        <v>136.30000000000001</v>
      </c>
      <c r="AS135" s="118">
        <v>12.06</v>
      </c>
      <c r="AT135" s="118">
        <v>140.6</v>
      </c>
      <c r="AU135" s="118">
        <v>40.700800000000001</v>
      </c>
      <c r="AV135" s="118">
        <v>-85.935059999999993</v>
      </c>
      <c r="AW135" s="118">
        <v>226.6</v>
      </c>
      <c r="AX135" s="118">
        <v>140.80000000000001</v>
      </c>
      <c r="AY135" s="118">
        <v>8.83</v>
      </c>
      <c r="AZ135" s="118">
        <v>-124.3</v>
      </c>
      <c r="BA135" s="118">
        <v>11.8</v>
      </c>
      <c r="BB135" s="118">
        <v>0</v>
      </c>
      <c r="BC135" s="118">
        <v>21.329000000000001</v>
      </c>
      <c r="BD135" s="118">
        <v>10.17</v>
      </c>
      <c r="BE135" s="118">
        <v>0</v>
      </c>
      <c r="BF135" s="19">
        <v>45092</v>
      </c>
      <c r="BG135" s="118" t="s">
        <v>1841</v>
      </c>
    </row>
    <row r="136" spans="1:59" x14ac:dyDescent="0.25">
      <c r="A136" s="25">
        <v>10135</v>
      </c>
      <c r="B136" t="s">
        <v>158</v>
      </c>
      <c r="C136" t="s">
        <v>555</v>
      </c>
      <c r="D136" s="27" t="s">
        <v>516</v>
      </c>
      <c r="E136" s="27" t="str">
        <f t="shared" si="12"/>
        <v>?</v>
      </c>
      <c r="F136" s="118" t="s">
        <v>515</v>
      </c>
      <c r="G136" t="s">
        <v>19</v>
      </c>
      <c r="H136" s="24" t="s">
        <v>9</v>
      </c>
      <c r="I136">
        <v>1.9275</v>
      </c>
      <c r="J136">
        <v>3.7370000000000001</v>
      </c>
      <c r="K136">
        <v>0.378</v>
      </c>
      <c r="L136" t="s">
        <v>515</v>
      </c>
      <c r="M136" s="140">
        <f t="shared" si="14"/>
        <v>1.9275</v>
      </c>
      <c r="N136" s="140">
        <f t="shared" si="14"/>
        <v>3.7370000000000001</v>
      </c>
      <c r="O136" s="140">
        <f t="shared" si="14"/>
        <v>0.378</v>
      </c>
      <c r="P136" s="140" t="str">
        <f t="shared" si="15"/>
        <v>NULL</v>
      </c>
      <c r="Q136" s="161">
        <v>0.80290049934521102</v>
      </c>
      <c r="R136" s="125">
        <v>54.49</v>
      </c>
      <c r="S136" t="s">
        <v>676</v>
      </c>
      <c r="T136" t="s">
        <v>515</v>
      </c>
      <c r="U136" t="s">
        <v>515</v>
      </c>
      <c r="V136" s="118" t="s">
        <v>515</v>
      </c>
      <c r="W136">
        <v>40.680354800000003</v>
      </c>
      <c r="X136">
        <v>-85.895247600000005</v>
      </c>
      <c r="Y136">
        <v>6</v>
      </c>
      <c r="Z136">
        <v>15</v>
      </c>
      <c r="AA136">
        <v>2023</v>
      </c>
      <c r="AB136" t="b">
        <v>0</v>
      </c>
      <c r="AC136" s="19">
        <v>45092</v>
      </c>
      <c r="AD136" s="19" t="s">
        <v>515</v>
      </c>
      <c r="AE136" s="230">
        <v>0.77401620370370372</v>
      </c>
      <c r="AF136" s="19">
        <v>45092</v>
      </c>
      <c r="AG136" s="118" t="s">
        <v>515</v>
      </c>
      <c r="AH136" s="118" t="s">
        <v>515</v>
      </c>
      <c r="AI136" s="118">
        <v>733.7</v>
      </c>
      <c r="AJ136" s="118">
        <v>465</v>
      </c>
      <c r="AK136" s="118">
        <v>496.5</v>
      </c>
      <c r="AL136" s="118">
        <v>496474</v>
      </c>
      <c r="AM136" s="118">
        <v>0.24</v>
      </c>
      <c r="AN136" s="118">
        <v>499.5</v>
      </c>
      <c r="AO136" s="21">
        <v>0.55200000000000005</v>
      </c>
      <c r="AP136" s="118">
        <v>0.54100000000000004</v>
      </c>
      <c r="AQ136" s="118">
        <v>0.78400000000000003</v>
      </c>
      <c r="AR136" s="118">
        <v>-137</v>
      </c>
      <c r="AS136" s="118">
        <v>-12.04</v>
      </c>
      <c r="AT136" s="118">
        <v>-141.4</v>
      </c>
      <c r="AU136" s="118">
        <v>40.680390000000003</v>
      </c>
      <c r="AV136" s="118">
        <v>-85.895300000000006</v>
      </c>
      <c r="AW136" s="118">
        <v>226.6</v>
      </c>
      <c r="AX136" s="118">
        <v>119.5</v>
      </c>
      <c r="AY136" s="118">
        <v>8.9</v>
      </c>
      <c r="AZ136" s="118">
        <v>-128.5</v>
      </c>
      <c r="BA136" s="118">
        <v>11.8</v>
      </c>
      <c r="BB136" s="118">
        <v>0</v>
      </c>
      <c r="BC136" s="118">
        <v>21.681000000000001</v>
      </c>
      <c r="BD136" s="118">
        <v>7.6</v>
      </c>
      <c r="BE136" s="118">
        <v>0</v>
      </c>
      <c r="BF136" s="19">
        <v>45092</v>
      </c>
      <c r="BG136" s="118" t="s">
        <v>1827</v>
      </c>
    </row>
    <row r="137" spans="1:59" x14ac:dyDescent="0.25">
      <c r="A137" s="25">
        <v>10136</v>
      </c>
      <c r="B137" t="s">
        <v>159</v>
      </c>
      <c r="C137" t="s">
        <v>555</v>
      </c>
      <c r="D137" s="27" t="s">
        <v>516</v>
      </c>
      <c r="E137" s="27" t="str">
        <f t="shared" si="12"/>
        <v>?</v>
      </c>
      <c r="F137" s="118" t="s">
        <v>515</v>
      </c>
      <c r="G137" t="s">
        <v>19</v>
      </c>
      <c r="H137" s="24" t="s">
        <v>9</v>
      </c>
      <c r="I137">
        <v>0.74160000000000004</v>
      </c>
      <c r="J137">
        <v>3.3969999999999998</v>
      </c>
      <c r="K137">
        <v>2.3E-2</v>
      </c>
      <c r="L137" t="s">
        <v>515</v>
      </c>
      <c r="M137" s="140">
        <f t="shared" si="14"/>
        <v>0.74160000000000004</v>
      </c>
      <c r="N137" s="140">
        <f t="shared" si="14"/>
        <v>3.3969999999999998</v>
      </c>
      <c r="O137" s="140">
        <f t="shared" si="14"/>
        <v>0.05</v>
      </c>
      <c r="P137" s="140" t="str">
        <f t="shared" si="15"/>
        <v>NULL</v>
      </c>
      <c r="Q137" s="161">
        <v>1.6448844402960201</v>
      </c>
      <c r="R137" s="125">
        <v>76.64</v>
      </c>
      <c r="S137" t="s">
        <v>676</v>
      </c>
      <c r="T137" t="s">
        <v>515</v>
      </c>
      <c r="U137" t="s">
        <v>515</v>
      </c>
      <c r="V137" s="118" t="s">
        <v>515</v>
      </c>
      <c r="W137">
        <v>40.6684999</v>
      </c>
      <c r="X137">
        <v>-85.848809799999998</v>
      </c>
      <c r="Y137">
        <v>6</v>
      </c>
      <c r="Z137">
        <v>15</v>
      </c>
      <c r="AA137">
        <v>2023</v>
      </c>
      <c r="AB137" t="b">
        <v>0</v>
      </c>
      <c r="AC137" s="19">
        <v>45092</v>
      </c>
      <c r="AD137" s="19" t="s">
        <v>515</v>
      </c>
      <c r="AE137" s="230">
        <v>0.79184027777777777</v>
      </c>
      <c r="AF137" s="19">
        <v>45092</v>
      </c>
      <c r="AG137" s="118" t="s">
        <v>515</v>
      </c>
      <c r="AH137" s="118" t="s">
        <v>515</v>
      </c>
      <c r="AI137" s="118">
        <v>733.6</v>
      </c>
      <c r="AJ137" s="118">
        <v>486.2</v>
      </c>
      <c r="AK137" s="118">
        <v>506.5</v>
      </c>
      <c r="AL137" s="118">
        <v>506541</v>
      </c>
      <c r="AM137" s="118">
        <v>0.24</v>
      </c>
      <c r="AN137" s="118">
        <v>508.6</v>
      </c>
      <c r="AO137" s="21">
        <v>0.53600000000000003</v>
      </c>
      <c r="AP137" s="118">
        <v>0.53</v>
      </c>
      <c r="AQ137" s="118">
        <v>0.76100000000000001</v>
      </c>
      <c r="AR137" s="118">
        <v>355.4</v>
      </c>
      <c r="AS137" s="118">
        <v>30.51</v>
      </c>
      <c r="AT137" s="118">
        <v>366.7</v>
      </c>
      <c r="AU137" s="118">
        <v>40.668529999999997</v>
      </c>
      <c r="AV137" s="118">
        <v>-85.848740000000006</v>
      </c>
      <c r="AW137" s="118">
        <v>232.2</v>
      </c>
      <c r="AX137" s="118">
        <v>133.19999999999999</v>
      </c>
      <c r="AY137" s="118">
        <v>9.07</v>
      </c>
      <c r="AZ137" s="118">
        <v>-138.30000000000001</v>
      </c>
      <c r="BA137" s="118">
        <v>11.8</v>
      </c>
      <c r="BB137" s="118">
        <v>0</v>
      </c>
      <c r="BC137" s="118">
        <v>22.893999999999998</v>
      </c>
      <c r="BD137" s="118">
        <v>52.04</v>
      </c>
      <c r="BE137" s="118">
        <v>0</v>
      </c>
      <c r="BF137" s="19">
        <v>45092</v>
      </c>
      <c r="BG137" s="118" t="s">
        <v>1828</v>
      </c>
    </row>
    <row r="138" spans="1:59" s="23" customFormat="1" x14ac:dyDescent="0.25">
      <c r="A138" s="36">
        <v>10137</v>
      </c>
      <c r="B138" s="37" t="s">
        <v>160</v>
      </c>
      <c r="C138" s="37" t="s">
        <v>556</v>
      </c>
      <c r="D138" s="38" t="s">
        <v>516</v>
      </c>
      <c r="E138" s="38" t="str">
        <f t="shared" si="12"/>
        <v>?</v>
      </c>
      <c r="F138" s="118" t="s">
        <v>515</v>
      </c>
      <c r="G138" s="37" t="s">
        <v>20</v>
      </c>
      <c r="H138" s="39" t="s">
        <v>9</v>
      </c>
      <c r="I138" s="229" t="s">
        <v>515</v>
      </c>
      <c r="J138" s="229" t="s">
        <v>515</v>
      </c>
      <c r="K138" s="229" t="s">
        <v>515</v>
      </c>
      <c r="L138" s="37">
        <v>4.4999999999999998E-2</v>
      </c>
      <c r="M138" s="140" t="str">
        <f t="shared" si="14"/>
        <v>NULL</v>
      </c>
      <c r="N138" s="140" t="str">
        <f t="shared" si="14"/>
        <v>NULL</v>
      </c>
      <c r="O138" s="140" t="str">
        <f t="shared" si="14"/>
        <v>NULL</v>
      </c>
      <c r="P138" s="140">
        <f t="shared" si="15"/>
        <v>0.05</v>
      </c>
      <c r="Q138" s="161" t="s">
        <v>676</v>
      </c>
      <c r="R138" s="126">
        <v>20.175000000000001</v>
      </c>
      <c r="S138" t="s">
        <v>676</v>
      </c>
      <c r="T138" t="s">
        <v>515</v>
      </c>
      <c r="U138" t="s">
        <v>515</v>
      </c>
      <c r="V138" s="118" t="s">
        <v>515</v>
      </c>
      <c r="W138" s="37">
        <v>40.808777777777799</v>
      </c>
      <c r="X138" s="37">
        <v>-86.794638888888898</v>
      </c>
      <c r="Y138" s="37">
        <v>6</v>
      </c>
      <c r="Z138" s="37">
        <v>20</v>
      </c>
      <c r="AA138" s="37">
        <v>2023</v>
      </c>
      <c r="AB138" s="37" t="b">
        <v>0</v>
      </c>
      <c r="AC138" s="40">
        <v>45097</v>
      </c>
      <c r="AD138" s="228" t="s">
        <v>515</v>
      </c>
      <c r="AE138" s="232">
        <v>0.53687499999999999</v>
      </c>
      <c r="AF138" s="198">
        <v>45097</v>
      </c>
      <c r="AG138" s="63" t="s">
        <v>515</v>
      </c>
      <c r="AH138" s="63" t="s">
        <v>515</v>
      </c>
      <c r="AI138" s="63">
        <v>743.3</v>
      </c>
      <c r="AJ138" s="63">
        <v>770.9</v>
      </c>
      <c r="AK138" s="63">
        <v>784.6</v>
      </c>
      <c r="AL138" s="63">
        <v>784614</v>
      </c>
      <c r="AM138" s="63">
        <v>0.38</v>
      </c>
      <c r="AN138" s="63">
        <v>786</v>
      </c>
      <c r="AO138" s="63">
        <v>0.11799999999999999</v>
      </c>
      <c r="AP138" s="63">
        <v>0.125</v>
      </c>
      <c r="AQ138" s="63">
        <v>0.16700000000000001</v>
      </c>
      <c r="AR138" s="63">
        <v>124.5</v>
      </c>
      <c r="AS138" s="63">
        <v>10.44</v>
      </c>
      <c r="AT138" s="63">
        <v>127.4</v>
      </c>
      <c r="AU138" s="63">
        <v>40.808770000000003</v>
      </c>
      <c r="AV138" s="63">
        <v>-86.794629999999998</v>
      </c>
      <c r="AW138" s="63">
        <v>205</v>
      </c>
      <c r="AX138" s="63">
        <v>123.2</v>
      </c>
      <c r="AY138" s="63">
        <v>8.02</v>
      </c>
      <c r="AZ138" s="63">
        <v>-100.5</v>
      </c>
      <c r="BA138" s="63">
        <v>11.8</v>
      </c>
      <c r="BB138" s="63">
        <v>0</v>
      </c>
      <c r="BC138" s="63">
        <v>24.084</v>
      </c>
      <c r="BD138" s="63">
        <v>1.9</v>
      </c>
      <c r="BE138" s="63">
        <v>0</v>
      </c>
      <c r="BF138" s="198">
        <v>45097</v>
      </c>
      <c r="BG138" s="63" t="s">
        <v>1885</v>
      </c>
    </row>
    <row r="139" spans="1:59" s="23" customFormat="1" x14ac:dyDescent="0.25">
      <c r="A139" s="36">
        <v>10138</v>
      </c>
      <c r="B139" s="37" t="s">
        <v>161</v>
      </c>
      <c r="C139" s="37" t="s">
        <v>556</v>
      </c>
      <c r="D139" s="38" t="s">
        <v>516</v>
      </c>
      <c r="E139" s="38" t="str">
        <f t="shared" si="12"/>
        <v>?</v>
      </c>
      <c r="F139" s="118" t="s">
        <v>515</v>
      </c>
      <c r="G139" s="37" t="s">
        <v>20</v>
      </c>
      <c r="H139" s="39" t="s">
        <v>9</v>
      </c>
      <c r="I139" s="37">
        <v>6.2399999999999997E-2</v>
      </c>
      <c r="J139" s="37">
        <v>1.1040000000000001</v>
      </c>
      <c r="K139" s="37">
        <v>0.26</v>
      </c>
      <c r="L139" s="37">
        <v>0.10675</v>
      </c>
      <c r="M139" s="140">
        <f t="shared" si="14"/>
        <v>0.05</v>
      </c>
      <c r="N139" s="140">
        <f t="shared" si="14"/>
        <v>1.1040000000000001</v>
      </c>
      <c r="O139" s="140">
        <f t="shared" si="14"/>
        <v>0.26</v>
      </c>
      <c r="P139" s="140">
        <f t="shared" si="15"/>
        <v>0.10675</v>
      </c>
      <c r="Q139" s="161" t="s">
        <v>676</v>
      </c>
      <c r="R139" s="126">
        <v>16.43</v>
      </c>
      <c r="S139" t="s">
        <v>676</v>
      </c>
      <c r="T139" t="s">
        <v>515</v>
      </c>
      <c r="U139" t="s">
        <v>515</v>
      </c>
      <c r="V139" s="118" t="s">
        <v>515</v>
      </c>
      <c r="W139" s="37">
        <v>40.823833333333297</v>
      </c>
      <c r="X139" s="37">
        <v>-86.794555555555505</v>
      </c>
      <c r="Y139" s="37">
        <v>6</v>
      </c>
      <c r="Z139" s="37">
        <v>20</v>
      </c>
      <c r="AA139" s="37">
        <v>2023</v>
      </c>
      <c r="AB139" s="37" t="b">
        <v>0</v>
      </c>
      <c r="AC139" s="40">
        <v>45097</v>
      </c>
      <c r="AD139" s="228" t="s">
        <v>515</v>
      </c>
      <c r="AE139" s="232">
        <v>0.50509259259259254</v>
      </c>
      <c r="AF139" s="198">
        <v>45097</v>
      </c>
      <c r="AG139" s="63" t="s">
        <v>515</v>
      </c>
      <c r="AH139" s="63" t="s">
        <v>515</v>
      </c>
      <c r="AI139" s="63">
        <v>743.2</v>
      </c>
      <c r="AJ139" s="63">
        <v>643.79999999999995</v>
      </c>
      <c r="AK139" s="63">
        <v>658.1</v>
      </c>
      <c r="AL139" s="63">
        <v>658098</v>
      </c>
      <c r="AM139" s="63">
        <v>0.32</v>
      </c>
      <c r="AN139" s="63">
        <v>659.5</v>
      </c>
      <c r="AO139" s="63">
        <v>9.1999999999999998E-2</v>
      </c>
      <c r="AP139" s="63">
        <v>9.5000000000000001E-2</v>
      </c>
      <c r="AQ139" s="63">
        <v>0.13</v>
      </c>
      <c r="AR139" s="63">
        <v>162.80000000000001</v>
      </c>
      <c r="AS139" s="63">
        <v>13.71</v>
      </c>
      <c r="AT139" s="63">
        <v>166.5</v>
      </c>
      <c r="AU139" s="63">
        <v>40.823839999999997</v>
      </c>
      <c r="AV139" s="63">
        <v>-86.794569999999993</v>
      </c>
      <c r="AW139" s="63">
        <v>201.8</v>
      </c>
      <c r="AX139" s="63">
        <v>119.4</v>
      </c>
      <c r="AY139" s="63">
        <v>8.1</v>
      </c>
      <c r="AZ139" s="63">
        <v>-105.4</v>
      </c>
      <c r="BA139" s="63">
        <v>11.8</v>
      </c>
      <c r="BB139" s="63">
        <v>0</v>
      </c>
      <c r="BC139" s="63">
        <v>23.86</v>
      </c>
      <c r="BD139" s="63">
        <v>3.08</v>
      </c>
      <c r="BE139" s="63">
        <v>0</v>
      </c>
      <c r="BF139" s="198">
        <v>45097</v>
      </c>
      <c r="BG139" s="63" t="s">
        <v>1884</v>
      </c>
    </row>
    <row r="140" spans="1:59" s="23" customFormat="1" x14ac:dyDescent="0.25">
      <c r="A140" s="36">
        <v>10139</v>
      </c>
      <c r="B140" s="37" t="s">
        <v>162</v>
      </c>
      <c r="C140" s="37" t="s">
        <v>556</v>
      </c>
      <c r="D140" s="38" t="s">
        <v>516</v>
      </c>
      <c r="E140" s="38" t="str">
        <f t="shared" si="12"/>
        <v>?</v>
      </c>
      <c r="F140" s="118" t="s">
        <v>515</v>
      </c>
      <c r="G140" s="37" t="s">
        <v>20</v>
      </c>
      <c r="H140" s="39" t="s">
        <v>9</v>
      </c>
      <c r="I140" s="37">
        <v>2.5399999999999999E-2</v>
      </c>
      <c r="J140" s="37">
        <v>5.8999999999999997E-2</v>
      </c>
      <c r="K140" s="37">
        <v>0.23300000000000001</v>
      </c>
      <c r="L140" s="37">
        <v>0.188</v>
      </c>
      <c r="M140" s="140">
        <f t="shared" si="14"/>
        <v>0.05</v>
      </c>
      <c r="N140" s="140">
        <f t="shared" si="14"/>
        <v>0.05</v>
      </c>
      <c r="O140" s="140">
        <f t="shared" si="14"/>
        <v>0.23300000000000001</v>
      </c>
      <c r="P140" s="140">
        <f t="shared" si="15"/>
        <v>0.188</v>
      </c>
      <c r="Q140" s="161" t="s">
        <v>676</v>
      </c>
      <c r="R140" s="126">
        <v>28.98</v>
      </c>
      <c r="S140" t="s">
        <v>676</v>
      </c>
      <c r="T140" t="s">
        <v>515</v>
      </c>
      <c r="U140" t="s">
        <v>515</v>
      </c>
      <c r="V140" s="118" t="s">
        <v>515</v>
      </c>
      <c r="W140" s="37">
        <v>40.843361111111101</v>
      </c>
      <c r="X140" s="37">
        <v>-86.817444444444405</v>
      </c>
      <c r="Y140" s="37">
        <v>6</v>
      </c>
      <c r="Z140" s="37">
        <v>20</v>
      </c>
      <c r="AA140" s="37">
        <v>2023</v>
      </c>
      <c r="AB140" s="37" t="b">
        <v>0</v>
      </c>
      <c r="AC140" s="40">
        <v>45097</v>
      </c>
      <c r="AD140" s="228" t="s">
        <v>515</v>
      </c>
      <c r="AE140" s="232">
        <v>0.47621527777777778</v>
      </c>
      <c r="AF140" s="198">
        <v>45097</v>
      </c>
      <c r="AG140" s="63" t="s">
        <v>515</v>
      </c>
      <c r="AH140" s="63" t="s">
        <v>515</v>
      </c>
      <c r="AI140" s="63">
        <v>743.2</v>
      </c>
      <c r="AJ140" s="63">
        <v>785.8</v>
      </c>
      <c r="AK140" s="63">
        <v>782</v>
      </c>
      <c r="AL140" s="63">
        <v>781996</v>
      </c>
      <c r="AM140" s="63">
        <v>0.38</v>
      </c>
      <c r="AN140" s="63">
        <v>781.6</v>
      </c>
      <c r="AO140" s="63">
        <v>0.10299999999999999</v>
      </c>
      <c r="AP140" s="63">
        <v>0.107</v>
      </c>
      <c r="AQ140" s="63">
        <v>0.14599999999999999</v>
      </c>
      <c r="AR140" s="63">
        <v>87.9</v>
      </c>
      <c r="AS140" s="63">
        <v>7.21</v>
      </c>
      <c r="AT140" s="63">
        <v>89.9</v>
      </c>
      <c r="AU140" s="63">
        <v>40.843420000000002</v>
      </c>
      <c r="AV140" s="63">
        <v>-86.81747</v>
      </c>
      <c r="AW140" s="63">
        <v>202</v>
      </c>
      <c r="AX140" s="63">
        <v>-79.8</v>
      </c>
      <c r="AY140" s="63">
        <v>7.4</v>
      </c>
      <c r="AZ140" s="63">
        <v>-64.099999999999994</v>
      </c>
      <c r="BA140" s="63">
        <v>11.8</v>
      </c>
      <c r="BB140" s="63">
        <v>0</v>
      </c>
      <c r="BC140" s="63">
        <v>25.247</v>
      </c>
      <c r="BD140" s="63">
        <v>153.78</v>
      </c>
      <c r="BE140" s="63">
        <v>0</v>
      </c>
      <c r="BF140" s="198">
        <v>45097</v>
      </c>
      <c r="BG140" s="63" t="s">
        <v>1883</v>
      </c>
    </row>
    <row r="141" spans="1:59" s="42" customFormat="1" x14ac:dyDescent="0.25">
      <c r="A141" s="41">
        <v>10140</v>
      </c>
      <c r="B141" s="42" t="s">
        <v>163</v>
      </c>
      <c r="C141" s="42" t="s">
        <v>557</v>
      </c>
      <c r="D141" s="43" t="s">
        <v>516</v>
      </c>
      <c r="E141" s="43" t="str">
        <f t="shared" si="12"/>
        <v>?</v>
      </c>
      <c r="F141" s="118" t="s">
        <v>515</v>
      </c>
      <c r="G141" s="42" t="s">
        <v>514</v>
      </c>
      <c r="H141" s="44" t="s">
        <v>9</v>
      </c>
      <c r="I141" s="42" t="s">
        <v>515</v>
      </c>
      <c r="J141" s="42" t="s">
        <v>515</v>
      </c>
      <c r="K141" s="42" t="s">
        <v>515</v>
      </c>
      <c r="L141" s="42">
        <v>1.8499999999999999E-2</v>
      </c>
      <c r="M141" s="140" t="str">
        <f t="shared" si="14"/>
        <v>NULL</v>
      </c>
      <c r="N141" s="140" t="str">
        <f t="shared" si="14"/>
        <v>NULL</v>
      </c>
      <c r="O141" s="140" t="str">
        <f t="shared" si="14"/>
        <v>NULL</v>
      </c>
      <c r="P141" s="140">
        <f t="shared" si="15"/>
        <v>0.05</v>
      </c>
      <c r="Q141" s="161" t="s">
        <v>676</v>
      </c>
      <c r="R141" s="127">
        <v>12.63</v>
      </c>
      <c r="S141" t="s">
        <v>676</v>
      </c>
      <c r="T141" t="s">
        <v>515</v>
      </c>
      <c r="U141" t="s">
        <v>515</v>
      </c>
      <c r="V141" s="118" t="s">
        <v>515</v>
      </c>
      <c r="W141" s="42">
        <v>40.693662000000003</v>
      </c>
      <c r="X141" s="42">
        <v>-86.766958000000002</v>
      </c>
      <c r="Y141" s="42">
        <v>6</v>
      </c>
      <c r="Z141" s="42">
        <v>20</v>
      </c>
      <c r="AA141" s="42">
        <v>2023</v>
      </c>
      <c r="AB141" s="42" t="b">
        <v>0</v>
      </c>
      <c r="AC141" s="45">
        <v>45097</v>
      </c>
      <c r="AD141" s="45" t="s">
        <v>515</v>
      </c>
      <c r="AE141" s="235">
        <v>0.43434027777777778</v>
      </c>
      <c r="AF141" s="192">
        <v>45097</v>
      </c>
      <c r="AG141" s="26" t="s">
        <v>515</v>
      </c>
      <c r="AH141" s="26" t="s">
        <v>515</v>
      </c>
      <c r="AI141" s="26">
        <v>744.3</v>
      </c>
      <c r="AJ141" s="26">
        <v>696.5</v>
      </c>
      <c r="AK141" s="26">
        <v>715.3</v>
      </c>
      <c r="AL141" s="26">
        <v>715281</v>
      </c>
      <c r="AM141" s="26">
        <v>0.35</v>
      </c>
      <c r="AN141" s="26">
        <v>717.2</v>
      </c>
      <c r="AO141" s="26">
        <v>0.14099999999999999</v>
      </c>
      <c r="AP141" s="26">
        <v>0.14399999999999999</v>
      </c>
      <c r="AQ141" s="26">
        <v>0.2</v>
      </c>
      <c r="AR141" s="26">
        <v>132.6</v>
      </c>
      <c r="AS141" s="26">
        <v>11.22</v>
      </c>
      <c r="AT141" s="26">
        <v>135.69999999999999</v>
      </c>
      <c r="AU141" s="26">
        <v>40.693820000000002</v>
      </c>
      <c r="AV141" s="26">
        <v>-86.766490000000005</v>
      </c>
      <c r="AW141" s="26">
        <v>232.6</v>
      </c>
      <c r="AX141" s="26">
        <v>205.5</v>
      </c>
      <c r="AY141" s="26">
        <v>7.41</v>
      </c>
      <c r="AZ141" s="26">
        <v>-64.400000000000006</v>
      </c>
      <c r="BA141" s="26">
        <v>11.8</v>
      </c>
      <c r="BB141" s="26">
        <v>0</v>
      </c>
      <c r="BC141" s="26">
        <v>23.625</v>
      </c>
      <c r="BD141" s="26">
        <v>4.3</v>
      </c>
      <c r="BE141" s="26">
        <v>0</v>
      </c>
      <c r="BF141" s="192">
        <v>45097</v>
      </c>
      <c r="BG141" s="26" t="s">
        <v>1821</v>
      </c>
    </row>
    <row r="142" spans="1:59" s="42" customFormat="1" x14ac:dyDescent="0.25">
      <c r="A142" s="41">
        <v>10141</v>
      </c>
      <c r="B142" s="42" t="s">
        <v>164</v>
      </c>
      <c r="C142" s="42" t="s">
        <v>557</v>
      </c>
      <c r="D142" s="43" t="s">
        <v>516</v>
      </c>
      <c r="E142" s="43" t="str">
        <f t="shared" si="12"/>
        <v>?</v>
      </c>
      <c r="F142" s="118" t="s">
        <v>515</v>
      </c>
      <c r="G142" s="42" t="s">
        <v>514</v>
      </c>
      <c r="H142" s="44" t="s">
        <v>9</v>
      </c>
      <c r="I142" s="42">
        <v>4.4499999999999998E-2</v>
      </c>
      <c r="J142" s="42">
        <v>0.82599999999999996</v>
      </c>
      <c r="K142" s="42">
        <v>0.156</v>
      </c>
      <c r="L142" s="42">
        <v>5.5500000000000001E-2</v>
      </c>
      <c r="M142" s="140">
        <f t="shared" si="14"/>
        <v>0.05</v>
      </c>
      <c r="N142" s="140">
        <f t="shared" si="14"/>
        <v>0.82599999999999996</v>
      </c>
      <c r="O142" s="140">
        <f t="shared" si="14"/>
        <v>0.156</v>
      </c>
      <c r="P142" s="140">
        <f t="shared" si="15"/>
        <v>0.05</v>
      </c>
      <c r="Q142" s="161" t="s">
        <v>676</v>
      </c>
      <c r="R142" s="127">
        <v>46.86</v>
      </c>
      <c r="S142" t="s">
        <v>676</v>
      </c>
      <c r="T142" t="s">
        <v>515</v>
      </c>
      <c r="U142" t="s">
        <v>515</v>
      </c>
      <c r="V142" s="118" t="s">
        <v>515</v>
      </c>
      <c r="W142" s="42">
        <v>40.6671388888889</v>
      </c>
      <c r="X142" s="42">
        <v>-86.753027777777802</v>
      </c>
      <c r="Y142" s="42">
        <v>6</v>
      </c>
      <c r="Z142" s="42">
        <v>20</v>
      </c>
      <c r="AA142" s="42">
        <v>2023</v>
      </c>
      <c r="AB142" s="42" t="b">
        <v>0</v>
      </c>
      <c r="AC142" s="45">
        <v>45097</v>
      </c>
      <c r="AD142" s="45" t="s">
        <v>515</v>
      </c>
      <c r="AE142" s="235">
        <v>0.71050925925925923</v>
      </c>
      <c r="AF142" s="192">
        <v>45097</v>
      </c>
      <c r="AG142" s="26" t="s">
        <v>515</v>
      </c>
      <c r="AH142" s="26" t="s">
        <v>515</v>
      </c>
      <c r="AI142" s="26">
        <v>743.3</v>
      </c>
      <c r="AJ142" s="26">
        <v>696.9</v>
      </c>
      <c r="AK142" s="26">
        <v>696.4</v>
      </c>
      <c r="AL142" s="26">
        <v>696393</v>
      </c>
      <c r="AM142" s="26">
        <v>0.34</v>
      </c>
      <c r="AN142" s="26">
        <v>696.3</v>
      </c>
      <c r="AO142" s="26">
        <v>0.154</v>
      </c>
      <c r="AP142" s="26">
        <v>0.16800000000000001</v>
      </c>
      <c r="AQ142" s="26">
        <v>0.219</v>
      </c>
      <c r="AR142" s="26">
        <v>-154.69999999999999</v>
      </c>
      <c r="AS142" s="26">
        <v>-12.75</v>
      </c>
      <c r="AT142" s="26">
        <v>-158.30000000000001</v>
      </c>
      <c r="AU142" s="26">
        <v>40.667119999999997</v>
      </c>
      <c r="AV142" s="26">
        <v>-86.753050000000002</v>
      </c>
      <c r="AW142" s="26">
        <v>187</v>
      </c>
      <c r="AX142" s="26">
        <v>93.7</v>
      </c>
      <c r="AY142" s="26">
        <v>8.2799999999999994</v>
      </c>
      <c r="AZ142" s="26">
        <v>-116.1</v>
      </c>
      <c r="BA142" s="26">
        <v>11.8</v>
      </c>
      <c r="BB142" s="26">
        <v>0</v>
      </c>
      <c r="BC142" s="26">
        <v>25.036000000000001</v>
      </c>
      <c r="BD142" s="26">
        <v>6.1</v>
      </c>
      <c r="BE142" s="26">
        <v>0</v>
      </c>
      <c r="BF142" s="192">
        <v>45097</v>
      </c>
      <c r="BG142" s="26" t="s">
        <v>1822</v>
      </c>
    </row>
    <row r="143" spans="1:59" s="42" customFormat="1" x14ac:dyDescent="0.25">
      <c r="A143" s="41">
        <v>10142</v>
      </c>
      <c r="B143" s="42" t="s">
        <v>165</v>
      </c>
      <c r="C143" s="42" t="s">
        <v>557</v>
      </c>
      <c r="D143" s="43" t="s">
        <v>516</v>
      </c>
      <c r="E143" s="43" t="str">
        <f t="shared" si="12"/>
        <v>?</v>
      </c>
      <c r="F143" s="118" t="s">
        <v>515</v>
      </c>
      <c r="G143" s="42" t="s">
        <v>514</v>
      </c>
      <c r="H143" s="44" t="s">
        <v>9</v>
      </c>
      <c r="I143" s="42">
        <v>7.4800000000000005E-2</v>
      </c>
      <c r="J143" s="42">
        <v>0.81599999999999995</v>
      </c>
      <c r="K143" s="42">
        <v>0.38</v>
      </c>
      <c r="L143" s="42">
        <v>3.15E-2</v>
      </c>
      <c r="M143" s="140">
        <f t="shared" si="14"/>
        <v>0.05</v>
      </c>
      <c r="N143" s="140">
        <f t="shared" si="14"/>
        <v>0.81599999999999995</v>
      </c>
      <c r="O143" s="140">
        <f t="shared" si="14"/>
        <v>0.38</v>
      </c>
      <c r="P143" s="140">
        <f t="shared" si="15"/>
        <v>0.05</v>
      </c>
      <c r="Q143" s="161" t="s">
        <v>676</v>
      </c>
      <c r="R143" s="127">
        <v>20.56</v>
      </c>
      <c r="S143" t="s">
        <v>676</v>
      </c>
      <c r="T143" t="s">
        <v>515</v>
      </c>
      <c r="U143" t="s">
        <v>515</v>
      </c>
      <c r="V143" s="118" t="s">
        <v>515</v>
      </c>
      <c r="W143" s="42">
        <v>40.680833333333297</v>
      </c>
      <c r="X143" s="42">
        <v>-86.752138888888894</v>
      </c>
      <c r="Y143" s="42">
        <v>6</v>
      </c>
      <c r="Z143" s="42">
        <v>20</v>
      </c>
      <c r="AA143" s="42">
        <v>2023</v>
      </c>
      <c r="AB143" s="42" t="b">
        <v>0</v>
      </c>
      <c r="AC143" s="45">
        <v>45097</v>
      </c>
      <c r="AD143" s="45" t="s">
        <v>515</v>
      </c>
      <c r="AE143" s="235">
        <v>0.67785879629629631</v>
      </c>
      <c r="AF143" s="192">
        <v>45097</v>
      </c>
      <c r="AG143" s="26" t="s">
        <v>515</v>
      </c>
      <c r="AH143" s="26" t="s">
        <v>515</v>
      </c>
      <c r="AI143" s="26">
        <v>743.5</v>
      </c>
      <c r="AJ143" s="26">
        <v>722.6</v>
      </c>
      <c r="AK143" s="26">
        <v>712.4</v>
      </c>
      <c r="AL143" s="26">
        <v>712435</v>
      </c>
      <c r="AM143" s="26">
        <v>0.35</v>
      </c>
      <c r="AN143" s="26">
        <v>711.4</v>
      </c>
      <c r="AO143" s="26">
        <v>0.10100000000000001</v>
      </c>
      <c r="AP143" s="26">
        <v>0.108</v>
      </c>
      <c r="AQ143" s="26">
        <v>0.14399999999999999</v>
      </c>
      <c r="AR143" s="26">
        <v>-135.9</v>
      </c>
      <c r="AS143" s="26">
        <v>-11.05</v>
      </c>
      <c r="AT143" s="26">
        <v>-139</v>
      </c>
      <c r="AU143" s="26">
        <v>40.680860000000003</v>
      </c>
      <c r="AV143" s="26">
        <v>-86.752200000000002</v>
      </c>
      <c r="AW143" s="26">
        <v>190.8</v>
      </c>
      <c r="AX143" s="26">
        <v>64.900000000000006</v>
      </c>
      <c r="AY143" s="26">
        <v>8.33</v>
      </c>
      <c r="AZ143" s="26">
        <v>-119.5</v>
      </c>
      <c r="BA143" s="26">
        <v>11.8</v>
      </c>
      <c r="BB143" s="26">
        <v>0</v>
      </c>
      <c r="BC143" s="26">
        <v>25.745999999999999</v>
      </c>
      <c r="BD143" s="26">
        <v>3.69</v>
      </c>
      <c r="BE143" s="26">
        <v>0</v>
      </c>
      <c r="BF143" s="192">
        <v>45097</v>
      </c>
      <c r="BG143" s="26" t="s">
        <v>1823</v>
      </c>
    </row>
    <row r="144" spans="1:59" s="42" customFormat="1" x14ac:dyDescent="0.25">
      <c r="A144" s="41">
        <v>10143</v>
      </c>
      <c r="B144" s="42" t="s">
        <v>166</v>
      </c>
      <c r="C144" s="42" t="s">
        <v>557</v>
      </c>
      <c r="D144" s="43" t="s">
        <v>516</v>
      </c>
      <c r="E144" s="43" t="str">
        <f t="shared" si="12"/>
        <v>?</v>
      </c>
      <c r="F144" s="118" t="s">
        <v>515</v>
      </c>
      <c r="G144" s="42" t="s">
        <v>514</v>
      </c>
      <c r="H144" s="44" t="s">
        <v>9</v>
      </c>
      <c r="I144" s="42">
        <v>9.7999999999999997E-3</v>
      </c>
      <c r="J144" s="42">
        <v>0.879</v>
      </c>
      <c r="K144" s="42">
        <v>9.2999999999999999E-2</v>
      </c>
      <c r="L144" s="42">
        <v>1.2500000000000001E-2</v>
      </c>
      <c r="M144" s="140">
        <f t="shared" si="14"/>
        <v>0.05</v>
      </c>
      <c r="N144" s="140">
        <f t="shared" si="14"/>
        <v>0.879</v>
      </c>
      <c r="O144" s="140">
        <f t="shared" si="14"/>
        <v>0.05</v>
      </c>
      <c r="P144" s="140">
        <f t="shared" si="15"/>
        <v>0.05</v>
      </c>
      <c r="Q144" s="161" t="s">
        <v>676</v>
      </c>
      <c r="R144" s="127">
        <v>29.54</v>
      </c>
      <c r="S144" t="s">
        <v>676</v>
      </c>
      <c r="T144" t="s">
        <v>515</v>
      </c>
      <c r="U144" t="s">
        <v>515</v>
      </c>
      <c r="V144" s="118" t="s">
        <v>515</v>
      </c>
      <c r="W144" s="42">
        <v>40.730861111111103</v>
      </c>
      <c r="X144" s="42">
        <v>-86.757972222222193</v>
      </c>
      <c r="Y144" s="42">
        <v>6</v>
      </c>
      <c r="Z144" s="42">
        <v>20</v>
      </c>
      <c r="AA144" s="42">
        <v>2023</v>
      </c>
      <c r="AB144" s="42" t="b">
        <v>0</v>
      </c>
      <c r="AC144" s="45">
        <v>45097</v>
      </c>
      <c r="AD144" s="45" t="s">
        <v>515</v>
      </c>
      <c r="AE144" s="235">
        <v>0.64515046296296297</v>
      </c>
      <c r="AF144" s="192">
        <v>45097</v>
      </c>
      <c r="AG144" s="26" t="s">
        <v>515</v>
      </c>
      <c r="AH144" s="26" t="s">
        <v>515</v>
      </c>
      <c r="AI144" s="26">
        <v>743.5</v>
      </c>
      <c r="AJ144" s="26">
        <v>766.8</v>
      </c>
      <c r="AK144" s="26">
        <v>770.7</v>
      </c>
      <c r="AL144" s="26">
        <v>770739</v>
      </c>
      <c r="AM144" s="26">
        <v>0.38</v>
      </c>
      <c r="AN144" s="26">
        <v>771.1</v>
      </c>
      <c r="AO144" s="26">
        <v>0.19800000000000001</v>
      </c>
      <c r="AP144" s="26">
        <v>0.219</v>
      </c>
      <c r="AQ144" s="26">
        <v>0.28100000000000003</v>
      </c>
      <c r="AR144" s="26">
        <v>156.1</v>
      </c>
      <c r="AS144" s="26">
        <v>12.94</v>
      </c>
      <c r="AT144" s="26">
        <v>159.80000000000001</v>
      </c>
      <c r="AU144" s="26">
        <v>40.731020000000001</v>
      </c>
      <c r="AV144" s="26">
        <v>-86.757949999999994</v>
      </c>
      <c r="AW144" s="26">
        <v>207.3</v>
      </c>
      <c r="AX144" s="26">
        <v>51.8</v>
      </c>
      <c r="AY144" s="26">
        <v>8.65</v>
      </c>
      <c r="AZ144" s="26">
        <v>-137.69999999999999</v>
      </c>
      <c r="BA144" s="26">
        <v>11.8</v>
      </c>
      <c r="BB144" s="26">
        <v>0</v>
      </c>
      <c r="BC144" s="26">
        <v>24.73</v>
      </c>
      <c r="BD144" s="26">
        <v>5.51</v>
      </c>
      <c r="BE144" s="26">
        <v>0</v>
      </c>
      <c r="BF144" s="192">
        <v>45097</v>
      </c>
      <c r="BG144" s="26" t="s">
        <v>1824</v>
      </c>
    </row>
    <row r="145" spans="1:59" s="42" customFormat="1" x14ac:dyDescent="0.25">
      <c r="A145" s="41">
        <v>10144</v>
      </c>
      <c r="B145" s="42" t="s">
        <v>167</v>
      </c>
      <c r="C145" s="42" t="s">
        <v>557</v>
      </c>
      <c r="D145" s="43" t="s">
        <v>516</v>
      </c>
      <c r="E145" s="43" t="str">
        <f t="shared" si="12"/>
        <v>?</v>
      </c>
      <c r="F145" s="118" t="s">
        <v>515</v>
      </c>
      <c r="G145" s="42" t="s">
        <v>514</v>
      </c>
      <c r="H145" s="44" t="s">
        <v>9</v>
      </c>
      <c r="I145" s="42">
        <v>1.5E-3</v>
      </c>
      <c r="J145" s="42">
        <v>1.1579999999999999</v>
      </c>
      <c r="K145" s="42">
        <v>9.1999999999999998E-2</v>
      </c>
      <c r="L145" s="42">
        <v>1.4E-2</v>
      </c>
      <c r="M145" s="140">
        <f t="shared" si="14"/>
        <v>0.05</v>
      </c>
      <c r="N145" s="140">
        <f t="shared" si="14"/>
        <v>1.1579999999999999</v>
      </c>
      <c r="O145" s="140">
        <f t="shared" si="14"/>
        <v>0.05</v>
      </c>
      <c r="P145" s="140">
        <f t="shared" si="15"/>
        <v>0.05</v>
      </c>
      <c r="Q145" s="161" t="s">
        <v>676</v>
      </c>
      <c r="R145" s="127">
        <v>14.545</v>
      </c>
      <c r="S145" t="s">
        <v>676</v>
      </c>
      <c r="T145" t="s">
        <v>515</v>
      </c>
      <c r="U145" t="s">
        <v>515</v>
      </c>
      <c r="V145" s="118" t="s">
        <v>515</v>
      </c>
      <c r="W145" s="42">
        <v>40.7455</v>
      </c>
      <c r="X145" s="42">
        <v>-86.757249999999999</v>
      </c>
      <c r="Y145" s="42">
        <v>6</v>
      </c>
      <c r="Z145" s="42">
        <v>20</v>
      </c>
      <c r="AA145" s="42">
        <v>2023</v>
      </c>
      <c r="AB145" s="42" t="b">
        <v>0</v>
      </c>
      <c r="AC145" s="45">
        <v>45097</v>
      </c>
      <c r="AD145" s="45" t="s">
        <v>515</v>
      </c>
      <c r="AE145" s="235">
        <v>0.58269675925925923</v>
      </c>
      <c r="AF145" s="192">
        <v>45097</v>
      </c>
      <c r="AG145" s="26" t="s">
        <v>515</v>
      </c>
      <c r="AH145" s="26" t="s">
        <v>515</v>
      </c>
      <c r="AI145" s="26">
        <v>743.9</v>
      </c>
      <c r="AJ145" s="26">
        <v>739.9</v>
      </c>
      <c r="AK145" s="26">
        <v>767.3</v>
      </c>
      <c r="AL145" s="26">
        <v>767251</v>
      </c>
      <c r="AM145" s="26">
        <v>0.37</v>
      </c>
      <c r="AN145" s="26">
        <v>770</v>
      </c>
      <c r="AO145" s="26">
        <v>9.8000000000000004E-2</v>
      </c>
      <c r="AP145" s="26">
        <v>9.6000000000000002E-2</v>
      </c>
      <c r="AQ145" s="26">
        <v>0.13900000000000001</v>
      </c>
      <c r="AR145" s="26">
        <v>120.7</v>
      </c>
      <c r="AS145" s="26">
        <v>10.31</v>
      </c>
      <c r="AT145" s="26">
        <v>123.6</v>
      </c>
      <c r="AU145" s="26">
        <v>40.745449999999998</v>
      </c>
      <c r="AV145" s="26">
        <v>-86.757230000000007</v>
      </c>
      <c r="AW145" s="26">
        <v>193.2</v>
      </c>
      <c r="AX145" s="26">
        <v>123.6</v>
      </c>
      <c r="AY145" s="26">
        <v>8.02</v>
      </c>
      <c r="AZ145" s="26">
        <v>-100.5</v>
      </c>
      <c r="BA145" s="26">
        <v>11.8</v>
      </c>
      <c r="BB145" s="26">
        <v>0</v>
      </c>
      <c r="BC145" s="26">
        <v>23.137</v>
      </c>
      <c r="BD145" s="26">
        <v>3.01</v>
      </c>
      <c r="BE145" s="26">
        <v>0</v>
      </c>
      <c r="BF145" s="192">
        <v>45097</v>
      </c>
      <c r="BG145" s="26" t="s">
        <v>1826</v>
      </c>
    </row>
    <row r="146" spans="1:59" x14ac:dyDescent="0.25">
      <c r="A146" s="25">
        <v>10145</v>
      </c>
      <c r="B146" t="s">
        <v>168</v>
      </c>
      <c r="C146" t="s">
        <v>168</v>
      </c>
      <c r="D146" s="27">
        <v>3101</v>
      </c>
      <c r="E146" s="27">
        <v>1</v>
      </c>
      <c r="F146" s="118">
        <v>5210</v>
      </c>
      <c r="G146" t="s">
        <v>22</v>
      </c>
      <c r="H146" s="24" t="s">
        <v>8</v>
      </c>
      <c r="I146" t="s">
        <v>515</v>
      </c>
      <c r="J146" t="s">
        <v>515</v>
      </c>
      <c r="K146" t="s">
        <v>515</v>
      </c>
      <c r="L146">
        <v>4.8000000000000001E-2</v>
      </c>
      <c r="M146" s="140" t="str">
        <f t="shared" ref="M146:O161" si="16">IF(I146&lt;0.1,0.05,I146)</f>
        <v>NULL</v>
      </c>
      <c r="N146" s="140" t="str">
        <f t="shared" si="16"/>
        <v>NULL</v>
      </c>
      <c r="O146" s="140" t="str">
        <f t="shared" si="16"/>
        <v>NULL</v>
      </c>
      <c r="P146" s="140">
        <f t="shared" si="15"/>
        <v>0.05</v>
      </c>
      <c r="Q146" s="161">
        <v>4.0377375654836803E-2</v>
      </c>
      <c r="R146" s="125">
        <v>18.145</v>
      </c>
      <c r="S146" t="s">
        <v>676</v>
      </c>
      <c r="T146" t="s">
        <v>515</v>
      </c>
      <c r="U146" t="s">
        <v>515</v>
      </c>
      <c r="V146" s="118" t="s">
        <v>515</v>
      </c>
      <c r="W146">
        <v>40.772191999999997</v>
      </c>
      <c r="X146">
        <v>-85.644442999999995</v>
      </c>
      <c r="Y146">
        <v>6</v>
      </c>
      <c r="Z146">
        <v>23</v>
      </c>
      <c r="AA146">
        <v>2023</v>
      </c>
      <c r="AB146" t="b">
        <v>0</v>
      </c>
      <c r="AC146" s="19">
        <v>45100</v>
      </c>
      <c r="AD146" s="19" t="s">
        <v>515</v>
      </c>
      <c r="AE146" s="232">
        <v>0.65694444444444444</v>
      </c>
      <c r="AF146" s="198">
        <v>45100</v>
      </c>
      <c r="AG146" s="63" t="s">
        <v>515</v>
      </c>
      <c r="AH146" s="63" t="s">
        <v>515</v>
      </c>
      <c r="AI146" s="63">
        <v>739.6</v>
      </c>
      <c r="AJ146" s="63">
        <v>554.20000000000005</v>
      </c>
      <c r="AK146" s="63">
        <v>561.70000000000005</v>
      </c>
      <c r="AL146" s="63">
        <v>561669</v>
      </c>
      <c r="AM146" s="63">
        <v>0.27</v>
      </c>
      <c r="AN146" s="63">
        <v>562.4</v>
      </c>
      <c r="AO146" s="63">
        <v>0.24</v>
      </c>
      <c r="AP146" s="63">
        <v>0.24399999999999999</v>
      </c>
      <c r="AQ146" s="63">
        <v>0.34100000000000003</v>
      </c>
      <c r="AR146" s="63">
        <v>-213.5</v>
      </c>
      <c r="AS146" s="63">
        <v>-17.850000000000001</v>
      </c>
      <c r="AT146" s="63">
        <v>-213.5</v>
      </c>
      <c r="AU146" s="63">
        <v>40.772170000000003</v>
      </c>
      <c r="AV146" s="63">
        <v>-85.644499999999994</v>
      </c>
      <c r="AW146" s="63">
        <v>229.3</v>
      </c>
      <c r="AX146" s="63">
        <v>192.9</v>
      </c>
      <c r="AY146" s="63">
        <v>8.3800000000000008</v>
      </c>
      <c r="AZ146" s="63">
        <v>-121.1</v>
      </c>
      <c r="BA146" s="63">
        <v>11.8</v>
      </c>
      <c r="BB146" s="63">
        <v>0</v>
      </c>
      <c r="BC146" s="63">
        <v>24.303000000000001</v>
      </c>
      <c r="BD146" s="63">
        <v>4.84</v>
      </c>
      <c r="BE146" s="63">
        <v>0</v>
      </c>
      <c r="BF146" s="198">
        <v>45100</v>
      </c>
      <c r="BG146" s="63" t="s">
        <v>1862</v>
      </c>
    </row>
    <row r="147" spans="1:59" x14ac:dyDescent="0.25">
      <c r="A147" s="25">
        <v>10146</v>
      </c>
      <c r="B147" t="s">
        <v>169</v>
      </c>
      <c r="C147" t="s">
        <v>169</v>
      </c>
      <c r="D147" s="27">
        <v>3102</v>
      </c>
      <c r="E147" s="27">
        <v>2</v>
      </c>
      <c r="F147" s="118">
        <v>5430</v>
      </c>
      <c r="G147" t="s">
        <v>22</v>
      </c>
      <c r="H147" s="24" t="s">
        <v>8</v>
      </c>
      <c r="I147" t="s">
        <v>515</v>
      </c>
      <c r="J147" t="s">
        <v>515</v>
      </c>
      <c r="K147" t="s">
        <v>515</v>
      </c>
      <c r="L147">
        <v>5.8500000000000003E-2</v>
      </c>
      <c r="M147" s="140" t="str">
        <f t="shared" si="16"/>
        <v>NULL</v>
      </c>
      <c r="N147" s="140" t="str">
        <f t="shared" si="16"/>
        <v>NULL</v>
      </c>
      <c r="O147" s="140" t="str">
        <f t="shared" si="16"/>
        <v>NULL</v>
      </c>
      <c r="P147" s="140">
        <f t="shared" si="15"/>
        <v>0.05</v>
      </c>
      <c r="Q147" s="161" t="s">
        <v>676</v>
      </c>
      <c r="R147" s="125">
        <v>20.48</v>
      </c>
      <c r="S147" t="s">
        <v>676</v>
      </c>
      <c r="T147" t="s">
        <v>515</v>
      </c>
      <c r="U147" t="s">
        <v>515</v>
      </c>
      <c r="V147" s="118" t="s">
        <v>515</v>
      </c>
      <c r="W147">
        <v>40.771816999999999</v>
      </c>
      <c r="X147">
        <v>-85.647735999999995</v>
      </c>
      <c r="Y147">
        <v>6</v>
      </c>
      <c r="Z147">
        <v>23</v>
      </c>
      <c r="AA147">
        <v>2023</v>
      </c>
      <c r="AB147" t="b">
        <v>0</v>
      </c>
      <c r="AC147" s="19">
        <v>45100</v>
      </c>
      <c r="AD147" s="19" t="s">
        <v>515</v>
      </c>
      <c r="AE147" s="232">
        <v>0.66672453703703705</v>
      </c>
      <c r="AF147" s="198">
        <v>45100</v>
      </c>
      <c r="AG147" s="63" t="s">
        <v>515</v>
      </c>
      <c r="AH147" s="63" t="s">
        <v>515</v>
      </c>
      <c r="AI147" s="63">
        <v>739.6</v>
      </c>
      <c r="AJ147" s="63">
        <v>557.4</v>
      </c>
      <c r="AK147" s="63">
        <v>562.5</v>
      </c>
      <c r="AL147" s="63">
        <v>562497</v>
      </c>
      <c r="AM147" s="63">
        <v>0.27</v>
      </c>
      <c r="AN147" s="63">
        <v>563</v>
      </c>
      <c r="AO147" s="63">
        <v>0.23599999999999999</v>
      </c>
      <c r="AP147" s="63">
        <v>0.23</v>
      </c>
      <c r="AQ147" s="63">
        <v>0.33500000000000002</v>
      </c>
      <c r="AR147" s="63">
        <v>-241</v>
      </c>
      <c r="AS147" s="63">
        <v>-20.059999999999999</v>
      </c>
      <c r="AT147" s="63">
        <v>-241</v>
      </c>
      <c r="AU147" s="63">
        <v>40.770890000000001</v>
      </c>
      <c r="AV147" s="63">
        <v>-85.648250000000004</v>
      </c>
      <c r="AW147" s="63">
        <v>227.6</v>
      </c>
      <c r="AX147" s="63">
        <v>156.5</v>
      </c>
      <c r="AY147" s="63">
        <v>8.5500000000000007</v>
      </c>
      <c r="AZ147" s="63">
        <v>-131.4</v>
      </c>
      <c r="BA147" s="63">
        <v>11.8</v>
      </c>
      <c r="BB147" s="63">
        <v>0</v>
      </c>
      <c r="BC147" s="63">
        <v>24.523</v>
      </c>
      <c r="BD147" s="63">
        <v>6.92</v>
      </c>
      <c r="BE147" s="63">
        <v>0</v>
      </c>
      <c r="BF147" s="198">
        <v>45100</v>
      </c>
      <c r="BG147" s="63" t="s">
        <v>1863</v>
      </c>
    </row>
    <row r="148" spans="1:59" x14ac:dyDescent="0.25">
      <c r="A148" s="25">
        <v>10147</v>
      </c>
      <c r="B148" t="s">
        <v>170</v>
      </c>
      <c r="C148" t="s">
        <v>170</v>
      </c>
      <c r="D148" s="27">
        <v>3103</v>
      </c>
      <c r="E148" s="27">
        <v>3</v>
      </c>
      <c r="F148" s="118">
        <v>4180</v>
      </c>
      <c r="G148" t="s">
        <v>22</v>
      </c>
      <c r="H148" s="24" t="s">
        <v>8</v>
      </c>
      <c r="I148" t="s">
        <v>515</v>
      </c>
      <c r="J148" t="s">
        <v>515</v>
      </c>
      <c r="K148" t="s">
        <v>515</v>
      </c>
      <c r="L148">
        <v>5.5500000000000001E-2</v>
      </c>
      <c r="M148" s="140" t="str">
        <f t="shared" si="16"/>
        <v>NULL</v>
      </c>
      <c r="N148" s="140" t="str">
        <f t="shared" si="16"/>
        <v>NULL</v>
      </c>
      <c r="O148" s="140" t="str">
        <f t="shared" si="16"/>
        <v>NULL</v>
      </c>
      <c r="P148" s="140">
        <f t="shared" si="15"/>
        <v>0.05</v>
      </c>
      <c r="Q148" s="161" t="s">
        <v>676</v>
      </c>
      <c r="R148" s="125">
        <v>12.875</v>
      </c>
      <c r="S148" t="s">
        <v>676</v>
      </c>
      <c r="T148" t="s">
        <v>515</v>
      </c>
      <c r="U148" t="s">
        <v>515</v>
      </c>
      <c r="V148" s="118" t="s">
        <v>515</v>
      </c>
      <c r="W148">
        <v>40.780942000000003</v>
      </c>
      <c r="X148">
        <v>-85.643994000000006</v>
      </c>
      <c r="Y148">
        <v>6</v>
      </c>
      <c r="Z148">
        <v>23</v>
      </c>
      <c r="AA148">
        <v>2023</v>
      </c>
      <c r="AB148" t="b">
        <v>0</v>
      </c>
      <c r="AC148" s="19">
        <v>45100</v>
      </c>
      <c r="AD148" s="19" t="s">
        <v>515</v>
      </c>
      <c r="AE148" s="232">
        <v>0.69111111111111112</v>
      </c>
      <c r="AF148" s="198">
        <v>45100</v>
      </c>
      <c r="AG148" s="63" t="s">
        <v>515</v>
      </c>
      <c r="AH148" s="63" t="s">
        <v>515</v>
      </c>
      <c r="AI148" s="63">
        <v>739.5</v>
      </c>
      <c r="AJ148" s="63">
        <v>556.5</v>
      </c>
      <c r="AK148" s="63">
        <v>566.70000000000005</v>
      </c>
      <c r="AL148" s="63">
        <v>566722</v>
      </c>
      <c r="AM148" s="63">
        <v>0.27</v>
      </c>
      <c r="AN148" s="63">
        <v>567.79999999999995</v>
      </c>
      <c r="AO148" s="63">
        <v>0.26800000000000002</v>
      </c>
      <c r="AP148" s="63">
        <v>0.27800000000000002</v>
      </c>
      <c r="AQ148" s="63">
        <v>0.38</v>
      </c>
      <c r="AR148" s="63">
        <v>-271.10000000000002</v>
      </c>
      <c r="AS148" s="63">
        <v>-22.76</v>
      </c>
      <c r="AT148" s="63">
        <v>-271.10000000000002</v>
      </c>
      <c r="AU148" s="63">
        <v>40.780970000000003</v>
      </c>
      <c r="AV148" s="63">
        <v>-85.643940000000001</v>
      </c>
      <c r="AW148" s="63">
        <v>233</v>
      </c>
      <c r="AX148" s="63">
        <v>141.69999999999999</v>
      </c>
      <c r="AY148" s="63">
        <v>8.4700000000000006</v>
      </c>
      <c r="AZ148" s="63">
        <v>-126.3</v>
      </c>
      <c r="BA148" s="63">
        <v>11.8</v>
      </c>
      <c r="BB148" s="63">
        <v>0</v>
      </c>
      <c r="BC148" s="63">
        <v>24.06</v>
      </c>
      <c r="BD148" s="63">
        <v>5.76</v>
      </c>
      <c r="BE148" s="63">
        <v>0</v>
      </c>
      <c r="BF148" s="198">
        <v>45100</v>
      </c>
      <c r="BG148" s="63" t="s">
        <v>1864</v>
      </c>
    </row>
    <row r="149" spans="1:59" x14ac:dyDescent="0.25">
      <c r="A149" s="25">
        <v>10148</v>
      </c>
      <c r="B149" t="s">
        <v>171</v>
      </c>
      <c r="C149" t="s">
        <v>171</v>
      </c>
      <c r="D149" s="27">
        <v>3104</v>
      </c>
      <c r="E149" s="27">
        <v>4</v>
      </c>
      <c r="F149" s="118">
        <v>4980</v>
      </c>
      <c r="G149" t="s">
        <v>22</v>
      </c>
      <c r="H149" s="24" t="s">
        <v>8</v>
      </c>
      <c r="I149" t="s">
        <v>515</v>
      </c>
      <c r="J149" t="s">
        <v>515</v>
      </c>
      <c r="K149" t="s">
        <v>515</v>
      </c>
      <c r="L149">
        <v>4.3499999999999997E-2</v>
      </c>
      <c r="M149" s="140" t="str">
        <f t="shared" si="16"/>
        <v>NULL</v>
      </c>
      <c r="N149" s="140" t="str">
        <f t="shared" si="16"/>
        <v>NULL</v>
      </c>
      <c r="O149" s="140" t="str">
        <f t="shared" si="16"/>
        <v>NULL</v>
      </c>
      <c r="P149" s="140">
        <f t="shared" si="15"/>
        <v>0.05</v>
      </c>
      <c r="Q149" s="161">
        <v>6.5223728705696205E-2</v>
      </c>
      <c r="R149" s="125">
        <v>16.059999999999999</v>
      </c>
      <c r="S149" t="s">
        <v>676</v>
      </c>
      <c r="T149" t="s">
        <v>515</v>
      </c>
      <c r="U149" t="s">
        <v>515</v>
      </c>
      <c r="V149" s="118" t="s">
        <v>515</v>
      </c>
      <c r="W149">
        <v>40.784331000000002</v>
      </c>
      <c r="X149">
        <v>-85.637880999999993</v>
      </c>
      <c r="Y149">
        <v>6</v>
      </c>
      <c r="Z149">
        <v>23</v>
      </c>
      <c r="AA149">
        <v>2023</v>
      </c>
      <c r="AB149" t="b">
        <v>0</v>
      </c>
      <c r="AC149" s="19">
        <v>45100</v>
      </c>
      <c r="AD149" s="19" t="s">
        <v>515</v>
      </c>
      <c r="AE149" s="232">
        <v>0.70604166666666668</v>
      </c>
      <c r="AF149" s="198">
        <v>45100</v>
      </c>
      <c r="AG149" s="63" t="s">
        <v>515</v>
      </c>
      <c r="AH149" s="63" t="s">
        <v>515</v>
      </c>
      <c r="AI149" s="63">
        <v>739.6</v>
      </c>
      <c r="AJ149" s="63">
        <v>562.79999999999995</v>
      </c>
      <c r="AK149" s="63">
        <v>573.70000000000005</v>
      </c>
      <c r="AL149" s="63">
        <v>573680</v>
      </c>
      <c r="AM149" s="63">
        <v>0.28000000000000003</v>
      </c>
      <c r="AN149" s="63">
        <v>574.79999999999995</v>
      </c>
      <c r="AO149" s="63">
        <v>0.214</v>
      </c>
      <c r="AP149" s="63">
        <v>0.221</v>
      </c>
      <c r="AQ149" s="63">
        <v>0.30399999999999999</v>
      </c>
      <c r="AR149" s="63">
        <v>-249.7</v>
      </c>
      <c r="AS149" s="63">
        <v>-20.98</v>
      </c>
      <c r="AT149" s="63">
        <v>-249.7</v>
      </c>
      <c r="AU149" s="63">
        <v>40.784289999999999</v>
      </c>
      <c r="AV149" s="63">
        <v>-85.637829999999994</v>
      </c>
      <c r="AW149" s="63">
        <v>230.4</v>
      </c>
      <c r="AX149" s="63">
        <v>140.6</v>
      </c>
      <c r="AY149" s="63">
        <v>8.52</v>
      </c>
      <c r="AZ149" s="63">
        <v>-129.19999999999999</v>
      </c>
      <c r="BA149" s="63">
        <v>11.8</v>
      </c>
      <c r="BB149" s="63">
        <v>0</v>
      </c>
      <c r="BC149" s="63">
        <v>24.003</v>
      </c>
      <c r="BD149" s="63">
        <v>5.1100000000000003</v>
      </c>
      <c r="BE149" s="63">
        <v>0</v>
      </c>
      <c r="BF149" s="198">
        <v>45100</v>
      </c>
      <c r="BG149" s="63" t="s">
        <v>1865</v>
      </c>
    </row>
    <row r="150" spans="1:59" x14ac:dyDescent="0.25">
      <c r="A150" s="25">
        <v>10149</v>
      </c>
      <c r="B150" s="26" t="s">
        <v>172</v>
      </c>
      <c r="C150" s="26" t="s">
        <v>172</v>
      </c>
      <c r="D150" s="30">
        <v>3105</v>
      </c>
      <c r="E150" s="30">
        <v>5</v>
      </c>
      <c r="F150" s="118">
        <v>6340</v>
      </c>
      <c r="G150" s="26" t="s">
        <v>22</v>
      </c>
      <c r="H150" s="66" t="s">
        <v>8</v>
      </c>
      <c r="I150" s="26">
        <v>0.85499999999999998</v>
      </c>
      <c r="J150" s="26">
        <v>3.5640000000000001</v>
      </c>
      <c r="K150" s="26">
        <v>0.32700000000000001</v>
      </c>
      <c r="L150" s="26">
        <v>5.6000000000000001E-2</v>
      </c>
      <c r="M150" s="140">
        <f t="shared" si="16"/>
        <v>0.85499999999999998</v>
      </c>
      <c r="N150" s="140">
        <f t="shared" si="16"/>
        <v>3.5640000000000001</v>
      </c>
      <c r="O150" s="140">
        <f t="shared" si="16"/>
        <v>0.32700000000000001</v>
      </c>
      <c r="P150" s="140">
        <f t="shared" si="15"/>
        <v>0.05</v>
      </c>
      <c r="Q150" s="162">
        <v>4.0995399000403901E-2</v>
      </c>
      <c r="R150" s="128">
        <v>23.315000000000001</v>
      </c>
      <c r="S150" t="s">
        <v>676</v>
      </c>
      <c r="T150" t="s">
        <v>515</v>
      </c>
      <c r="U150" t="s">
        <v>515</v>
      </c>
      <c r="V150" s="118" t="s">
        <v>515</v>
      </c>
      <c r="W150">
        <v>40.775289000000001</v>
      </c>
      <c r="X150">
        <v>-85.623689999999996</v>
      </c>
      <c r="Y150">
        <v>6</v>
      </c>
      <c r="Z150">
        <v>23</v>
      </c>
      <c r="AA150">
        <v>2023</v>
      </c>
      <c r="AB150" t="b">
        <v>0</v>
      </c>
      <c r="AC150" s="19">
        <v>45100</v>
      </c>
      <c r="AD150" s="19" t="s">
        <v>515</v>
      </c>
      <c r="AE150" s="232">
        <v>0.72304398148148152</v>
      </c>
      <c r="AF150" s="198">
        <v>45100</v>
      </c>
      <c r="AG150" s="63" t="s">
        <v>515</v>
      </c>
      <c r="AH150" s="63" t="s">
        <v>515</v>
      </c>
      <c r="AI150" s="63">
        <v>739.6</v>
      </c>
      <c r="AJ150" s="63">
        <v>565</v>
      </c>
      <c r="AK150" s="63">
        <v>581.4</v>
      </c>
      <c r="AL150" s="63">
        <v>581354</v>
      </c>
      <c r="AM150" s="63">
        <v>0.28000000000000003</v>
      </c>
      <c r="AN150" s="63">
        <v>583</v>
      </c>
      <c r="AO150" s="63">
        <v>0.23400000000000001</v>
      </c>
      <c r="AP150" s="63">
        <v>0.248</v>
      </c>
      <c r="AQ150" s="63">
        <v>0.33200000000000002</v>
      </c>
      <c r="AR150" s="63">
        <v>-282.3</v>
      </c>
      <c r="AS150" s="63">
        <v>-23.94</v>
      </c>
      <c r="AT150" s="63">
        <v>-282.3</v>
      </c>
      <c r="AU150" s="63">
        <v>40.775269999999999</v>
      </c>
      <c r="AV150" s="63">
        <v>-85.623660000000001</v>
      </c>
      <c r="AW150" s="63">
        <v>229.8</v>
      </c>
      <c r="AX150" s="63">
        <v>158.4</v>
      </c>
      <c r="AY150" s="63">
        <v>8.51</v>
      </c>
      <c r="AZ150" s="63">
        <v>-128.69999999999999</v>
      </c>
      <c r="BA150" s="63">
        <v>11.8</v>
      </c>
      <c r="BB150" s="63">
        <v>0</v>
      </c>
      <c r="BC150" s="63">
        <v>23.524000000000001</v>
      </c>
      <c r="BD150" s="63">
        <v>5.51</v>
      </c>
      <c r="BE150" s="63">
        <v>0</v>
      </c>
      <c r="BF150" s="198">
        <v>45100</v>
      </c>
      <c r="BG150" s="63" t="s">
        <v>1866</v>
      </c>
    </row>
    <row r="151" spans="1:59" x14ac:dyDescent="0.25">
      <c r="A151" s="25">
        <v>10150</v>
      </c>
      <c r="B151" t="s">
        <v>173</v>
      </c>
      <c r="C151" t="s">
        <v>173</v>
      </c>
      <c r="D151" s="27">
        <v>3106</v>
      </c>
      <c r="E151" s="27">
        <v>6</v>
      </c>
      <c r="F151" s="118">
        <v>7900</v>
      </c>
      <c r="G151" t="s">
        <v>22</v>
      </c>
      <c r="H151" s="24" t="s">
        <v>8</v>
      </c>
      <c r="I151" t="s">
        <v>515</v>
      </c>
      <c r="J151" t="s">
        <v>515</v>
      </c>
      <c r="K151" t="s">
        <v>515</v>
      </c>
      <c r="L151">
        <v>5.2499999999999998E-2</v>
      </c>
      <c r="M151" s="140" t="str">
        <f t="shared" si="16"/>
        <v>NULL</v>
      </c>
      <c r="N151" s="140" t="str">
        <f t="shared" si="16"/>
        <v>NULL</v>
      </c>
      <c r="O151" s="140" t="str">
        <f t="shared" si="16"/>
        <v>NULL</v>
      </c>
      <c r="P151" s="140">
        <f t="shared" si="15"/>
        <v>0.05</v>
      </c>
      <c r="Q151" s="161">
        <v>4.6049227570846403E-2</v>
      </c>
      <c r="R151" s="125">
        <v>19.395</v>
      </c>
      <c r="S151" t="s">
        <v>676</v>
      </c>
      <c r="T151" t="s">
        <v>515</v>
      </c>
      <c r="U151" t="s">
        <v>515</v>
      </c>
      <c r="V151" s="118" t="s">
        <v>515</v>
      </c>
      <c r="W151">
        <v>40.775669000000001</v>
      </c>
      <c r="X151">
        <v>-85.606437999999997</v>
      </c>
      <c r="Y151">
        <v>6</v>
      </c>
      <c r="Z151">
        <v>23</v>
      </c>
      <c r="AA151">
        <v>2023</v>
      </c>
      <c r="AB151" t="b">
        <v>0</v>
      </c>
      <c r="AC151" s="19">
        <v>45100</v>
      </c>
      <c r="AD151" s="19" t="s">
        <v>515</v>
      </c>
      <c r="AE151" s="232">
        <v>0.73624999999999996</v>
      </c>
      <c r="AF151" s="198">
        <v>45100</v>
      </c>
      <c r="AG151" s="63" t="s">
        <v>515</v>
      </c>
      <c r="AH151" s="63" t="s">
        <v>515</v>
      </c>
      <c r="AI151" s="63">
        <v>739.5</v>
      </c>
      <c r="AJ151" s="63">
        <v>578.20000000000005</v>
      </c>
      <c r="AK151" s="63">
        <v>587</v>
      </c>
      <c r="AL151" s="63">
        <v>586963</v>
      </c>
      <c r="AM151" s="63">
        <v>0.28000000000000003</v>
      </c>
      <c r="AN151" s="63">
        <v>587.9</v>
      </c>
      <c r="AO151" s="63">
        <v>0.23200000000000001</v>
      </c>
      <c r="AP151" s="63">
        <v>0.23300000000000001</v>
      </c>
      <c r="AQ151" s="63">
        <v>0.33</v>
      </c>
      <c r="AR151" s="63">
        <v>-244.3</v>
      </c>
      <c r="AS151" s="63">
        <v>-20.45</v>
      </c>
      <c r="AT151" s="63">
        <v>-244.3</v>
      </c>
      <c r="AU151" s="63">
        <v>40.77561</v>
      </c>
      <c r="AV151" s="63">
        <v>-85.606409999999997</v>
      </c>
      <c r="AW151" s="63">
        <v>230.4</v>
      </c>
      <c r="AX151" s="63">
        <v>171.8</v>
      </c>
      <c r="AY151" s="63">
        <v>8.6199999999999992</v>
      </c>
      <c r="AZ151" s="63">
        <v>-135.9</v>
      </c>
      <c r="BA151" s="63">
        <v>11.8</v>
      </c>
      <c r="BB151" s="63">
        <v>0</v>
      </c>
      <c r="BC151" s="63">
        <v>24.216999999999999</v>
      </c>
      <c r="BD151" s="63">
        <v>7.55</v>
      </c>
      <c r="BE151" s="63">
        <v>0</v>
      </c>
      <c r="BF151" s="198">
        <v>45100</v>
      </c>
      <c r="BG151" s="63" t="s">
        <v>1867</v>
      </c>
    </row>
    <row r="152" spans="1:59" x14ac:dyDescent="0.25">
      <c r="A152" s="25">
        <v>10151</v>
      </c>
      <c r="B152" t="s">
        <v>174</v>
      </c>
      <c r="C152" t="s">
        <v>174</v>
      </c>
      <c r="D152" s="27">
        <v>3107</v>
      </c>
      <c r="E152" s="27">
        <v>7</v>
      </c>
      <c r="F152" s="118">
        <v>10610</v>
      </c>
      <c r="G152" t="s">
        <v>22</v>
      </c>
      <c r="H152" s="24" t="s">
        <v>8</v>
      </c>
      <c r="I152" t="s">
        <v>515</v>
      </c>
      <c r="J152" t="s">
        <v>515</v>
      </c>
      <c r="K152" t="s">
        <v>515</v>
      </c>
      <c r="L152">
        <v>4.2500000000000003E-2</v>
      </c>
      <c r="M152" s="140" t="str">
        <f t="shared" si="16"/>
        <v>NULL</v>
      </c>
      <c r="N152" s="140" t="str">
        <f t="shared" si="16"/>
        <v>NULL</v>
      </c>
      <c r="O152" s="140" t="str">
        <f t="shared" si="16"/>
        <v>NULL</v>
      </c>
      <c r="P152" s="140">
        <f t="shared" si="15"/>
        <v>0.05</v>
      </c>
      <c r="Q152" s="161">
        <v>5.1201853453580999E-3</v>
      </c>
      <c r="R152" s="125">
        <v>27.805</v>
      </c>
      <c r="S152" t="s">
        <v>676</v>
      </c>
      <c r="T152" t="s">
        <v>515</v>
      </c>
      <c r="U152" t="s">
        <v>515</v>
      </c>
      <c r="V152" s="118" t="s">
        <v>515</v>
      </c>
      <c r="W152">
        <v>40.775680000000001</v>
      </c>
      <c r="X152">
        <v>-85.579875999999999</v>
      </c>
      <c r="Y152">
        <v>6</v>
      </c>
      <c r="Z152">
        <v>23</v>
      </c>
      <c r="AA152">
        <v>2023</v>
      </c>
      <c r="AB152" t="b">
        <v>0</v>
      </c>
      <c r="AC152" s="19">
        <v>45100</v>
      </c>
      <c r="AD152" s="19" t="s">
        <v>515</v>
      </c>
      <c r="AE152" s="232">
        <v>0.75168981481481478</v>
      </c>
      <c r="AF152" s="198">
        <v>45100</v>
      </c>
      <c r="AG152" s="63" t="s">
        <v>515</v>
      </c>
      <c r="AH152" s="63" t="s">
        <v>515</v>
      </c>
      <c r="AI152" s="63">
        <v>739.3</v>
      </c>
      <c r="AJ152" s="63">
        <v>592</v>
      </c>
      <c r="AK152" s="63">
        <v>605.79999999999995</v>
      </c>
      <c r="AL152" s="63">
        <v>605797</v>
      </c>
      <c r="AM152" s="63">
        <v>0.28999999999999998</v>
      </c>
      <c r="AN152" s="63">
        <v>607.20000000000005</v>
      </c>
      <c r="AO152" s="63">
        <v>0.223</v>
      </c>
      <c r="AP152" s="63">
        <v>0.23599999999999999</v>
      </c>
      <c r="AQ152" s="63">
        <v>0.317</v>
      </c>
      <c r="AR152" s="63">
        <v>-175</v>
      </c>
      <c r="AS152" s="63">
        <v>-14.76</v>
      </c>
      <c r="AT152" s="63">
        <v>-175</v>
      </c>
      <c r="AU152" s="63">
        <v>40.775480000000002</v>
      </c>
      <c r="AV152" s="63">
        <v>-85.580020000000005</v>
      </c>
      <c r="AW152" s="63">
        <v>231</v>
      </c>
      <c r="AX152" s="63">
        <v>142.30000000000001</v>
      </c>
      <c r="AY152" s="63">
        <v>8.4499999999999993</v>
      </c>
      <c r="AZ152" s="63">
        <v>-125.1</v>
      </c>
      <c r="BA152" s="63">
        <v>11.8</v>
      </c>
      <c r="BB152" s="63">
        <v>0</v>
      </c>
      <c r="BC152" s="63">
        <v>23.808</v>
      </c>
      <c r="BD152" s="63">
        <v>4.78</v>
      </c>
      <c r="BE152" s="63">
        <v>0</v>
      </c>
      <c r="BF152" s="198">
        <v>45100</v>
      </c>
      <c r="BG152" s="63" t="s">
        <v>1868</v>
      </c>
    </row>
    <row r="153" spans="1:59" x14ac:dyDescent="0.25">
      <c r="A153" s="25">
        <v>10152</v>
      </c>
      <c r="B153" s="26" t="s">
        <v>175</v>
      </c>
      <c r="C153" s="26" t="s">
        <v>175</v>
      </c>
      <c r="D153" s="30">
        <v>3108</v>
      </c>
      <c r="E153" s="30">
        <v>8</v>
      </c>
      <c r="F153" s="118">
        <v>9370</v>
      </c>
      <c r="G153" s="26" t="s">
        <v>22</v>
      </c>
      <c r="H153" s="66" t="s">
        <v>8</v>
      </c>
      <c r="I153" s="26">
        <v>1.06535</v>
      </c>
      <c r="J153" s="26">
        <v>3.6315</v>
      </c>
      <c r="K153" s="26">
        <v>0.32150000000000001</v>
      </c>
      <c r="L153" s="26">
        <v>7.6999999999999999E-2</v>
      </c>
      <c r="M153" s="140">
        <f t="shared" si="16"/>
        <v>1.06535</v>
      </c>
      <c r="N153" s="140">
        <f t="shared" si="16"/>
        <v>3.6315</v>
      </c>
      <c r="O153" s="140">
        <f t="shared" si="16"/>
        <v>0.32150000000000001</v>
      </c>
      <c r="P153" s="140">
        <f t="shared" si="15"/>
        <v>0.05</v>
      </c>
      <c r="Q153" s="162">
        <v>0.170919582628346</v>
      </c>
      <c r="R153" s="128">
        <v>45.42</v>
      </c>
      <c r="S153" t="s">
        <v>676</v>
      </c>
      <c r="T153" t="s">
        <v>515</v>
      </c>
      <c r="U153" t="s">
        <v>515</v>
      </c>
      <c r="V153" s="118" t="s">
        <v>515</v>
      </c>
      <c r="W153">
        <v>40.766798999999999</v>
      </c>
      <c r="X153">
        <v>-85.597628999999998</v>
      </c>
      <c r="Y153">
        <v>6</v>
      </c>
      <c r="Z153">
        <v>23</v>
      </c>
      <c r="AA153">
        <v>2023</v>
      </c>
      <c r="AB153" t="b">
        <v>0</v>
      </c>
      <c r="AC153" s="19">
        <v>45100</v>
      </c>
      <c r="AD153" s="19" t="s">
        <v>515</v>
      </c>
      <c r="AE153" s="232">
        <v>0.76894675925925926</v>
      </c>
      <c r="AF153" s="198">
        <v>45100</v>
      </c>
      <c r="AG153" s="63" t="s">
        <v>515</v>
      </c>
      <c r="AH153" s="63" t="s">
        <v>515</v>
      </c>
      <c r="AI153" s="63">
        <v>739.3</v>
      </c>
      <c r="AJ153" s="63">
        <v>578.9</v>
      </c>
      <c r="AK153" s="63">
        <v>588.79999999999995</v>
      </c>
      <c r="AL153" s="63">
        <v>588837</v>
      </c>
      <c r="AM153" s="63">
        <v>0.28000000000000003</v>
      </c>
      <c r="AN153" s="63">
        <v>589.79999999999995</v>
      </c>
      <c r="AO153" s="63">
        <v>0.22600000000000001</v>
      </c>
      <c r="AP153" s="63">
        <v>0.22</v>
      </c>
      <c r="AQ153" s="63">
        <v>0.32100000000000001</v>
      </c>
      <c r="AR153" s="63">
        <v>-333.5</v>
      </c>
      <c r="AS153" s="63">
        <v>-27.97</v>
      </c>
      <c r="AT153" s="63">
        <v>-333.5</v>
      </c>
      <c r="AU153" s="63">
        <v>40.766820000000003</v>
      </c>
      <c r="AV153" s="63">
        <v>-85.597579999999994</v>
      </c>
      <c r="AW153" s="63">
        <v>230.3</v>
      </c>
      <c r="AX153" s="63">
        <v>149.4</v>
      </c>
      <c r="AY153" s="63">
        <v>8.65</v>
      </c>
      <c r="AZ153" s="63">
        <v>-137.30000000000001</v>
      </c>
      <c r="BA153" s="63">
        <v>11.8</v>
      </c>
      <c r="BB153" s="63">
        <v>0</v>
      </c>
      <c r="BC153" s="63">
        <v>24.117999999999999</v>
      </c>
      <c r="BD153" s="63">
        <v>5.94</v>
      </c>
      <c r="BE153" s="63">
        <v>0</v>
      </c>
      <c r="BF153" s="198">
        <v>45100</v>
      </c>
      <c r="BG153" s="63" t="s">
        <v>1869</v>
      </c>
    </row>
    <row r="154" spans="1:59" x14ac:dyDescent="0.25">
      <c r="A154" s="25">
        <v>10153</v>
      </c>
      <c r="B154" t="s">
        <v>176</v>
      </c>
      <c r="C154" t="s">
        <v>176</v>
      </c>
      <c r="D154" s="27">
        <v>3109</v>
      </c>
      <c r="E154" s="27">
        <v>9</v>
      </c>
      <c r="F154" s="118">
        <v>10331</v>
      </c>
      <c r="G154" t="s">
        <v>22</v>
      </c>
      <c r="H154" s="24" t="s">
        <v>8</v>
      </c>
      <c r="I154" t="s">
        <v>515</v>
      </c>
      <c r="J154" t="s">
        <v>515</v>
      </c>
      <c r="K154" t="s">
        <v>515</v>
      </c>
      <c r="L154">
        <v>8.1500000000000003E-2</v>
      </c>
      <c r="M154" s="140" t="str">
        <f t="shared" si="16"/>
        <v>NULL</v>
      </c>
      <c r="N154" s="140" t="str">
        <f t="shared" si="16"/>
        <v>NULL</v>
      </c>
      <c r="O154" s="140" t="str">
        <f t="shared" si="16"/>
        <v>NULL</v>
      </c>
      <c r="P154" s="140">
        <f t="shared" si="15"/>
        <v>0.05</v>
      </c>
      <c r="Q154" s="161">
        <v>9.6448704458811596E-2</v>
      </c>
      <c r="R154" s="125">
        <v>50.594999999999999</v>
      </c>
      <c r="S154" t="s">
        <v>676</v>
      </c>
      <c r="T154" t="s">
        <v>515</v>
      </c>
      <c r="U154" t="s">
        <v>515</v>
      </c>
      <c r="V154" s="118" t="s">
        <v>515</v>
      </c>
      <c r="W154">
        <v>40.756483000000003</v>
      </c>
      <c r="X154">
        <v>-85.594418000000005</v>
      </c>
      <c r="Y154">
        <v>6</v>
      </c>
      <c r="Z154">
        <v>23</v>
      </c>
      <c r="AA154">
        <v>2023</v>
      </c>
      <c r="AB154" t="b">
        <v>0</v>
      </c>
      <c r="AC154" s="19">
        <v>45100</v>
      </c>
      <c r="AD154" s="19" t="s">
        <v>515</v>
      </c>
      <c r="AE154" s="232">
        <v>0.78031249999999996</v>
      </c>
      <c r="AF154" s="198">
        <v>45100</v>
      </c>
      <c r="AG154" s="63" t="s">
        <v>515</v>
      </c>
      <c r="AH154" s="63" t="s">
        <v>515</v>
      </c>
      <c r="AI154" s="63">
        <v>739</v>
      </c>
      <c r="AJ154" s="63">
        <v>615.29999999999995</v>
      </c>
      <c r="AK154" s="63">
        <v>617.9</v>
      </c>
      <c r="AL154" s="63">
        <v>617923</v>
      </c>
      <c r="AM154" s="63">
        <v>0.3</v>
      </c>
      <c r="AN154" s="63">
        <v>618.20000000000005</v>
      </c>
      <c r="AO154" s="63">
        <v>0.22600000000000001</v>
      </c>
      <c r="AP154" s="63">
        <v>0.22</v>
      </c>
      <c r="AQ154" s="63">
        <v>0.32100000000000001</v>
      </c>
      <c r="AR154" s="63">
        <v>-245.1</v>
      </c>
      <c r="AS154" s="63">
        <v>-20.309999999999999</v>
      </c>
      <c r="AT154" s="63">
        <v>-245.1</v>
      </c>
      <c r="AU154" s="63">
        <v>40.756369999999997</v>
      </c>
      <c r="AV154" s="63">
        <v>-85.594440000000006</v>
      </c>
      <c r="AW154" s="63">
        <v>231.8</v>
      </c>
      <c r="AX154" s="63">
        <v>148.30000000000001</v>
      </c>
      <c r="AY154" s="63">
        <v>8.76</v>
      </c>
      <c r="AZ154" s="63">
        <v>-144.19999999999999</v>
      </c>
      <c r="BA154" s="63">
        <v>11.8</v>
      </c>
      <c r="BB154" s="63">
        <v>0</v>
      </c>
      <c r="BC154" s="63">
        <v>24.774000000000001</v>
      </c>
      <c r="BD154" s="63">
        <v>10.33</v>
      </c>
      <c r="BE154" s="63">
        <v>0</v>
      </c>
      <c r="BF154" s="198">
        <v>45100</v>
      </c>
      <c r="BG154" s="63" t="s">
        <v>1870</v>
      </c>
    </row>
    <row r="155" spans="1:59" x14ac:dyDescent="0.25">
      <c r="A155" s="25">
        <v>10154</v>
      </c>
      <c r="B155" s="26" t="s">
        <v>177</v>
      </c>
      <c r="C155" s="26" t="s">
        <v>177</v>
      </c>
      <c r="D155" s="30">
        <v>3110</v>
      </c>
      <c r="E155" s="30">
        <v>10</v>
      </c>
      <c r="F155" s="118">
        <v>11270</v>
      </c>
      <c r="G155" s="26" t="s">
        <v>22</v>
      </c>
      <c r="H155" s="66" t="s">
        <v>8</v>
      </c>
      <c r="I155" s="26">
        <v>0.80659999999999998</v>
      </c>
      <c r="J155" s="26">
        <v>3.0034999999999998</v>
      </c>
      <c r="K155" s="26">
        <v>0.32850000000000001</v>
      </c>
      <c r="L155" s="26">
        <v>6.3500000000000001E-2</v>
      </c>
      <c r="M155" s="140">
        <f t="shared" si="16"/>
        <v>0.80659999999999998</v>
      </c>
      <c r="N155" s="140">
        <f t="shared" si="16"/>
        <v>3.0034999999999998</v>
      </c>
      <c r="O155" s="140">
        <f t="shared" si="16"/>
        <v>0.32850000000000001</v>
      </c>
      <c r="P155" s="140">
        <f t="shared" si="15"/>
        <v>0.05</v>
      </c>
      <c r="Q155" s="162">
        <v>8.2638851667943394E-2</v>
      </c>
      <c r="R155" s="128">
        <v>22.09</v>
      </c>
      <c r="S155" t="s">
        <v>676</v>
      </c>
      <c r="T155" t="s">
        <v>515</v>
      </c>
      <c r="U155" t="s">
        <v>515</v>
      </c>
      <c r="V155" s="118" t="s">
        <v>515</v>
      </c>
      <c r="W155">
        <v>40.756180999999998</v>
      </c>
      <c r="X155">
        <v>-85.581931999999995</v>
      </c>
      <c r="Y155">
        <v>6</v>
      </c>
      <c r="Z155">
        <v>23</v>
      </c>
      <c r="AA155">
        <v>2023</v>
      </c>
      <c r="AB155" t="b">
        <v>0</v>
      </c>
      <c r="AC155" s="19">
        <v>45100</v>
      </c>
      <c r="AD155" s="19" t="s">
        <v>515</v>
      </c>
      <c r="AE155" s="232">
        <v>0.79098379629629634</v>
      </c>
      <c r="AF155" s="198">
        <v>45100</v>
      </c>
      <c r="AG155" s="63" t="s">
        <v>515</v>
      </c>
      <c r="AH155" s="63" t="s">
        <v>515</v>
      </c>
      <c r="AI155" s="63">
        <v>739.1</v>
      </c>
      <c r="AJ155" s="63">
        <v>661.2</v>
      </c>
      <c r="AK155" s="63">
        <v>672.1</v>
      </c>
      <c r="AL155" s="63">
        <v>672116</v>
      </c>
      <c r="AM155" s="63">
        <v>0.33</v>
      </c>
      <c r="AN155" s="63">
        <v>673.2</v>
      </c>
      <c r="AO155" s="63">
        <v>0.23499999999999999</v>
      </c>
      <c r="AP155" s="63">
        <v>0.27</v>
      </c>
      <c r="AQ155" s="63">
        <v>0.33400000000000002</v>
      </c>
      <c r="AR155" s="63">
        <v>-331.7</v>
      </c>
      <c r="AS155" s="63">
        <v>-27.79</v>
      </c>
      <c r="AT155" s="63">
        <v>-331.7</v>
      </c>
      <c r="AU155" s="63">
        <v>40.756169999999997</v>
      </c>
      <c r="AV155" s="63">
        <v>-85.581829999999997</v>
      </c>
      <c r="AW155" s="63">
        <v>228.8</v>
      </c>
      <c r="AX155" s="63">
        <v>124.2</v>
      </c>
      <c r="AY155" s="63">
        <v>8.5500000000000007</v>
      </c>
      <c r="AZ155" s="63">
        <v>-131.4</v>
      </c>
      <c r="BA155" s="63">
        <v>11.8</v>
      </c>
      <c r="BB155" s="63">
        <v>0</v>
      </c>
      <c r="BC155" s="63">
        <v>24.149000000000001</v>
      </c>
      <c r="BD155" s="63">
        <v>6.4</v>
      </c>
      <c r="BE155" s="63">
        <v>0</v>
      </c>
      <c r="BF155" s="198">
        <v>45100</v>
      </c>
      <c r="BG155" s="63" t="s">
        <v>1871</v>
      </c>
    </row>
    <row r="156" spans="1:59" x14ac:dyDescent="0.25">
      <c r="A156" s="25">
        <v>10155</v>
      </c>
      <c r="B156" s="26" t="s">
        <v>178</v>
      </c>
      <c r="C156" s="26" t="s">
        <v>178</v>
      </c>
      <c r="D156" s="30">
        <v>3111</v>
      </c>
      <c r="E156" s="30">
        <v>11</v>
      </c>
      <c r="F156" s="118" t="s">
        <v>515</v>
      </c>
      <c r="G156" s="26" t="s">
        <v>22</v>
      </c>
      <c r="H156" s="66" t="s">
        <v>8</v>
      </c>
      <c r="I156" s="26">
        <v>1.29175</v>
      </c>
      <c r="J156" s="26">
        <v>4.1565000000000003</v>
      </c>
      <c r="K156" s="26">
        <v>0.39750000000000002</v>
      </c>
      <c r="L156" s="26">
        <v>0.09</v>
      </c>
      <c r="M156" s="140">
        <f t="shared" si="16"/>
        <v>1.29175</v>
      </c>
      <c r="N156" s="140">
        <f t="shared" si="16"/>
        <v>4.1565000000000003</v>
      </c>
      <c r="O156" s="140">
        <f t="shared" si="16"/>
        <v>0.39750000000000002</v>
      </c>
      <c r="P156" s="140">
        <f t="shared" si="15"/>
        <v>0.05</v>
      </c>
      <c r="Q156" s="162">
        <v>2.8128045640430799E-2</v>
      </c>
      <c r="R156" s="128">
        <v>38.96</v>
      </c>
      <c r="S156" t="s">
        <v>676</v>
      </c>
      <c r="T156" t="s">
        <v>515</v>
      </c>
      <c r="U156" t="s">
        <v>515</v>
      </c>
      <c r="V156" s="118" t="s">
        <v>515</v>
      </c>
      <c r="W156">
        <v>40.746032999999997</v>
      </c>
      <c r="X156">
        <v>-85.568810999999997</v>
      </c>
      <c r="Y156">
        <v>6</v>
      </c>
      <c r="Z156">
        <v>23</v>
      </c>
      <c r="AA156">
        <v>2023</v>
      </c>
      <c r="AB156" t="b">
        <v>0</v>
      </c>
      <c r="AC156" s="19">
        <v>45100</v>
      </c>
      <c r="AD156" s="19" t="s">
        <v>515</v>
      </c>
      <c r="AE156" s="232">
        <v>0.82640046296296299</v>
      </c>
      <c r="AF156" s="198">
        <v>45100</v>
      </c>
      <c r="AG156" s="63" t="s">
        <v>515</v>
      </c>
      <c r="AH156" s="63" t="s">
        <v>515</v>
      </c>
      <c r="AI156" s="63">
        <v>738.8</v>
      </c>
      <c r="AJ156" s="63">
        <v>751.2</v>
      </c>
      <c r="AK156" s="63">
        <v>756.1</v>
      </c>
      <c r="AL156" s="63">
        <v>756113</v>
      </c>
      <c r="AM156" s="63">
        <v>0.37</v>
      </c>
      <c r="AN156" s="63">
        <v>756.6</v>
      </c>
      <c r="AO156" s="63">
        <v>0.20899999999999999</v>
      </c>
      <c r="AP156" s="63">
        <v>0.20699999999999999</v>
      </c>
      <c r="AQ156" s="63">
        <v>0.29699999999999999</v>
      </c>
      <c r="AR156" s="63">
        <v>-206.4</v>
      </c>
      <c r="AS156" s="63">
        <v>-17.13</v>
      </c>
      <c r="AT156" s="63">
        <v>-206.4</v>
      </c>
      <c r="AU156" s="63">
        <v>40.745739999999998</v>
      </c>
      <c r="AV156" s="63">
        <v>-85.568849999999998</v>
      </c>
      <c r="AW156" s="63">
        <v>230.3</v>
      </c>
      <c r="AX156" s="63">
        <v>145.80000000000001</v>
      </c>
      <c r="AY156" s="63">
        <v>8.39</v>
      </c>
      <c r="AZ156" s="63">
        <v>-122</v>
      </c>
      <c r="BA156" s="63">
        <v>11.8</v>
      </c>
      <c r="BB156" s="63">
        <v>0</v>
      </c>
      <c r="BC156" s="63">
        <v>24.661000000000001</v>
      </c>
      <c r="BD156" s="63">
        <v>9.33</v>
      </c>
      <c r="BE156" s="63">
        <v>0</v>
      </c>
      <c r="BF156" s="198">
        <v>45100</v>
      </c>
      <c r="BG156" s="63" t="s">
        <v>1872</v>
      </c>
    </row>
    <row r="157" spans="1:59" x14ac:dyDescent="0.25">
      <c r="A157" s="25">
        <v>10156</v>
      </c>
      <c r="B157" t="s">
        <v>179</v>
      </c>
      <c r="C157" t="s">
        <v>179</v>
      </c>
      <c r="D157" s="27">
        <v>3112</v>
      </c>
      <c r="E157" s="27">
        <v>12</v>
      </c>
      <c r="F157" s="118" t="s">
        <v>515</v>
      </c>
      <c r="G157" t="s">
        <v>22</v>
      </c>
      <c r="H157" s="24" t="s">
        <v>8</v>
      </c>
      <c r="I157" t="s">
        <v>515</v>
      </c>
      <c r="J157" t="s">
        <v>515</v>
      </c>
      <c r="K157" t="s">
        <v>515</v>
      </c>
      <c r="L157">
        <v>6.7000000000000004E-2</v>
      </c>
      <c r="M157" s="140" t="str">
        <f t="shared" si="16"/>
        <v>NULL</v>
      </c>
      <c r="N157" s="140" t="str">
        <f t="shared" si="16"/>
        <v>NULL</v>
      </c>
      <c r="O157" s="140" t="str">
        <f t="shared" si="16"/>
        <v>NULL</v>
      </c>
      <c r="P157" s="140">
        <f t="shared" si="15"/>
        <v>0.05</v>
      </c>
      <c r="Q157" s="161">
        <v>3.7333642147783098E-2</v>
      </c>
      <c r="R157" s="125">
        <v>33.69</v>
      </c>
      <c r="S157" t="s">
        <v>676</v>
      </c>
      <c r="T157" t="s">
        <v>515</v>
      </c>
      <c r="U157" t="s">
        <v>515</v>
      </c>
      <c r="V157" s="118" t="s">
        <v>515</v>
      </c>
      <c r="W157">
        <v>40.746825000000001</v>
      </c>
      <c r="X157">
        <v>-85.548726000000002</v>
      </c>
      <c r="Y157">
        <v>6</v>
      </c>
      <c r="Z157">
        <v>23</v>
      </c>
      <c r="AA157">
        <v>2023</v>
      </c>
      <c r="AB157" t="b">
        <v>0</v>
      </c>
      <c r="AC157" s="19">
        <v>45100</v>
      </c>
      <c r="AD157" s="19" t="s">
        <v>515</v>
      </c>
      <c r="AE157" s="232">
        <v>0.84239583333333334</v>
      </c>
      <c r="AF157" s="198">
        <v>45100</v>
      </c>
      <c r="AG157" s="63" t="s">
        <v>515</v>
      </c>
      <c r="AH157" s="63" t="s">
        <v>515</v>
      </c>
      <c r="AI157" s="63">
        <v>738.7</v>
      </c>
      <c r="AJ157" s="63">
        <v>839.4</v>
      </c>
      <c r="AK157" s="63">
        <v>829.9</v>
      </c>
      <c r="AL157" s="63">
        <v>829923</v>
      </c>
      <c r="AM157" s="63">
        <v>0.41</v>
      </c>
      <c r="AN157" s="63">
        <v>828.9</v>
      </c>
      <c r="AO157" s="63">
        <v>0.251</v>
      </c>
      <c r="AP157" s="63">
        <v>0.24199999999999999</v>
      </c>
      <c r="AQ157" s="63">
        <v>0.35599999999999998</v>
      </c>
      <c r="AR157" s="63">
        <v>-159.9</v>
      </c>
      <c r="AS157" s="63">
        <v>-13.04</v>
      </c>
      <c r="AT157" s="63">
        <v>-159.9</v>
      </c>
      <c r="AU157" s="63">
        <v>40.746699999999997</v>
      </c>
      <c r="AV157" s="63">
        <v>-85.548580000000001</v>
      </c>
      <c r="AW157" s="63">
        <v>230.9</v>
      </c>
      <c r="AX157" s="63">
        <v>99.4</v>
      </c>
      <c r="AY157" s="63">
        <v>8.6</v>
      </c>
      <c r="AZ157" s="63">
        <v>-135.1</v>
      </c>
      <c r="BA157" s="63">
        <v>11.8</v>
      </c>
      <c r="BB157" s="63">
        <v>0</v>
      </c>
      <c r="BC157" s="63">
        <v>25.596</v>
      </c>
      <c r="BD157" s="63">
        <v>20.93</v>
      </c>
      <c r="BE157" s="63">
        <v>0</v>
      </c>
      <c r="BF157" s="198">
        <v>45100</v>
      </c>
      <c r="BG157" s="63" t="s">
        <v>1873</v>
      </c>
    </row>
    <row r="158" spans="1:59" x14ac:dyDescent="0.25">
      <c r="A158" s="25">
        <v>10157</v>
      </c>
      <c r="B158" t="s">
        <v>180</v>
      </c>
      <c r="C158" t="s">
        <v>180</v>
      </c>
      <c r="D158" s="27">
        <v>3113</v>
      </c>
      <c r="E158" s="27">
        <v>13</v>
      </c>
      <c r="F158" s="118">
        <v>5180</v>
      </c>
      <c r="G158" t="s">
        <v>22</v>
      </c>
      <c r="H158" s="24" t="s">
        <v>8</v>
      </c>
      <c r="I158" t="s">
        <v>515</v>
      </c>
      <c r="J158" t="s">
        <v>515</v>
      </c>
      <c r="K158" t="s">
        <v>515</v>
      </c>
      <c r="L158">
        <v>5.45E-2</v>
      </c>
      <c r="M158" s="140" t="str">
        <f t="shared" si="16"/>
        <v>NULL</v>
      </c>
      <c r="N158" s="140" t="str">
        <f t="shared" si="16"/>
        <v>NULL</v>
      </c>
      <c r="O158" s="140" t="str">
        <f t="shared" si="16"/>
        <v>NULL</v>
      </c>
      <c r="P158" s="140">
        <f t="shared" si="15"/>
        <v>0.05</v>
      </c>
      <c r="Q158" s="161">
        <v>8.98515247316478E-2</v>
      </c>
      <c r="R158" s="125">
        <v>7.39</v>
      </c>
      <c r="S158" t="s">
        <v>676</v>
      </c>
      <c r="T158" t="s">
        <v>515</v>
      </c>
      <c r="U158" t="s">
        <v>515</v>
      </c>
      <c r="V158" s="118" t="s">
        <v>515</v>
      </c>
      <c r="W158">
        <v>40.780119999999997</v>
      </c>
      <c r="X158">
        <v>-85.637044000000003</v>
      </c>
      <c r="Y158">
        <v>6</v>
      </c>
      <c r="Z158">
        <v>23</v>
      </c>
      <c r="AA158">
        <v>2023</v>
      </c>
      <c r="AB158" t="b">
        <v>0</v>
      </c>
      <c r="AC158" s="19">
        <v>45100</v>
      </c>
      <c r="AD158" s="19" t="s">
        <v>515</v>
      </c>
      <c r="AE158" s="232">
        <v>0.88820601851851855</v>
      </c>
      <c r="AF158" s="198">
        <v>45100</v>
      </c>
      <c r="AG158" s="63" t="s">
        <v>515</v>
      </c>
      <c r="AH158" s="63" t="s">
        <v>515</v>
      </c>
      <c r="AI158" s="63">
        <v>738.4</v>
      </c>
      <c r="AJ158" s="63">
        <v>572</v>
      </c>
      <c r="AK158" s="63">
        <v>565.79999999999995</v>
      </c>
      <c r="AL158" s="63">
        <v>565811</v>
      </c>
      <c r="AM158" s="63">
        <v>0.27</v>
      </c>
      <c r="AN158" s="63">
        <v>565.20000000000005</v>
      </c>
      <c r="AO158" s="63">
        <v>0.22900000000000001</v>
      </c>
      <c r="AP158" s="63">
        <v>0.23400000000000001</v>
      </c>
      <c r="AQ158" s="63">
        <v>0.32500000000000001</v>
      </c>
      <c r="AR158" s="63">
        <v>-285.5</v>
      </c>
      <c r="AS158" s="63">
        <v>-23.31</v>
      </c>
      <c r="AT158" s="63">
        <v>-285.5</v>
      </c>
      <c r="AU158" s="63">
        <v>40.780119999999997</v>
      </c>
      <c r="AV158" s="63">
        <v>-85.636970000000005</v>
      </c>
      <c r="AW158" s="63">
        <v>232</v>
      </c>
      <c r="AX158" s="63">
        <v>129.6</v>
      </c>
      <c r="AY158" s="63">
        <v>8.56</v>
      </c>
      <c r="AZ158" s="63">
        <v>-132.5</v>
      </c>
      <c r="BA158" s="63">
        <v>11.8</v>
      </c>
      <c r="BB158" s="63">
        <v>0</v>
      </c>
      <c r="BC158" s="63">
        <v>25.571999999999999</v>
      </c>
      <c r="BD158" s="63">
        <v>6.06</v>
      </c>
      <c r="BE158" s="63">
        <v>0</v>
      </c>
      <c r="BF158" s="198">
        <v>45100</v>
      </c>
      <c r="BG158" s="63" t="s">
        <v>1874</v>
      </c>
    </row>
    <row r="159" spans="1:59" x14ac:dyDescent="0.25">
      <c r="A159" s="25">
        <v>10158</v>
      </c>
      <c r="B159" t="s">
        <v>181</v>
      </c>
      <c r="C159" t="s">
        <v>558</v>
      </c>
      <c r="D159" s="27" t="s">
        <v>516</v>
      </c>
      <c r="E159" s="27" t="str">
        <f t="shared" ref="E159:E181" si="17">RIGHT(D159,2)</f>
        <v>?</v>
      </c>
      <c r="F159" s="118" t="s">
        <v>515</v>
      </c>
      <c r="G159" t="s">
        <v>19</v>
      </c>
      <c r="H159" s="24" t="s">
        <v>9</v>
      </c>
      <c r="I159" t="s">
        <v>515</v>
      </c>
      <c r="J159" t="s">
        <v>515</v>
      </c>
      <c r="K159" t="s">
        <v>515</v>
      </c>
      <c r="L159">
        <v>5.0999999999999997E-2</v>
      </c>
      <c r="M159" s="140" t="str">
        <f t="shared" si="16"/>
        <v>NULL</v>
      </c>
      <c r="N159" s="140" t="str">
        <f t="shared" si="16"/>
        <v>NULL</v>
      </c>
      <c r="O159" s="140" t="str">
        <f t="shared" si="16"/>
        <v>NULL</v>
      </c>
      <c r="P159" s="140">
        <f t="shared" si="15"/>
        <v>0.05</v>
      </c>
      <c r="Q159" s="161">
        <v>1.0247288333790301</v>
      </c>
      <c r="R159" s="125">
        <v>38.844999999999999</v>
      </c>
      <c r="S159" t="s">
        <v>676</v>
      </c>
      <c r="T159" t="s">
        <v>515</v>
      </c>
      <c r="U159" t="s">
        <v>515</v>
      </c>
      <c r="V159" s="118" t="s">
        <v>515</v>
      </c>
      <c r="W159">
        <v>40.714055999999999</v>
      </c>
      <c r="X159">
        <v>-85.937066000000002</v>
      </c>
      <c r="Y159">
        <v>6</v>
      </c>
      <c r="Z159">
        <v>27</v>
      </c>
      <c r="AA159">
        <v>2023</v>
      </c>
      <c r="AB159" t="b">
        <v>0</v>
      </c>
      <c r="AC159" s="19">
        <v>45104</v>
      </c>
      <c r="AD159" s="19" t="s">
        <v>515</v>
      </c>
      <c r="AE159" s="231">
        <v>0.42001157407407408</v>
      </c>
      <c r="AF159" s="196">
        <v>45104</v>
      </c>
      <c r="AG159" s="29" t="s">
        <v>515</v>
      </c>
      <c r="AH159" s="29" t="s">
        <v>515</v>
      </c>
      <c r="AI159" s="29">
        <v>737.4</v>
      </c>
      <c r="AJ159" s="29">
        <v>467.1</v>
      </c>
      <c r="AK159" s="29">
        <v>483.8</v>
      </c>
      <c r="AL159" s="29">
        <v>483778</v>
      </c>
      <c r="AM159" s="29">
        <v>0.23</v>
      </c>
      <c r="AN159" s="29">
        <v>485.4</v>
      </c>
      <c r="AO159" s="29">
        <v>0.25900000000000001</v>
      </c>
      <c r="AP159" s="29">
        <v>0.27400000000000002</v>
      </c>
      <c r="AQ159" s="29">
        <v>0.36699999999999999</v>
      </c>
      <c r="AR159" s="29">
        <v>-347</v>
      </c>
      <c r="AS159" s="29">
        <v>-29.62</v>
      </c>
      <c r="AT159" s="29">
        <v>-347</v>
      </c>
      <c r="AU159" s="29">
        <v>40.714109999999998</v>
      </c>
      <c r="AV159" s="29">
        <v>-85.937079999999995</v>
      </c>
      <c r="AW159" s="29">
        <v>221.1</v>
      </c>
      <c r="AX159" s="29">
        <v>241.6</v>
      </c>
      <c r="AY159" s="29">
        <v>7.96</v>
      </c>
      <c r="AZ159" s="29">
        <v>-99.2</v>
      </c>
      <c r="BA159" s="29">
        <v>11.8</v>
      </c>
      <c r="BB159" s="29">
        <v>0</v>
      </c>
      <c r="BC159" s="29">
        <v>23.190999999999999</v>
      </c>
      <c r="BD159" s="29">
        <v>7.35</v>
      </c>
      <c r="BE159" s="29">
        <v>0</v>
      </c>
      <c r="BF159" s="196">
        <v>45104</v>
      </c>
      <c r="BG159" s="29" t="s">
        <v>1837</v>
      </c>
    </row>
    <row r="160" spans="1:59" x14ac:dyDescent="0.25">
      <c r="A160" s="25">
        <v>10159</v>
      </c>
      <c r="B160" s="26" t="s">
        <v>182</v>
      </c>
      <c r="C160" s="26" t="s">
        <v>558</v>
      </c>
      <c r="D160" s="30" t="s">
        <v>516</v>
      </c>
      <c r="E160" s="30" t="str">
        <f t="shared" si="17"/>
        <v>?</v>
      </c>
      <c r="F160" s="118" t="s">
        <v>515</v>
      </c>
      <c r="G160" s="26" t="s">
        <v>19</v>
      </c>
      <c r="H160" s="66" t="s">
        <v>9</v>
      </c>
      <c r="I160" s="26">
        <v>0.16209999999999999</v>
      </c>
      <c r="J160" s="26">
        <v>3.593</v>
      </c>
      <c r="K160" s="26">
        <v>-0.01</v>
      </c>
      <c r="L160" s="26">
        <v>5.45E-2</v>
      </c>
      <c r="M160" s="140">
        <f t="shared" si="16"/>
        <v>0.16209999999999999</v>
      </c>
      <c r="N160" s="140">
        <f t="shared" si="16"/>
        <v>3.593</v>
      </c>
      <c r="O160" s="140">
        <f t="shared" si="16"/>
        <v>0.05</v>
      </c>
      <c r="P160" s="140">
        <f t="shared" si="15"/>
        <v>0.05</v>
      </c>
      <c r="Q160" s="162">
        <v>1.8611379869114699</v>
      </c>
      <c r="R160" s="128">
        <v>43.984999999999999</v>
      </c>
      <c r="S160" t="s">
        <v>676</v>
      </c>
      <c r="T160" t="s">
        <v>515</v>
      </c>
      <c r="U160" t="s">
        <v>515</v>
      </c>
      <c r="V160" s="118" t="s">
        <v>515</v>
      </c>
      <c r="W160">
        <v>40.714627999999998</v>
      </c>
      <c r="X160">
        <v>-85.937872999999996</v>
      </c>
      <c r="Y160">
        <v>6</v>
      </c>
      <c r="Z160">
        <v>27</v>
      </c>
      <c r="AA160">
        <v>2023</v>
      </c>
      <c r="AB160" t="b">
        <v>0</v>
      </c>
      <c r="AC160" s="19">
        <v>45104</v>
      </c>
      <c r="AD160" s="19" t="s">
        <v>515</v>
      </c>
      <c r="AE160" s="231">
        <v>0.43093749999999997</v>
      </c>
      <c r="AF160" s="196">
        <v>45104</v>
      </c>
      <c r="AG160" s="29" t="s">
        <v>515</v>
      </c>
      <c r="AH160" s="29" t="s">
        <v>515</v>
      </c>
      <c r="AI160" s="29">
        <v>737.2</v>
      </c>
      <c r="AJ160" s="29">
        <v>463</v>
      </c>
      <c r="AK160" s="29">
        <v>482.8</v>
      </c>
      <c r="AL160" s="29">
        <v>482752</v>
      </c>
      <c r="AM160" s="29">
        <v>0.23</v>
      </c>
      <c r="AN160" s="29">
        <v>484.7</v>
      </c>
      <c r="AO160" s="29">
        <v>3.9E-2</v>
      </c>
      <c r="AP160" s="29">
        <v>5.2999999999999999E-2</v>
      </c>
      <c r="AQ160" s="29">
        <v>5.5E-2</v>
      </c>
      <c r="AR160" s="29">
        <v>-351.9</v>
      </c>
      <c r="AS160" s="29">
        <v>-30.23</v>
      </c>
      <c r="AT160" s="29">
        <v>-351.9</v>
      </c>
      <c r="AU160" s="29">
        <v>40.714649999999999</v>
      </c>
      <c r="AV160" s="29">
        <v>-85.937790000000007</v>
      </c>
      <c r="AW160" s="29">
        <v>221.6</v>
      </c>
      <c r="AX160" s="29">
        <v>185.5</v>
      </c>
      <c r="AY160" s="29">
        <v>8.0500000000000007</v>
      </c>
      <c r="AZ160" s="29">
        <v>-104.4</v>
      </c>
      <c r="BA160" s="29">
        <v>11.8</v>
      </c>
      <c r="BB160" s="29">
        <v>0</v>
      </c>
      <c r="BC160" s="29">
        <v>22.863</v>
      </c>
      <c r="BD160" s="29">
        <v>16.100000000000001</v>
      </c>
      <c r="BE160" s="29">
        <v>0</v>
      </c>
      <c r="BF160" s="196">
        <v>45104</v>
      </c>
      <c r="BG160" s="29" t="s">
        <v>1838</v>
      </c>
    </row>
    <row r="161" spans="1:59" x14ac:dyDescent="0.25">
      <c r="A161" s="25">
        <v>10160</v>
      </c>
      <c r="B161" s="26" t="s">
        <v>183</v>
      </c>
      <c r="C161" s="26" t="s">
        <v>558</v>
      </c>
      <c r="D161" s="30" t="s">
        <v>516</v>
      </c>
      <c r="E161" s="30" t="str">
        <f t="shared" si="17"/>
        <v>?</v>
      </c>
      <c r="F161" s="118" t="s">
        <v>515</v>
      </c>
      <c r="G161" s="26" t="s">
        <v>19</v>
      </c>
      <c r="H161" s="66" t="s">
        <v>9</v>
      </c>
      <c r="I161" s="26">
        <v>0.32155</v>
      </c>
      <c r="J161" s="26">
        <v>3.4714999999999998</v>
      </c>
      <c r="K161" s="26">
        <v>0.151</v>
      </c>
      <c r="L161" s="26">
        <v>4.2999999999999997E-2</v>
      </c>
      <c r="M161" s="140">
        <f t="shared" si="16"/>
        <v>0.32155</v>
      </c>
      <c r="N161" s="140">
        <f t="shared" si="16"/>
        <v>3.4714999999999998</v>
      </c>
      <c r="O161" s="140">
        <f t="shared" si="16"/>
        <v>0.151</v>
      </c>
      <c r="P161" s="140">
        <f t="shared" si="15"/>
        <v>0.05</v>
      </c>
      <c r="Q161" s="162">
        <v>1.1833880309228499</v>
      </c>
      <c r="R161" s="128">
        <v>23.675000000000001</v>
      </c>
      <c r="S161" t="s">
        <v>676</v>
      </c>
      <c r="T161" t="s">
        <v>515</v>
      </c>
      <c r="U161" t="s">
        <v>515</v>
      </c>
      <c r="V161" s="118" t="s">
        <v>515</v>
      </c>
      <c r="W161">
        <v>40.705238000000001</v>
      </c>
      <c r="X161">
        <v>-85.953678999999994</v>
      </c>
      <c r="Y161">
        <v>6</v>
      </c>
      <c r="Z161">
        <v>27</v>
      </c>
      <c r="AA161">
        <v>2023</v>
      </c>
      <c r="AB161" t="b">
        <v>0</v>
      </c>
      <c r="AC161" s="19">
        <v>45104</v>
      </c>
      <c r="AD161" s="19" t="s">
        <v>515</v>
      </c>
      <c r="AE161" s="231">
        <v>0.46438657407407408</v>
      </c>
      <c r="AF161" s="196">
        <v>45104</v>
      </c>
      <c r="AG161" s="29" t="s">
        <v>515</v>
      </c>
      <c r="AH161" s="29" t="s">
        <v>515</v>
      </c>
      <c r="AI161" s="29">
        <v>737.5</v>
      </c>
      <c r="AJ161" s="29">
        <v>459.3</v>
      </c>
      <c r="AK161" s="29">
        <v>481.6</v>
      </c>
      <c r="AL161" s="29">
        <v>481638</v>
      </c>
      <c r="AM161" s="29">
        <v>0.23</v>
      </c>
      <c r="AN161" s="29">
        <v>483.8</v>
      </c>
      <c r="AO161" s="29">
        <v>0.55000000000000004</v>
      </c>
      <c r="AP161" s="29">
        <v>0.53200000000000003</v>
      </c>
      <c r="AQ161" s="29">
        <v>0.78</v>
      </c>
      <c r="AR161" s="29">
        <v>-321.39999999999998</v>
      </c>
      <c r="AS161" s="29">
        <v>-27.76</v>
      </c>
      <c r="AT161" s="29">
        <v>-321.39999999999998</v>
      </c>
      <c r="AU161" s="29">
        <v>40.70523</v>
      </c>
      <c r="AV161" s="29">
        <v>-85.953720000000004</v>
      </c>
      <c r="AW161" s="29">
        <v>228.3</v>
      </c>
      <c r="AX161" s="29">
        <v>129.4</v>
      </c>
      <c r="AY161" s="29">
        <v>8.1199999999999992</v>
      </c>
      <c r="AZ161" s="29">
        <v>-108.3</v>
      </c>
      <c r="BA161" s="29">
        <v>11.8</v>
      </c>
      <c r="BB161" s="29">
        <v>0</v>
      </c>
      <c r="BC161" s="29">
        <v>22.576000000000001</v>
      </c>
      <c r="BD161" s="29">
        <v>9.75</v>
      </c>
      <c r="BE161" s="29">
        <v>0</v>
      </c>
      <c r="BF161" s="196">
        <v>45104</v>
      </c>
      <c r="BG161" s="29" t="s">
        <v>1839</v>
      </c>
    </row>
    <row r="162" spans="1:59" x14ac:dyDescent="0.25">
      <c r="A162" s="25">
        <v>10161</v>
      </c>
      <c r="B162" t="s">
        <v>184</v>
      </c>
      <c r="C162" t="s">
        <v>558</v>
      </c>
      <c r="D162" s="27" t="s">
        <v>516</v>
      </c>
      <c r="E162" s="27" t="str">
        <f t="shared" si="17"/>
        <v>?</v>
      </c>
      <c r="F162" s="118" t="s">
        <v>515</v>
      </c>
      <c r="G162" t="s">
        <v>19</v>
      </c>
      <c r="H162" s="24" t="s">
        <v>9</v>
      </c>
      <c r="I162" t="s">
        <v>515</v>
      </c>
      <c r="J162" t="s">
        <v>515</v>
      </c>
      <c r="K162" t="s">
        <v>515</v>
      </c>
      <c r="L162">
        <v>8.5750000000000007E-2</v>
      </c>
      <c r="M162" s="140" t="str">
        <f t="shared" ref="M162:O177" si="18">IF(I162&lt;0.1,0.05,I162)</f>
        <v>NULL</v>
      </c>
      <c r="N162" s="140" t="str">
        <f t="shared" si="18"/>
        <v>NULL</v>
      </c>
      <c r="O162" s="140" t="str">
        <f t="shared" si="18"/>
        <v>NULL</v>
      </c>
      <c r="P162" s="140">
        <f t="shared" si="15"/>
        <v>0.05</v>
      </c>
      <c r="Q162" s="161">
        <v>2.8600078997902001</v>
      </c>
      <c r="R162" s="125">
        <v>45.784999999999997</v>
      </c>
      <c r="S162" t="s">
        <v>676</v>
      </c>
      <c r="T162" t="s">
        <v>515</v>
      </c>
      <c r="U162" t="s">
        <v>515</v>
      </c>
      <c r="V162" s="118" t="s">
        <v>515</v>
      </c>
      <c r="W162">
        <v>40.703391000000003</v>
      </c>
      <c r="X162">
        <v>-85.936471999999995</v>
      </c>
      <c r="Y162">
        <v>6</v>
      </c>
      <c r="Z162">
        <v>27</v>
      </c>
      <c r="AA162">
        <v>2023</v>
      </c>
      <c r="AB162" t="b">
        <v>0</v>
      </c>
      <c r="AC162" s="19">
        <v>45104</v>
      </c>
      <c r="AD162" s="19" t="s">
        <v>515</v>
      </c>
      <c r="AE162" s="231">
        <v>0.48378472222222224</v>
      </c>
      <c r="AF162" s="196">
        <v>45104</v>
      </c>
      <c r="AG162" s="29" t="s">
        <v>515</v>
      </c>
      <c r="AH162" s="29" t="s">
        <v>515</v>
      </c>
      <c r="AI162" s="29">
        <v>737.5</v>
      </c>
      <c r="AJ162" s="29">
        <v>458.7</v>
      </c>
      <c r="AK162" s="29">
        <v>478.5</v>
      </c>
      <c r="AL162" s="29">
        <v>478452</v>
      </c>
      <c r="AM162" s="29">
        <v>0.23</v>
      </c>
      <c r="AN162" s="29">
        <v>480.4</v>
      </c>
      <c r="AO162" s="29">
        <v>4.3999999999999997E-2</v>
      </c>
      <c r="AP162" s="29">
        <v>4.3999999999999997E-2</v>
      </c>
      <c r="AQ162" s="29">
        <v>6.3E-2</v>
      </c>
      <c r="AR162" s="29">
        <v>-348.4</v>
      </c>
      <c r="AS162" s="29">
        <v>-29.94</v>
      </c>
      <c r="AT162" s="29">
        <v>-348.4</v>
      </c>
      <c r="AU162" s="29">
        <v>40.703360000000004</v>
      </c>
      <c r="AV162" s="29">
        <v>-85.936549999999997</v>
      </c>
      <c r="AW162" s="29">
        <v>226.7</v>
      </c>
      <c r="AX162" s="29">
        <v>110.7</v>
      </c>
      <c r="AY162" s="29">
        <v>8.32</v>
      </c>
      <c r="AZ162" s="29">
        <v>-119.8</v>
      </c>
      <c r="BA162" s="29">
        <v>11.8</v>
      </c>
      <c r="BB162" s="29">
        <v>0</v>
      </c>
      <c r="BC162" s="29">
        <v>22.837</v>
      </c>
      <c r="BD162" s="29">
        <v>7.79</v>
      </c>
      <c r="BE162" s="29">
        <v>0</v>
      </c>
      <c r="BF162" s="196">
        <v>45104</v>
      </c>
      <c r="BG162" s="29" t="s">
        <v>1829</v>
      </c>
    </row>
    <row r="163" spans="1:59" x14ac:dyDescent="0.25">
      <c r="A163" s="25">
        <v>10162</v>
      </c>
      <c r="B163" t="s">
        <v>185</v>
      </c>
      <c r="C163" t="s">
        <v>558</v>
      </c>
      <c r="D163" s="27" t="s">
        <v>516</v>
      </c>
      <c r="E163" s="27" t="str">
        <f t="shared" si="17"/>
        <v>?</v>
      </c>
      <c r="F163" s="118" t="s">
        <v>515</v>
      </c>
      <c r="G163" t="s">
        <v>19</v>
      </c>
      <c r="H163" s="24" t="s">
        <v>9</v>
      </c>
      <c r="I163" t="s">
        <v>515</v>
      </c>
      <c r="J163" t="s">
        <v>515</v>
      </c>
      <c r="K163" t="s">
        <v>515</v>
      </c>
      <c r="L163">
        <v>8.9749999999999996E-2</v>
      </c>
      <c r="M163" s="140" t="str">
        <f t="shared" si="18"/>
        <v>NULL</v>
      </c>
      <c r="N163" s="140" t="str">
        <f t="shared" si="18"/>
        <v>NULL</v>
      </c>
      <c r="O163" s="140" t="str">
        <f t="shared" si="18"/>
        <v>NULL</v>
      </c>
      <c r="P163" s="140">
        <f t="shared" si="15"/>
        <v>0.05</v>
      </c>
      <c r="Q163" s="161">
        <v>2.6070250353352198</v>
      </c>
      <c r="R163" s="125">
        <v>49.524999999999999</v>
      </c>
      <c r="S163" t="s">
        <v>676</v>
      </c>
      <c r="T163" t="s">
        <v>515</v>
      </c>
      <c r="U163" t="s">
        <v>515</v>
      </c>
      <c r="V163" s="118" t="s">
        <v>515</v>
      </c>
      <c r="W163">
        <v>40.702609000000002</v>
      </c>
      <c r="X163">
        <v>-85.936130000000006</v>
      </c>
      <c r="Y163">
        <v>6</v>
      </c>
      <c r="Z163">
        <v>27</v>
      </c>
      <c r="AA163">
        <v>2023</v>
      </c>
      <c r="AB163" t="b">
        <v>0</v>
      </c>
      <c r="AC163" s="19">
        <v>45104</v>
      </c>
      <c r="AD163" s="19" t="s">
        <v>515</v>
      </c>
      <c r="AE163" s="231">
        <v>0.49185185185185187</v>
      </c>
      <c r="AF163" s="196">
        <v>45104</v>
      </c>
      <c r="AG163" s="29" t="s">
        <v>515</v>
      </c>
      <c r="AH163" s="29" t="s">
        <v>515</v>
      </c>
      <c r="AI163" s="29">
        <v>737.7</v>
      </c>
      <c r="AJ163" s="29">
        <v>457.7</v>
      </c>
      <c r="AK163" s="29">
        <v>478.1</v>
      </c>
      <c r="AL163" s="29">
        <v>478060</v>
      </c>
      <c r="AM163" s="29">
        <v>0.23</v>
      </c>
      <c r="AN163" s="29">
        <v>480.1</v>
      </c>
      <c r="AO163" s="29">
        <v>5.6000000000000001E-2</v>
      </c>
      <c r="AP163" s="29">
        <v>6.7000000000000004E-2</v>
      </c>
      <c r="AQ163" s="29">
        <v>7.9000000000000001E-2</v>
      </c>
      <c r="AR163" s="29">
        <v>-377.1</v>
      </c>
      <c r="AS163" s="29">
        <v>-32.450000000000003</v>
      </c>
      <c r="AT163" s="29">
        <v>-377.1</v>
      </c>
      <c r="AU163" s="29">
        <v>40.702570000000001</v>
      </c>
      <c r="AV163" s="29">
        <v>-85.936120000000003</v>
      </c>
      <c r="AW163" s="29">
        <v>224.4</v>
      </c>
      <c r="AX163" s="29">
        <v>115.4</v>
      </c>
      <c r="AY163" s="29">
        <v>8.32</v>
      </c>
      <c r="AZ163" s="29">
        <v>-120.1</v>
      </c>
      <c r="BA163" s="29">
        <v>11.8</v>
      </c>
      <c r="BB163" s="29">
        <v>0</v>
      </c>
      <c r="BC163" s="29">
        <v>22.766999999999999</v>
      </c>
      <c r="BD163" s="29">
        <v>8.02</v>
      </c>
      <c r="BE163" s="29">
        <v>0</v>
      </c>
      <c r="BF163" s="196">
        <v>45104</v>
      </c>
      <c r="BG163" s="29" t="s">
        <v>1840</v>
      </c>
    </row>
    <row r="164" spans="1:59" x14ac:dyDescent="0.25">
      <c r="A164" s="25">
        <v>10163</v>
      </c>
      <c r="B164" t="s">
        <v>186</v>
      </c>
      <c r="C164" t="s">
        <v>558</v>
      </c>
      <c r="D164" s="27" t="s">
        <v>516</v>
      </c>
      <c r="E164" s="27" t="str">
        <f t="shared" si="17"/>
        <v>?</v>
      </c>
      <c r="F164" s="118" t="s">
        <v>515</v>
      </c>
      <c r="G164" t="s">
        <v>19</v>
      </c>
      <c r="H164" s="24" t="s">
        <v>9</v>
      </c>
      <c r="I164" t="s">
        <v>515</v>
      </c>
      <c r="J164" t="s">
        <v>515</v>
      </c>
      <c r="K164" t="s">
        <v>515</v>
      </c>
      <c r="L164">
        <v>8.7999999999999995E-2</v>
      </c>
      <c r="M164" s="140" t="str">
        <f t="shared" si="18"/>
        <v>NULL</v>
      </c>
      <c r="N164" s="140" t="str">
        <f t="shared" si="18"/>
        <v>NULL</v>
      </c>
      <c r="O164" s="140" t="str">
        <f t="shared" si="18"/>
        <v>NULL</v>
      </c>
      <c r="P164" s="140">
        <f t="shared" si="15"/>
        <v>0.05</v>
      </c>
      <c r="Q164" s="161">
        <v>1.5724183158623899</v>
      </c>
      <c r="R164" s="125">
        <v>66.415000000000006</v>
      </c>
      <c r="S164" t="s">
        <v>676</v>
      </c>
      <c r="T164" t="s">
        <v>515</v>
      </c>
      <c r="U164" t="s">
        <v>515</v>
      </c>
      <c r="V164" s="118" t="s">
        <v>515</v>
      </c>
      <c r="W164">
        <v>40.700673000000002</v>
      </c>
      <c r="X164">
        <v>-85.935236000000003</v>
      </c>
      <c r="Y164">
        <v>6</v>
      </c>
      <c r="Z164">
        <v>27</v>
      </c>
      <c r="AA164">
        <v>2023</v>
      </c>
      <c r="AB164" t="b">
        <v>0</v>
      </c>
      <c r="AC164" s="19">
        <v>45104</v>
      </c>
      <c r="AD164" s="19" t="s">
        <v>515</v>
      </c>
      <c r="AE164" s="231">
        <v>0.50215277777777778</v>
      </c>
      <c r="AF164" s="196">
        <v>45104</v>
      </c>
      <c r="AG164" s="29" t="s">
        <v>515</v>
      </c>
      <c r="AH164" s="29" t="s">
        <v>515</v>
      </c>
      <c r="AI164" s="29">
        <v>737.8</v>
      </c>
      <c r="AJ164" s="29">
        <v>454.6</v>
      </c>
      <c r="AK164" s="29">
        <v>476.3</v>
      </c>
      <c r="AL164" s="29">
        <v>476322</v>
      </c>
      <c r="AM164" s="29">
        <v>0.23</v>
      </c>
      <c r="AN164" s="29">
        <v>478.5</v>
      </c>
      <c r="AO164" s="29">
        <v>4.9000000000000002E-2</v>
      </c>
      <c r="AP164" s="29">
        <v>0.05</v>
      </c>
      <c r="AQ164" s="29">
        <v>7.0000000000000007E-2</v>
      </c>
      <c r="AR164" s="29">
        <v>-357.4</v>
      </c>
      <c r="AS164" s="29">
        <v>-30.85</v>
      </c>
      <c r="AT164" s="29">
        <v>-357.4</v>
      </c>
      <c r="AU164" s="29">
        <v>40.700699999999998</v>
      </c>
      <c r="AV164" s="29">
        <v>-85.93526</v>
      </c>
      <c r="AW164" s="29">
        <v>225</v>
      </c>
      <c r="AX164" s="29">
        <v>113.5</v>
      </c>
      <c r="AY164" s="29">
        <v>8.3699999999999992</v>
      </c>
      <c r="AZ164" s="29">
        <v>-123.1</v>
      </c>
      <c r="BA164" s="29">
        <v>11.8</v>
      </c>
      <c r="BB164" s="29">
        <v>0</v>
      </c>
      <c r="BC164" s="29">
        <v>22.611999999999998</v>
      </c>
      <c r="BD164" s="29">
        <v>10.28</v>
      </c>
      <c r="BE164" s="29">
        <v>0</v>
      </c>
      <c r="BF164" s="196">
        <v>45104</v>
      </c>
      <c r="BG164" s="29" t="s">
        <v>1841</v>
      </c>
    </row>
    <row r="165" spans="1:59" x14ac:dyDescent="0.25">
      <c r="A165" s="25">
        <v>10164</v>
      </c>
      <c r="B165" s="26" t="s">
        <v>187</v>
      </c>
      <c r="C165" s="26" t="s">
        <v>558</v>
      </c>
      <c r="D165" s="30" t="s">
        <v>516</v>
      </c>
      <c r="E165" s="30" t="str">
        <f t="shared" si="17"/>
        <v>?</v>
      </c>
      <c r="F165" s="118" t="s">
        <v>515</v>
      </c>
      <c r="G165" s="26" t="s">
        <v>19</v>
      </c>
      <c r="H165" s="66" t="s">
        <v>9</v>
      </c>
      <c r="I165" s="26">
        <v>9.1399999999999995E-2</v>
      </c>
      <c r="J165" s="26">
        <v>3.3570000000000002</v>
      </c>
      <c r="K165" s="26">
        <v>6.4000000000000001E-2</v>
      </c>
      <c r="L165" s="26">
        <v>5.1499999999999997E-2</v>
      </c>
      <c r="M165" s="140">
        <f t="shared" si="18"/>
        <v>0.05</v>
      </c>
      <c r="N165" s="140">
        <f t="shared" si="18"/>
        <v>3.3570000000000002</v>
      </c>
      <c r="O165" s="140">
        <f t="shared" si="18"/>
        <v>0.05</v>
      </c>
      <c r="P165" s="140">
        <f t="shared" si="15"/>
        <v>0.05</v>
      </c>
      <c r="Q165" s="162">
        <v>3.2583948699833298</v>
      </c>
      <c r="R165" s="128">
        <v>32.975000000000001</v>
      </c>
      <c r="S165" t="s">
        <v>676</v>
      </c>
      <c r="T165" t="s">
        <v>515</v>
      </c>
      <c r="U165" t="s">
        <v>515</v>
      </c>
      <c r="V165" s="118" t="s">
        <v>515</v>
      </c>
      <c r="W165">
        <v>40.680439</v>
      </c>
      <c r="X165">
        <v>-85.895401000000007</v>
      </c>
      <c r="Y165">
        <v>6</v>
      </c>
      <c r="Z165">
        <v>27</v>
      </c>
      <c r="AA165">
        <v>2023</v>
      </c>
      <c r="AB165" t="b">
        <v>0</v>
      </c>
      <c r="AC165" s="19">
        <v>45104</v>
      </c>
      <c r="AD165" s="19" t="s">
        <v>515</v>
      </c>
      <c r="AE165" s="231">
        <v>0.56741898148148151</v>
      </c>
      <c r="AF165" s="196">
        <v>45104</v>
      </c>
      <c r="AG165" s="29" t="s">
        <v>515</v>
      </c>
      <c r="AH165" s="29" t="s">
        <v>515</v>
      </c>
      <c r="AI165" s="29">
        <v>737.9</v>
      </c>
      <c r="AJ165" s="29">
        <v>478.9</v>
      </c>
      <c r="AK165" s="29">
        <v>491.2</v>
      </c>
      <c r="AL165" s="29">
        <v>491201</v>
      </c>
      <c r="AM165" s="29">
        <v>0.24</v>
      </c>
      <c r="AN165" s="29">
        <v>492.4</v>
      </c>
      <c r="AO165" s="29">
        <v>0.502</v>
      </c>
      <c r="AP165" s="29">
        <v>0.501</v>
      </c>
      <c r="AQ165" s="29">
        <v>0.71199999999999997</v>
      </c>
      <c r="AR165" s="29">
        <v>-328.6</v>
      </c>
      <c r="AS165" s="29">
        <v>-27.79</v>
      </c>
      <c r="AT165" s="29">
        <v>-328.6</v>
      </c>
      <c r="AU165" s="29">
        <v>40.680399999999999</v>
      </c>
      <c r="AV165" s="29">
        <v>-85.895430000000005</v>
      </c>
      <c r="AW165" s="29">
        <v>219.7</v>
      </c>
      <c r="AX165" s="29">
        <v>122.8</v>
      </c>
      <c r="AY165" s="29">
        <v>8.27</v>
      </c>
      <c r="AZ165" s="29">
        <v>-117.2</v>
      </c>
      <c r="BA165" s="29">
        <v>11.8</v>
      </c>
      <c r="BB165" s="29">
        <v>0</v>
      </c>
      <c r="BC165" s="29">
        <v>23.692</v>
      </c>
      <c r="BD165" s="29">
        <v>9.11</v>
      </c>
      <c r="BE165" s="29">
        <v>0</v>
      </c>
      <c r="BF165" s="196">
        <v>45104</v>
      </c>
      <c r="BG165" s="29" t="s">
        <v>1827</v>
      </c>
    </row>
    <row r="166" spans="1:59" x14ac:dyDescent="0.25">
      <c r="A166" s="25">
        <v>10165</v>
      </c>
      <c r="B166" s="26" t="s">
        <v>188</v>
      </c>
      <c r="C166" s="26" t="s">
        <v>558</v>
      </c>
      <c r="D166" s="30" t="s">
        <v>516</v>
      </c>
      <c r="E166" s="30" t="str">
        <f t="shared" si="17"/>
        <v>?</v>
      </c>
      <c r="F166" s="118" t="s">
        <v>515</v>
      </c>
      <c r="G166" s="26" t="s">
        <v>19</v>
      </c>
      <c r="H166" s="66" t="s">
        <v>9</v>
      </c>
      <c r="I166" s="26">
        <v>0.47699999999999998</v>
      </c>
      <c r="J166" s="26">
        <v>4.6470000000000002</v>
      </c>
      <c r="K166" s="26">
        <v>0.14149999999999999</v>
      </c>
      <c r="L166" s="26">
        <v>9.7000000000000003E-2</v>
      </c>
      <c r="M166" s="140">
        <f t="shared" si="18"/>
        <v>0.47699999999999998</v>
      </c>
      <c r="N166" s="140">
        <f t="shared" si="18"/>
        <v>4.6470000000000002</v>
      </c>
      <c r="O166" s="140">
        <f t="shared" si="18"/>
        <v>0.14149999999999999</v>
      </c>
      <c r="P166" s="140">
        <f t="shared" si="15"/>
        <v>0.05</v>
      </c>
      <c r="Q166" s="162">
        <v>1.0944877529141901</v>
      </c>
      <c r="R166" s="128">
        <v>57.305</v>
      </c>
      <c r="S166" t="s">
        <v>676</v>
      </c>
      <c r="T166" t="s">
        <v>515</v>
      </c>
      <c r="U166" t="s">
        <v>515</v>
      </c>
      <c r="V166" s="118" t="s">
        <v>515</v>
      </c>
      <c r="W166">
        <v>40.668534000000001</v>
      </c>
      <c r="X166">
        <v>-85.848680999999999</v>
      </c>
      <c r="Y166">
        <v>6</v>
      </c>
      <c r="Z166">
        <v>27</v>
      </c>
      <c r="AA166">
        <v>2023</v>
      </c>
      <c r="AB166" t="b">
        <v>0</v>
      </c>
      <c r="AC166" s="19">
        <v>45104</v>
      </c>
      <c r="AD166" s="19" t="s">
        <v>515</v>
      </c>
      <c r="AE166" s="231">
        <v>0.59172453703703709</v>
      </c>
      <c r="AF166" s="196">
        <v>45104</v>
      </c>
      <c r="AG166" s="29" t="s">
        <v>515</v>
      </c>
      <c r="AH166" s="29" t="s">
        <v>515</v>
      </c>
      <c r="AI166" s="29">
        <v>738</v>
      </c>
      <c r="AJ166" s="29">
        <v>567.4</v>
      </c>
      <c r="AK166" s="29">
        <v>579.20000000000005</v>
      </c>
      <c r="AL166" s="29">
        <v>579242</v>
      </c>
      <c r="AM166" s="29">
        <v>0.28000000000000003</v>
      </c>
      <c r="AN166" s="29">
        <v>580.4</v>
      </c>
      <c r="AO166" s="29">
        <v>0.05</v>
      </c>
      <c r="AP166" s="29">
        <v>4.1000000000000002E-2</v>
      </c>
      <c r="AQ166" s="29">
        <v>7.0999999999999994E-2</v>
      </c>
      <c r="AR166" s="29">
        <v>-414.7</v>
      </c>
      <c r="AS166" s="29">
        <v>-34.9</v>
      </c>
      <c r="AT166" s="29">
        <v>-414.7</v>
      </c>
      <c r="AU166" s="29">
        <v>40.66854</v>
      </c>
      <c r="AV166" s="29">
        <v>-85.848699999999994</v>
      </c>
      <c r="AW166" s="29">
        <v>221.6</v>
      </c>
      <c r="AX166" s="29">
        <v>100.8</v>
      </c>
      <c r="AY166" s="29">
        <v>8.16</v>
      </c>
      <c r="AZ166" s="29">
        <v>-111.2</v>
      </c>
      <c r="BA166" s="29">
        <v>11.8</v>
      </c>
      <c r="BB166" s="29">
        <v>0</v>
      </c>
      <c r="BC166" s="29">
        <v>23.933</v>
      </c>
      <c r="BD166" s="29">
        <v>10.16</v>
      </c>
      <c r="BE166" s="29">
        <v>0</v>
      </c>
      <c r="BF166" s="196">
        <v>45104</v>
      </c>
      <c r="BG166" s="29" t="s">
        <v>1828</v>
      </c>
    </row>
    <row r="167" spans="1:59" x14ac:dyDescent="0.25">
      <c r="A167" s="25">
        <v>10166</v>
      </c>
      <c r="B167" t="s">
        <v>189</v>
      </c>
      <c r="C167" t="s">
        <v>559</v>
      </c>
      <c r="D167" s="27" t="s">
        <v>516</v>
      </c>
      <c r="E167" s="27" t="str">
        <f t="shared" si="17"/>
        <v>?</v>
      </c>
      <c r="F167" s="118" t="s">
        <v>515</v>
      </c>
      <c r="G167" t="s">
        <v>20</v>
      </c>
      <c r="H167" s="24" t="s">
        <v>9</v>
      </c>
      <c r="I167">
        <v>1.5699999999999999E-2</v>
      </c>
      <c r="J167">
        <v>1.083</v>
      </c>
      <c r="K167">
        <v>8.0000000000000002E-3</v>
      </c>
      <c r="L167" t="s">
        <v>515</v>
      </c>
      <c r="M167" s="140">
        <f t="shared" si="18"/>
        <v>0.05</v>
      </c>
      <c r="N167" s="140">
        <f t="shared" si="18"/>
        <v>1.083</v>
      </c>
      <c r="O167" s="140">
        <f t="shared" si="18"/>
        <v>0.05</v>
      </c>
      <c r="P167" s="140" t="str">
        <f t="shared" si="15"/>
        <v>NULL</v>
      </c>
      <c r="Q167" s="161" t="s">
        <v>676</v>
      </c>
      <c r="R167" s="125">
        <v>10.25</v>
      </c>
      <c r="S167" t="s">
        <v>676</v>
      </c>
      <c r="T167" t="s">
        <v>515</v>
      </c>
      <c r="U167" t="s">
        <v>515</v>
      </c>
      <c r="V167" s="118" t="s">
        <v>515</v>
      </c>
      <c r="W167">
        <v>40.808810000000001</v>
      </c>
      <c r="X167">
        <v>-86.794690000000003</v>
      </c>
      <c r="Y167">
        <v>6</v>
      </c>
      <c r="Z167">
        <v>30</v>
      </c>
      <c r="AA167">
        <v>2023</v>
      </c>
      <c r="AB167" t="b">
        <v>0</v>
      </c>
      <c r="AC167" s="19">
        <v>45107</v>
      </c>
      <c r="AD167" s="19" t="s">
        <v>515</v>
      </c>
      <c r="AE167" s="230">
        <v>0.45973379629629629</v>
      </c>
      <c r="AF167" s="19">
        <v>45107</v>
      </c>
      <c r="AG167" s="118" t="s">
        <v>515</v>
      </c>
      <c r="AH167" s="118" t="s">
        <v>515</v>
      </c>
      <c r="AI167" s="118">
        <v>742.6</v>
      </c>
      <c r="AJ167" s="118">
        <v>676</v>
      </c>
      <c r="AK167" s="118">
        <v>703.5</v>
      </c>
      <c r="AL167" s="118">
        <v>703499</v>
      </c>
      <c r="AM167" s="118">
        <v>0.34</v>
      </c>
      <c r="AN167" s="118">
        <v>706.2</v>
      </c>
      <c r="AO167" s="21">
        <v>0.56000000000000005</v>
      </c>
      <c r="AP167" s="118">
        <v>0.57999999999999996</v>
      </c>
      <c r="AQ167" s="118">
        <v>0.79500000000000004</v>
      </c>
      <c r="AR167" s="118">
        <v>-331.3</v>
      </c>
      <c r="AS167" s="118">
        <v>-28.39</v>
      </c>
      <c r="AT167" s="118">
        <v>-331.3</v>
      </c>
      <c r="AU167" s="118">
        <v>40.80874</v>
      </c>
      <c r="AV167" s="118">
        <v>-86.794640000000001</v>
      </c>
      <c r="AW167" s="118">
        <v>198.3</v>
      </c>
      <c r="AX167" s="118">
        <v>126.5</v>
      </c>
      <c r="AY167" s="118">
        <v>7.78</v>
      </c>
      <c r="AZ167" s="118">
        <v>-89.7</v>
      </c>
      <c r="BA167" s="118">
        <v>11.8</v>
      </c>
      <c r="BB167" s="118">
        <v>0</v>
      </c>
      <c r="BC167" s="118">
        <v>22.954000000000001</v>
      </c>
      <c r="BD167" s="118">
        <v>2.14</v>
      </c>
      <c r="BE167" s="118">
        <v>0</v>
      </c>
      <c r="BF167" s="19">
        <v>45107</v>
      </c>
      <c r="BG167" s="118" t="s">
        <v>1885</v>
      </c>
    </row>
    <row r="168" spans="1:59" x14ac:dyDescent="0.25">
      <c r="A168" s="25">
        <v>10167</v>
      </c>
      <c r="B168" t="s">
        <v>190</v>
      </c>
      <c r="C168" t="s">
        <v>559</v>
      </c>
      <c r="D168" s="27" t="s">
        <v>516</v>
      </c>
      <c r="E168" s="27" t="str">
        <f t="shared" si="17"/>
        <v>?</v>
      </c>
      <c r="F168" s="118" t="s">
        <v>515</v>
      </c>
      <c r="G168" t="s">
        <v>20</v>
      </c>
      <c r="H168" s="24" t="s">
        <v>9</v>
      </c>
      <c r="I168">
        <v>2.6599999999999999E-2</v>
      </c>
      <c r="J168">
        <v>0.216</v>
      </c>
      <c r="K168">
        <v>3.0000000000000001E-3</v>
      </c>
      <c r="L168" t="s">
        <v>515</v>
      </c>
      <c r="M168" s="140">
        <f t="shared" si="18"/>
        <v>0.05</v>
      </c>
      <c r="N168" s="140">
        <f t="shared" si="18"/>
        <v>0.216</v>
      </c>
      <c r="O168" s="140">
        <f t="shared" si="18"/>
        <v>0.05</v>
      </c>
      <c r="P168" s="140" t="str">
        <f t="shared" si="15"/>
        <v>NULL</v>
      </c>
      <c r="Q168" s="161" t="s">
        <v>676</v>
      </c>
      <c r="R168" s="125">
        <v>44.68</v>
      </c>
      <c r="S168" t="s">
        <v>676</v>
      </c>
      <c r="T168" t="s">
        <v>515</v>
      </c>
      <c r="U168" t="s">
        <v>515</v>
      </c>
      <c r="V168" s="118" t="s">
        <v>515</v>
      </c>
      <c r="W168">
        <v>40.823822</v>
      </c>
      <c r="X168">
        <v>-86.794567000000001</v>
      </c>
      <c r="Y168">
        <v>6</v>
      </c>
      <c r="Z168">
        <v>30</v>
      </c>
      <c r="AA168">
        <v>2023</v>
      </c>
      <c r="AB168" t="b">
        <v>0</v>
      </c>
      <c r="AC168" s="19">
        <v>45107</v>
      </c>
      <c r="AD168" s="19" t="s">
        <v>515</v>
      </c>
      <c r="AE168" s="230">
        <v>0.44226851851851851</v>
      </c>
      <c r="AF168" s="19">
        <v>45107</v>
      </c>
      <c r="AG168" s="118" t="s">
        <v>515</v>
      </c>
      <c r="AH168" s="118" t="s">
        <v>515</v>
      </c>
      <c r="AI168" s="118">
        <v>742.6</v>
      </c>
      <c r="AJ168" s="118">
        <v>580.79999999999995</v>
      </c>
      <c r="AK168" s="118">
        <v>592.9</v>
      </c>
      <c r="AL168" s="118">
        <v>592925</v>
      </c>
      <c r="AM168" s="118">
        <v>0.28999999999999998</v>
      </c>
      <c r="AN168" s="118">
        <v>594.1</v>
      </c>
      <c r="AO168" s="21">
        <v>0.49399999999999999</v>
      </c>
      <c r="AP168" s="118">
        <v>0.49299999999999999</v>
      </c>
      <c r="AQ168" s="118">
        <v>0.70099999999999996</v>
      </c>
      <c r="AR168" s="118">
        <v>-439.6</v>
      </c>
      <c r="AS168" s="118">
        <v>-36.99</v>
      </c>
      <c r="AT168" s="118">
        <v>-439.6</v>
      </c>
      <c r="AU168" s="118">
        <v>40.82385</v>
      </c>
      <c r="AV168" s="118">
        <v>-86.794709999999995</v>
      </c>
      <c r="AW168" s="118">
        <v>195.8</v>
      </c>
      <c r="AX168" s="118">
        <v>132.9</v>
      </c>
      <c r="AY168" s="118">
        <v>7.76</v>
      </c>
      <c r="AZ168" s="118">
        <v>-88.6</v>
      </c>
      <c r="BA168" s="118">
        <v>11.8</v>
      </c>
      <c r="BB168" s="118">
        <v>0</v>
      </c>
      <c r="BC168" s="118">
        <v>23.931000000000001</v>
      </c>
      <c r="BD168" s="118">
        <v>1.69</v>
      </c>
      <c r="BE168" s="118">
        <v>0</v>
      </c>
      <c r="BF168" s="19">
        <v>45107</v>
      </c>
      <c r="BG168" s="118" t="s">
        <v>1884</v>
      </c>
    </row>
    <row r="169" spans="1:59" x14ac:dyDescent="0.25">
      <c r="A169" s="25">
        <v>10168</v>
      </c>
      <c r="B169" t="s">
        <v>191</v>
      </c>
      <c r="C169" t="s">
        <v>559</v>
      </c>
      <c r="D169" s="27" t="s">
        <v>516</v>
      </c>
      <c r="E169" s="27" t="str">
        <f t="shared" si="17"/>
        <v>?</v>
      </c>
      <c r="F169" s="118" t="s">
        <v>515</v>
      </c>
      <c r="G169" t="s">
        <v>20</v>
      </c>
      <c r="H169" s="24" t="s">
        <v>9</v>
      </c>
      <c r="I169">
        <v>0.35780000000000001</v>
      </c>
      <c r="J169">
        <v>0.14499999999999999</v>
      </c>
      <c r="K169">
        <v>7.2999999999999995E-2</v>
      </c>
      <c r="L169" t="s">
        <v>515</v>
      </c>
      <c r="M169" s="140">
        <f t="shared" si="18"/>
        <v>0.35780000000000001</v>
      </c>
      <c r="N169" s="140">
        <f t="shared" si="18"/>
        <v>0.14499999999999999</v>
      </c>
      <c r="O169" s="140">
        <f t="shared" si="18"/>
        <v>0.05</v>
      </c>
      <c r="P169" s="140" t="str">
        <f t="shared" si="15"/>
        <v>NULL</v>
      </c>
      <c r="Q169" s="161" t="s">
        <v>676</v>
      </c>
      <c r="R169" s="125">
        <v>44.51</v>
      </c>
      <c r="S169" t="s">
        <v>676</v>
      </c>
      <c r="T169" t="s">
        <v>515</v>
      </c>
      <c r="U169" t="s">
        <v>515</v>
      </c>
      <c r="V169" s="118" t="s">
        <v>515</v>
      </c>
      <c r="W169">
        <v>40.843389999999999</v>
      </c>
      <c r="X169">
        <v>-86.817490000000006</v>
      </c>
      <c r="Y169">
        <v>6</v>
      </c>
      <c r="Z169">
        <v>30</v>
      </c>
      <c r="AA169">
        <v>2023</v>
      </c>
      <c r="AB169" t="b">
        <v>0</v>
      </c>
      <c r="AC169" s="19">
        <v>45107</v>
      </c>
      <c r="AD169" s="19" t="s">
        <v>515</v>
      </c>
      <c r="AE169" s="230">
        <v>0.42570601851851853</v>
      </c>
      <c r="AF169" s="19">
        <v>45107</v>
      </c>
      <c r="AG169" s="118" t="s">
        <v>515</v>
      </c>
      <c r="AH169" s="118" t="s">
        <v>515</v>
      </c>
      <c r="AI169" s="118">
        <v>743.1</v>
      </c>
      <c r="AJ169" s="118">
        <v>590</v>
      </c>
      <c r="AK169" s="118">
        <v>616.20000000000005</v>
      </c>
      <c r="AL169" s="118">
        <v>616200</v>
      </c>
      <c r="AM169" s="118">
        <v>0.3</v>
      </c>
      <c r="AN169" s="118">
        <v>618.79999999999995</v>
      </c>
      <c r="AO169" s="21">
        <v>0.11799999999999999</v>
      </c>
      <c r="AP169" s="118">
        <v>0.113</v>
      </c>
      <c r="AQ169" s="118">
        <v>0.16800000000000001</v>
      </c>
      <c r="AR169" s="118">
        <v>-364.8</v>
      </c>
      <c r="AS169" s="118">
        <v>-31.38</v>
      </c>
      <c r="AT169" s="118">
        <v>-364.8</v>
      </c>
      <c r="AU169" s="118">
        <v>40.843409999999999</v>
      </c>
      <c r="AV169" s="118">
        <v>-86.817449999999994</v>
      </c>
      <c r="AW169" s="118">
        <v>191.2</v>
      </c>
      <c r="AX169" s="118">
        <v>-66.5</v>
      </c>
      <c r="AY169" s="118">
        <v>6.2</v>
      </c>
      <c r="AZ169" s="118">
        <v>3.8</v>
      </c>
      <c r="BA169" s="118">
        <v>11.8</v>
      </c>
      <c r="BB169" s="118">
        <v>0</v>
      </c>
      <c r="BC169" s="118">
        <v>22.771000000000001</v>
      </c>
      <c r="BD169" s="118">
        <v>28.76</v>
      </c>
      <c r="BE169" s="118">
        <v>0</v>
      </c>
      <c r="BF169" s="19">
        <v>45107</v>
      </c>
      <c r="BG169" s="118" t="s">
        <v>1883</v>
      </c>
    </row>
    <row r="170" spans="1:59" x14ac:dyDescent="0.25">
      <c r="A170" s="25">
        <v>10169</v>
      </c>
      <c r="B170" t="s">
        <v>192</v>
      </c>
      <c r="C170" t="s">
        <v>560</v>
      </c>
      <c r="D170" s="27" t="s">
        <v>516</v>
      </c>
      <c r="E170" s="27" t="str">
        <f t="shared" si="17"/>
        <v>?</v>
      </c>
      <c r="F170" s="118" t="s">
        <v>515</v>
      </c>
      <c r="G170" t="s">
        <v>514</v>
      </c>
      <c r="H170" s="24" t="s">
        <v>9</v>
      </c>
      <c r="I170">
        <v>7.4999999999999997E-2</v>
      </c>
      <c r="J170">
        <v>0.54500000000000004</v>
      </c>
      <c r="K170">
        <v>-8.0000000000000002E-3</v>
      </c>
      <c r="L170" t="s">
        <v>515</v>
      </c>
      <c r="M170" s="140">
        <f t="shared" si="18"/>
        <v>0.05</v>
      </c>
      <c r="N170" s="140">
        <f t="shared" si="18"/>
        <v>0.54500000000000004</v>
      </c>
      <c r="O170" s="140">
        <f t="shared" si="18"/>
        <v>0.05</v>
      </c>
      <c r="P170" s="140" t="str">
        <f t="shared" si="15"/>
        <v>NULL</v>
      </c>
      <c r="Q170" s="161" t="s">
        <v>676</v>
      </c>
      <c r="R170" s="125">
        <v>34.265000000000001</v>
      </c>
      <c r="S170" t="s">
        <v>676</v>
      </c>
      <c r="T170" t="s">
        <v>515</v>
      </c>
      <c r="U170" t="s">
        <v>515</v>
      </c>
      <c r="V170" s="118" t="s">
        <v>515</v>
      </c>
      <c r="W170">
        <v>40.6937</v>
      </c>
      <c r="X170">
        <v>-86.767030000000005</v>
      </c>
      <c r="Y170">
        <v>6</v>
      </c>
      <c r="Z170">
        <v>30</v>
      </c>
      <c r="AA170">
        <v>2023</v>
      </c>
      <c r="AB170" t="b">
        <v>0</v>
      </c>
      <c r="AC170" s="19">
        <v>45107</v>
      </c>
      <c r="AD170" s="19" t="s">
        <v>515</v>
      </c>
      <c r="AE170" s="230">
        <v>0.56951388888888888</v>
      </c>
      <c r="AF170" s="19">
        <v>45107</v>
      </c>
      <c r="AG170" s="118" t="s">
        <v>515</v>
      </c>
      <c r="AH170" s="118" t="s">
        <v>515</v>
      </c>
      <c r="AI170" s="118">
        <v>743.6</v>
      </c>
      <c r="AJ170" s="118">
        <v>677.5</v>
      </c>
      <c r="AK170" s="118">
        <v>646.9</v>
      </c>
      <c r="AL170" s="118">
        <v>646916</v>
      </c>
      <c r="AM170" s="118">
        <v>0.31</v>
      </c>
      <c r="AN170" s="118">
        <v>643.6</v>
      </c>
      <c r="AO170" s="21">
        <v>0.128</v>
      </c>
      <c r="AP170" s="118">
        <v>0.107</v>
      </c>
      <c r="AQ170" s="118">
        <v>0.182</v>
      </c>
      <c r="AR170" s="118">
        <v>-318.39999999999998</v>
      </c>
      <c r="AS170" s="118">
        <v>-25.12</v>
      </c>
      <c r="AT170" s="118">
        <v>-318.39999999999998</v>
      </c>
      <c r="AU170" s="118">
        <v>40.693730000000002</v>
      </c>
      <c r="AV170" s="118">
        <v>-86.766980000000004</v>
      </c>
      <c r="AW170" s="118">
        <v>187.3</v>
      </c>
      <c r="AX170" s="118">
        <v>104.2</v>
      </c>
      <c r="AY170" s="118">
        <v>8.14</v>
      </c>
      <c r="AZ170" s="118">
        <v>-112.3</v>
      </c>
      <c r="BA170" s="118">
        <v>11.8</v>
      </c>
      <c r="BB170" s="118">
        <v>0</v>
      </c>
      <c r="BC170" s="118">
        <v>27.477</v>
      </c>
      <c r="BD170" s="118">
        <v>4.9800000000000004</v>
      </c>
      <c r="BE170" s="118">
        <v>0</v>
      </c>
      <c r="BF170" s="19">
        <v>45107</v>
      </c>
      <c r="BG170" s="118" t="s">
        <v>1821</v>
      </c>
    </row>
    <row r="171" spans="1:59" x14ac:dyDescent="0.25">
      <c r="A171" s="25">
        <v>10170</v>
      </c>
      <c r="B171" t="s">
        <v>193</v>
      </c>
      <c r="C171" t="s">
        <v>560</v>
      </c>
      <c r="D171" s="27" t="s">
        <v>516</v>
      </c>
      <c r="E171" s="27" t="str">
        <f t="shared" si="17"/>
        <v>?</v>
      </c>
      <c r="F171" s="118" t="s">
        <v>515</v>
      </c>
      <c r="G171" t="s">
        <v>514</v>
      </c>
      <c r="H171" s="24" t="s">
        <v>9</v>
      </c>
      <c r="I171">
        <v>7.17E-2</v>
      </c>
      <c r="J171">
        <v>0.498</v>
      </c>
      <c r="K171">
        <v>-8.0000000000000002E-3</v>
      </c>
      <c r="L171" t="s">
        <v>515</v>
      </c>
      <c r="M171" s="140">
        <f t="shared" si="18"/>
        <v>0.05</v>
      </c>
      <c r="N171" s="140">
        <f t="shared" si="18"/>
        <v>0.498</v>
      </c>
      <c r="O171" s="140">
        <f t="shared" si="18"/>
        <v>0.05</v>
      </c>
      <c r="P171" s="140" t="str">
        <f t="shared" si="15"/>
        <v>NULL</v>
      </c>
      <c r="Q171" s="161" t="s">
        <v>676</v>
      </c>
      <c r="R171" s="125">
        <v>21.23</v>
      </c>
      <c r="S171" t="s">
        <v>676</v>
      </c>
      <c r="T171" t="s">
        <v>515</v>
      </c>
      <c r="U171" t="s">
        <v>515</v>
      </c>
      <c r="V171" s="118" t="s">
        <v>515</v>
      </c>
      <c r="W171">
        <v>40.667830000000002</v>
      </c>
      <c r="X171">
        <v>-86.753209999999996</v>
      </c>
      <c r="Y171">
        <v>6</v>
      </c>
      <c r="Z171">
        <v>30</v>
      </c>
      <c r="AA171">
        <v>2023</v>
      </c>
      <c r="AB171" t="b">
        <v>0</v>
      </c>
      <c r="AC171" s="19">
        <v>45107</v>
      </c>
      <c r="AD171" s="19" t="s">
        <v>515</v>
      </c>
      <c r="AE171" s="230">
        <v>0.61226851851851849</v>
      </c>
      <c r="AF171" s="19">
        <v>45107</v>
      </c>
      <c r="AG171" s="118" t="s">
        <v>515</v>
      </c>
      <c r="AH171" s="118" t="s">
        <v>515</v>
      </c>
      <c r="AI171" s="118">
        <v>744.4</v>
      </c>
      <c r="AJ171" s="118">
        <v>629.4</v>
      </c>
      <c r="AK171" s="118">
        <v>626.70000000000005</v>
      </c>
      <c r="AL171" s="118">
        <v>626731</v>
      </c>
      <c r="AM171" s="118">
        <v>0.3</v>
      </c>
      <c r="AN171" s="118">
        <v>626.5</v>
      </c>
      <c r="AO171" s="21">
        <v>0.72899999999999998</v>
      </c>
      <c r="AP171" s="118">
        <v>0.71799999999999997</v>
      </c>
      <c r="AQ171" s="118">
        <v>1.034</v>
      </c>
      <c r="AR171" s="118">
        <v>-196.8</v>
      </c>
      <c r="AS171" s="118">
        <v>-16.170000000000002</v>
      </c>
      <c r="AT171" s="118">
        <v>-196.8</v>
      </c>
      <c r="AU171" s="118">
        <v>40.667859999999997</v>
      </c>
      <c r="AV171" s="118">
        <v>-86.753230000000002</v>
      </c>
      <c r="AW171" s="118">
        <v>182.7</v>
      </c>
      <c r="AX171" s="118">
        <v>77.599999999999994</v>
      </c>
      <c r="AY171" s="118">
        <v>8.26</v>
      </c>
      <c r="AZ171" s="118">
        <v>-118.5</v>
      </c>
      <c r="BA171" s="118">
        <v>11.8</v>
      </c>
      <c r="BB171" s="118">
        <v>0</v>
      </c>
      <c r="BC171" s="118">
        <v>25.22</v>
      </c>
      <c r="BD171" s="118">
        <v>4.04</v>
      </c>
      <c r="BE171" s="118">
        <v>0</v>
      </c>
      <c r="BF171" s="19">
        <v>45107</v>
      </c>
      <c r="BG171" s="118" t="s">
        <v>1822</v>
      </c>
    </row>
    <row r="172" spans="1:59" x14ac:dyDescent="0.25">
      <c r="A172" s="25">
        <v>10171</v>
      </c>
      <c r="B172" t="s">
        <v>194</v>
      </c>
      <c r="C172" t="s">
        <v>560</v>
      </c>
      <c r="D172" s="27" t="s">
        <v>516</v>
      </c>
      <c r="E172" s="27" t="str">
        <f t="shared" si="17"/>
        <v>?</v>
      </c>
      <c r="F172" s="118" t="s">
        <v>515</v>
      </c>
      <c r="G172" t="s">
        <v>514</v>
      </c>
      <c r="H172" s="24" t="s">
        <v>9</v>
      </c>
      <c r="I172">
        <v>6.4899999999999999E-2</v>
      </c>
      <c r="J172">
        <v>0.45200000000000001</v>
      </c>
      <c r="K172">
        <v>-5.0000000000000001E-3</v>
      </c>
      <c r="L172">
        <v>5.8500000000000003E-2</v>
      </c>
      <c r="M172" s="140">
        <f t="shared" si="18"/>
        <v>0.05</v>
      </c>
      <c r="N172" s="140">
        <f t="shared" si="18"/>
        <v>0.45200000000000001</v>
      </c>
      <c r="O172" s="140">
        <f t="shared" si="18"/>
        <v>0.05</v>
      </c>
      <c r="P172" s="140">
        <f t="shared" si="15"/>
        <v>0.05</v>
      </c>
      <c r="Q172" s="161" t="s">
        <v>676</v>
      </c>
      <c r="R172" s="125">
        <v>28.41</v>
      </c>
      <c r="S172" t="s">
        <v>676</v>
      </c>
      <c r="T172" t="s">
        <v>515</v>
      </c>
      <c r="U172" t="s">
        <v>515</v>
      </c>
      <c r="V172" s="118" t="s">
        <v>515</v>
      </c>
      <c r="W172">
        <v>40.680729999999997</v>
      </c>
      <c r="X172">
        <v>-86.752049999999997</v>
      </c>
      <c r="Y172">
        <v>6</v>
      </c>
      <c r="Z172">
        <v>30</v>
      </c>
      <c r="AA172">
        <v>2023</v>
      </c>
      <c r="AB172" t="b">
        <v>0</v>
      </c>
      <c r="AC172" s="19">
        <v>45107</v>
      </c>
      <c r="AD172" s="19" t="s">
        <v>515</v>
      </c>
      <c r="AE172" s="230">
        <v>0.59172453703703709</v>
      </c>
      <c r="AF172" s="19">
        <v>45107</v>
      </c>
      <c r="AG172" s="118" t="s">
        <v>515</v>
      </c>
      <c r="AH172" s="118" t="s">
        <v>515</v>
      </c>
      <c r="AI172" s="118">
        <v>743.9</v>
      </c>
      <c r="AJ172" s="118">
        <v>622.29999999999995</v>
      </c>
      <c r="AK172" s="118">
        <v>619.1</v>
      </c>
      <c r="AL172" s="118">
        <v>619063</v>
      </c>
      <c r="AM172" s="118">
        <v>0.3</v>
      </c>
      <c r="AN172" s="118">
        <v>618.70000000000005</v>
      </c>
      <c r="AO172" s="21">
        <v>0.497</v>
      </c>
      <c r="AP172" s="118">
        <v>0.50600000000000001</v>
      </c>
      <c r="AQ172" s="118">
        <v>0.70499999999999996</v>
      </c>
      <c r="AR172" s="118">
        <v>-244.7</v>
      </c>
      <c r="AS172" s="118">
        <v>-20.09</v>
      </c>
      <c r="AT172" s="118">
        <v>-244.7</v>
      </c>
      <c r="AU172" s="118">
        <v>40.680729999999997</v>
      </c>
      <c r="AV172" s="118">
        <v>-86.752070000000003</v>
      </c>
      <c r="AW172" s="118">
        <v>184.6</v>
      </c>
      <c r="AX172" s="118">
        <v>118.7</v>
      </c>
      <c r="AY172" s="118">
        <v>8.2100000000000009</v>
      </c>
      <c r="AZ172" s="118">
        <v>-115.7</v>
      </c>
      <c r="BA172" s="118">
        <v>11.8</v>
      </c>
      <c r="BB172" s="118">
        <v>0</v>
      </c>
      <c r="BC172" s="118">
        <v>25.271999999999998</v>
      </c>
      <c r="BD172" s="118">
        <v>2.5499999999999998</v>
      </c>
      <c r="BE172" s="118">
        <v>0</v>
      </c>
      <c r="BF172" s="19">
        <v>45107</v>
      </c>
      <c r="BG172" s="118" t="s">
        <v>1823</v>
      </c>
    </row>
    <row r="173" spans="1:59" x14ac:dyDescent="0.25">
      <c r="A173" s="25">
        <v>10172</v>
      </c>
      <c r="B173" t="s">
        <v>195</v>
      </c>
      <c r="C173" t="s">
        <v>560</v>
      </c>
      <c r="D173" s="27" t="s">
        <v>516</v>
      </c>
      <c r="E173" s="27" t="str">
        <f t="shared" si="17"/>
        <v>?</v>
      </c>
      <c r="F173" s="118" t="s">
        <v>515</v>
      </c>
      <c r="G173" t="s">
        <v>514</v>
      </c>
      <c r="H173" s="24" t="s">
        <v>9</v>
      </c>
      <c r="I173">
        <v>9.9900000000000003E-2</v>
      </c>
      <c r="J173">
        <v>0.69599999999999995</v>
      </c>
      <c r="K173">
        <v>-4.0000000000000001E-3</v>
      </c>
      <c r="L173">
        <v>0.106</v>
      </c>
      <c r="M173" s="140">
        <f t="shared" si="18"/>
        <v>0.05</v>
      </c>
      <c r="N173" s="140">
        <f t="shared" si="18"/>
        <v>0.69599999999999995</v>
      </c>
      <c r="O173" s="140">
        <f t="shared" si="18"/>
        <v>0.05</v>
      </c>
      <c r="P173" s="140">
        <f t="shared" si="15"/>
        <v>0.106</v>
      </c>
      <c r="Q173" s="161" t="s">
        <v>676</v>
      </c>
      <c r="R173" s="125">
        <v>22.73</v>
      </c>
      <c r="S173" t="s">
        <v>676</v>
      </c>
      <c r="T173" t="s">
        <v>515</v>
      </c>
      <c r="U173" t="s">
        <v>515</v>
      </c>
      <c r="V173" s="118" t="s">
        <v>515</v>
      </c>
      <c r="W173">
        <v>40.730890000000002</v>
      </c>
      <c r="X173">
        <v>-86.758020000000002</v>
      </c>
      <c r="Y173">
        <v>6</v>
      </c>
      <c r="Z173">
        <v>30</v>
      </c>
      <c r="AA173">
        <v>2023</v>
      </c>
      <c r="AB173" t="b">
        <v>0</v>
      </c>
      <c r="AC173" s="19">
        <v>45107</v>
      </c>
      <c r="AD173" s="19" t="s">
        <v>515</v>
      </c>
      <c r="AE173" s="230">
        <v>0.49569444444444444</v>
      </c>
      <c r="AF173" s="19">
        <v>45107</v>
      </c>
      <c r="AG173" s="118" t="s">
        <v>515</v>
      </c>
      <c r="AH173" s="118" t="s">
        <v>515</v>
      </c>
      <c r="AI173" s="118">
        <v>743.9</v>
      </c>
      <c r="AJ173" s="118">
        <v>691.2</v>
      </c>
      <c r="AK173" s="118">
        <v>695</v>
      </c>
      <c r="AL173" s="118">
        <v>694989</v>
      </c>
      <c r="AM173" s="118">
        <v>0.34</v>
      </c>
      <c r="AN173" s="118">
        <v>695.4</v>
      </c>
      <c r="AO173" s="21">
        <v>0.40600000000000003</v>
      </c>
      <c r="AP173" s="118">
        <v>0.42099999999999999</v>
      </c>
      <c r="AQ173" s="118">
        <v>0.57599999999999996</v>
      </c>
      <c r="AR173" s="118">
        <v>-561.1</v>
      </c>
      <c r="AS173" s="118">
        <v>-46.52</v>
      </c>
      <c r="AT173" s="118">
        <v>-561.1</v>
      </c>
      <c r="AU173" s="118">
        <v>40.730829999999997</v>
      </c>
      <c r="AV173" s="118">
        <v>-86.757999999999996</v>
      </c>
      <c r="AW173" s="118">
        <v>190.6</v>
      </c>
      <c r="AX173" s="118">
        <v>126.6</v>
      </c>
      <c r="AY173" s="118">
        <v>7.84</v>
      </c>
      <c r="AZ173" s="118">
        <v>-93.8</v>
      </c>
      <c r="BA173" s="118">
        <v>11.8</v>
      </c>
      <c r="BB173" s="118">
        <v>0</v>
      </c>
      <c r="BC173" s="118">
        <v>24.718</v>
      </c>
      <c r="BD173" s="118">
        <v>3.87</v>
      </c>
      <c r="BE173" s="118">
        <v>0</v>
      </c>
      <c r="BF173" s="19">
        <v>45107</v>
      </c>
      <c r="BG173" s="118" t="s">
        <v>1824</v>
      </c>
    </row>
    <row r="174" spans="1:59" x14ac:dyDescent="0.25">
      <c r="A174" s="25">
        <v>10173</v>
      </c>
      <c r="B174" t="s">
        <v>196</v>
      </c>
      <c r="C174" t="s">
        <v>560</v>
      </c>
      <c r="D174" s="27" t="s">
        <v>516</v>
      </c>
      <c r="E174" s="27" t="str">
        <f t="shared" si="17"/>
        <v>?</v>
      </c>
      <c r="F174" s="118" t="s">
        <v>515</v>
      </c>
      <c r="G174" t="s">
        <v>514</v>
      </c>
      <c r="H174" s="24" t="s">
        <v>9</v>
      </c>
      <c r="I174">
        <v>6.1499999999999999E-2</v>
      </c>
      <c r="J174">
        <v>0.85099999999999998</v>
      </c>
      <c r="K174">
        <v>-7.0000000000000001E-3</v>
      </c>
      <c r="L174">
        <v>7.3499999999999996E-2</v>
      </c>
      <c r="M174" s="140">
        <f t="shared" si="18"/>
        <v>0.05</v>
      </c>
      <c r="N174" s="140">
        <f t="shared" si="18"/>
        <v>0.85099999999999998</v>
      </c>
      <c r="O174" s="140">
        <f t="shared" si="18"/>
        <v>0.05</v>
      </c>
      <c r="P174" s="140">
        <f t="shared" si="15"/>
        <v>0.05</v>
      </c>
      <c r="Q174" s="161" t="s">
        <v>676</v>
      </c>
      <c r="R174" s="125">
        <v>10.984999999999999</v>
      </c>
      <c r="S174" t="s">
        <v>676</v>
      </c>
      <c r="T174" t="s">
        <v>515</v>
      </c>
      <c r="U174" t="s">
        <v>515</v>
      </c>
      <c r="V174" s="118" t="s">
        <v>515</v>
      </c>
      <c r="W174">
        <v>40.745530000000002</v>
      </c>
      <c r="X174">
        <v>-86.757270000000005</v>
      </c>
      <c r="Y174">
        <v>6</v>
      </c>
      <c r="Z174">
        <v>30</v>
      </c>
      <c r="AA174">
        <v>2023</v>
      </c>
      <c r="AB174" t="b">
        <v>0</v>
      </c>
      <c r="AC174" s="19">
        <v>45107</v>
      </c>
      <c r="AD174" s="19" t="s">
        <v>515</v>
      </c>
      <c r="AE174" s="230">
        <v>0.48067129629629629</v>
      </c>
      <c r="AF174" s="19">
        <v>45107</v>
      </c>
      <c r="AG174" s="118" t="s">
        <v>515</v>
      </c>
      <c r="AH174" s="118" t="s">
        <v>515</v>
      </c>
      <c r="AI174" s="118">
        <v>743.5</v>
      </c>
      <c r="AJ174" s="118">
        <v>687.5</v>
      </c>
      <c r="AK174" s="118">
        <v>702.5</v>
      </c>
      <c r="AL174" s="118">
        <v>702516</v>
      </c>
      <c r="AM174" s="118">
        <v>0.34</v>
      </c>
      <c r="AN174" s="118">
        <v>704</v>
      </c>
      <c r="AO174" s="21">
        <v>0.16</v>
      </c>
      <c r="AP174" s="118">
        <v>0.154</v>
      </c>
      <c r="AQ174" s="118">
        <v>0.22700000000000001</v>
      </c>
      <c r="AR174" s="118">
        <v>-390.4</v>
      </c>
      <c r="AS174" s="118">
        <v>-32.869999999999997</v>
      </c>
      <c r="AT174" s="118">
        <v>-390.4</v>
      </c>
      <c r="AU174" s="118">
        <v>40.7455</v>
      </c>
      <c r="AV174" s="118">
        <v>-86.757230000000007</v>
      </c>
      <c r="AW174" s="118">
        <v>183.2</v>
      </c>
      <c r="AX174" s="118">
        <v>134.30000000000001</v>
      </c>
      <c r="AY174" s="118">
        <v>7.75</v>
      </c>
      <c r="AZ174" s="118">
        <v>-88.4</v>
      </c>
      <c r="BA174" s="118">
        <v>11.8</v>
      </c>
      <c r="BB174" s="118">
        <v>0</v>
      </c>
      <c r="BC174" s="118">
        <v>23.879000000000001</v>
      </c>
      <c r="BD174" s="118">
        <v>2.13</v>
      </c>
      <c r="BE174" s="118">
        <v>0</v>
      </c>
      <c r="BF174" s="19">
        <v>45107</v>
      </c>
      <c r="BG174" s="118" t="s">
        <v>1826</v>
      </c>
    </row>
    <row r="175" spans="1:59" x14ac:dyDescent="0.25">
      <c r="A175" s="25">
        <v>10174</v>
      </c>
      <c r="B175" t="s">
        <v>197</v>
      </c>
      <c r="C175" t="s">
        <v>561</v>
      </c>
      <c r="D175" s="27" t="s">
        <v>516</v>
      </c>
      <c r="E175" s="27" t="str">
        <f t="shared" si="17"/>
        <v>?</v>
      </c>
      <c r="F175" s="118" t="s">
        <v>515</v>
      </c>
      <c r="G175" t="s">
        <v>22</v>
      </c>
      <c r="H175" s="24" t="s">
        <v>9</v>
      </c>
      <c r="I175">
        <v>2.6100000000000002E-2</v>
      </c>
      <c r="J175">
        <v>3.2589999999999999</v>
      </c>
      <c r="K175">
        <v>-5.0000000000000001E-3</v>
      </c>
      <c r="L175">
        <v>0.06</v>
      </c>
      <c r="M175" s="140">
        <f t="shared" si="18"/>
        <v>0.05</v>
      </c>
      <c r="N175" s="140">
        <f t="shared" si="18"/>
        <v>3.2589999999999999</v>
      </c>
      <c r="O175" s="140">
        <f t="shared" si="18"/>
        <v>0.05</v>
      </c>
      <c r="P175" s="140">
        <f t="shared" si="15"/>
        <v>0.05</v>
      </c>
      <c r="Q175" s="161" t="s">
        <v>676</v>
      </c>
      <c r="R175" s="125">
        <v>23.664999999999999</v>
      </c>
      <c r="S175" t="s">
        <v>676</v>
      </c>
      <c r="T175" t="s">
        <v>515</v>
      </c>
      <c r="U175" t="s">
        <v>515</v>
      </c>
      <c r="V175" s="118" t="s">
        <v>515</v>
      </c>
      <c r="W175">
        <v>40.803319999999999</v>
      </c>
      <c r="X175">
        <v>-85.665239999999997</v>
      </c>
      <c r="Y175">
        <v>7</v>
      </c>
      <c r="Z175">
        <v>6</v>
      </c>
      <c r="AA175">
        <v>2023</v>
      </c>
      <c r="AB175" t="b">
        <v>0</v>
      </c>
      <c r="AC175" s="19">
        <v>45113</v>
      </c>
      <c r="AD175" s="19" t="s">
        <v>515</v>
      </c>
      <c r="AE175" s="236">
        <v>0.65312499999999996</v>
      </c>
      <c r="AF175" s="194">
        <v>45113</v>
      </c>
      <c r="AG175" s="105" t="s">
        <v>515</v>
      </c>
      <c r="AH175" s="105" t="s">
        <v>515</v>
      </c>
      <c r="AI175" s="105">
        <v>738.6</v>
      </c>
      <c r="AJ175" s="105">
        <v>502.4</v>
      </c>
      <c r="AK175" s="105">
        <v>466.6</v>
      </c>
      <c r="AL175" s="105">
        <v>466581</v>
      </c>
      <c r="AM175" s="105">
        <v>0.22</v>
      </c>
      <c r="AN175" s="105">
        <v>462.7</v>
      </c>
      <c r="AO175" s="105">
        <v>0.4</v>
      </c>
      <c r="AP175" s="105">
        <v>0.41599999999999998</v>
      </c>
      <c r="AQ175" s="105">
        <v>0.56599999999999995</v>
      </c>
      <c r="AR175" s="105">
        <v>-328.8</v>
      </c>
      <c r="AS175" s="105">
        <v>-25.25</v>
      </c>
      <c r="AT175" s="105">
        <v>-328.8</v>
      </c>
      <c r="AU175" s="105">
        <v>40.803319999999999</v>
      </c>
      <c r="AV175" s="105">
        <v>-85.665210000000002</v>
      </c>
      <c r="AW175" s="105">
        <v>223.8</v>
      </c>
      <c r="AX175" s="105">
        <v>89.1</v>
      </c>
      <c r="AY175" s="105">
        <v>8.51</v>
      </c>
      <c r="AZ175" s="105">
        <v>-132.9</v>
      </c>
      <c r="BA175" s="105">
        <v>11.8</v>
      </c>
      <c r="BB175" s="105">
        <v>0</v>
      </c>
      <c r="BC175" s="105">
        <v>29.023</v>
      </c>
      <c r="BD175" s="105">
        <v>2.84</v>
      </c>
      <c r="BE175" s="105">
        <v>0</v>
      </c>
      <c r="BF175" s="194">
        <v>45113</v>
      </c>
      <c r="BG175" s="105" t="s">
        <v>1855</v>
      </c>
    </row>
    <row r="176" spans="1:59" x14ac:dyDescent="0.25">
      <c r="A176" s="25">
        <v>10175</v>
      </c>
      <c r="B176" t="s">
        <v>198</v>
      </c>
      <c r="C176" t="s">
        <v>561</v>
      </c>
      <c r="D176" s="27" t="s">
        <v>516</v>
      </c>
      <c r="E176" s="27" t="str">
        <f t="shared" si="17"/>
        <v>?</v>
      </c>
      <c r="F176" s="118" t="s">
        <v>515</v>
      </c>
      <c r="G176" t="s">
        <v>22</v>
      </c>
      <c r="H176" s="24" t="s">
        <v>9</v>
      </c>
      <c r="I176">
        <v>3.8699999999999998E-2</v>
      </c>
      <c r="J176">
        <v>3.4540000000000002</v>
      </c>
      <c r="K176">
        <v>-7.4999999999999997E-3</v>
      </c>
      <c r="L176">
        <v>4.2000000000000003E-2</v>
      </c>
      <c r="M176" s="140">
        <f t="shared" si="18"/>
        <v>0.05</v>
      </c>
      <c r="N176" s="140">
        <f t="shared" si="18"/>
        <v>3.4540000000000002</v>
      </c>
      <c r="O176" s="140">
        <f t="shared" si="18"/>
        <v>0.05</v>
      </c>
      <c r="P176" s="140">
        <f t="shared" si="15"/>
        <v>0.05</v>
      </c>
      <c r="Q176" s="161" t="s">
        <v>676</v>
      </c>
      <c r="R176" s="125">
        <v>22.465</v>
      </c>
      <c r="S176" t="s">
        <v>676</v>
      </c>
      <c r="T176" t="s">
        <v>515</v>
      </c>
      <c r="U176" t="s">
        <v>515</v>
      </c>
      <c r="V176" s="118" t="s">
        <v>515</v>
      </c>
      <c r="W176">
        <v>40.792200000000001</v>
      </c>
      <c r="X176">
        <v>-85.66695</v>
      </c>
      <c r="Y176">
        <v>7</v>
      </c>
      <c r="Z176">
        <v>6</v>
      </c>
      <c r="AA176">
        <v>2023</v>
      </c>
      <c r="AB176" t="b">
        <v>0</v>
      </c>
      <c r="AC176" s="19">
        <v>45113</v>
      </c>
      <c r="AD176" s="19" t="s">
        <v>515</v>
      </c>
      <c r="AE176" s="236">
        <v>0.63429398148148153</v>
      </c>
      <c r="AF176" s="194">
        <v>45113</v>
      </c>
      <c r="AG176" s="105" t="s">
        <v>515</v>
      </c>
      <c r="AH176" s="105" t="s">
        <v>515</v>
      </c>
      <c r="AI176" s="105">
        <v>738.6</v>
      </c>
      <c r="AJ176" s="105">
        <v>498.8</v>
      </c>
      <c r="AK176" s="105">
        <v>464.6</v>
      </c>
      <c r="AL176" s="105">
        <v>464633</v>
      </c>
      <c r="AM176" s="105">
        <v>0.22</v>
      </c>
      <c r="AN176" s="105">
        <v>460.9</v>
      </c>
      <c r="AO176" s="105">
        <v>0.376</v>
      </c>
      <c r="AP176" s="105">
        <v>0.38500000000000001</v>
      </c>
      <c r="AQ176" s="105">
        <v>0.53300000000000003</v>
      </c>
      <c r="AR176" s="105">
        <v>-388.9</v>
      </c>
      <c r="AS176" s="105">
        <v>-29.95</v>
      </c>
      <c r="AT176" s="105">
        <v>-388.9</v>
      </c>
      <c r="AU176" s="105">
        <v>40.792259999999999</v>
      </c>
      <c r="AV176" s="105">
        <v>-85.666979999999995</v>
      </c>
      <c r="AW176" s="105">
        <v>223</v>
      </c>
      <c r="AX176" s="105">
        <v>86.6</v>
      </c>
      <c r="AY176" s="105">
        <v>8.49</v>
      </c>
      <c r="AZ176" s="105">
        <v>-131.69999999999999</v>
      </c>
      <c r="BA176" s="105">
        <v>11.8</v>
      </c>
      <c r="BB176" s="105">
        <v>0</v>
      </c>
      <c r="BC176" s="105">
        <v>28.852</v>
      </c>
      <c r="BD176" s="105">
        <v>3.31</v>
      </c>
      <c r="BE176" s="105">
        <v>0</v>
      </c>
      <c r="BF176" s="194">
        <v>45113</v>
      </c>
      <c r="BG176" s="105" t="s">
        <v>1857</v>
      </c>
    </row>
    <row r="177" spans="1:59" x14ac:dyDescent="0.25">
      <c r="A177" s="25">
        <v>10176</v>
      </c>
      <c r="B177" t="s">
        <v>199</v>
      </c>
      <c r="C177" t="s">
        <v>561</v>
      </c>
      <c r="D177" s="27" t="s">
        <v>516</v>
      </c>
      <c r="E177" s="27" t="str">
        <f t="shared" si="17"/>
        <v>?</v>
      </c>
      <c r="F177" s="118" t="s">
        <v>515</v>
      </c>
      <c r="G177" t="s">
        <v>22</v>
      </c>
      <c r="H177" s="24" t="s">
        <v>9</v>
      </c>
      <c r="I177">
        <v>3.2199999999999999E-2</v>
      </c>
      <c r="J177">
        <v>3.1970000000000001</v>
      </c>
      <c r="K177">
        <v>-0.01</v>
      </c>
      <c r="L177">
        <v>5.7000000000000002E-2</v>
      </c>
      <c r="M177" s="140">
        <f t="shared" si="18"/>
        <v>0.05</v>
      </c>
      <c r="N177" s="140">
        <f t="shared" si="18"/>
        <v>3.1970000000000001</v>
      </c>
      <c r="O177" s="140">
        <f t="shared" si="18"/>
        <v>0.05</v>
      </c>
      <c r="P177" s="140">
        <f t="shared" si="15"/>
        <v>0.05</v>
      </c>
      <c r="Q177" s="161" t="s">
        <v>676</v>
      </c>
      <c r="R177" s="125">
        <v>25.46</v>
      </c>
      <c r="S177" t="s">
        <v>676</v>
      </c>
      <c r="T177" t="s">
        <v>515</v>
      </c>
      <c r="U177" t="s">
        <v>515</v>
      </c>
      <c r="V177" s="118" t="s">
        <v>515</v>
      </c>
      <c r="W177">
        <v>40.772410000000001</v>
      </c>
      <c r="X177">
        <v>-85.639949999999999</v>
      </c>
      <c r="Y177">
        <v>7</v>
      </c>
      <c r="Z177">
        <v>6</v>
      </c>
      <c r="AA177">
        <v>2023</v>
      </c>
      <c r="AB177" t="b">
        <v>0</v>
      </c>
      <c r="AC177" s="19">
        <v>45113</v>
      </c>
      <c r="AD177" s="19" t="s">
        <v>515</v>
      </c>
      <c r="AE177" s="236">
        <v>0.47365740740740742</v>
      </c>
      <c r="AF177" s="194">
        <v>45113</v>
      </c>
      <c r="AG177" s="105" t="s">
        <v>515</v>
      </c>
      <c r="AH177" s="105" t="s">
        <v>515</v>
      </c>
      <c r="AI177" s="105">
        <v>739</v>
      </c>
      <c r="AJ177" s="105">
        <v>472</v>
      </c>
      <c r="AK177" s="105">
        <v>454.9</v>
      </c>
      <c r="AL177" s="105">
        <v>454925</v>
      </c>
      <c r="AM177" s="105">
        <v>0.22</v>
      </c>
      <c r="AN177" s="105">
        <v>453.1</v>
      </c>
      <c r="AO177" s="105">
        <v>0.53500000000000003</v>
      </c>
      <c r="AP177" s="105">
        <v>0.52900000000000003</v>
      </c>
      <c r="AQ177" s="105">
        <v>0.75800000000000001</v>
      </c>
      <c r="AR177" s="105">
        <v>-272</v>
      </c>
      <c r="AS177" s="105">
        <v>-21.66</v>
      </c>
      <c r="AT177" s="105">
        <v>-272</v>
      </c>
      <c r="AU177" s="105">
        <v>40.772579999999998</v>
      </c>
      <c r="AV177" s="105">
        <v>-85.639939999999996</v>
      </c>
      <c r="AW177" s="105">
        <v>229.7</v>
      </c>
      <c r="AX177" s="105">
        <v>221.1</v>
      </c>
      <c r="AY177" s="105">
        <v>8.1199999999999992</v>
      </c>
      <c r="AZ177" s="105">
        <v>-108.8</v>
      </c>
      <c r="BA177" s="105">
        <v>11.8</v>
      </c>
      <c r="BB177" s="105">
        <v>0</v>
      </c>
      <c r="BC177" s="105">
        <v>26.965</v>
      </c>
      <c r="BD177" s="105">
        <v>1.6</v>
      </c>
      <c r="BE177" s="105">
        <v>0</v>
      </c>
      <c r="BF177" s="194">
        <v>45113</v>
      </c>
      <c r="BG177" s="105" t="s">
        <v>1843</v>
      </c>
    </row>
    <row r="178" spans="1:59" x14ac:dyDescent="0.25">
      <c r="A178" s="25">
        <v>10177</v>
      </c>
      <c r="B178" t="s">
        <v>200</v>
      </c>
      <c r="C178" t="s">
        <v>561</v>
      </c>
      <c r="D178" s="27" t="s">
        <v>516</v>
      </c>
      <c r="E178" s="27" t="str">
        <f t="shared" si="17"/>
        <v>?</v>
      </c>
      <c r="F178" s="118" t="s">
        <v>515</v>
      </c>
      <c r="G178" t="s">
        <v>22</v>
      </c>
      <c r="H178" s="24" t="s">
        <v>9</v>
      </c>
      <c r="I178">
        <v>3.5233333333333297E-2</v>
      </c>
      <c r="J178">
        <v>3.1539999999999901</v>
      </c>
      <c r="K178">
        <v>-9.3333333333333393E-3</v>
      </c>
      <c r="L178">
        <v>5.2999999999999999E-2</v>
      </c>
      <c r="M178" s="140">
        <f t="shared" ref="M178:O193" si="19">IF(I178&lt;0.1,0.05,I178)</f>
        <v>0.05</v>
      </c>
      <c r="N178" s="140">
        <f t="shared" si="19"/>
        <v>3.1539999999999901</v>
      </c>
      <c r="O178" s="140">
        <f t="shared" si="19"/>
        <v>0.05</v>
      </c>
      <c r="P178" s="140">
        <f t="shared" si="15"/>
        <v>0.05</v>
      </c>
      <c r="Q178" s="161" t="s">
        <v>676</v>
      </c>
      <c r="R178" s="125">
        <v>15.13</v>
      </c>
      <c r="S178" t="s">
        <v>676</v>
      </c>
      <c r="T178" t="s">
        <v>515</v>
      </c>
      <c r="U178" t="s">
        <v>515</v>
      </c>
      <c r="V178" s="118" t="s">
        <v>515</v>
      </c>
      <c r="W178">
        <v>40.777529999999999</v>
      </c>
      <c r="X178">
        <v>-85.646129999999999</v>
      </c>
      <c r="Y178">
        <v>7</v>
      </c>
      <c r="Z178">
        <v>6</v>
      </c>
      <c r="AA178">
        <v>2023</v>
      </c>
      <c r="AB178" t="b">
        <v>0</v>
      </c>
      <c r="AC178" s="19">
        <v>45113</v>
      </c>
      <c r="AD178" s="19" t="s">
        <v>515</v>
      </c>
      <c r="AE178" s="236">
        <v>0.51579861111111114</v>
      </c>
      <c r="AF178" s="194">
        <v>45113</v>
      </c>
      <c r="AG178" s="105" t="s">
        <v>515</v>
      </c>
      <c r="AH178" s="105" t="s">
        <v>515</v>
      </c>
      <c r="AI178" s="105">
        <v>739.1</v>
      </c>
      <c r="AJ178" s="105">
        <v>1.3</v>
      </c>
      <c r="AK178" s="105">
        <v>1.3</v>
      </c>
      <c r="AL178" s="105">
        <v>1316</v>
      </c>
      <c r="AM178" s="105">
        <v>0</v>
      </c>
      <c r="AN178" s="105">
        <v>1.3</v>
      </c>
      <c r="AO178" s="105">
        <v>3.4000000000000002E-2</v>
      </c>
      <c r="AP178" s="105">
        <v>4.8000000000000001E-2</v>
      </c>
      <c r="AQ178" s="105">
        <v>4.9000000000000002E-2</v>
      </c>
      <c r="AR178" s="105">
        <v>-219.4</v>
      </c>
      <c r="AS178" s="105">
        <v>-17.87</v>
      </c>
      <c r="AT178" s="105">
        <v>-219.4</v>
      </c>
      <c r="AU178" s="105">
        <v>40.777500000000003</v>
      </c>
      <c r="AV178" s="105">
        <v>-85.646159999999995</v>
      </c>
      <c r="AW178" s="105">
        <v>226.2</v>
      </c>
      <c r="AX178" s="105">
        <v>91.8</v>
      </c>
      <c r="AY178" s="105">
        <v>6.3</v>
      </c>
      <c r="AZ178" s="105">
        <v>0.3</v>
      </c>
      <c r="BA178" s="105">
        <v>11.8</v>
      </c>
      <c r="BB178" s="105">
        <v>0</v>
      </c>
      <c r="BC178" s="105">
        <v>25.789000000000001</v>
      </c>
      <c r="BD178" s="105">
        <v>9.2799999999999994</v>
      </c>
      <c r="BE178" s="105">
        <v>0</v>
      </c>
      <c r="BF178" s="194">
        <v>45113</v>
      </c>
      <c r="BG178" s="105" t="s">
        <v>1858</v>
      </c>
    </row>
    <row r="179" spans="1:59" x14ac:dyDescent="0.25">
      <c r="A179" s="25">
        <v>10178</v>
      </c>
      <c r="B179" t="s">
        <v>201</v>
      </c>
      <c r="C179" t="s">
        <v>561</v>
      </c>
      <c r="D179" s="27" t="s">
        <v>516</v>
      </c>
      <c r="E179" s="27" t="str">
        <f t="shared" si="17"/>
        <v>?</v>
      </c>
      <c r="F179" s="118" t="s">
        <v>515</v>
      </c>
      <c r="G179" t="s">
        <v>22</v>
      </c>
      <c r="H179" s="24" t="s">
        <v>9</v>
      </c>
      <c r="I179" t="s">
        <v>515</v>
      </c>
      <c r="J179" t="s">
        <v>515</v>
      </c>
      <c r="K179" t="s">
        <v>515</v>
      </c>
      <c r="L179">
        <v>5.8500000000000003E-2</v>
      </c>
      <c r="M179" s="140" t="str">
        <f t="shared" si="19"/>
        <v>NULL</v>
      </c>
      <c r="N179" s="140" t="str">
        <f t="shared" si="19"/>
        <v>NULL</v>
      </c>
      <c r="O179" s="140" t="str">
        <f t="shared" si="19"/>
        <v>NULL</v>
      </c>
      <c r="P179" s="140">
        <f t="shared" si="15"/>
        <v>0.05</v>
      </c>
      <c r="Q179" s="161" t="s">
        <v>676</v>
      </c>
      <c r="R179" s="125">
        <v>37.715000000000003</v>
      </c>
      <c r="S179" t="s">
        <v>676</v>
      </c>
      <c r="T179" t="s">
        <v>515</v>
      </c>
      <c r="U179" t="s">
        <v>515</v>
      </c>
      <c r="V179" s="118" t="s">
        <v>515</v>
      </c>
      <c r="W179">
        <v>40.77908</v>
      </c>
      <c r="X179">
        <v>-85.63494</v>
      </c>
      <c r="Y179">
        <v>7</v>
      </c>
      <c r="Z179">
        <v>6</v>
      </c>
      <c r="AA179">
        <v>2023</v>
      </c>
      <c r="AB179" t="b">
        <v>0</v>
      </c>
      <c r="AC179" s="19">
        <v>45113</v>
      </c>
      <c r="AD179" s="19" t="s">
        <v>515</v>
      </c>
      <c r="AE179" s="236">
        <v>0.53634259259259254</v>
      </c>
      <c r="AF179" s="194">
        <v>45113</v>
      </c>
      <c r="AG179" s="105" t="s">
        <v>515</v>
      </c>
      <c r="AH179" s="105" t="s">
        <v>515</v>
      </c>
      <c r="AI179" s="105">
        <v>739.2</v>
      </c>
      <c r="AJ179" s="105">
        <v>493.8</v>
      </c>
      <c r="AK179" s="105">
        <v>462.6</v>
      </c>
      <c r="AL179" s="105">
        <v>462645</v>
      </c>
      <c r="AM179" s="105">
        <v>0.22</v>
      </c>
      <c r="AN179" s="105">
        <v>459.3</v>
      </c>
      <c r="AO179" s="105">
        <v>3.5000000000000003E-2</v>
      </c>
      <c r="AP179" s="105">
        <v>0.02</v>
      </c>
      <c r="AQ179" s="105">
        <v>4.9000000000000002E-2</v>
      </c>
      <c r="AR179" s="105">
        <v>-369.7</v>
      </c>
      <c r="AS179" s="105">
        <v>-28.64</v>
      </c>
      <c r="AT179" s="105">
        <v>-369.7</v>
      </c>
      <c r="AU179" s="105">
        <v>40.779060000000001</v>
      </c>
      <c r="AV179" s="105">
        <v>-85.634929999999997</v>
      </c>
      <c r="AW179" s="105">
        <v>225.6</v>
      </c>
      <c r="AX179" s="105">
        <v>121.3</v>
      </c>
      <c r="AY179" s="105">
        <v>8.39</v>
      </c>
      <c r="AZ179" s="105">
        <v>-125.8</v>
      </c>
      <c r="BA179" s="105">
        <v>11.8</v>
      </c>
      <c r="BB179" s="105">
        <v>0</v>
      </c>
      <c r="BC179" s="105">
        <v>28.524000000000001</v>
      </c>
      <c r="BD179" s="105">
        <v>3.08</v>
      </c>
      <c r="BE179" s="105">
        <v>0</v>
      </c>
      <c r="BF179" s="194">
        <v>45113</v>
      </c>
      <c r="BG179" s="105" t="s">
        <v>1842</v>
      </c>
    </row>
    <row r="180" spans="1:59" x14ac:dyDescent="0.25">
      <c r="A180" s="25">
        <v>10179</v>
      </c>
      <c r="B180" t="s">
        <v>202</v>
      </c>
      <c r="C180" t="s">
        <v>561</v>
      </c>
      <c r="D180" s="27" t="s">
        <v>516</v>
      </c>
      <c r="E180" s="27" t="str">
        <f t="shared" si="17"/>
        <v>?</v>
      </c>
      <c r="F180" s="118" t="s">
        <v>515</v>
      </c>
      <c r="G180" t="s">
        <v>22</v>
      </c>
      <c r="H180" s="24" t="s">
        <v>9</v>
      </c>
      <c r="I180">
        <v>4.24E-2</v>
      </c>
      <c r="J180">
        <v>3.0030000000000001</v>
      </c>
      <c r="K180">
        <v>-1.0999999999999999E-2</v>
      </c>
      <c r="L180">
        <v>4.0500000000000001E-2</v>
      </c>
      <c r="M180" s="140">
        <f t="shared" si="19"/>
        <v>0.05</v>
      </c>
      <c r="N180" s="140">
        <f t="shared" si="19"/>
        <v>3.0030000000000001</v>
      </c>
      <c r="O180" s="140">
        <f t="shared" si="19"/>
        <v>0.05</v>
      </c>
      <c r="P180" s="140">
        <f t="shared" si="15"/>
        <v>0.05</v>
      </c>
      <c r="Q180" s="161" t="s">
        <v>676</v>
      </c>
      <c r="R180" s="125">
        <v>23.64</v>
      </c>
      <c r="S180" t="s">
        <v>676</v>
      </c>
      <c r="T180" t="s">
        <v>515</v>
      </c>
      <c r="U180" t="s">
        <v>515</v>
      </c>
      <c r="V180" s="118" t="s">
        <v>515</v>
      </c>
      <c r="W180">
        <v>40.77243</v>
      </c>
      <c r="X180">
        <v>-85.605029999999999</v>
      </c>
      <c r="Y180">
        <v>7</v>
      </c>
      <c r="Z180">
        <v>6</v>
      </c>
      <c r="AA180">
        <v>2023</v>
      </c>
      <c r="AB180" t="b">
        <v>0</v>
      </c>
      <c r="AC180" s="19">
        <v>45113</v>
      </c>
      <c r="AD180" s="19" t="s">
        <v>515</v>
      </c>
      <c r="AE180" s="236">
        <v>0.57870370370370372</v>
      </c>
      <c r="AF180" s="194">
        <v>45113</v>
      </c>
      <c r="AG180" s="105" t="s">
        <v>515</v>
      </c>
      <c r="AH180" s="105" t="s">
        <v>515</v>
      </c>
      <c r="AI180" s="105">
        <v>738.7</v>
      </c>
      <c r="AJ180" s="105">
        <v>503.7</v>
      </c>
      <c r="AK180" s="105">
        <v>472.4</v>
      </c>
      <c r="AL180" s="105">
        <v>472381</v>
      </c>
      <c r="AM180" s="105">
        <v>0.23</v>
      </c>
      <c r="AN180" s="105">
        <v>469</v>
      </c>
      <c r="AO180" s="105">
        <v>0.45600000000000002</v>
      </c>
      <c r="AP180" s="105">
        <v>0.45100000000000001</v>
      </c>
      <c r="AQ180" s="105">
        <v>0.64600000000000002</v>
      </c>
      <c r="AR180" s="105">
        <v>-219.5</v>
      </c>
      <c r="AS180" s="105">
        <v>-17.02</v>
      </c>
      <c r="AT180" s="105">
        <v>-219.5</v>
      </c>
      <c r="AU180" s="105">
        <v>40.77243</v>
      </c>
      <c r="AV180" s="105">
        <v>-85.605050000000006</v>
      </c>
      <c r="AW180" s="105">
        <v>232.1</v>
      </c>
      <c r="AX180" s="105">
        <v>67.7</v>
      </c>
      <c r="AY180" s="105">
        <v>8.5299999999999994</v>
      </c>
      <c r="AZ180" s="105">
        <v>-134.1</v>
      </c>
      <c r="BA180" s="105">
        <v>11.8</v>
      </c>
      <c r="BB180" s="105">
        <v>0</v>
      </c>
      <c r="BC180" s="105">
        <v>28.475000000000001</v>
      </c>
      <c r="BD180" s="105">
        <v>3.59</v>
      </c>
      <c r="BE180" s="105">
        <v>0</v>
      </c>
      <c r="BF180" s="194">
        <v>45113</v>
      </c>
      <c r="BG180" s="105" t="s">
        <v>1860</v>
      </c>
    </row>
    <row r="181" spans="1:59" x14ac:dyDescent="0.25">
      <c r="A181" s="25">
        <v>10180</v>
      </c>
      <c r="B181" t="s">
        <v>203</v>
      </c>
      <c r="C181" t="s">
        <v>561</v>
      </c>
      <c r="D181" s="27" t="s">
        <v>516</v>
      </c>
      <c r="E181" s="27" t="str">
        <f t="shared" si="17"/>
        <v>?</v>
      </c>
      <c r="F181" s="118" t="s">
        <v>515</v>
      </c>
      <c r="G181" t="s">
        <v>22</v>
      </c>
      <c r="H181" s="24" t="s">
        <v>9</v>
      </c>
      <c r="I181">
        <v>4.9799999999999997E-2</v>
      </c>
      <c r="J181">
        <v>3.6440000000000001</v>
      </c>
      <c r="K181">
        <v>-1.2E-2</v>
      </c>
      <c r="L181">
        <v>6.5500000000000003E-2</v>
      </c>
      <c r="M181" s="140">
        <f t="shared" si="19"/>
        <v>0.05</v>
      </c>
      <c r="N181" s="140">
        <f t="shared" si="19"/>
        <v>3.6440000000000001</v>
      </c>
      <c r="O181" s="140">
        <f t="shared" si="19"/>
        <v>0.05</v>
      </c>
      <c r="P181" s="140">
        <f t="shared" si="15"/>
        <v>0.05</v>
      </c>
      <c r="Q181" s="161" t="s">
        <v>676</v>
      </c>
      <c r="R181" s="125">
        <v>42.685000000000002</v>
      </c>
      <c r="S181" t="s">
        <v>676</v>
      </c>
      <c r="T181" t="s">
        <v>515</v>
      </c>
      <c r="U181" t="s">
        <v>515</v>
      </c>
      <c r="V181" s="118" t="s">
        <v>515</v>
      </c>
      <c r="W181">
        <v>40.751190000000001</v>
      </c>
      <c r="X181">
        <v>-85.581530000000001</v>
      </c>
      <c r="Y181">
        <v>7</v>
      </c>
      <c r="Z181">
        <v>6</v>
      </c>
      <c r="AA181">
        <v>2023</v>
      </c>
      <c r="AB181" t="b">
        <v>0</v>
      </c>
      <c r="AC181" s="19">
        <v>45113</v>
      </c>
      <c r="AD181" s="19" t="s">
        <v>515</v>
      </c>
      <c r="AE181" s="236">
        <v>0.60474537037037035</v>
      </c>
      <c r="AF181" s="194">
        <v>45113</v>
      </c>
      <c r="AG181" s="105" t="s">
        <v>515</v>
      </c>
      <c r="AH181" s="105" t="s">
        <v>515</v>
      </c>
      <c r="AI181" s="105">
        <v>738.6</v>
      </c>
      <c r="AJ181" s="105">
        <v>566</v>
      </c>
      <c r="AK181" s="105">
        <v>538.29999999999995</v>
      </c>
      <c r="AL181" s="105">
        <v>538275</v>
      </c>
      <c r="AM181" s="105">
        <v>0.26</v>
      </c>
      <c r="AN181" s="105">
        <v>535.29999999999995</v>
      </c>
      <c r="AO181" s="105">
        <v>0.51400000000000001</v>
      </c>
      <c r="AP181" s="105">
        <v>0.499</v>
      </c>
      <c r="AQ181" s="105">
        <v>0.72899999999999998</v>
      </c>
      <c r="AR181" s="105">
        <v>-275.5</v>
      </c>
      <c r="AS181" s="105">
        <v>-21.65</v>
      </c>
      <c r="AT181" s="105">
        <v>-275.5</v>
      </c>
      <c r="AU181" s="105">
        <v>40.751109999999997</v>
      </c>
      <c r="AV181" s="105">
        <v>-85.581569999999999</v>
      </c>
      <c r="AW181" s="105">
        <v>237.6</v>
      </c>
      <c r="AX181" s="105">
        <v>101.8</v>
      </c>
      <c r="AY181" s="105">
        <v>8.36</v>
      </c>
      <c r="AZ181" s="105">
        <v>-123.3</v>
      </c>
      <c r="BA181" s="105">
        <v>11.8</v>
      </c>
      <c r="BB181" s="105">
        <v>0</v>
      </c>
      <c r="BC181" s="105">
        <v>27.696999999999999</v>
      </c>
      <c r="BD181" s="105">
        <v>2.94</v>
      </c>
      <c r="BE181" s="105">
        <v>0</v>
      </c>
      <c r="BF181" s="194">
        <v>45113</v>
      </c>
      <c r="BG181" s="105" t="s">
        <v>1861</v>
      </c>
    </row>
    <row r="182" spans="1:59" x14ac:dyDescent="0.25">
      <c r="A182" s="25">
        <v>10181</v>
      </c>
      <c r="B182" t="s">
        <v>204</v>
      </c>
      <c r="C182" t="s">
        <v>204</v>
      </c>
      <c r="D182" s="27">
        <v>2101</v>
      </c>
      <c r="E182" s="27">
        <v>1</v>
      </c>
      <c r="F182" s="118">
        <v>5999</v>
      </c>
      <c r="G182" t="s">
        <v>19</v>
      </c>
      <c r="H182" s="24" t="s">
        <v>8</v>
      </c>
      <c r="I182">
        <v>1.6899999999999998E-2</v>
      </c>
      <c r="J182">
        <v>3.8610000000000002</v>
      </c>
      <c r="K182">
        <v>-5.0000000000000001E-3</v>
      </c>
      <c r="L182">
        <v>3.85E-2</v>
      </c>
      <c r="M182" s="140">
        <f t="shared" si="19"/>
        <v>0.05</v>
      </c>
      <c r="N182" s="140">
        <f t="shared" si="19"/>
        <v>3.8610000000000002</v>
      </c>
      <c r="O182" s="140">
        <f t="shared" si="19"/>
        <v>0.05</v>
      </c>
      <c r="P182" s="140">
        <f t="shared" si="15"/>
        <v>0.05</v>
      </c>
      <c r="Q182" s="161" t="s">
        <v>676</v>
      </c>
      <c r="R182" s="125">
        <v>35.71</v>
      </c>
      <c r="S182" t="s">
        <v>676</v>
      </c>
      <c r="T182" t="s">
        <v>515</v>
      </c>
      <c r="U182" t="s">
        <v>515</v>
      </c>
      <c r="V182" s="118" t="s">
        <v>515</v>
      </c>
      <c r="W182">
        <v>40.680888000000003</v>
      </c>
      <c r="X182">
        <v>-85.889013000000006</v>
      </c>
      <c r="Y182">
        <v>7</v>
      </c>
      <c r="Z182">
        <v>11</v>
      </c>
      <c r="AA182">
        <v>2023</v>
      </c>
      <c r="AB182" t="b">
        <v>0</v>
      </c>
      <c r="AC182" s="19">
        <v>45118</v>
      </c>
      <c r="AD182" s="19" t="s">
        <v>515</v>
      </c>
      <c r="AE182" s="235">
        <v>0.49456018518518519</v>
      </c>
      <c r="AF182" s="192">
        <v>45118</v>
      </c>
      <c r="AG182" s="26" t="s">
        <v>515</v>
      </c>
      <c r="AH182" s="26" t="s">
        <v>515</v>
      </c>
      <c r="AI182" s="26">
        <v>739.8</v>
      </c>
      <c r="AJ182" s="26">
        <v>533.20000000000005</v>
      </c>
      <c r="AK182" s="26">
        <v>508.7</v>
      </c>
      <c r="AL182" s="26">
        <v>508673</v>
      </c>
      <c r="AM182" s="26">
        <v>0.24</v>
      </c>
      <c r="AN182" s="26">
        <v>506</v>
      </c>
      <c r="AO182" s="26">
        <v>0.10199999999999999</v>
      </c>
      <c r="AP182" s="26">
        <v>9.0999999999999998E-2</v>
      </c>
      <c r="AQ182" s="26">
        <v>0.14499999999999999</v>
      </c>
      <c r="AR182" s="26">
        <v>-355.5</v>
      </c>
      <c r="AS182" s="26">
        <v>-28.03</v>
      </c>
      <c r="AT182" s="26">
        <v>-355.5</v>
      </c>
      <c r="AU182" s="26">
        <v>40.680709999999998</v>
      </c>
      <c r="AV182" s="26">
        <v>-85.888919999999999</v>
      </c>
      <c r="AW182" s="26">
        <v>243.7</v>
      </c>
      <c r="AX182" s="26">
        <v>123.2</v>
      </c>
      <c r="AY182" s="26">
        <v>8.42</v>
      </c>
      <c r="AZ182" s="26">
        <v>-126.6</v>
      </c>
      <c r="BA182" s="26">
        <v>11.8</v>
      </c>
      <c r="BB182" s="26">
        <v>0</v>
      </c>
      <c r="BC182" s="26">
        <v>27.521000000000001</v>
      </c>
      <c r="BD182" s="26">
        <v>15.4</v>
      </c>
      <c r="BE182" s="26">
        <v>0</v>
      </c>
      <c r="BF182" s="192">
        <v>45118</v>
      </c>
      <c r="BG182" s="26" t="s">
        <v>1717</v>
      </c>
    </row>
    <row r="183" spans="1:59" x14ac:dyDescent="0.25">
      <c r="A183" s="25">
        <v>10182</v>
      </c>
      <c r="B183" t="s">
        <v>205</v>
      </c>
      <c r="C183" t="s">
        <v>205</v>
      </c>
      <c r="D183" s="27">
        <v>2102</v>
      </c>
      <c r="E183" s="27">
        <v>2</v>
      </c>
      <c r="F183" s="118">
        <v>8861</v>
      </c>
      <c r="G183" t="s">
        <v>19</v>
      </c>
      <c r="H183" s="24" t="s">
        <v>8</v>
      </c>
      <c r="I183">
        <v>2.8400000000000002E-2</v>
      </c>
      <c r="J183">
        <v>4.1900000000000004</v>
      </c>
      <c r="K183">
        <v>-1.2E-2</v>
      </c>
      <c r="L183">
        <v>4.8500000000000001E-2</v>
      </c>
      <c r="M183" s="140">
        <f t="shared" si="19"/>
        <v>0.05</v>
      </c>
      <c r="N183" s="140">
        <f t="shared" si="19"/>
        <v>4.1900000000000004</v>
      </c>
      <c r="O183" s="140">
        <f t="shared" si="19"/>
        <v>0.05</v>
      </c>
      <c r="P183" s="140">
        <f t="shared" si="15"/>
        <v>0.05</v>
      </c>
      <c r="Q183" s="161" t="s">
        <v>676</v>
      </c>
      <c r="R183" s="125">
        <v>33.125</v>
      </c>
      <c r="S183" t="s">
        <v>676</v>
      </c>
      <c r="T183" t="s">
        <v>515</v>
      </c>
      <c r="U183" t="s">
        <v>515</v>
      </c>
      <c r="V183" s="118" t="s">
        <v>515</v>
      </c>
      <c r="W183">
        <v>40.678037000000003</v>
      </c>
      <c r="X183">
        <v>-85.87621</v>
      </c>
      <c r="Y183">
        <v>7</v>
      </c>
      <c r="Z183">
        <v>11</v>
      </c>
      <c r="AA183">
        <v>2023</v>
      </c>
      <c r="AB183" t="b">
        <v>0</v>
      </c>
      <c r="AC183" s="19">
        <v>45118</v>
      </c>
      <c r="AD183" s="19" t="s">
        <v>515</v>
      </c>
      <c r="AE183" s="235">
        <v>0.51418981481481485</v>
      </c>
      <c r="AF183" s="192">
        <v>45118</v>
      </c>
      <c r="AG183" s="26" t="s">
        <v>515</v>
      </c>
      <c r="AH183" s="26" t="s">
        <v>515</v>
      </c>
      <c r="AI183" s="26">
        <v>739.8</v>
      </c>
      <c r="AJ183" s="26">
        <v>539.4</v>
      </c>
      <c r="AK183" s="26">
        <v>518.6</v>
      </c>
      <c r="AL183" s="26">
        <v>518587</v>
      </c>
      <c r="AM183" s="26">
        <v>0.25</v>
      </c>
      <c r="AN183" s="26">
        <v>516.4</v>
      </c>
      <c r="AO183" s="26">
        <v>0.159</v>
      </c>
      <c r="AP183" s="26">
        <v>0.152</v>
      </c>
      <c r="AQ183" s="26">
        <v>0.22600000000000001</v>
      </c>
      <c r="AR183" s="26">
        <v>-393.7</v>
      </c>
      <c r="AS183" s="26">
        <v>-31.27</v>
      </c>
      <c r="AT183" s="26">
        <v>-393.7</v>
      </c>
      <c r="AU183" s="26">
        <v>40.678040000000003</v>
      </c>
      <c r="AV183" s="26">
        <v>-85.875950000000003</v>
      </c>
      <c r="AW183" s="26">
        <v>223.4</v>
      </c>
      <c r="AX183" s="26">
        <v>74.900000000000006</v>
      </c>
      <c r="AY183" s="26">
        <v>8.4700000000000006</v>
      </c>
      <c r="AZ183" s="26">
        <v>-129.5</v>
      </c>
      <c r="BA183" s="26">
        <v>11.8</v>
      </c>
      <c r="BB183" s="26">
        <v>0</v>
      </c>
      <c r="BC183" s="26">
        <v>27.102</v>
      </c>
      <c r="BD183" s="26">
        <v>5.89</v>
      </c>
      <c r="BE183" s="26">
        <v>0</v>
      </c>
      <c r="BF183" s="192">
        <v>45118</v>
      </c>
      <c r="BG183" s="26" t="s">
        <v>1716</v>
      </c>
    </row>
    <row r="184" spans="1:59" x14ac:dyDescent="0.25">
      <c r="A184" s="25">
        <v>10183</v>
      </c>
      <c r="B184" t="s">
        <v>206</v>
      </c>
      <c r="C184" t="s">
        <v>206</v>
      </c>
      <c r="D184" s="27">
        <v>2103</v>
      </c>
      <c r="E184" s="27">
        <v>3</v>
      </c>
      <c r="F184" s="118">
        <v>9921</v>
      </c>
      <c r="G184" t="s">
        <v>19</v>
      </c>
      <c r="H184" s="24" t="s">
        <v>8</v>
      </c>
      <c r="I184">
        <v>9.2999999999999992E-3</v>
      </c>
      <c r="J184">
        <v>4.6559999999999997</v>
      </c>
      <c r="K184">
        <v>-0.01</v>
      </c>
      <c r="L184">
        <v>4.3999999999999997E-2</v>
      </c>
      <c r="M184" s="140">
        <f t="shared" si="19"/>
        <v>0.05</v>
      </c>
      <c r="N184" s="140">
        <f t="shared" si="19"/>
        <v>4.6559999999999997</v>
      </c>
      <c r="O184" s="140">
        <f t="shared" si="19"/>
        <v>0.05</v>
      </c>
      <c r="P184" s="140">
        <f t="shared" si="15"/>
        <v>0.05</v>
      </c>
      <c r="Q184" s="161" t="s">
        <v>676</v>
      </c>
      <c r="R184" s="125">
        <v>33.274999999999999</v>
      </c>
      <c r="S184" t="s">
        <v>676</v>
      </c>
      <c r="T184" t="s">
        <v>515</v>
      </c>
      <c r="U184" t="s">
        <v>515</v>
      </c>
      <c r="V184" s="118" t="s">
        <v>515</v>
      </c>
      <c r="W184">
        <v>40.671593999999999</v>
      </c>
      <c r="X184">
        <v>-85.868559000000005</v>
      </c>
      <c r="Y184">
        <v>7</v>
      </c>
      <c r="Z184">
        <v>11</v>
      </c>
      <c r="AA184">
        <v>2023</v>
      </c>
      <c r="AB184" t="b">
        <v>0</v>
      </c>
      <c r="AC184" s="19">
        <v>45118</v>
      </c>
      <c r="AD184" s="19" t="s">
        <v>515</v>
      </c>
      <c r="AE184" s="235">
        <v>0.53188657407407403</v>
      </c>
      <c r="AF184" s="192">
        <v>45118</v>
      </c>
      <c r="AG184" s="26" t="s">
        <v>515</v>
      </c>
      <c r="AH184" s="26" t="s">
        <v>515</v>
      </c>
      <c r="AI184" s="26">
        <v>739.9</v>
      </c>
      <c r="AJ184" s="26">
        <v>552.20000000000005</v>
      </c>
      <c r="AK184" s="26">
        <v>532</v>
      </c>
      <c r="AL184" s="26">
        <v>532037</v>
      </c>
      <c r="AM184" s="26">
        <v>0.26</v>
      </c>
      <c r="AN184" s="26">
        <v>529.9</v>
      </c>
      <c r="AO184" s="26">
        <v>0.23</v>
      </c>
      <c r="AP184" s="26">
        <v>0.247</v>
      </c>
      <c r="AQ184" s="26">
        <v>0.32500000000000001</v>
      </c>
      <c r="AR184" s="26">
        <v>-328.4</v>
      </c>
      <c r="AS184" s="26">
        <v>-26.14</v>
      </c>
      <c r="AT184" s="26">
        <v>-328.4</v>
      </c>
      <c r="AU184" s="26">
        <v>40.671460000000003</v>
      </c>
      <c r="AV184" s="26">
        <v>-85.868229999999997</v>
      </c>
      <c r="AW184" s="26">
        <v>226.3</v>
      </c>
      <c r="AX184" s="26">
        <v>84.5</v>
      </c>
      <c r="AY184" s="26">
        <v>8.4499999999999993</v>
      </c>
      <c r="AZ184" s="26">
        <v>-128.19999999999999</v>
      </c>
      <c r="BA184" s="26">
        <v>11.8</v>
      </c>
      <c r="BB184" s="26">
        <v>0</v>
      </c>
      <c r="BC184" s="26">
        <v>26.986000000000001</v>
      </c>
      <c r="BD184" s="26">
        <v>4.6900000000000004</v>
      </c>
      <c r="BE184" s="26">
        <v>0</v>
      </c>
      <c r="BF184" s="192">
        <v>45118</v>
      </c>
      <c r="BG184" s="26" t="s">
        <v>1715</v>
      </c>
    </row>
    <row r="185" spans="1:59" x14ac:dyDescent="0.25">
      <c r="A185" s="25">
        <v>10184</v>
      </c>
      <c r="B185" t="s">
        <v>207</v>
      </c>
      <c r="C185" t="s">
        <v>207</v>
      </c>
      <c r="D185" s="27">
        <v>2104</v>
      </c>
      <c r="E185" s="27">
        <v>4</v>
      </c>
      <c r="F185" s="118">
        <v>10891</v>
      </c>
      <c r="G185" t="s">
        <v>19</v>
      </c>
      <c r="H185" s="24" t="s">
        <v>8</v>
      </c>
      <c r="I185">
        <v>1.2E-2</v>
      </c>
      <c r="J185">
        <v>5.915</v>
      </c>
      <c r="K185">
        <v>-0.01</v>
      </c>
      <c r="L185">
        <v>6.0999999999999999E-2</v>
      </c>
      <c r="M185" s="140">
        <f t="shared" si="19"/>
        <v>0.05</v>
      </c>
      <c r="N185" s="140">
        <f t="shared" si="19"/>
        <v>5.915</v>
      </c>
      <c r="O185" s="140">
        <f t="shared" si="19"/>
        <v>0.05</v>
      </c>
      <c r="P185" s="140">
        <f t="shared" si="15"/>
        <v>0.05</v>
      </c>
      <c r="Q185" s="161" t="s">
        <v>676</v>
      </c>
      <c r="R185" s="125">
        <v>21.51</v>
      </c>
      <c r="S185" t="s">
        <v>676</v>
      </c>
      <c r="T185" t="s">
        <v>515</v>
      </c>
      <c r="U185" t="s">
        <v>515</v>
      </c>
      <c r="V185" s="118" t="s">
        <v>515</v>
      </c>
      <c r="W185">
        <v>40.663654000000001</v>
      </c>
      <c r="X185">
        <v>-85.864614000000003</v>
      </c>
      <c r="Y185">
        <v>7</v>
      </c>
      <c r="Z185">
        <v>11</v>
      </c>
      <c r="AA185">
        <v>2023</v>
      </c>
      <c r="AB185" t="b">
        <v>0</v>
      </c>
      <c r="AC185" s="19">
        <v>45118</v>
      </c>
      <c r="AD185" s="19" t="s">
        <v>515</v>
      </c>
      <c r="AE185" s="235">
        <v>0.55891203703703707</v>
      </c>
      <c r="AF185" s="192">
        <v>45118</v>
      </c>
      <c r="AG185" s="26" t="s">
        <v>515</v>
      </c>
      <c r="AH185" s="26" t="s">
        <v>515</v>
      </c>
      <c r="AI185" s="26">
        <v>739.9</v>
      </c>
      <c r="AJ185" s="26">
        <v>575.1</v>
      </c>
      <c r="AK185" s="26">
        <v>550.5</v>
      </c>
      <c r="AL185" s="26">
        <v>550480</v>
      </c>
      <c r="AM185" s="26">
        <v>0.26</v>
      </c>
      <c r="AN185" s="26">
        <v>547.79999999999995</v>
      </c>
      <c r="AO185" s="26">
        <v>0.19500000000000001</v>
      </c>
      <c r="AP185" s="26">
        <v>0.20499999999999999</v>
      </c>
      <c r="AQ185" s="26">
        <v>0.27700000000000002</v>
      </c>
      <c r="AR185" s="26">
        <v>-357.7</v>
      </c>
      <c r="AS185" s="26">
        <v>-28.29</v>
      </c>
      <c r="AT185" s="26">
        <v>-357.7</v>
      </c>
      <c r="AU185" s="26">
        <v>40.663469999999997</v>
      </c>
      <c r="AV185" s="26">
        <v>-85.864739999999998</v>
      </c>
      <c r="AW185" s="26">
        <v>225</v>
      </c>
      <c r="AX185" s="26">
        <v>108.9</v>
      </c>
      <c r="AY185" s="26">
        <v>8.44</v>
      </c>
      <c r="AZ185" s="26">
        <v>-127.6</v>
      </c>
      <c r="BA185" s="26">
        <v>11.8</v>
      </c>
      <c r="BB185" s="26">
        <v>0</v>
      </c>
      <c r="BC185" s="26">
        <v>27.341000000000001</v>
      </c>
      <c r="BD185" s="26">
        <v>3.66</v>
      </c>
      <c r="BE185" s="26">
        <v>0</v>
      </c>
      <c r="BF185" s="192">
        <v>45118</v>
      </c>
      <c r="BG185" s="26" t="s">
        <v>1714</v>
      </c>
    </row>
    <row r="186" spans="1:59" x14ac:dyDescent="0.25">
      <c r="A186" s="25">
        <v>10185</v>
      </c>
      <c r="B186" t="s">
        <v>208</v>
      </c>
      <c r="C186" t="s">
        <v>208</v>
      </c>
      <c r="D186" s="27">
        <v>2105</v>
      </c>
      <c r="E186" s="27">
        <v>5</v>
      </c>
      <c r="F186" s="118">
        <v>12821</v>
      </c>
      <c r="G186" t="s">
        <v>19</v>
      </c>
      <c r="H186" s="24" t="s">
        <v>8</v>
      </c>
      <c r="I186">
        <v>2.2800000000000001E-2</v>
      </c>
      <c r="J186">
        <v>6.2850000000000001</v>
      </c>
      <c r="K186">
        <v>-7.0000000000000001E-3</v>
      </c>
      <c r="L186">
        <v>0.09</v>
      </c>
      <c r="M186" s="140">
        <f t="shared" si="19"/>
        <v>0.05</v>
      </c>
      <c r="N186" s="140">
        <f t="shared" si="19"/>
        <v>6.2850000000000001</v>
      </c>
      <c r="O186" s="140">
        <f t="shared" si="19"/>
        <v>0.05</v>
      </c>
      <c r="P186" s="140">
        <f t="shared" si="15"/>
        <v>0.05</v>
      </c>
      <c r="Q186" s="161" t="s">
        <v>676</v>
      </c>
      <c r="R186" s="125">
        <v>34.524999999999999</v>
      </c>
      <c r="S186" t="s">
        <v>676</v>
      </c>
      <c r="T186" t="s">
        <v>515</v>
      </c>
      <c r="U186" t="s">
        <v>515</v>
      </c>
      <c r="V186" s="118" t="s">
        <v>515</v>
      </c>
      <c r="W186">
        <v>40.669330000000002</v>
      </c>
      <c r="X186">
        <v>-85.845554000000007</v>
      </c>
      <c r="Y186">
        <v>7</v>
      </c>
      <c r="Z186">
        <v>11</v>
      </c>
      <c r="AA186">
        <v>2023</v>
      </c>
      <c r="AB186" t="b">
        <v>0</v>
      </c>
      <c r="AC186" s="19">
        <v>45118</v>
      </c>
      <c r="AD186" s="19" t="s">
        <v>515</v>
      </c>
      <c r="AE186" s="235">
        <v>0.5763773148148148</v>
      </c>
      <c r="AF186" s="192">
        <v>45118</v>
      </c>
      <c r="AG186" s="26" t="s">
        <v>515</v>
      </c>
      <c r="AH186" s="26" t="s">
        <v>515</v>
      </c>
      <c r="AI186" s="26">
        <v>739.9</v>
      </c>
      <c r="AJ186" s="26">
        <v>578.20000000000005</v>
      </c>
      <c r="AK186" s="26">
        <v>557.20000000000005</v>
      </c>
      <c r="AL186" s="26">
        <v>557215</v>
      </c>
      <c r="AM186" s="26">
        <v>0.27</v>
      </c>
      <c r="AN186" s="26">
        <v>555</v>
      </c>
      <c r="AO186" s="26">
        <v>0.19600000000000001</v>
      </c>
      <c r="AP186" s="26">
        <v>0.20100000000000001</v>
      </c>
      <c r="AQ186" s="26">
        <v>0.27800000000000002</v>
      </c>
      <c r="AR186" s="26">
        <v>-334.4</v>
      </c>
      <c r="AS186" s="26">
        <v>-26.62</v>
      </c>
      <c r="AT186" s="26">
        <v>-334.4</v>
      </c>
      <c r="AU186" s="26">
        <v>40.66883</v>
      </c>
      <c r="AV186" s="26">
        <v>-85.846440000000001</v>
      </c>
      <c r="AW186" s="26">
        <v>222.1</v>
      </c>
      <c r="AX186" s="26">
        <v>104.2</v>
      </c>
      <c r="AY186" s="26">
        <v>8.32</v>
      </c>
      <c r="AZ186" s="26">
        <v>-120.7</v>
      </c>
      <c r="BA186" s="26">
        <v>11.8</v>
      </c>
      <c r="BB186" s="26">
        <v>0</v>
      </c>
      <c r="BC186" s="26">
        <v>26.975000000000001</v>
      </c>
      <c r="BD186" s="26">
        <v>6.32</v>
      </c>
      <c r="BE186" s="26">
        <v>0</v>
      </c>
      <c r="BF186" s="192">
        <v>45118</v>
      </c>
      <c r="BG186" s="26" t="s">
        <v>1713</v>
      </c>
    </row>
    <row r="187" spans="1:59" x14ac:dyDescent="0.25">
      <c r="A187" s="25">
        <v>10186</v>
      </c>
      <c r="B187" t="s">
        <v>209</v>
      </c>
      <c r="C187" t="s">
        <v>209</v>
      </c>
      <c r="D187" s="27">
        <v>2106</v>
      </c>
      <c r="E187" s="27">
        <v>6</v>
      </c>
      <c r="F187" s="118">
        <v>14351</v>
      </c>
      <c r="G187" t="s">
        <v>19</v>
      </c>
      <c r="H187" s="24" t="s">
        <v>8</v>
      </c>
      <c r="I187">
        <v>4.8300000000000003E-2</v>
      </c>
      <c r="J187">
        <v>5.734</v>
      </c>
      <c r="K187">
        <v>2E-3</v>
      </c>
      <c r="L187">
        <v>8.5500000000000007E-2</v>
      </c>
      <c r="M187" s="140">
        <f t="shared" si="19"/>
        <v>0.05</v>
      </c>
      <c r="N187" s="140">
        <f t="shared" si="19"/>
        <v>5.734</v>
      </c>
      <c r="O187" s="140">
        <f t="shared" si="19"/>
        <v>0.05</v>
      </c>
      <c r="P187" s="140">
        <f t="shared" si="15"/>
        <v>0.05</v>
      </c>
      <c r="Q187" s="161" t="s">
        <v>676</v>
      </c>
      <c r="R187" s="125">
        <v>30.094999999999999</v>
      </c>
      <c r="S187" t="s">
        <v>676</v>
      </c>
      <c r="T187" t="s">
        <v>515</v>
      </c>
      <c r="U187" t="s">
        <v>515</v>
      </c>
      <c r="V187" s="118" t="s">
        <v>515</v>
      </c>
      <c r="W187">
        <v>40.674351999999999</v>
      </c>
      <c r="X187">
        <v>-85.830181999999994</v>
      </c>
      <c r="Y187">
        <v>7</v>
      </c>
      <c r="Z187">
        <v>11</v>
      </c>
      <c r="AA187">
        <v>2023</v>
      </c>
      <c r="AB187" t="b">
        <v>0</v>
      </c>
      <c r="AC187" s="19">
        <v>45118</v>
      </c>
      <c r="AD187" s="19" t="s">
        <v>515</v>
      </c>
      <c r="AE187" s="235">
        <v>0.58862268518518523</v>
      </c>
      <c r="AF187" s="192">
        <v>45118</v>
      </c>
      <c r="AG187" s="26" t="s">
        <v>515</v>
      </c>
      <c r="AH187" s="26" t="s">
        <v>515</v>
      </c>
      <c r="AI187" s="26">
        <v>739.6</v>
      </c>
      <c r="AJ187" s="26">
        <v>585.5</v>
      </c>
      <c r="AK187" s="26">
        <v>560.79999999999995</v>
      </c>
      <c r="AL187" s="26">
        <v>560751</v>
      </c>
      <c r="AM187" s="26">
        <v>0.27</v>
      </c>
      <c r="AN187" s="26">
        <v>558.1</v>
      </c>
      <c r="AO187" s="26">
        <v>0.34499999999999997</v>
      </c>
      <c r="AP187" s="26">
        <v>0.34699999999999998</v>
      </c>
      <c r="AQ187" s="26">
        <v>0.48899999999999999</v>
      </c>
      <c r="AR187" s="26">
        <v>-289.60000000000002</v>
      </c>
      <c r="AS187" s="26">
        <v>-22.91</v>
      </c>
      <c r="AT187" s="26">
        <v>-289.60000000000002</v>
      </c>
      <c r="AU187" s="26">
        <v>40.674329999999998</v>
      </c>
      <c r="AV187" s="26">
        <v>-85.830830000000006</v>
      </c>
      <c r="AW187" s="26">
        <v>223.7</v>
      </c>
      <c r="AX187" s="26">
        <v>115.8</v>
      </c>
      <c r="AY187" s="26">
        <v>8.2899999999999991</v>
      </c>
      <c r="AZ187" s="26">
        <v>-118.8</v>
      </c>
      <c r="BA187" s="26">
        <v>11.8</v>
      </c>
      <c r="BB187" s="26">
        <v>0</v>
      </c>
      <c r="BC187" s="26">
        <v>27.31</v>
      </c>
      <c r="BD187" s="26">
        <v>7.75</v>
      </c>
      <c r="BE187" s="26">
        <v>0</v>
      </c>
      <c r="BF187" s="192">
        <v>45118</v>
      </c>
      <c r="BG187" s="26" t="s">
        <v>1712</v>
      </c>
    </row>
    <row r="188" spans="1:59" x14ac:dyDescent="0.25">
      <c r="A188" s="25">
        <v>10187</v>
      </c>
      <c r="B188" t="s">
        <v>210</v>
      </c>
      <c r="C188" t="s">
        <v>210</v>
      </c>
      <c r="D188" s="27">
        <v>2107</v>
      </c>
      <c r="E188" s="27">
        <v>7</v>
      </c>
      <c r="F188" s="118">
        <v>6411</v>
      </c>
      <c r="G188" t="s">
        <v>19</v>
      </c>
      <c r="H188" s="24" t="s">
        <v>8</v>
      </c>
      <c r="I188">
        <v>3.8600000000000002E-2</v>
      </c>
      <c r="J188">
        <v>3.899</v>
      </c>
      <c r="K188">
        <v>-8.0000000000000002E-3</v>
      </c>
      <c r="L188">
        <v>5.2249999999999998E-2</v>
      </c>
      <c r="M188" s="140">
        <f t="shared" si="19"/>
        <v>0.05</v>
      </c>
      <c r="N188" s="140">
        <f t="shared" si="19"/>
        <v>3.899</v>
      </c>
      <c r="O188" s="140">
        <f t="shared" si="19"/>
        <v>0.05</v>
      </c>
      <c r="P188" s="140">
        <f t="shared" si="15"/>
        <v>0.05</v>
      </c>
      <c r="Q188" s="161" t="s">
        <v>676</v>
      </c>
      <c r="R188" s="125">
        <v>40.11</v>
      </c>
      <c r="S188" t="s">
        <v>676</v>
      </c>
      <c r="T188" t="s">
        <v>515</v>
      </c>
      <c r="U188" t="s">
        <v>515</v>
      </c>
      <c r="V188" s="118" t="s">
        <v>515</v>
      </c>
      <c r="W188">
        <v>40.689431999999996</v>
      </c>
      <c r="X188">
        <v>-85.896206000000006</v>
      </c>
      <c r="Y188">
        <v>7</v>
      </c>
      <c r="Z188">
        <v>11</v>
      </c>
      <c r="AA188">
        <v>2023</v>
      </c>
      <c r="AB188" t="b">
        <v>0</v>
      </c>
      <c r="AC188" s="19">
        <v>45118</v>
      </c>
      <c r="AD188" s="19" t="s">
        <v>515</v>
      </c>
      <c r="AE188" s="235">
        <v>0.62442129629629628</v>
      </c>
      <c r="AF188" s="192">
        <v>45118</v>
      </c>
      <c r="AG188" s="26" t="s">
        <v>515</v>
      </c>
      <c r="AH188" s="26" t="s">
        <v>515</v>
      </c>
      <c r="AI188" s="26">
        <v>739.6</v>
      </c>
      <c r="AJ188" s="26">
        <v>532</v>
      </c>
      <c r="AK188" s="26">
        <v>510.9</v>
      </c>
      <c r="AL188" s="26">
        <v>510928</v>
      </c>
      <c r="AM188" s="26">
        <v>0.24</v>
      </c>
      <c r="AN188" s="26">
        <v>508.7</v>
      </c>
      <c r="AO188" s="26">
        <v>0.39</v>
      </c>
      <c r="AP188" s="26">
        <v>0.378</v>
      </c>
      <c r="AQ188" s="26">
        <v>0.55300000000000005</v>
      </c>
      <c r="AR188" s="26">
        <v>-233.2</v>
      </c>
      <c r="AS188" s="26">
        <v>-18.510000000000002</v>
      </c>
      <c r="AT188" s="26">
        <v>-233.2</v>
      </c>
      <c r="AU188" s="26">
        <v>40.689160000000001</v>
      </c>
      <c r="AV188" s="26">
        <v>-85.897800000000004</v>
      </c>
      <c r="AW188" s="26">
        <v>225.8</v>
      </c>
      <c r="AX188" s="26">
        <v>100.9</v>
      </c>
      <c r="AY188" s="26">
        <v>8.52</v>
      </c>
      <c r="AZ188" s="26">
        <v>-132.30000000000001</v>
      </c>
      <c r="BA188" s="26">
        <v>11.8</v>
      </c>
      <c r="BB188" s="26">
        <v>0</v>
      </c>
      <c r="BC188" s="26">
        <v>27.158000000000001</v>
      </c>
      <c r="BD188" s="26">
        <v>8.02</v>
      </c>
      <c r="BE188" s="26">
        <v>0</v>
      </c>
      <c r="BF188" s="192">
        <v>45118</v>
      </c>
      <c r="BG188" s="26" t="s">
        <v>1724</v>
      </c>
    </row>
    <row r="189" spans="1:59" x14ac:dyDescent="0.25">
      <c r="A189" s="25">
        <v>10188</v>
      </c>
      <c r="B189" t="s">
        <v>211</v>
      </c>
      <c r="C189" t="s">
        <v>211</v>
      </c>
      <c r="D189" s="27">
        <v>2108</v>
      </c>
      <c r="E189" s="27">
        <v>8</v>
      </c>
      <c r="F189" s="118">
        <v>5401</v>
      </c>
      <c r="G189" t="s">
        <v>19</v>
      </c>
      <c r="H189" s="24" t="s">
        <v>8</v>
      </c>
      <c r="I189">
        <v>1.4200000000000001E-2</v>
      </c>
      <c r="J189">
        <v>3.3860000000000001</v>
      </c>
      <c r="K189">
        <v>-4.0000000000000001E-3</v>
      </c>
      <c r="L189">
        <v>4.9000000000000002E-2</v>
      </c>
      <c r="M189" s="140">
        <f t="shared" si="19"/>
        <v>0.05</v>
      </c>
      <c r="N189" s="140">
        <f t="shared" si="19"/>
        <v>3.3860000000000001</v>
      </c>
      <c r="O189" s="140">
        <f t="shared" si="19"/>
        <v>0.05</v>
      </c>
      <c r="P189" s="140">
        <f t="shared" si="15"/>
        <v>0.05</v>
      </c>
      <c r="Q189" s="161" t="s">
        <v>676</v>
      </c>
      <c r="R189" s="125">
        <v>35.25</v>
      </c>
      <c r="S189" t="s">
        <v>676</v>
      </c>
      <c r="T189" t="s">
        <v>515</v>
      </c>
      <c r="U189" t="s">
        <v>515</v>
      </c>
      <c r="V189" s="118" t="s">
        <v>515</v>
      </c>
      <c r="W189">
        <v>40.694125999999997</v>
      </c>
      <c r="X189">
        <v>-85.906412000000003</v>
      </c>
      <c r="Y189">
        <v>7</v>
      </c>
      <c r="Z189">
        <v>11</v>
      </c>
      <c r="AA189">
        <v>2023</v>
      </c>
      <c r="AB189" t="b">
        <v>0</v>
      </c>
      <c r="AC189" s="19">
        <v>45118</v>
      </c>
      <c r="AD189" s="19" t="s">
        <v>515</v>
      </c>
      <c r="AE189" s="235">
        <v>0.64949074074074076</v>
      </c>
      <c r="AF189" s="192">
        <v>45118</v>
      </c>
      <c r="AG189" s="26" t="s">
        <v>515</v>
      </c>
      <c r="AH189" s="26" t="s">
        <v>515</v>
      </c>
      <c r="AI189" s="26">
        <v>739.8</v>
      </c>
      <c r="AJ189" s="26">
        <v>526.20000000000005</v>
      </c>
      <c r="AK189" s="26">
        <v>499.7</v>
      </c>
      <c r="AL189" s="26">
        <v>499695</v>
      </c>
      <c r="AM189" s="26">
        <v>0.24</v>
      </c>
      <c r="AN189" s="26">
        <v>496.8</v>
      </c>
      <c r="AO189" s="26">
        <v>0.442</v>
      </c>
      <c r="AP189" s="26">
        <v>0.44700000000000001</v>
      </c>
      <c r="AQ189" s="26">
        <v>0.626</v>
      </c>
      <c r="AR189" s="26">
        <v>-454.1</v>
      </c>
      <c r="AS189" s="26">
        <v>-35.65</v>
      </c>
      <c r="AT189" s="26">
        <v>-454.1</v>
      </c>
      <c r="AU189" s="26">
        <v>40.693759999999997</v>
      </c>
      <c r="AV189" s="26">
        <v>-85.906019999999998</v>
      </c>
      <c r="AW189" s="26">
        <v>226.9</v>
      </c>
      <c r="AX189" s="26">
        <v>112.7</v>
      </c>
      <c r="AY189" s="26">
        <v>8.58</v>
      </c>
      <c r="AZ189" s="26">
        <v>-136.19999999999999</v>
      </c>
      <c r="BA189" s="26">
        <v>11.8</v>
      </c>
      <c r="BB189" s="26">
        <v>0</v>
      </c>
      <c r="BC189" s="26">
        <v>27.774000000000001</v>
      </c>
      <c r="BD189" s="26">
        <v>8.5</v>
      </c>
      <c r="BE189" s="26">
        <v>0</v>
      </c>
      <c r="BF189" s="192">
        <v>45118</v>
      </c>
      <c r="BG189" s="26" t="s">
        <v>1722</v>
      </c>
    </row>
    <row r="190" spans="1:59" x14ac:dyDescent="0.25">
      <c r="A190" s="25">
        <v>10189</v>
      </c>
      <c r="B190" t="s">
        <v>212</v>
      </c>
      <c r="C190" t="s">
        <v>212</v>
      </c>
      <c r="D190" s="27">
        <v>2109</v>
      </c>
      <c r="E190" s="27">
        <v>9</v>
      </c>
      <c r="F190" s="118">
        <v>4381</v>
      </c>
      <c r="G190" t="s">
        <v>19</v>
      </c>
      <c r="H190" s="24" t="s">
        <v>8</v>
      </c>
      <c r="I190">
        <v>3.1199999999999999E-2</v>
      </c>
      <c r="J190">
        <v>3.4590000000000001</v>
      </c>
      <c r="K190">
        <v>-1.2E-2</v>
      </c>
      <c r="L190">
        <v>3.9E-2</v>
      </c>
      <c r="M190" s="140">
        <f t="shared" si="19"/>
        <v>0.05</v>
      </c>
      <c r="N190" s="140">
        <f t="shared" si="19"/>
        <v>3.4590000000000001</v>
      </c>
      <c r="O190" s="140">
        <f t="shared" si="19"/>
        <v>0.05</v>
      </c>
      <c r="P190" s="140">
        <f t="shared" si="15"/>
        <v>0.05</v>
      </c>
      <c r="Q190" s="161" t="s">
        <v>676</v>
      </c>
      <c r="R190" s="125">
        <v>35.354999999999997</v>
      </c>
      <c r="S190" t="s">
        <v>676</v>
      </c>
      <c r="T190" t="s">
        <v>515</v>
      </c>
      <c r="U190" t="s">
        <v>515</v>
      </c>
      <c r="V190" s="118" t="s">
        <v>515</v>
      </c>
      <c r="W190">
        <v>40.703916</v>
      </c>
      <c r="X190">
        <v>-85.928926000000004</v>
      </c>
      <c r="Y190">
        <v>7</v>
      </c>
      <c r="Z190">
        <v>11</v>
      </c>
      <c r="AA190">
        <v>2023</v>
      </c>
      <c r="AB190" t="b">
        <v>0</v>
      </c>
      <c r="AC190" s="19">
        <v>45118</v>
      </c>
      <c r="AD190" s="19" t="s">
        <v>515</v>
      </c>
      <c r="AE190" s="235">
        <v>0.66336805555555556</v>
      </c>
      <c r="AF190" s="192">
        <v>45118</v>
      </c>
      <c r="AG190" s="26" t="s">
        <v>515</v>
      </c>
      <c r="AH190" s="26" t="s">
        <v>515</v>
      </c>
      <c r="AI190" s="26">
        <v>739.4</v>
      </c>
      <c r="AJ190" s="26">
        <v>523.9</v>
      </c>
      <c r="AK190" s="26">
        <v>507.6</v>
      </c>
      <c r="AL190" s="26">
        <v>507553</v>
      </c>
      <c r="AM190" s="26">
        <v>0.24</v>
      </c>
      <c r="AN190" s="26">
        <v>505.8</v>
      </c>
      <c r="AO190" s="26">
        <v>0.35899999999999999</v>
      </c>
      <c r="AP190" s="26">
        <v>0.34699999999999998</v>
      </c>
      <c r="AQ190" s="26">
        <v>0.50900000000000001</v>
      </c>
      <c r="AR190" s="26">
        <v>-382.6</v>
      </c>
      <c r="AS190" s="26">
        <v>-30.62</v>
      </c>
      <c r="AT190" s="26">
        <v>-382.6</v>
      </c>
      <c r="AU190" s="26">
        <v>40.703440000000001</v>
      </c>
      <c r="AV190" s="26">
        <v>-85.929519999999997</v>
      </c>
      <c r="AW190" s="26">
        <v>224.7</v>
      </c>
      <c r="AX190" s="26">
        <v>130.5</v>
      </c>
      <c r="AY190" s="26">
        <v>8.4</v>
      </c>
      <c r="AZ190" s="26">
        <v>-125.1</v>
      </c>
      <c r="BA190" s="26">
        <v>11.8</v>
      </c>
      <c r="BB190" s="26">
        <v>0</v>
      </c>
      <c r="BC190" s="26">
        <v>26.686</v>
      </c>
      <c r="BD190" s="26">
        <v>6.88</v>
      </c>
      <c r="BE190" s="26">
        <v>0</v>
      </c>
      <c r="BF190" s="192">
        <v>45118</v>
      </c>
      <c r="BG190" s="26" t="s">
        <v>1718</v>
      </c>
    </row>
    <row r="191" spans="1:59" x14ac:dyDescent="0.25">
      <c r="A191" s="25">
        <v>10190</v>
      </c>
      <c r="B191" t="s">
        <v>213</v>
      </c>
      <c r="C191" t="s">
        <v>213</v>
      </c>
      <c r="D191" s="27">
        <v>2110</v>
      </c>
      <c r="E191" s="27">
        <v>10</v>
      </c>
      <c r="F191" s="118">
        <v>2851</v>
      </c>
      <c r="G191" t="s">
        <v>19</v>
      </c>
      <c r="H191" s="24" t="s">
        <v>8</v>
      </c>
      <c r="I191">
        <v>1.43E-2</v>
      </c>
      <c r="J191">
        <v>3.464</v>
      </c>
      <c r="K191">
        <v>-0.01</v>
      </c>
      <c r="L191">
        <v>3.9750000000000001E-2</v>
      </c>
      <c r="M191" s="140">
        <f t="shared" si="19"/>
        <v>0.05</v>
      </c>
      <c r="N191" s="140">
        <f t="shared" si="19"/>
        <v>3.464</v>
      </c>
      <c r="O191" s="140">
        <f t="shared" si="19"/>
        <v>0.05</v>
      </c>
      <c r="P191" s="140">
        <f t="shared" si="15"/>
        <v>0.05</v>
      </c>
      <c r="Q191" s="161" t="s">
        <v>676</v>
      </c>
      <c r="R191" s="125">
        <v>36.89</v>
      </c>
      <c r="S191" t="s">
        <v>676</v>
      </c>
      <c r="T191" t="s">
        <v>515</v>
      </c>
      <c r="U191" t="s">
        <v>515</v>
      </c>
      <c r="V191" s="118" t="s">
        <v>515</v>
      </c>
      <c r="W191">
        <v>40.694209999999998</v>
      </c>
      <c r="X191">
        <v>-85.918417000000005</v>
      </c>
      <c r="Y191">
        <v>7</v>
      </c>
      <c r="Z191">
        <v>11</v>
      </c>
      <c r="AA191">
        <v>2023</v>
      </c>
      <c r="AB191" t="b">
        <v>0</v>
      </c>
      <c r="AC191" s="19">
        <v>45118</v>
      </c>
      <c r="AD191" s="19" t="s">
        <v>515</v>
      </c>
      <c r="AE191" s="235">
        <v>0.6887847222222222</v>
      </c>
      <c r="AF191" s="192">
        <v>45118</v>
      </c>
      <c r="AG191" s="26" t="s">
        <v>515</v>
      </c>
      <c r="AH191" s="26" t="s">
        <v>515</v>
      </c>
      <c r="AI191" s="26">
        <v>739.3</v>
      </c>
      <c r="AJ191" s="26">
        <v>527.70000000000005</v>
      </c>
      <c r="AK191" s="26">
        <v>503.8</v>
      </c>
      <c r="AL191" s="26">
        <v>503777</v>
      </c>
      <c r="AM191" s="26">
        <v>0.24</v>
      </c>
      <c r="AN191" s="26">
        <v>501.2</v>
      </c>
      <c r="AO191" s="26">
        <v>0.219</v>
      </c>
      <c r="AP191" s="26">
        <v>0.23</v>
      </c>
      <c r="AQ191" s="26">
        <v>0.31</v>
      </c>
      <c r="AR191" s="26">
        <v>-281.39999999999998</v>
      </c>
      <c r="AS191" s="26">
        <v>-22.2</v>
      </c>
      <c r="AT191" s="26">
        <v>-281.39999999999998</v>
      </c>
      <c r="AU191" s="26">
        <v>40.694020000000002</v>
      </c>
      <c r="AV191" s="26">
        <v>-85.918790000000001</v>
      </c>
      <c r="AW191" s="26">
        <v>226.2</v>
      </c>
      <c r="AX191" s="26">
        <v>121</v>
      </c>
      <c r="AY191" s="26">
        <v>8.51</v>
      </c>
      <c r="AZ191" s="26">
        <v>-131.9</v>
      </c>
      <c r="BA191" s="26">
        <v>11.8</v>
      </c>
      <c r="BB191" s="26">
        <v>0</v>
      </c>
      <c r="BC191" s="26">
        <v>27.484000000000002</v>
      </c>
      <c r="BD191" s="26">
        <v>8.57</v>
      </c>
      <c r="BE191" s="26">
        <v>0</v>
      </c>
      <c r="BF191" s="192">
        <v>45118</v>
      </c>
      <c r="BG191" s="26" t="s">
        <v>1725</v>
      </c>
    </row>
    <row r="192" spans="1:59" x14ac:dyDescent="0.25">
      <c r="A192" s="25">
        <v>10191</v>
      </c>
      <c r="B192" s="26" t="s">
        <v>214</v>
      </c>
      <c r="C192" s="26" t="s">
        <v>562</v>
      </c>
      <c r="D192" s="30" t="s">
        <v>516</v>
      </c>
      <c r="E192" s="30" t="str">
        <f t="shared" ref="E192:E207" si="20">RIGHT(D192,2)</f>
        <v>?</v>
      </c>
      <c r="F192" s="118" t="s">
        <v>515</v>
      </c>
      <c r="G192" s="26" t="s">
        <v>20</v>
      </c>
      <c r="H192" s="66" t="s">
        <v>9</v>
      </c>
      <c r="I192" s="26">
        <v>4.2099999999999999E-2</v>
      </c>
      <c r="J192" s="26">
        <v>1.48</v>
      </c>
      <c r="K192" s="26">
        <v>-2E-3</v>
      </c>
      <c r="L192" s="26">
        <v>8.4750000000000006E-2</v>
      </c>
      <c r="M192" s="140">
        <f t="shared" si="19"/>
        <v>0.05</v>
      </c>
      <c r="N192" s="140">
        <f t="shared" si="19"/>
        <v>1.48</v>
      </c>
      <c r="O192" s="140">
        <f t="shared" si="19"/>
        <v>0.05</v>
      </c>
      <c r="P192" s="140">
        <f t="shared" si="15"/>
        <v>0.05</v>
      </c>
      <c r="Q192" s="162">
        <v>3.0000000000000001E-3</v>
      </c>
      <c r="R192" s="128">
        <v>38.950000000000003</v>
      </c>
      <c r="S192" t="s">
        <v>676</v>
      </c>
      <c r="T192" t="s">
        <v>515</v>
      </c>
      <c r="U192" t="s">
        <v>515</v>
      </c>
      <c r="V192" s="118" t="s">
        <v>515</v>
      </c>
      <c r="W192">
        <v>40.808892</v>
      </c>
      <c r="X192">
        <v>-86.794427999999996</v>
      </c>
      <c r="Y192">
        <v>7</v>
      </c>
      <c r="Z192">
        <v>13</v>
      </c>
      <c r="AA192">
        <v>2023</v>
      </c>
      <c r="AB192" t="b">
        <v>0</v>
      </c>
      <c r="AC192" s="19">
        <v>45120</v>
      </c>
      <c r="AD192" s="19" t="s">
        <v>515</v>
      </c>
      <c r="AE192" s="230">
        <v>0.47224537037037034</v>
      </c>
      <c r="AF192" s="19">
        <v>45120</v>
      </c>
      <c r="AG192" s="118" t="s">
        <v>515</v>
      </c>
      <c r="AH192" s="118" t="s">
        <v>515</v>
      </c>
      <c r="AI192" s="118">
        <v>740.8</v>
      </c>
      <c r="AJ192" s="118">
        <v>725.9</v>
      </c>
      <c r="AK192" s="118">
        <v>720.6</v>
      </c>
      <c r="AL192" s="118">
        <v>720631</v>
      </c>
      <c r="AM192" s="118">
        <v>0.35</v>
      </c>
      <c r="AN192" s="118">
        <v>720.1</v>
      </c>
      <c r="AO192" s="21">
        <v>0.17</v>
      </c>
      <c r="AP192" s="118">
        <v>0.185</v>
      </c>
      <c r="AQ192" s="118">
        <v>0.24199999999999999</v>
      </c>
      <c r="AR192" s="118">
        <v>-264.89999999999998</v>
      </c>
      <c r="AS192" s="118">
        <v>-21.69</v>
      </c>
      <c r="AT192" s="118">
        <v>-264.89999999999998</v>
      </c>
      <c r="AU192" s="118">
        <v>40.808779999999999</v>
      </c>
      <c r="AV192" s="118">
        <v>-86.794640000000001</v>
      </c>
      <c r="AW192" s="118">
        <v>195.2</v>
      </c>
      <c r="AX192" s="118">
        <v>98.1</v>
      </c>
      <c r="AY192" s="118">
        <v>8.01</v>
      </c>
      <c r="AZ192" s="118">
        <v>-105.7</v>
      </c>
      <c r="BA192" s="118">
        <v>11.8</v>
      </c>
      <c r="BB192" s="118">
        <v>0</v>
      </c>
      <c r="BC192" s="118">
        <v>25.384</v>
      </c>
      <c r="BD192" s="118">
        <v>6.66</v>
      </c>
      <c r="BE192" s="118">
        <v>0</v>
      </c>
      <c r="BF192" s="19">
        <v>45120</v>
      </c>
      <c r="BG192" s="118" t="s">
        <v>1885</v>
      </c>
    </row>
    <row r="193" spans="1:59" x14ac:dyDescent="0.25">
      <c r="A193" s="25">
        <v>10192</v>
      </c>
      <c r="B193" s="26" t="s">
        <v>215</v>
      </c>
      <c r="C193" s="26" t="s">
        <v>562</v>
      </c>
      <c r="D193" s="30" t="s">
        <v>516</v>
      </c>
      <c r="E193" s="30" t="str">
        <f t="shared" si="20"/>
        <v>?</v>
      </c>
      <c r="F193" s="118" t="s">
        <v>515</v>
      </c>
      <c r="G193" s="26" t="s">
        <v>20</v>
      </c>
      <c r="H193" s="66" t="s">
        <v>9</v>
      </c>
      <c r="I193" s="26">
        <v>1.5599999999999999E-2</v>
      </c>
      <c r="J193" s="26">
        <v>0.51100000000000001</v>
      </c>
      <c r="K193" s="26">
        <v>-8.0000000000000002E-3</v>
      </c>
      <c r="L193" s="26">
        <v>0.11225</v>
      </c>
      <c r="M193" s="140">
        <f t="shared" si="19"/>
        <v>0.05</v>
      </c>
      <c r="N193" s="140">
        <f t="shared" si="19"/>
        <v>0.51100000000000001</v>
      </c>
      <c r="O193" s="140">
        <f t="shared" si="19"/>
        <v>0.05</v>
      </c>
      <c r="P193" s="140">
        <f t="shared" si="15"/>
        <v>0.11225</v>
      </c>
      <c r="Q193" s="162">
        <v>2.5999999999999999E-2</v>
      </c>
      <c r="R193" s="128">
        <v>94.53</v>
      </c>
      <c r="S193" t="s">
        <v>676</v>
      </c>
      <c r="T193" t="s">
        <v>515</v>
      </c>
      <c r="U193" t="s">
        <v>515</v>
      </c>
      <c r="V193" s="118" t="s">
        <v>515</v>
      </c>
      <c r="W193">
        <v>40.823616000000001</v>
      </c>
      <c r="X193">
        <v>-86.794668000000001</v>
      </c>
      <c r="Y193">
        <v>7</v>
      </c>
      <c r="Z193">
        <v>13</v>
      </c>
      <c r="AA193">
        <v>2023</v>
      </c>
      <c r="AB193" t="b">
        <v>0</v>
      </c>
      <c r="AC193" s="19">
        <v>45120</v>
      </c>
      <c r="AD193" s="19" t="s">
        <v>515</v>
      </c>
      <c r="AE193" s="230">
        <v>0.50049768518518523</v>
      </c>
      <c r="AF193" s="19">
        <v>45120</v>
      </c>
      <c r="AG193" s="118" t="s">
        <v>515</v>
      </c>
      <c r="AH193" s="118" t="s">
        <v>515</v>
      </c>
      <c r="AI193" s="118">
        <v>740.6</v>
      </c>
      <c r="AJ193" s="118">
        <v>632.6</v>
      </c>
      <c r="AK193" s="118">
        <v>628.70000000000005</v>
      </c>
      <c r="AL193" s="118">
        <v>628698</v>
      </c>
      <c r="AM193" s="118">
        <v>0.3</v>
      </c>
      <c r="AN193" s="118">
        <v>628.29999999999995</v>
      </c>
      <c r="AO193" s="21">
        <v>8.3000000000000004E-2</v>
      </c>
      <c r="AP193" s="118">
        <v>6.9000000000000006E-2</v>
      </c>
      <c r="AQ193" s="118">
        <v>0.11799999999999999</v>
      </c>
      <c r="AR193" s="118">
        <v>-308.3</v>
      </c>
      <c r="AS193" s="118">
        <v>-25.29</v>
      </c>
      <c r="AT193" s="118">
        <v>-308.3</v>
      </c>
      <c r="AU193" s="118">
        <v>40.823830000000001</v>
      </c>
      <c r="AV193" s="118">
        <v>-86.794589999999999</v>
      </c>
      <c r="AW193" s="118">
        <v>195.6</v>
      </c>
      <c r="AX193" s="118">
        <v>82.2</v>
      </c>
      <c r="AY193" s="118">
        <v>8.01</v>
      </c>
      <c r="AZ193" s="118">
        <v>-105.8</v>
      </c>
      <c r="BA193" s="118">
        <v>11.8</v>
      </c>
      <c r="BB193" s="118">
        <v>0</v>
      </c>
      <c r="BC193" s="118">
        <v>25.321000000000002</v>
      </c>
      <c r="BD193" s="118">
        <v>6.52</v>
      </c>
      <c r="BE193" s="118">
        <v>0</v>
      </c>
      <c r="BF193" s="19">
        <v>45120</v>
      </c>
      <c r="BG193" s="118" t="s">
        <v>1884</v>
      </c>
    </row>
    <row r="194" spans="1:59" x14ac:dyDescent="0.25">
      <c r="A194" s="25">
        <v>10193</v>
      </c>
      <c r="B194" s="26" t="s">
        <v>216</v>
      </c>
      <c r="C194" s="26" t="s">
        <v>562</v>
      </c>
      <c r="D194" s="30" t="s">
        <v>516</v>
      </c>
      <c r="E194" s="30" t="str">
        <f t="shared" si="20"/>
        <v>?</v>
      </c>
      <c r="F194" s="118" t="s">
        <v>515</v>
      </c>
      <c r="G194" s="26" t="s">
        <v>20</v>
      </c>
      <c r="H194" s="66" t="s">
        <v>9</v>
      </c>
      <c r="I194" s="26">
        <v>4.6783999999999999</v>
      </c>
      <c r="J194" s="26">
        <v>0.04</v>
      </c>
      <c r="K194" s="26">
        <v>1.44</v>
      </c>
      <c r="L194" s="26">
        <v>36.991999999999997</v>
      </c>
      <c r="M194" s="140">
        <f t="shared" ref="M194:O209" si="21">IF(I194&lt;0.1,0.05,I194)</f>
        <v>4.6783999999999999</v>
      </c>
      <c r="N194" s="140">
        <f t="shared" si="21"/>
        <v>0.05</v>
      </c>
      <c r="O194" s="140">
        <f t="shared" si="21"/>
        <v>1.44</v>
      </c>
      <c r="P194" s="140">
        <f t="shared" ref="P194:P257" si="22">IF(L194&lt;0.1,0.05,L194)</f>
        <v>36.991999999999997</v>
      </c>
      <c r="Q194" s="162">
        <v>0.28699999999999998</v>
      </c>
      <c r="R194" s="128">
        <v>45.435000000000002</v>
      </c>
      <c r="S194" t="s">
        <v>676</v>
      </c>
      <c r="T194" t="s">
        <v>515</v>
      </c>
      <c r="U194" t="s">
        <v>515</v>
      </c>
      <c r="V194" s="118" t="s">
        <v>515</v>
      </c>
      <c r="W194">
        <v>40.843420000000002</v>
      </c>
      <c r="X194">
        <v>-86.817578999999995</v>
      </c>
      <c r="Y194">
        <v>7</v>
      </c>
      <c r="Z194">
        <v>13</v>
      </c>
      <c r="AA194">
        <v>2023</v>
      </c>
      <c r="AB194" t="b">
        <v>0</v>
      </c>
      <c r="AC194" s="19">
        <v>45120</v>
      </c>
      <c r="AD194" s="19" t="s">
        <v>515</v>
      </c>
      <c r="AE194" s="230">
        <v>0.5326967592592593</v>
      </c>
      <c r="AF194" s="19">
        <v>45120</v>
      </c>
      <c r="AG194" s="118" t="s">
        <v>515</v>
      </c>
      <c r="AH194" s="118" t="s">
        <v>515</v>
      </c>
      <c r="AI194" s="118">
        <v>740.5</v>
      </c>
      <c r="AJ194" s="118">
        <v>748.1</v>
      </c>
      <c r="AK194" s="118">
        <v>752.8</v>
      </c>
      <c r="AL194" s="118">
        <v>752792</v>
      </c>
      <c r="AM194" s="118">
        <v>0.37</v>
      </c>
      <c r="AN194" s="118">
        <v>753.3</v>
      </c>
      <c r="AO194" s="21">
        <v>7.1999999999999995E-2</v>
      </c>
      <c r="AP194" s="118">
        <v>6.4000000000000001E-2</v>
      </c>
      <c r="AQ194" s="118">
        <v>0.10199999999999999</v>
      </c>
      <c r="AR194" s="118">
        <v>-290.5</v>
      </c>
      <c r="AS194" s="118">
        <v>-24.1</v>
      </c>
      <c r="AT194" s="118">
        <v>-290.5</v>
      </c>
      <c r="AU194" s="118">
        <v>40.843389999999999</v>
      </c>
      <c r="AV194" s="118">
        <v>-86.817440000000005</v>
      </c>
      <c r="AW194" s="118">
        <v>198.5</v>
      </c>
      <c r="AX194" s="118">
        <v>-108.4</v>
      </c>
      <c r="AY194" s="118">
        <v>7.43</v>
      </c>
      <c r="AZ194" s="118">
        <v>-71.3</v>
      </c>
      <c r="BA194" s="118">
        <v>11.8</v>
      </c>
      <c r="BB194" s="118">
        <v>0</v>
      </c>
      <c r="BC194" s="118">
        <v>24.673999999999999</v>
      </c>
      <c r="BD194" s="118">
        <v>31.86</v>
      </c>
      <c r="BE194" s="118">
        <v>0</v>
      </c>
      <c r="BF194" s="19">
        <v>45120</v>
      </c>
      <c r="BG194" s="118" t="s">
        <v>1883</v>
      </c>
    </row>
    <row r="195" spans="1:59" x14ac:dyDescent="0.25">
      <c r="A195" s="25">
        <v>10194</v>
      </c>
      <c r="B195" s="26" t="s">
        <v>217</v>
      </c>
      <c r="C195" s="26" t="s">
        <v>563</v>
      </c>
      <c r="D195" s="30" t="s">
        <v>516</v>
      </c>
      <c r="E195" s="30" t="str">
        <f t="shared" si="20"/>
        <v>?</v>
      </c>
      <c r="F195" s="118" t="s">
        <v>515</v>
      </c>
      <c r="G195" s="26" t="s">
        <v>514</v>
      </c>
      <c r="H195" s="66" t="s">
        <v>9</v>
      </c>
      <c r="I195" s="26">
        <v>4.8000000000000001E-2</v>
      </c>
      <c r="J195" s="26">
        <v>0.496</v>
      </c>
      <c r="K195" s="26">
        <v>-0.01</v>
      </c>
      <c r="L195" s="26">
        <v>7.1499999999999994E-2</v>
      </c>
      <c r="M195" s="140">
        <f t="shared" si="21"/>
        <v>0.05</v>
      </c>
      <c r="N195" s="140">
        <f t="shared" si="21"/>
        <v>0.496</v>
      </c>
      <c r="O195" s="140">
        <f t="shared" si="21"/>
        <v>0.05</v>
      </c>
      <c r="P195" s="140">
        <f t="shared" si="22"/>
        <v>0.05</v>
      </c>
      <c r="Q195" s="162">
        <v>6.7000000000000004E-2</v>
      </c>
      <c r="R195" s="128">
        <v>66.625</v>
      </c>
      <c r="S195" t="s">
        <v>676</v>
      </c>
      <c r="T195" t="s">
        <v>515</v>
      </c>
      <c r="U195" t="s">
        <v>515</v>
      </c>
      <c r="V195" s="118" t="s">
        <v>515</v>
      </c>
      <c r="W195">
        <v>40.693818</v>
      </c>
      <c r="X195">
        <v>-86.766985000000005</v>
      </c>
      <c r="Y195">
        <v>7</v>
      </c>
      <c r="Z195">
        <v>13</v>
      </c>
      <c r="AA195">
        <v>2023</v>
      </c>
      <c r="AB195" t="b">
        <v>0</v>
      </c>
      <c r="AC195" s="19">
        <v>45120</v>
      </c>
      <c r="AD195" s="19" t="s">
        <v>515</v>
      </c>
      <c r="AE195" s="231">
        <v>0.58402777777777781</v>
      </c>
      <c r="AF195" s="196">
        <v>45120</v>
      </c>
      <c r="AG195" s="29" t="s">
        <v>515</v>
      </c>
      <c r="AH195" s="29" t="s">
        <v>515</v>
      </c>
      <c r="AI195" s="29">
        <v>741.3</v>
      </c>
      <c r="AJ195" s="29">
        <v>683.2</v>
      </c>
      <c r="AK195" s="29">
        <v>649.29999999999995</v>
      </c>
      <c r="AL195" s="29">
        <v>649296</v>
      </c>
      <c r="AM195" s="29">
        <v>0.31</v>
      </c>
      <c r="AN195" s="29">
        <v>645.6</v>
      </c>
      <c r="AO195" s="29">
        <v>0.159</v>
      </c>
      <c r="AP195" s="29">
        <v>0.17399999999999999</v>
      </c>
      <c r="AQ195" s="29">
        <v>0.22500000000000001</v>
      </c>
      <c r="AR195" s="29">
        <v>-288.5</v>
      </c>
      <c r="AS195" s="29">
        <v>-22.65</v>
      </c>
      <c r="AT195" s="29">
        <v>-288.5</v>
      </c>
      <c r="AU195" s="29">
        <v>40.693660000000001</v>
      </c>
      <c r="AV195" s="29">
        <v>-86.767039999999994</v>
      </c>
      <c r="AW195" s="29">
        <v>169.5</v>
      </c>
      <c r="AX195" s="29">
        <v>71.599999999999994</v>
      </c>
      <c r="AY195" s="29">
        <v>8.1300000000000008</v>
      </c>
      <c r="AZ195" s="29">
        <v>-113.6</v>
      </c>
      <c r="BA195" s="29">
        <v>11.8</v>
      </c>
      <c r="BB195" s="29">
        <v>0</v>
      </c>
      <c r="BC195" s="29">
        <v>27.734000000000002</v>
      </c>
      <c r="BD195" s="29">
        <v>8.64</v>
      </c>
      <c r="BE195" s="29">
        <v>0</v>
      </c>
      <c r="BF195" s="196">
        <v>45120</v>
      </c>
      <c r="BG195" s="29" t="s">
        <v>1821</v>
      </c>
    </row>
    <row r="196" spans="1:59" x14ac:dyDescent="0.25">
      <c r="A196" s="25">
        <v>10195</v>
      </c>
      <c r="B196" s="26" t="s">
        <v>218</v>
      </c>
      <c r="C196" s="26" t="s">
        <v>563</v>
      </c>
      <c r="D196" s="30" t="s">
        <v>516</v>
      </c>
      <c r="E196" s="30" t="str">
        <f t="shared" si="20"/>
        <v>?</v>
      </c>
      <c r="F196" s="118" t="s">
        <v>515</v>
      </c>
      <c r="G196" s="26" t="s">
        <v>514</v>
      </c>
      <c r="H196" s="66" t="s">
        <v>9</v>
      </c>
      <c r="I196" s="26">
        <v>9.4500000000000001E-2</v>
      </c>
      <c r="J196" s="26">
        <v>0.26100000000000001</v>
      </c>
      <c r="K196" s="26">
        <v>-5.0000000000000001E-3</v>
      </c>
      <c r="L196" s="26">
        <v>5.8500000000000003E-2</v>
      </c>
      <c r="M196" s="140">
        <f t="shared" si="21"/>
        <v>0.05</v>
      </c>
      <c r="N196" s="140">
        <f t="shared" si="21"/>
        <v>0.26100000000000001</v>
      </c>
      <c r="O196" s="140">
        <f t="shared" si="21"/>
        <v>0.05</v>
      </c>
      <c r="P196" s="140">
        <f t="shared" si="22"/>
        <v>0.05</v>
      </c>
      <c r="Q196" s="162">
        <v>7.3999999999999996E-2</v>
      </c>
      <c r="R196" s="128">
        <v>51.99</v>
      </c>
      <c r="S196" t="s">
        <v>676</v>
      </c>
      <c r="T196" t="s">
        <v>515</v>
      </c>
      <c r="U196" t="s">
        <v>515</v>
      </c>
      <c r="V196" s="118" t="s">
        <v>515</v>
      </c>
      <c r="W196">
        <v>40.666173999999998</v>
      </c>
      <c r="X196">
        <v>-86.752939999999995</v>
      </c>
      <c r="Y196">
        <v>7</v>
      </c>
      <c r="Z196">
        <v>13</v>
      </c>
      <c r="AA196">
        <v>2023</v>
      </c>
      <c r="AB196" t="b">
        <v>0</v>
      </c>
      <c r="AC196" s="19">
        <v>45120</v>
      </c>
      <c r="AD196" s="19" t="s">
        <v>515</v>
      </c>
      <c r="AE196" s="231">
        <v>0.40553240740740742</v>
      </c>
      <c r="AF196" s="196">
        <v>45120</v>
      </c>
      <c r="AG196" s="29" t="s">
        <v>515</v>
      </c>
      <c r="AH196" s="29" t="s">
        <v>515</v>
      </c>
      <c r="AI196" s="29">
        <v>741.5</v>
      </c>
      <c r="AJ196" s="29">
        <v>642.29999999999995</v>
      </c>
      <c r="AK196" s="29">
        <v>636.1</v>
      </c>
      <c r="AL196" s="29">
        <v>636087</v>
      </c>
      <c r="AM196" s="29">
        <v>0.31</v>
      </c>
      <c r="AN196" s="29">
        <v>635.4</v>
      </c>
      <c r="AO196" s="29">
        <v>8.8999999999999996E-2</v>
      </c>
      <c r="AP196" s="29">
        <v>9.7000000000000003E-2</v>
      </c>
      <c r="AQ196" s="29">
        <v>0.126</v>
      </c>
      <c r="AR196" s="29">
        <v>-302.5</v>
      </c>
      <c r="AS196" s="29">
        <v>-24.72</v>
      </c>
      <c r="AT196" s="29">
        <v>-302.5</v>
      </c>
      <c r="AU196" s="29">
        <v>40.66581</v>
      </c>
      <c r="AV196" s="29">
        <v>-86.752939999999995</v>
      </c>
      <c r="AW196" s="29">
        <v>196.2</v>
      </c>
      <c r="AX196" s="29">
        <v>226.4</v>
      </c>
      <c r="AY196" s="29">
        <v>6.09</v>
      </c>
      <c r="AZ196" s="29">
        <v>7.9</v>
      </c>
      <c r="BA196" s="29">
        <v>11.8</v>
      </c>
      <c r="BB196" s="29">
        <v>0</v>
      </c>
      <c r="BC196" s="29">
        <v>25.512</v>
      </c>
      <c r="BD196" s="29">
        <v>5</v>
      </c>
      <c r="BE196" s="29">
        <v>0</v>
      </c>
      <c r="BF196" s="196">
        <v>45120</v>
      </c>
      <c r="BG196" s="29" t="s">
        <v>1822</v>
      </c>
    </row>
    <row r="197" spans="1:59" x14ac:dyDescent="0.25">
      <c r="A197" s="25">
        <v>10196</v>
      </c>
      <c r="B197" s="26" t="s">
        <v>219</v>
      </c>
      <c r="C197" s="26" t="s">
        <v>563</v>
      </c>
      <c r="D197" s="30" t="s">
        <v>516</v>
      </c>
      <c r="E197" s="30" t="str">
        <f t="shared" si="20"/>
        <v>?</v>
      </c>
      <c r="F197" s="118" t="s">
        <v>515</v>
      </c>
      <c r="G197" s="26" t="s">
        <v>514</v>
      </c>
      <c r="H197" s="66" t="s">
        <v>9</v>
      </c>
      <c r="I197" s="26">
        <v>0.1069</v>
      </c>
      <c r="J197" s="26">
        <v>0.253</v>
      </c>
      <c r="K197" s="26">
        <v>-1.2E-2</v>
      </c>
      <c r="L197" s="26">
        <v>8.5999999999999993E-2</v>
      </c>
      <c r="M197" s="140">
        <f t="shared" si="21"/>
        <v>0.1069</v>
      </c>
      <c r="N197" s="140">
        <f t="shared" si="21"/>
        <v>0.253</v>
      </c>
      <c r="O197" s="140">
        <f t="shared" si="21"/>
        <v>0.05</v>
      </c>
      <c r="P197" s="140">
        <f t="shared" si="22"/>
        <v>0.05</v>
      </c>
      <c r="Q197" s="162">
        <v>1.4E-2</v>
      </c>
      <c r="R197" s="128">
        <v>56.164999999999999</v>
      </c>
      <c r="S197" t="s">
        <v>676</v>
      </c>
      <c r="T197" t="s">
        <v>515</v>
      </c>
      <c r="U197" t="s">
        <v>515</v>
      </c>
      <c r="V197" s="118" t="s">
        <v>515</v>
      </c>
      <c r="W197">
        <v>40.680701999999997</v>
      </c>
      <c r="X197">
        <v>-86.752009999999999</v>
      </c>
      <c r="Y197">
        <v>7</v>
      </c>
      <c r="Z197">
        <v>13</v>
      </c>
      <c r="AA197">
        <v>2023</v>
      </c>
      <c r="AB197" t="b">
        <v>0</v>
      </c>
      <c r="AC197" s="19">
        <v>45120</v>
      </c>
      <c r="AD197" s="19" t="s">
        <v>515</v>
      </c>
      <c r="AE197" s="231">
        <v>0.42482638888888891</v>
      </c>
      <c r="AF197" s="196">
        <v>45120</v>
      </c>
      <c r="AG197" s="29" t="s">
        <v>515</v>
      </c>
      <c r="AH197" s="29" t="s">
        <v>515</v>
      </c>
      <c r="AI197" s="29">
        <v>741.4</v>
      </c>
      <c r="AJ197" s="29">
        <v>655.20000000000005</v>
      </c>
      <c r="AK197" s="29">
        <v>634.9</v>
      </c>
      <c r="AL197" s="29">
        <v>634886</v>
      </c>
      <c r="AM197" s="29">
        <v>0.31</v>
      </c>
      <c r="AN197" s="29">
        <v>632.70000000000005</v>
      </c>
      <c r="AO197" s="29">
        <v>0.10100000000000001</v>
      </c>
      <c r="AP197" s="29">
        <v>0.1</v>
      </c>
      <c r="AQ197" s="29">
        <v>0.14399999999999999</v>
      </c>
      <c r="AR197" s="29">
        <v>-292.2</v>
      </c>
      <c r="AS197" s="29">
        <v>-23.38</v>
      </c>
      <c r="AT197" s="29">
        <v>-292.2</v>
      </c>
      <c r="AU197" s="29">
        <v>40.68074</v>
      </c>
      <c r="AV197" s="29">
        <v>-86.752080000000007</v>
      </c>
      <c r="AW197" s="29">
        <v>186.8</v>
      </c>
      <c r="AX197" s="29">
        <v>94.9</v>
      </c>
      <c r="AY197" s="29">
        <v>7.73</v>
      </c>
      <c r="AZ197" s="29">
        <v>-89.4</v>
      </c>
      <c r="BA197" s="29">
        <v>11.8</v>
      </c>
      <c r="BB197" s="29">
        <v>0</v>
      </c>
      <c r="BC197" s="29">
        <v>26.672999999999998</v>
      </c>
      <c r="BD197" s="29">
        <v>6.97</v>
      </c>
      <c r="BE197" s="29">
        <v>0</v>
      </c>
      <c r="BF197" s="196">
        <v>45120</v>
      </c>
      <c r="BG197" s="29" t="s">
        <v>1823</v>
      </c>
    </row>
    <row r="198" spans="1:59" x14ac:dyDescent="0.25">
      <c r="A198" s="25">
        <v>10197</v>
      </c>
      <c r="B198" t="s">
        <v>220</v>
      </c>
      <c r="C198" t="s">
        <v>563</v>
      </c>
      <c r="D198" s="27" t="s">
        <v>516</v>
      </c>
      <c r="E198" s="27" t="str">
        <f t="shared" si="20"/>
        <v>?</v>
      </c>
      <c r="F198" s="118" t="s">
        <v>515</v>
      </c>
      <c r="G198" t="s">
        <v>514</v>
      </c>
      <c r="H198" s="24" t="s">
        <v>9</v>
      </c>
      <c r="I198">
        <v>7.3800000000000004E-2</v>
      </c>
      <c r="J198">
        <v>1.496</v>
      </c>
      <c r="K198">
        <v>-7.0000000000000001E-3</v>
      </c>
      <c r="L198" t="s">
        <v>515</v>
      </c>
      <c r="M198" s="140">
        <f t="shared" si="21"/>
        <v>0.05</v>
      </c>
      <c r="N198" s="140">
        <f t="shared" si="21"/>
        <v>1.496</v>
      </c>
      <c r="O198" s="140">
        <f t="shared" si="21"/>
        <v>0.05</v>
      </c>
      <c r="P198" s="140" t="str">
        <f t="shared" si="22"/>
        <v>NULL</v>
      </c>
      <c r="Q198" s="161" t="s">
        <v>676</v>
      </c>
      <c r="R198" s="125">
        <v>56.89</v>
      </c>
      <c r="S198" t="s">
        <v>676</v>
      </c>
      <c r="T198" t="s">
        <v>515</v>
      </c>
      <c r="U198" t="s">
        <v>515</v>
      </c>
      <c r="V198" s="118" t="s">
        <v>515</v>
      </c>
      <c r="W198">
        <v>40.730876000000002</v>
      </c>
      <c r="X198">
        <v>-86.757884000000004</v>
      </c>
      <c r="Y198">
        <v>7</v>
      </c>
      <c r="Z198">
        <v>13</v>
      </c>
      <c r="AA198">
        <v>2023</v>
      </c>
      <c r="AB198" t="b">
        <v>0</v>
      </c>
      <c r="AC198" s="19">
        <v>45120</v>
      </c>
      <c r="AD198" s="19" t="s">
        <v>515</v>
      </c>
      <c r="AE198" s="231">
        <v>0.55583333333333329</v>
      </c>
      <c r="AF198" s="196">
        <v>45120</v>
      </c>
      <c r="AG198" s="29" t="s">
        <v>515</v>
      </c>
      <c r="AH198" s="29" t="s">
        <v>515</v>
      </c>
      <c r="AI198" s="29">
        <v>741.3</v>
      </c>
      <c r="AJ198" s="29">
        <v>722.5</v>
      </c>
      <c r="AK198" s="29">
        <v>707.4</v>
      </c>
      <c r="AL198" s="29">
        <v>707424</v>
      </c>
      <c r="AM198" s="29">
        <v>0.34</v>
      </c>
      <c r="AN198" s="29">
        <v>705.8</v>
      </c>
      <c r="AO198" s="29">
        <v>8.5999999999999993E-2</v>
      </c>
      <c r="AP198" s="29">
        <v>9.0999999999999998E-2</v>
      </c>
      <c r="AQ198" s="29">
        <v>0.122</v>
      </c>
      <c r="AR198" s="29">
        <v>-303.10000000000002</v>
      </c>
      <c r="AS198" s="29">
        <v>-24.49</v>
      </c>
      <c r="AT198" s="29">
        <v>-303.10000000000002</v>
      </c>
      <c r="AU198" s="29">
        <v>40.73086</v>
      </c>
      <c r="AV198" s="29">
        <v>-86.757999999999996</v>
      </c>
      <c r="AW198" s="29">
        <v>194.2</v>
      </c>
      <c r="AX198" s="29">
        <v>76.099999999999994</v>
      </c>
      <c r="AY198" s="29">
        <v>7.8</v>
      </c>
      <c r="AZ198" s="29">
        <v>-93.4</v>
      </c>
      <c r="BA198" s="29">
        <v>11.8</v>
      </c>
      <c r="BB198" s="29">
        <v>0</v>
      </c>
      <c r="BC198" s="29">
        <v>26.119</v>
      </c>
      <c r="BD198" s="29">
        <v>8.52</v>
      </c>
      <c r="BE198" s="29">
        <v>0</v>
      </c>
      <c r="BF198" s="196">
        <v>45120</v>
      </c>
      <c r="BG198" s="29" t="s">
        <v>1824</v>
      </c>
    </row>
    <row r="199" spans="1:59" x14ac:dyDescent="0.25">
      <c r="A199" s="25">
        <v>10198</v>
      </c>
      <c r="B199" t="s">
        <v>221</v>
      </c>
      <c r="C199" t="s">
        <v>563</v>
      </c>
      <c r="D199" s="27" t="s">
        <v>516</v>
      </c>
      <c r="E199" s="27" t="str">
        <f t="shared" si="20"/>
        <v>?</v>
      </c>
      <c r="F199" s="118" t="s">
        <v>515</v>
      </c>
      <c r="G199" t="s">
        <v>514</v>
      </c>
      <c r="H199" s="24" t="s">
        <v>9</v>
      </c>
      <c r="I199">
        <v>7.51E-2</v>
      </c>
      <c r="J199">
        <v>1.571</v>
      </c>
      <c r="K199">
        <v>3.0000000000000001E-3</v>
      </c>
      <c r="L199">
        <v>7.5999999999999998E-2</v>
      </c>
      <c r="M199" s="140">
        <f t="shared" si="21"/>
        <v>0.05</v>
      </c>
      <c r="N199" s="140">
        <f t="shared" si="21"/>
        <v>1.571</v>
      </c>
      <c r="O199" s="140">
        <f t="shared" si="21"/>
        <v>0.05</v>
      </c>
      <c r="P199" s="140">
        <f t="shared" si="22"/>
        <v>0.05</v>
      </c>
      <c r="Q199" s="161">
        <v>1.4E-2</v>
      </c>
      <c r="R199" s="125" t="s">
        <v>676</v>
      </c>
      <c r="S199" t="s">
        <v>676</v>
      </c>
      <c r="T199" t="s">
        <v>515</v>
      </c>
      <c r="U199" t="s">
        <v>515</v>
      </c>
      <c r="V199" s="118" t="s">
        <v>515</v>
      </c>
      <c r="W199">
        <v>40.745742</v>
      </c>
      <c r="X199">
        <v>-86.757273999999995</v>
      </c>
      <c r="Y199">
        <v>7</v>
      </c>
      <c r="Z199">
        <v>13</v>
      </c>
      <c r="AA199">
        <v>2023</v>
      </c>
      <c r="AB199" t="b">
        <v>0</v>
      </c>
      <c r="AC199" s="19">
        <v>45120</v>
      </c>
      <c r="AD199" s="19" t="s">
        <v>515</v>
      </c>
      <c r="AE199" s="231">
        <v>0.44827546296296295</v>
      </c>
      <c r="AF199" s="196">
        <v>45120</v>
      </c>
      <c r="AG199" s="29" t="s">
        <v>515</v>
      </c>
      <c r="AH199" s="29" t="s">
        <v>515</v>
      </c>
      <c r="AI199" s="29">
        <v>741.7</v>
      </c>
      <c r="AJ199" s="29">
        <v>705.8</v>
      </c>
      <c r="AK199" s="29">
        <v>706.8</v>
      </c>
      <c r="AL199" s="29">
        <v>706793</v>
      </c>
      <c r="AM199" s="29">
        <v>0.34</v>
      </c>
      <c r="AN199" s="29">
        <v>706.9</v>
      </c>
      <c r="AO199" s="29">
        <v>0.10299999999999999</v>
      </c>
      <c r="AP199" s="29">
        <v>0.10100000000000001</v>
      </c>
      <c r="AQ199" s="29">
        <v>0.14699999999999999</v>
      </c>
      <c r="AR199" s="29">
        <v>-261.8</v>
      </c>
      <c r="AS199" s="29">
        <v>-21.62</v>
      </c>
      <c r="AT199" s="29">
        <v>-261.8</v>
      </c>
      <c r="AU199" s="29">
        <v>40.745480000000001</v>
      </c>
      <c r="AV199" s="29">
        <v>-86.757289999999998</v>
      </c>
      <c r="AW199" s="29">
        <v>187.7</v>
      </c>
      <c r="AX199" s="29">
        <v>80.5</v>
      </c>
      <c r="AY199" s="29">
        <v>7.75</v>
      </c>
      <c r="AZ199" s="29">
        <v>-90.7</v>
      </c>
      <c r="BA199" s="29">
        <v>11.8</v>
      </c>
      <c r="BB199" s="29">
        <v>0</v>
      </c>
      <c r="BC199" s="29">
        <v>24.925999999999998</v>
      </c>
      <c r="BD199" s="29">
        <v>5.84</v>
      </c>
      <c r="BE199" s="29">
        <v>0</v>
      </c>
      <c r="BF199" s="196">
        <v>45120</v>
      </c>
      <c r="BG199" s="29" t="s">
        <v>1826</v>
      </c>
    </row>
    <row r="200" spans="1:59" x14ac:dyDescent="0.25">
      <c r="A200" s="25">
        <v>10199</v>
      </c>
      <c r="B200" t="s">
        <v>222</v>
      </c>
      <c r="C200" t="s">
        <v>564</v>
      </c>
      <c r="D200" s="27" t="s">
        <v>516</v>
      </c>
      <c r="E200" s="27" t="str">
        <f t="shared" si="20"/>
        <v>?</v>
      </c>
      <c r="F200" s="118" t="s">
        <v>515</v>
      </c>
      <c r="G200" t="s">
        <v>20</v>
      </c>
      <c r="H200" s="24" t="s">
        <v>9</v>
      </c>
      <c r="I200">
        <v>5.4350000000000002E-2</v>
      </c>
      <c r="J200">
        <v>1.093</v>
      </c>
      <c r="K200">
        <v>0.158</v>
      </c>
      <c r="L200" t="s">
        <v>515</v>
      </c>
      <c r="M200" s="140">
        <f t="shared" si="21"/>
        <v>0.05</v>
      </c>
      <c r="N200" s="140">
        <f t="shared" si="21"/>
        <v>1.093</v>
      </c>
      <c r="O200" s="140">
        <f t="shared" si="21"/>
        <v>0.158</v>
      </c>
      <c r="P200" s="140" t="str">
        <f t="shared" si="22"/>
        <v>NULL</v>
      </c>
      <c r="Q200" s="161" t="s">
        <v>676</v>
      </c>
      <c r="R200" s="125">
        <v>23.954999999999998</v>
      </c>
      <c r="S200" t="s">
        <v>676</v>
      </c>
      <c r="T200" t="s">
        <v>515</v>
      </c>
      <c r="U200" t="s">
        <v>515</v>
      </c>
      <c r="V200" s="118" t="s">
        <v>515</v>
      </c>
      <c r="W200">
        <v>40.808793000000001</v>
      </c>
      <c r="X200">
        <v>-86.794627000000006</v>
      </c>
      <c r="Y200">
        <v>7</v>
      </c>
      <c r="Z200">
        <v>18</v>
      </c>
      <c r="AA200">
        <v>2023</v>
      </c>
      <c r="AB200" t="b">
        <v>0</v>
      </c>
      <c r="AC200" s="19">
        <v>45125</v>
      </c>
      <c r="AD200" s="19" t="s">
        <v>515</v>
      </c>
      <c r="AE200" s="230">
        <v>0.5228356481481482</v>
      </c>
      <c r="AF200" s="19">
        <v>45125</v>
      </c>
      <c r="AG200" s="118" t="s">
        <v>515</v>
      </c>
      <c r="AH200" s="118" t="s">
        <v>515</v>
      </c>
      <c r="AI200" s="118">
        <v>743.5</v>
      </c>
      <c r="AJ200" s="118">
        <v>799.5</v>
      </c>
      <c r="AK200" s="118">
        <v>780.1</v>
      </c>
      <c r="AL200" s="118">
        <v>780053</v>
      </c>
      <c r="AM200" s="118">
        <v>0.38</v>
      </c>
      <c r="AN200" s="118">
        <v>778</v>
      </c>
      <c r="AO200" s="21">
        <v>0.11799999999999999</v>
      </c>
      <c r="AP200" s="118">
        <v>0.11600000000000001</v>
      </c>
      <c r="AQ200" s="118">
        <v>0.16700000000000001</v>
      </c>
      <c r="AR200" s="118">
        <v>-323.8</v>
      </c>
      <c r="AS200" s="118">
        <v>-26.08</v>
      </c>
      <c r="AT200" s="118">
        <v>-323.8</v>
      </c>
      <c r="AU200" s="118">
        <v>40.808759999999999</v>
      </c>
      <c r="AV200" s="118">
        <v>-86.794619999999995</v>
      </c>
      <c r="AW200" s="118">
        <v>197.5</v>
      </c>
      <c r="AX200" s="118">
        <v>70.400000000000006</v>
      </c>
      <c r="AY200" s="118">
        <v>8.16</v>
      </c>
      <c r="AZ200" s="118">
        <v>-109.9</v>
      </c>
      <c r="BA200" s="118">
        <v>11.8</v>
      </c>
      <c r="BB200" s="118">
        <v>0</v>
      </c>
      <c r="BC200" s="118">
        <v>26.311</v>
      </c>
      <c r="BD200" s="118">
        <v>4.58</v>
      </c>
      <c r="BE200" s="118">
        <v>-31</v>
      </c>
      <c r="BF200" s="19">
        <v>45125</v>
      </c>
      <c r="BG200" s="118" t="s">
        <v>1885</v>
      </c>
    </row>
    <row r="201" spans="1:59" x14ac:dyDescent="0.25">
      <c r="A201" s="25">
        <v>10200</v>
      </c>
      <c r="B201" t="s">
        <v>223</v>
      </c>
      <c r="C201" t="s">
        <v>564</v>
      </c>
      <c r="D201" s="27" t="s">
        <v>516</v>
      </c>
      <c r="E201" s="27" t="str">
        <f t="shared" si="20"/>
        <v>?</v>
      </c>
      <c r="F201" s="118" t="s">
        <v>515</v>
      </c>
      <c r="G201" t="s">
        <v>20</v>
      </c>
      <c r="H201" s="24" t="s">
        <v>9</v>
      </c>
      <c r="I201">
        <v>0.1404</v>
      </c>
      <c r="J201">
        <v>0.16600000000000001</v>
      </c>
      <c r="K201">
        <v>0.22800000000000001</v>
      </c>
      <c r="L201" t="s">
        <v>515</v>
      </c>
      <c r="M201" s="140">
        <f t="shared" si="21"/>
        <v>0.1404</v>
      </c>
      <c r="N201" s="140">
        <f t="shared" si="21"/>
        <v>0.16600000000000001</v>
      </c>
      <c r="O201" s="140">
        <f t="shared" si="21"/>
        <v>0.22800000000000001</v>
      </c>
      <c r="P201" s="140" t="str">
        <f t="shared" si="22"/>
        <v>NULL</v>
      </c>
      <c r="Q201" s="161" t="s">
        <v>676</v>
      </c>
      <c r="R201" s="125">
        <v>66.373333333333306</v>
      </c>
      <c r="S201" t="s">
        <v>676</v>
      </c>
      <c r="T201" t="s">
        <v>515</v>
      </c>
      <c r="U201" t="s">
        <v>515</v>
      </c>
      <c r="V201" s="118" t="s">
        <v>515</v>
      </c>
      <c r="W201">
        <v>40.823822</v>
      </c>
      <c r="X201">
        <v>-86.794567000000001</v>
      </c>
      <c r="Y201">
        <v>7</v>
      </c>
      <c r="Z201">
        <v>18</v>
      </c>
      <c r="AA201">
        <v>2023</v>
      </c>
      <c r="AB201" t="b">
        <v>0</v>
      </c>
      <c r="AC201" s="19">
        <v>45125</v>
      </c>
      <c r="AD201" s="19" t="s">
        <v>515</v>
      </c>
      <c r="AE201" s="230">
        <v>0.4698148148148148</v>
      </c>
      <c r="AF201" s="19">
        <v>45125</v>
      </c>
      <c r="AG201" s="118" t="s">
        <v>515</v>
      </c>
      <c r="AH201" s="118" t="s">
        <v>515</v>
      </c>
      <c r="AI201" s="118">
        <v>743.4</v>
      </c>
      <c r="AJ201" s="118">
        <v>686.7</v>
      </c>
      <c r="AK201" s="118">
        <v>672.7</v>
      </c>
      <c r="AL201" s="118">
        <v>672713</v>
      </c>
      <c r="AM201" s="118">
        <v>0.33</v>
      </c>
      <c r="AN201" s="118">
        <v>671.2</v>
      </c>
      <c r="AO201" s="21">
        <v>0.55200000000000005</v>
      </c>
      <c r="AP201" s="118">
        <v>0.54700000000000004</v>
      </c>
      <c r="AQ201" s="118">
        <v>0.78200000000000003</v>
      </c>
      <c r="AR201" s="118">
        <v>-312.60000000000002</v>
      </c>
      <c r="AS201" s="118">
        <v>-25.28</v>
      </c>
      <c r="AT201" s="118">
        <v>-312.60000000000002</v>
      </c>
      <c r="AU201" s="118">
        <v>40.823830000000001</v>
      </c>
      <c r="AV201" s="118">
        <v>-86.794579999999996</v>
      </c>
      <c r="AW201" s="118">
        <v>194.4</v>
      </c>
      <c r="AX201" s="118">
        <v>80.7</v>
      </c>
      <c r="AY201" s="118">
        <v>8.25</v>
      </c>
      <c r="AZ201" s="118">
        <v>-114.8</v>
      </c>
      <c r="BA201" s="118">
        <v>11.8</v>
      </c>
      <c r="BB201" s="118">
        <v>0</v>
      </c>
      <c r="BC201" s="118">
        <v>26.091000000000001</v>
      </c>
      <c r="BD201" s="118">
        <v>7.16</v>
      </c>
      <c r="BE201" s="118">
        <v>-28</v>
      </c>
      <c r="BF201" s="19">
        <v>45125</v>
      </c>
      <c r="BG201" s="118" t="s">
        <v>1884</v>
      </c>
    </row>
    <row r="202" spans="1:59" x14ac:dyDescent="0.25">
      <c r="A202" s="25">
        <v>10201</v>
      </c>
      <c r="B202" t="s">
        <v>224</v>
      </c>
      <c r="C202" t="s">
        <v>564</v>
      </c>
      <c r="D202" s="27" t="s">
        <v>516</v>
      </c>
      <c r="E202" s="27" t="str">
        <f t="shared" si="20"/>
        <v>?</v>
      </c>
      <c r="F202" s="118" t="s">
        <v>515</v>
      </c>
      <c r="G202" t="s">
        <v>20</v>
      </c>
      <c r="H202" s="24" t="s">
        <v>9</v>
      </c>
      <c r="I202">
        <v>0.87729999999999997</v>
      </c>
      <c r="J202">
        <v>1.0169999999999999</v>
      </c>
      <c r="K202">
        <v>0.625</v>
      </c>
      <c r="L202">
        <v>0.77600000000000002</v>
      </c>
      <c r="M202" s="140">
        <f t="shared" si="21"/>
        <v>0.87729999999999997</v>
      </c>
      <c r="N202" s="140">
        <f t="shared" si="21"/>
        <v>1.0169999999999999</v>
      </c>
      <c r="O202" s="140">
        <f t="shared" si="21"/>
        <v>0.625</v>
      </c>
      <c r="P202" s="140">
        <f t="shared" si="22"/>
        <v>0.77600000000000002</v>
      </c>
      <c r="Q202" s="161" t="s">
        <v>676</v>
      </c>
      <c r="R202" s="125">
        <v>32.31</v>
      </c>
      <c r="S202" t="s">
        <v>676</v>
      </c>
      <c r="T202" t="s">
        <v>515</v>
      </c>
      <c r="U202" t="s">
        <v>515</v>
      </c>
      <c r="V202" s="118" t="s">
        <v>515</v>
      </c>
      <c r="W202">
        <v>40.843417000000002</v>
      </c>
      <c r="X202">
        <v>-86.817468000000005</v>
      </c>
      <c r="Y202">
        <v>7</v>
      </c>
      <c r="Z202">
        <v>18</v>
      </c>
      <c r="AA202">
        <v>2023</v>
      </c>
      <c r="AB202" t="b">
        <v>0</v>
      </c>
      <c r="AC202" s="19">
        <v>45125</v>
      </c>
      <c r="AD202" s="19" t="s">
        <v>515</v>
      </c>
      <c r="AE202" s="230">
        <v>0.49222222222222223</v>
      </c>
      <c r="AF202" s="19">
        <v>45125</v>
      </c>
      <c r="AG202" s="118" t="s">
        <v>515</v>
      </c>
      <c r="AH202" s="118" t="s">
        <v>515</v>
      </c>
      <c r="AI202" s="118">
        <v>743.3</v>
      </c>
      <c r="AJ202" s="118">
        <v>674.6</v>
      </c>
      <c r="AK202" s="118">
        <v>679.5</v>
      </c>
      <c r="AL202" s="118">
        <v>679496</v>
      </c>
      <c r="AM202" s="118">
        <v>0.33</v>
      </c>
      <c r="AN202" s="118">
        <v>680</v>
      </c>
      <c r="AO202" s="21">
        <v>0.112</v>
      </c>
      <c r="AP202" s="118">
        <v>0.124</v>
      </c>
      <c r="AQ202" s="118">
        <v>0.158</v>
      </c>
      <c r="AR202" s="118">
        <v>-267.60000000000002</v>
      </c>
      <c r="AS202" s="118">
        <v>-22.23</v>
      </c>
      <c r="AT202" s="118">
        <v>-267.60000000000002</v>
      </c>
      <c r="AU202" s="118">
        <v>40.843409999999999</v>
      </c>
      <c r="AV202" s="118">
        <v>-86.817440000000005</v>
      </c>
      <c r="AW202" s="118">
        <v>200.6</v>
      </c>
      <c r="AX202" s="118">
        <v>-168.2</v>
      </c>
      <c r="AY202" s="118">
        <v>7.55</v>
      </c>
      <c r="AZ202" s="118">
        <v>-74.8</v>
      </c>
      <c r="BA202" s="118">
        <v>11.8</v>
      </c>
      <c r="BB202" s="118">
        <v>0</v>
      </c>
      <c r="BC202" s="118">
        <v>24.622</v>
      </c>
      <c r="BD202" s="118">
        <v>15599.62</v>
      </c>
      <c r="BE202" s="118">
        <v>-550070</v>
      </c>
      <c r="BF202" s="19">
        <v>45125</v>
      </c>
      <c r="BG202" s="118" t="s">
        <v>1883</v>
      </c>
    </row>
    <row r="203" spans="1:59" x14ac:dyDescent="0.25">
      <c r="A203" s="25">
        <v>10202</v>
      </c>
      <c r="B203" t="s">
        <v>225</v>
      </c>
      <c r="C203" t="s">
        <v>565</v>
      </c>
      <c r="D203" s="27" t="s">
        <v>516</v>
      </c>
      <c r="E203" s="27" t="str">
        <f t="shared" si="20"/>
        <v>?</v>
      </c>
      <c r="F203" s="118" t="s">
        <v>515</v>
      </c>
      <c r="G203" t="s">
        <v>514</v>
      </c>
      <c r="H203" s="24" t="s">
        <v>9</v>
      </c>
      <c r="I203">
        <v>7.9000000000000001E-2</v>
      </c>
      <c r="J203">
        <v>0.63200000000000001</v>
      </c>
      <c r="K203">
        <v>-8.9999999999999993E-3</v>
      </c>
      <c r="L203">
        <v>5.5E-2</v>
      </c>
      <c r="M203" s="140">
        <f t="shared" si="21"/>
        <v>0.05</v>
      </c>
      <c r="N203" s="140">
        <f t="shared" si="21"/>
        <v>0.63200000000000001</v>
      </c>
      <c r="O203" s="140">
        <f t="shared" si="21"/>
        <v>0.05</v>
      </c>
      <c r="P203" s="140">
        <f t="shared" si="22"/>
        <v>0.05</v>
      </c>
      <c r="Q203" s="161" t="s">
        <v>676</v>
      </c>
      <c r="R203" s="125">
        <v>30.67</v>
      </c>
      <c r="S203" t="s">
        <v>676</v>
      </c>
      <c r="T203" t="s">
        <v>515</v>
      </c>
      <c r="U203" t="s">
        <v>515</v>
      </c>
      <c r="V203" s="118" t="s">
        <v>515</v>
      </c>
      <c r="W203">
        <v>40.693662000000003</v>
      </c>
      <c r="X203">
        <v>-86.766958000000002</v>
      </c>
      <c r="Y203">
        <v>7</v>
      </c>
      <c r="Z203">
        <v>18</v>
      </c>
      <c r="AA203">
        <v>2023</v>
      </c>
      <c r="AB203" t="b">
        <v>0</v>
      </c>
      <c r="AC203" s="19">
        <v>45125</v>
      </c>
      <c r="AD203" s="19" t="s">
        <v>515</v>
      </c>
      <c r="AE203" s="230">
        <v>0.57606481481481486</v>
      </c>
      <c r="AF203" s="19">
        <v>45125</v>
      </c>
      <c r="AG203" s="118" t="s">
        <v>515</v>
      </c>
      <c r="AH203" s="118" t="s">
        <v>515</v>
      </c>
      <c r="AI203" s="118">
        <v>744.1</v>
      </c>
      <c r="AJ203" s="118">
        <v>762.2</v>
      </c>
      <c r="AK203" s="118">
        <v>708.2</v>
      </c>
      <c r="AL203" s="118">
        <v>708198</v>
      </c>
      <c r="AM203" s="118">
        <v>0.34</v>
      </c>
      <c r="AN203" s="118">
        <v>702.3</v>
      </c>
      <c r="AO203" s="21">
        <v>0.17799999999999999</v>
      </c>
      <c r="AP203" s="118">
        <v>0.192</v>
      </c>
      <c r="AQ203" s="118">
        <v>0.252</v>
      </c>
      <c r="AR203" s="118">
        <v>-288.60000000000002</v>
      </c>
      <c r="AS203" s="118">
        <v>-22.16</v>
      </c>
      <c r="AT203" s="118">
        <v>-288.60000000000002</v>
      </c>
      <c r="AU203" s="118">
        <v>40.69359</v>
      </c>
      <c r="AV203" s="118">
        <v>-86.766970000000001</v>
      </c>
      <c r="AW203" s="118">
        <v>187.7</v>
      </c>
      <c r="AX203" s="118">
        <v>85.7</v>
      </c>
      <c r="AY203" s="118">
        <v>8.39</v>
      </c>
      <c r="AZ203" s="118">
        <v>-124</v>
      </c>
      <c r="BA203" s="118">
        <v>11.8</v>
      </c>
      <c r="BB203" s="118">
        <v>0</v>
      </c>
      <c r="BC203" s="118">
        <v>28.992000000000001</v>
      </c>
      <c r="BD203" s="118">
        <v>10.36</v>
      </c>
      <c r="BE203" s="118">
        <v>-23</v>
      </c>
      <c r="BF203" s="19">
        <v>45125</v>
      </c>
      <c r="BG203" s="118" t="s">
        <v>1821</v>
      </c>
    </row>
    <row r="204" spans="1:59" x14ac:dyDescent="0.25">
      <c r="A204" s="25">
        <v>10203</v>
      </c>
      <c r="B204" t="s">
        <v>226</v>
      </c>
      <c r="C204" t="s">
        <v>565</v>
      </c>
      <c r="D204" s="27" t="s">
        <v>516</v>
      </c>
      <c r="E204" s="27" t="str">
        <f t="shared" si="20"/>
        <v>?</v>
      </c>
      <c r="F204" s="118" t="s">
        <v>515</v>
      </c>
      <c r="G204" t="s">
        <v>514</v>
      </c>
      <c r="H204" s="24" t="s">
        <v>9</v>
      </c>
      <c r="I204">
        <v>2.5700000000000001E-2</v>
      </c>
      <c r="J204">
        <v>0.21199999999999999</v>
      </c>
      <c r="K204">
        <v>-1.0999999999999999E-2</v>
      </c>
      <c r="L204">
        <v>6.2E-2</v>
      </c>
      <c r="M204" s="140">
        <f t="shared" si="21"/>
        <v>0.05</v>
      </c>
      <c r="N204" s="140">
        <f t="shared" si="21"/>
        <v>0.21199999999999999</v>
      </c>
      <c r="O204" s="140">
        <f t="shared" si="21"/>
        <v>0.05</v>
      </c>
      <c r="P204" s="140">
        <f t="shared" si="22"/>
        <v>0.05</v>
      </c>
      <c r="Q204" s="161" t="s">
        <v>676</v>
      </c>
      <c r="R204" s="125">
        <v>71</v>
      </c>
      <c r="S204" t="s">
        <v>676</v>
      </c>
      <c r="T204" t="s">
        <v>515</v>
      </c>
      <c r="U204" t="s">
        <v>515</v>
      </c>
      <c r="V204" s="118" t="s">
        <v>515</v>
      </c>
      <c r="W204">
        <v>40.667366000000001</v>
      </c>
      <c r="X204">
        <v>-86.752371999999994</v>
      </c>
      <c r="Y204">
        <v>7</v>
      </c>
      <c r="Z204">
        <v>18</v>
      </c>
      <c r="AA204">
        <v>2023</v>
      </c>
      <c r="AB204" t="b">
        <v>0</v>
      </c>
      <c r="AC204" s="19">
        <v>45125</v>
      </c>
      <c r="AD204" s="19" t="s">
        <v>515</v>
      </c>
      <c r="AE204" s="230">
        <v>0.40241898148148147</v>
      </c>
      <c r="AF204" s="19">
        <v>45125</v>
      </c>
      <c r="AG204" s="118" t="s">
        <v>515</v>
      </c>
      <c r="AH204" s="118" t="s">
        <v>515</v>
      </c>
      <c r="AI204" s="118">
        <v>744.5</v>
      </c>
      <c r="AJ204" s="118">
        <v>707.7</v>
      </c>
      <c r="AK204" s="118">
        <v>693.7</v>
      </c>
      <c r="AL204" s="118">
        <v>693709</v>
      </c>
      <c r="AM204" s="118">
        <v>0.34</v>
      </c>
      <c r="AN204" s="118">
        <v>692.2</v>
      </c>
      <c r="AO204" s="21">
        <v>0.16200000000000001</v>
      </c>
      <c r="AP204" s="118">
        <v>0.17699999999999999</v>
      </c>
      <c r="AQ204" s="118">
        <v>0.22900000000000001</v>
      </c>
      <c r="AR204" s="118">
        <v>-293.60000000000002</v>
      </c>
      <c r="AS204" s="118">
        <v>-23.76</v>
      </c>
      <c r="AT204" s="118">
        <v>-293.60000000000002</v>
      </c>
      <c r="AU204" s="118">
        <v>40.66713</v>
      </c>
      <c r="AV204" s="118">
        <v>-86.752340000000004</v>
      </c>
      <c r="AW204" s="118">
        <v>178.4</v>
      </c>
      <c r="AX204" s="118">
        <v>84.7</v>
      </c>
      <c r="AY204" s="118">
        <v>7.94</v>
      </c>
      <c r="AZ204" s="118">
        <v>-97.3</v>
      </c>
      <c r="BA204" s="118">
        <v>11.8</v>
      </c>
      <c r="BB204" s="118">
        <v>0</v>
      </c>
      <c r="BC204" s="118">
        <v>26.058</v>
      </c>
      <c r="BD204" s="118">
        <v>5.33</v>
      </c>
      <c r="BE204" s="118">
        <v>-30</v>
      </c>
      <c r="BF204" s="19">
        <v>45125</v>
      </c>
      <c r="BG204" s="118" t="s">
        <v>1822</v>
      </c>
    </row>
    <row r="205" spans="1:59" x14ac:dyDescent="0.25">
      <c r="A205" s="25">
        <v>10204</v>
      </c>
      <c r="B205" t="s">
        <v>227</v>
      </c>
      <c r="C205" t="s">
        <v>565</v>
      </c>
      <c r="D205" s="27" t="s">
        <v>516</v>
      </c>
      <c r="E205" s="27" t="str">
        <f t="shared" si="20"/>
        <v>?</v>
      </c>
      <c r="F205" s="118" t="s">
        <v>515</v>
      </c>
      <c r="G205" t="s">
        <v>514</v>
      </c>
      <c r="H205" s="24" t="s">
        <v>9</v>
      </c>
      <c r="I205">
        <v>2.9100000000000001E-2</v>
      </c>
      <c r="J205">
        <v>0.41099999999999998</v>
      </c>
      <c r="K205">
        <v>-8.9999999999999993E-3</v>
      </c>
      <c r="L205">
        <v>5.5500000000000001E-2</v>
      </c>
      <c r="M205" s="140">
        <f t="shared" si="21"/>
        <v>0.05</v>
      </c>
      <c r="N205" s="140">
        <f t="shared" si="21"/>
        <v>0.41099999999999998</v>
      </c>
      <c r="O205" s="140">
        <f t="shared" si="21"/>
        <v>0.05</v>
      </c>
      <c r="P205" s="140">
        <f t="shared" si="22"/>
        <v>0.05</v>
      </c>
      <c r="Q205" s="161" t="s">
        <v>676</v>
      </c>
      <c r="R205" s="125">
        <v>57.476666666666702</v>
      </c>
      <c r="S205" t="s">
        <v>676</v>
      </c>
      <c r="T205" t="s">
        <v>515</v>
      </c>
      <c r="U205" t="s">
        <v>515</v>
      </c>
      <c r="V205" s="118" t="s">
        <v>515</v>
      </c>
      <c r="W205">
        <v>40.680768999999998</v>
      </c>
      <c r="X205">
        <v>-86.752054999999999</v>
      </c>
      <c r="Y205">
        <v>7</v>
      </c>
      <c r="Z205">
        <v>18</v>
      </c>
      <c r="AA205">
        <v>2023</v>
      </c>
      <c r="AB205" t="b">
        <v>0</v>
      </c>
      <c r="AC205" s="19">
        <v>45125</v>
      </c>
      <c r="AD205" s="19" t="s">
        <v>515</v>
      </c>
      <c r="AE205" s="230">
        <v>0.4224074074074074</v>
      </c>
      <c r="AF205" s="19">
        <v>45125</v>
      </c>
      <c r="AG205" s="118" t="s">
        <v>515</v>
      </c>
      <c r="AH205" s="118" t="s">
        <v>515</v>
      </c>
      <c r="AI205" s="118">
        <v>744.4</v>
      </c>
      <c r="AJ205" s="118">
        <v>732.5</v>
      </c>
      <c r="AK205" s="118">
        <v>708.1</v>
      </c>
      <c r="AL205" s="118">
        <v>708090</v>
      </c>
      <c r="AM205" s="118">
        <v>0.34</v>
      </c>
      <c r="AN205" s="118">
        <v>705.5</v>
      </c>
      <c r="AO205" s="21">
        <v>0.14000000000000001</v>
      </c>
      <c r="AP205" s="118">
        <v>0.14799999999999999</v>
      </c>
      <c r="AQ205" s="118">
        <v>0.19900000000000001</v>
      </c>
      <c r="AR205" s="118">
        <v>-248.6</v>
      </c>
      <c r="AS205" s="118">
        <v>-19.84</v>
      </c>
      <c r="AT205" s="118">
        <v>-248.6</v>
      </c>
      <c r="AU205" s="118">
        <v>40.68074</v>
      </c>
      <c r="AV205" s="118">
        <v>-86.752030000000005</v>
      </c>
      <c r="AW205" s="118">
        <v>182.6</v>
      </c>
      <c r="AX205" s="118">
        <v>100.1</v>
      </c>
      <c r="AY205" s="118">
        <v>8.08</v>
      </c>
      <c r="AZ205" s="118">
        <v>-105.1</v>
      </c>
      <c r="BA205" s="118">
        <v>11.8</v>
      </c>
      <c r="BB205" s="118">
        <v>0</v>
      </c>
      <c r="BC205" s="118">
        <v>26.805</v>
      </c>
      <c r="BD205" s="118">
        <v>4.84</v>
      </c>
      <c r="BE205" s="118">
        <v>-31</v>
      </c>
      <c r="BF205" s="19">
        <v>45125</v>
      </c>
      <c r="BG205" s="118" t="s">
        <v>1823</v>
      </c>
    </row>
    <row r="206" spans="1:59" x14ac:dyDescent="0.25">
      <c r="A206" s="25">
        <v>10205</v>
      </c>
      <c r="B206" t="s">
        <v>228</v>
      </c>
      <c r="C206" t="s">
        <v>565</v>
      </c>
      <c r="D206" s="27" t="s">
        <v>516</v>
      </c>
      <c r="E206" s="27" t="str">
        <f t="shared" si="20"/>
        <v>?</v>
      </c>
      <c r="F206" s="118" t="s">
        <v>515</v>
      </c>
      <c r="G206" t="s">
        <v>514</v>
      </c>
      <c r="H206" s="24" t="s">
        <v>9</v>
      </c>
      <c r="I206">
        <v>0.1011</v>
      </c>
      <c r="J206">
        <v>0.69899999999999995</v>
      </c>
      <c r="K206">
        <v>0.23400000000000001</v>
      </c>
      <c r="L206" t="s">
        <v>515</v>
      </c>
      <c r="M206" s="140">
        <f t="shared" si="21"/>
        <v>0.1011</v>
      </c>
      <c r="N206" s="140">
        <f t="shared" si="21"/>
        <v>0.69899999999999995</v>
      </c>
      <c r="O206" s="140">
        <f t="shared" si="21"/>
        <v>0.23400000000000001</v>
      </c>
      <c r="P206" s="140" t="str">
        <f t="shared" si="22"/>
        <v>NULL</v>
      </c>
      <c r="Q206" s="161">
        <v>3.9E-2</v>
      </c>
      <c r="R206" s="125">
        <v>67.114999999999995</v>
      </c>
      <c r="S206" t="s">
        <v>676</v>
      </c>
      <c r="T206" t="s">
        <v>515</v>
      </c>
      <c r="U206" t="s">
        <v>515</v>
      </c>
      <c r="V206" s="118" t="s">
        <v>515</v>
      </c>
      <c r="W206">
        <v>40.730885000000001</v>
      </c>
      <c r="X206">
        <v>-86.757958000000002</v>
      </c>
      <c r="Y206">
        <v>7</v>
      </c>
      <c r="Z206">
        <v>18</v>
      </c>
      <c r="AA206">
        <v>2023</v>
      </c>
      <c r="AB206" t="b">
        <v>0</v>
      </c>
      <c r="AC206" s="19">
        <v>45125</v>
      </c>
      <c r="AD206" s="19" t="s">
        <v>515</v>
      </c>
      <c r="AE206" s="230">
        <v>0.54620370370370375</v>
      </c>
      <c r="AF206" s="19">
        <v>45125</v>
      </c>
      <c r="AG206" s="118" t="s">
        <v>515</v>
      </c>
      <c r="AH206" s="118" t="s">
        <v>515</v>
      </c>
      <c r="AI206" s="118">
        <v>744.2</v>
      </c>
      <c r="AJ206" s="118">
        <v>764.7</v>
      </c>
      <c r="AK206" s="118">
        <v>739.5</v>
      </c>
      <c r="AL206" s="118">
        <v>739454</v>
      </c>
      <c r="AM206" s="118">
        <v>0.36</v>
      </c>
      <c r="AN206" s="118">
        <v>736.8</v>
      </c>
      <c r="AO206" s="21">
        <v>0.11700000000000001</v>
      </c>
      <c r="AP206" s="118">
        <v>0.127</v>
      </c>
      <c r="AQ206" s="118">
        <v>0.16600000000000001</v>
      </c>
      <c r="AR206" s="118">
        <v>-284.5</v>
      </c>
      <c r="AS206" s="118">
        <v>-22.71</v>
      </c>
      <c r="AT206" s="118">
        <v>-284.5</v>
      </c>
      <c r="AU206" s="118">
        <v>40.730829999999997</v>
      </c>
      <c r="AV206" s="118">
        <v>-86.757800000000003</v>
      </c>
      <c r="AW206" s="118">
        <v>206.9</v>
      </c>
      <c r="AX206" s="118">
        <v>63.1</v>
      </c>
      <c r="AY206" s="118">
        <v>8.3000000000000007</v>
      </c>
      <c r="AZ206" s="118">
        <v>-118.1</v>
      </c>
      <c r="BA206" s="118">
        <v>11.8</v>
      </c>
      <c r="BB206" s="118">
        <v>0</v>
      </c>
      <c r="BC206" s="118">
        <v>26.791</v>
      </c>
      <c r="BD206" s="118">
        <v>8.5399999999999991</v>
      </c>
      <c r="BE206" s="118">
        <v>-26</v>
      </c>
      <c r="BF206" s="19">
        <v>45125</v>
      </c>
      <c r="BG206" s="118" t="s">
        <v>1824</v>
      </c>
    </row>
    <row r="207" spans="1:59" x14ac:dyDescent="0.25">
      <c r="A207" s="25">
        <v>10206</v>
      </c>
      <c r="B207" t="s">
        <v>229</v>
      </c>
      <c r="C207" t="s">
        <v>565</v>
      </c>
      <c r="D207" s="27" t="s">
        <v>516</v>
      </c>
      <c r="E207" s="27" t="str">
        <f t="shared" si="20"/>
        <v>?</v>
      </c>
      <c r="F207" s="118" t="s">
        <v>515</v>
      </c>
      <c r="G207" t="s">
        <v>514</v>
      </c>
      <c r="H207" s="24" t="s">
        <v>9</v>
      </c>
      <c r="I207">
        <v>3.4200000000000001E-2</v>
      </c>
      <c r="J207">
        <v>0.80400000000000005</v>
      </c>
      <c r="K207">
        <v>-7.0000000000000001E-3</v>
      </c>
      <c r="L207">
        <v>8.2500000000000004E-2</v>
      </c>
      <c r="M207" s="140">
        <f t="shared" si="21"/>
        <v>0.05</v>
      </c>
      <c r="N207" s="140">
        <f t="shared" si="21"/>
        <v>0.80400000000000005</v>
      </c>
      <c r="O207" s="140">
        <f t="shared" si="21"/>
        <v>0.05</v>
      </c>
      <c r="P207" s="140">
        <f t="shared" si="22"/>
        <v>0.05</v>
      </c>
      <c r="Q207" s="161" t="s">
        <v>676</v>
      </c>
      <c r="R207" s="125">
        <v>49.23</v>
      </c>
      <c r="S207" t="s">
        <v>676</v>
      </c>
      <c r="T207" t="s">
        <v>515</v>
      </c>
      <c r="U207" t="s">
        <v>515</v>
      </c>
      <c r="V207" s="118" t="s">
        <v>515</v>
      </c>
      <c r="W207">
        <v>40.745497999999998</v>
      </c>
      <c r="X207">
        <v>-86.757238999999998</v>
      </c>
      <c r="Y207">
        <v>7</v>
      </c>
      <c r="Z207">
        <v>18</v>
      </c>
      <c r="AA207">
        <v>2023</v>
      </c>
      <c r="AB207" t="b">
        <v>0</v>
      </c>
      <c r="AC207" s="19">
        <v>45125</v>
      </c>
      <c r="AD207" s="19" t="s">
        <v>515</v>
      </c>
      <c r="AE207" s="230">
        <v>0.44362268518518516</v>
      </c>
      <c r="AF207" s="19">
        <v>45125</v>
      </c>
      <c r="AG207" s="118" t="s">
        <v>515</v>
      </c>
      <c r="AH207" s="118" t="s">
        <v>515</v>
      </c>
      <c r="AI207" s="118">
        <v>744.1</v>
      </c>
      <c r="AJ207" s="118">
        <v>765.7</v>
      </c>
      <c r="AK207" s="118">
        <v>756</v>
      </c>
      <c r="AL207" s="118">
        <v>755979</v>
      </c>
      <c r="AM207" s="118">
        <v>0.37</v>
      </c>
      <c r="AN207" s="118">
        <v>755</v>
      </c>
      <c r="AO207" s="21">
        <v>0.11700000000000001</v>
      </c>
      <c r="AP207" s="118">
        <v>0.112</v>
      </c>
      <c r="AQ207" s="118">
        <v>0.16500000000000001</v>
      </c>
      <c r="AR207" s="118">
        <v>-302.10000000000002</v>
      </c>
      <c r="AS207" s="118">
        <v>-24.61</v>
      </c>
      <c r="AT207" s="118">
        <v>-302.10000000000002</v>
      </c>
      <c r="AU207" s="118">
        <v>40.745460000000001</v>
      </c>
      <c r="AV207" s="118">
        <v>-86.757320000000007</v>
      </c>
      <c r="AW207" s="118">
        <v>192.6</v>
      </c>
      <c r="AX207" s="118">
        <v>86.9</v>
      </c>
      <c r="AY207" s="118">
        <v>7.95</v>
      </c>
      <c r="AZ207" s="118">
        <v>-97.7</v>
      </c>
      <c r="BA207" s="118">
        <v>11.8</v>
      </c>
      <c r="BB207" s="118">
        <v>0</v>
      </c>
      <c r="BC207" s="118">
        <v>25.672999999999998</v>
      </c>
      <c r="BD207" s="118">
        <v>6.34</v>
      </c>
      <c r="BE207" s="118">
        <v>-29</v>
      </c>
      <c r="BF207" s="19">
        <v>45125</v>
      </c>
      <c r="BG207" s="118" t="s">
        <v>1826</v>
      </c>
    </row>
    <row r="208" spans="1:59" x14ac:dyDescent="0.25">
      <c r="A208" s="25">
        <v>10207</v>
      </c>
      <c r="B208" s="63" t="s">
        <v>230</v>
      </c>
      <c r="C208" s="63" t="s">
        <v>230</v>
      </c>
      <c r="D208" s="64">
        <v>3101</v>
      </c>
      <c r="E208" s="64">
        <v>1</v>
      </c>
      <c r="F208" s="118">
        <v>5210</v>
      </c>
      <c r="G208" s="63" t="s">
        <v>22</v>
      </c>
      <c r="H208" s="65" t="s">
        <v>8</v>
      </c>
      <c r="I208" s="63">
        <v>4.7500000000000001E-2</v>
      </c>
      <c r="J208" s="63">
        <v>2.71</v>
      </c>
      <c r="K208" s="63">
        <v>-0.01</v>
      </c>
      <c r="L208" s="63">
        <v>7.4999999999999997E-3</v>
      </c>
      <c r="M208" s="140">
        <f t="shared" si="21"/>
        <v>0.05</v>
      </c>
      <c r="N208" s="140">
        <f t="shared" si="21"/>
        <v>2.71</v>
      </c>
      <c r="O208" s="140">
        <f t="shared" si="21"/>
        <v>0.05</v>
      </c>
      <c r="P208" s="140">
        <f t="shared" si="22"/>
        <v>0.05</v>
      </c>
      <c r="Q208" s="163">
        <v>0.159</v>
      </c>
      <c r="R208" s="129">
        <v>23.62</v>
      </c>
      <c r="S208" t="s">
        <v>676</v>
      </c>
      <c r="T208" t="s">
        <v>515</v>
      </c>
      <c r="U208" t="s">
        <v>515</v>
      </c>
      <c r="V208" s="118" t="s">
        <v>515</v>
      </c>
      <c r="W208">
        <v>40.772184000000003</v>
      </c>
      <c r="X208">
        <v>-85.643702000000005</v>
      </c>
      <c r="Y208">
        <v>7</v>
      </c>
      <c r="Z208">
        <v>21</v>
      </c>
      <c r="AA208">
        <v>2023</v>
      </c>
      <c r="AB208" t="b">
        <v>0</v>
      </c>
      <c r="AC208" s="19">
        <v>45128</v>
      </c>
      <c r="AD208" s="19" t="s">
        <v>515</v>
      </c>
      <c r="AE208" s="237">
        <v>0.46863425925925928</v>
      </c>
      <c r="AF208" s="238">
        <v>45128</v>
      </c>
      <c r="AG208" s="108" t="s">
        <v>515</v>
      </c>
      <c r="AH208" s="108" t="s">
        <v>515</v>
      </c>
      <c r="AI208" s="108">
        <v>741.1</v>
      </c>
      <c r="AJ208" s="108">
        <v>517.79999999999995</v>
      </c>
      <c r="AK208" s="108">
        <v>507.8</v>
      </c>
      <c r="AL208" s="108">
        <v>507832</v>
      </c>
      <c r="AM208" s="108">
        <v>0.24</v>
      </c>
      <c r="AN208" s="108">
        <v>506.8</v>
      </c>
      <c r="AO208" s="108">
        <v>0.377</v>
      </c>
      <c r="AP208" s="108">
        <v>0.38700000000000001</v>
      </c>
      <c r="AQ208" s="108">
        <v>0.53400000000000003</v>
      </c>
      <c r="AR208" s="108" t="s">
        <v>515</v>
      </c>
      <c r="AS208" s="108" t="s">
        <v>515</v>
      </c>
      <c r="AT208" s="108" t="s">
        <v>515</v>
      </c>
      <c r="AU208" s="108">
        <v>40.772269999999999</v>
      </c>
      <c r="AV208" s="108">
        <v>-85.643929999999997</v>
      </c>
      <c r="AW208" s="108">
        <v>228.5</v>
      </c>
      <c r="AX208" s="108">
        <v>81.2</v>
      </c>
      <c r="AY208" s="108">
        <v>8.41</v>
      </c>
      <c r="AZ208" s="108">
        <v>-120.6</v>
      </c>
      <c r="BA208" s="108">
        <v>11.7</v>
      </c>
      <c r="BB208" s="108">
        <v>0</v>
      </c>
      <c r="BC208" s="108">
        <v>26.024000000000001</v>
      </c>
      <c r="BD208" s="108">
        <v>6.22</v>
      </c>
      <c r="BE208" s="108">
        <v>-29</v>
      </c>
      <c r="BF208" s="238">
        <v>45128</v>
      </c>
      <c r="BG208" s="108" t="s">
        <v>1862</v>
      </c>
    </row>
    <row r="209" spans="1:59" x14ac:dyDescent="0.25">
      <c r="A209" s="25">
        <v>10208</v>
      </c>
      <c r="B209" s="63" t="s">
        <v>231</v>
      </c>
      <c r="C209" s="63" t="s">
        <v>231</v>
      </c>
      <c r="D209" s="64">
        <v>3102</v>
      </c>
      <c r="E209" s="64">
        <v>2</v>
      </c>
      <c r="F209" s="118">
        <v>5430</v>
      </c>
      <c r="G209" s="63" t="s">
        <v>22</v>
      </c>
      <c r="H209" s="65" t="s">
        <v>8</v>
      </c>
      <c r="I209" s="63">
        <v>4.07E-2</v>
      </c>
      <c r="J209" s="63">
        <v>2.613</v>
      </c>
      <c r="K209" s="63">
        <v>-0.01</v>
      </c>
      <c r="L209" s="63">
        <v>1.0500000000000001E-2</v>
      </c>
      <c r="M209" s="140">
        <f t="shared" si="21"/>
        <v>0.05</v>
      </c>
      <c r="N209" s="140">
        <f t="shared" si="21"/>
        <v>2.613</v>
      </c>
      <c r="O209" s="140">
        <f t="shared" si="21"/>
        <v>0.05</v>
      </c>
      <c r="P209" s="140">
        <f t="shared" si="22"/>
        <v>0.05</v>
      </c>
      <c r="Q209" s="163">
        <v>0.125</v>
      </c>
      <c r="R209" s="129">
        <v>25.105</v>
      </c>
      <c r="S209" t="s">
        <v>676</v>
      </c>
      <c r="T209" t="s">
        <v>515</v>
      </c>
      <c r="U209" t="s">
        <v>515</v>
      </c>
      <c r="V209" s="118" t="s">
        <v>515</v>
      </c>
      <c r="W209">
        <v>40.770507000000002</v>
      </c>
      <c r="X209">
        <v>-85.648168999999996</v>
      </c>
      <c r="Y209">
        <v>7</v>
      </c>
      <c r="Z209">
        <v>21</v>
      </c>
      <c r="AA209">
        <v>2023</v>
      </c>
      <c r="AB209" t="b">
        <v>0</v>
      </c>
      <c r="AC209" s="19">
        <v>45128</v>
      </c>
      <c r="AD209" s="19" t="s">
        <v>515</v>
      </c>
      <c r="AE209" s="237">
        <v>0.48584490740740743</v>
      </c>
      <c r="AF209" s="238">
        <v>45128</v>
      </c>
      <c r="AG209" s="108" t="s">
        <v>515</v>
      </c>
      <c r="AH209" s="108" t="s">
        <v>515</v>
      </c>
      <c r="AI209" s="108">
        <v>741.1</v>
      </c>
      <c r="AJ209" s="108">
        <v>517.79999999999995</v>
      </c>
      <c r="AK209" s="108">
        <v>507.1</v>
      </c>
      <c r="AL209" s="108">
        <v>507123</v>
      </c>
      <c r="AM209" s="108">
        <v>0.24</v>
      </c>
      <c r="AN209" s="108">
        <v>506</v>
      </c>
      <c r="AO209" s="108">
        <v>0.217</v>
      </c>
      <c r="AP209" s="108">
        <v>0.21199999999999999</v>
      </c>
      <c r="AQ209" s="108">
        <v>0.307</v>
      </c>
      <c r="AR209" s="108" t="s">
        <v>515</v>
      </c>
      <c r="AS209" s="108" t="s">
        <v>515</v>
      </c>
      <c r="AT209" s="108" t="s">
        <v>515</v>
      </c>
      <c r="AU209" s="108">
        <v>40.77075</v>
      </c>
      <c r="AV209" s="108">
        <v>-85.648160000000004</v>
      </c>
      <c r="AW209" s="108">
        <v>228.6</v>
      </c>
      <c r="AX209" s="108">
        <v>79.7</v>
      </c>
      <c r="AY209" s="108">
        <v>8.36</v>
      </c>
      <c r="AZ209" s="108">
        <v>-117.9</v>
      </c>
      <c r="BA209" s="108">
        <v>11.7</v>
      </c>
      <c r="BB209" s="108">
        <v>0</v>
      </c>
      <c r="BC209" s="108">
        <v>26.097999999999999</v>
      </c>
      <c r="BD209" s="108">
        <v>6.97</v>
      </c>
      <c r="BE209" s="108">
        <v>-28</v>
      </c>
      <c r="BF209" s="238">
        <v>45128</v>
      </c>
      <c r="BG209" s="108" t="s">
        <v>1863</v>
      </c>
    </row>
    <row r="210" spans="1:59" x14ac:dyDescent="0.25">
      <c r="A210" s="25">
        <v>10209</v>
      </c>
      <c r="B210" s="63" t="s">
        <v>232</v>
      </c>
      <c r="C210" s="63" t="s">
        <v>232</v>
      </c>
      <c r="D210" s="64">
        <v>3103</v>
      </c>
      <c r="E210" s="64">
        <v>3</v>
      </c>
      <c r="F210" s="118">
        <v>4180</v>
      </c>
      <c r="G210" s="63" t="s">
        <v>22</v>
      </c>
      <c r="H210" s="65" t="s">
        <v>8</v>
      </c>
      <c r="I210" s="63">
        <v>2.4299999999999999E-2</v>
      </c>
      <c r="J210" s="63">
        <v>2.794</v>
      </c>
      <c r="K210" s="63">
        <v>-1.0999999999999999E-2</v>
      </c>
      <c r="L210" s="63">
        <v>0.04</v>
      </c>
      <c r="M210" s="140">
        <f t="shared" ref="M210:O225" si="23">IF(I210&lt;0.1,0.05,I210)</f>
        <v>0.05</v>
      </c>
      <c r="N210" s="140">
        <f t="shared" si="23"/>
        <v>2.794</v>
      </c>
      <c r="O210" s="140">
        <f t="shared" si="23"/>
        <v>0.05</v>
      </c>
      <c r="P210" s="140">
        <f t="shared" si="22"/>
        <v>0.05</v>
      </c>
      <c r="Q210" s="163">
        <v>7.0000000000000007E-2</v>
      </c>
      <c r="R210" s="129">
        <v>19.225000000000001</v>
      </c>
      <c r="S210" t="s">
        <v>676</v>
      </c>
      <c r="T210" t="s">
        <v>515</v>
      </c>
      <c r="U210" t="s">
        <v>515</v>
      </c>
      <c r="V210" s="118" t="s">
        <v>515</v>
      </c>
      <c r="W210">
        <v>40.781067</v>
      </c>
      <c r="X210">
        <v>-85.644577999999996</v>
      </c>
      <c r="Y210">
        <v>7</v>
      </c>
      <c r="Z210">
        <v>21</v>
      </c>
      <c r="AA210">
        <v>2023</v>
      </c>
      <c r="AB210" t="b">
        <v>0</v>
      </c>
      <c r="AC210" s="19">
        <v>45128</v>
      </c>
      <c r="AD210" s="19" t="s">
        <v>515</v>
      </c>
      <c r="AE210" s="237">
        <v>0.50472222222222218</v>
      </c>
      <c r="AF210" s="238">
        <v>45128</v>
      </c>
      <c r="AG210" s="108" t="s">
        <v>515</v>
      </c>
      <c r="AH210" s="108" t="s">
        <v>515</v>
      </c>
      <c r="AI210" s="108">
        <v>741</v>
      </c>
      <c r="AJ210" s="108">
        <v>523.4</v>
      </c>
      <c r="AK210" s="108">
        <v>512.1</v>
      </c>
      <c r="AL210" s="108">
        <v>512080</v>
      </c>
      <c r="AM210" s="108">
        <v>0.25</v>
      </c>
      <c r="AN210" s="108">
        <v>510.9</v>
      </c>
      <c r="AO210" s="108">
        <v>0.51800000000000002</v>
      </c>
      <c r="AP210" s="108">
        <v>0.53700000000000003</v>
      </c>
      <c r="AQ210" s="108">
        <v>0.73499999999999999</v>
      </c>
      <c r="AR210" s="108" t="s">
        <v>515</v>
      </c>
      <c r="AS210" s="108" t="s">
        <v>515</v>
      </c>
      <c r="AT210" s="108" t="s">
        <v>515</v>
      </c>
      <c r="AU210" s="108">
        <v>40.780839999999998</v>
      </c>
      <c r="AV210" s="108">
        <v>-85.644570000000002</v>
      </c>
      <c r="AW210" s="108">
        <v>228.7</v>
      </c>
      <c r="AX210" s="108">
        <v>95.9</v>
      </c>
      <c r="AY210" s="108">
        <v>8.3699999999999992</v>
      </c>
      <c r="AZ210" s="108">
        <v>-118.8</v>
      </c>
      <c r="BA210" s="108">
        <v>11.7</v>
      </c>
      <c r="BB210" s="108">
        <v>0</v>
      </c>
      <c r="BC210" s="108">
        <v>26.158999999999999</v>
      </c>
      <c r="BD210" s="108">
        <v>6.49</v>
      </c>
      <c r="BE210" s="108">
        <v>-28</v>
      </c>
      <c r="BF210" s="238">
        <v>45128</v>
      </c>
      <c r="BG210" s="108" t="s">
        <v>1864</v>
      </c>
    </row>
    <row r="211" spans="1:59" x14ac:dyDescent="0.25">
      <c r="A211" s="25">
        <v>10210</v>
      </c>
      <c r="B211" s="63" t="s">
        <v>233</v>
      </c>
      <c r="C211" s="63" t="s">
        <v>233</v>
      </c>
      <c r="D211" s="64">
        <v>3104</v>
      </c>
      <c r="E211" s="64">
        <v>4</v>
      </c>
      <c r="F211" s="118">
        <v>4980</v>
      </c>
      <c r="G211" s="63" t="s">
        <v>22</v>
      </c>
      <c r="H211" s="65" t="s">
        <v>8</v>
      </c>
      <c r="I211" s="63">
        <v>5.2600000000000001E-2</v>
      </c>
      <c r="J211" s="63">
        <v>2.7570000000000001</v>
      </c>
      <c r="K211" s="63">
        <v>-8.9999999999999993E-3</v>
      </c>
      <c r="L211" s="63">
        <v>8.3000000000000004E-2</v>
      </c>
      <c r="M211" s="140">
        <f t="shared" si="23"/>
        <v>0.05</v>
      </c>
      <c r="N211" s="140">
        <f t="shared" si="23"/>
        <v>2.7570000000000001</v>
      </c>
      <c r="O211" s="140">
        <f t="shared" si="23"/>
        <v>0.05</v>
      </c>
      <c r="P211" s="140">
        <f t="shared" si="22"/>
        <v>0.05</v>
      </c>
      <c r="Q211" s="163">
        <v>0.154</v>
      </c>
      <c r="R211" s="129">
        <v>29.59</v>
      </c>
      <c r="S211" t="s">
        <v>676</v>
      </c>
      <c r="T211" t="s">
        <v>515</v>
      </c>
      <c r="U211" t="s">
        <v>515</v>
      </c>
      <c r="V211" s="118" t="s">
        <v>515</v>
      </c>
      <c r="W211">
        <v>40.784196999999999</v>
      </c>
      <c r="X211">
        <v>-85.637713000000005</v>
      </c>
      <c r="Y211">
        <v>7</v>
      </c>
      <c r="Z211">
        <v>21</v>
      </c>
      <c r="AA211">
        <v>2023</v>
      </c>
      <c r="AB211" t="b">
        <v>0</v>
      </c>
      <c r="AC211" s="19">
        <v>45128</v>
      </c>
      <c r="AD211" s="19" t="s">
        <v>515</v>
      </c>
      <c r="AE211" s="237">
        <v>0.52115740740740746</v>
      </c>
      <c r="AF211" s="238">
        <v>45128</v>
      </c>
      <c r="AG211" s="108" t="s">
        <v>515</v>
      </c>
      <c r="AH211" s="108" t="s">
        <v>515</v>
      </c>
      <c r="AI211" s="108">
        <v>740.8</v>
      </c>
      <c r="AJ211" s="108">
        <v>526.6</v>
      </c>
      <c r="AK211" s="108">
        <v>511.7</v>
      </c>
      <c r="AL211" s="108">
        <v>511675</v>
      </c>
      <c r="AM211" s="108">
        <v>0.25</v>
      </c>
      <c r="AN211" s="108">
        <v>510.1</v>
      </c>
      <c r="AO211" s="108">
        <v>0.47799999999999998</v>
      </c>
      <c r="AP211" s="108">
        <v>0.47</v>
      </c>
      <c r="AQ211" s="108">
        <v>0.67700000000000005</v>
      </c>
      <c r="AR211" s="108" t="s">
        <v>515</v>
      </c>
      <c r="AS211" s="108" t="s">
        <v>515</v>
      </c>
      <c r="AT211" s="108" t="s">
        <v>515</v>
      </c>
      <c r="AU211" s="108">
        <v>40.783929999999998</v>
      </c>
      <c r="AV211" s="108">
        <v>-85.637820000000005</v>
      </c>
      <c r="AW211" s="108">
        <v>228.3</v>
      </c>
      <c r="AX211" s="108">
        <v>50.8</v>
      </c>
      <c r="AY211" s="108">
        <v>8.44</v>
      </c>
      <c r="AZ211" s="108">
        <v>-122.5</v>
      </c>
      <c r="BA211" s="108">
        <v>11.7</v>
      </c>
      <c r="BB211" s="108">
        <v>0</v>
      </c>
      <c r="BC211" s="108">
        <v>26.524000000000001</v>
      </c>
      <c r="BD211" s="108">
        <v>8.1</v>
      </c>
      <c r="BE211" s="108">
        <v>-26</v>
      </c>
      <c r="BF211" s="238">
        <v>45128</v>
      </c>
      <c r="BG211" s="108" t="s">
        <v>1865</v>
      </c>
    </row>
    <row r="212" spans="1:59" x14ac:dyDescent="0.25">
      <c r="A212" s="25">
        <v>10211</v>
      </c>
      <c r="B212" s="63" t="s">
        <v>234</v>
      </c>
      <c r="C212" s="63" t="s">
        <v>234</v>
      </c>
      <c r="D212" s="64">
        <v>3105</v>
      </c>
      <c r="E212" s="64">
        <v>5</v>
      </c>
      <c r="F212" s="118">
        <v>6340</v>
      </c>
      <c r="G212" s="63" t="s">
        <v>22</v>
      </c>
      <c r="H212" s="65" t="s">
        <v>8</v>
      </c>
      <c r="I212" s="63">
        <v>3.7400000000000003E-2</v>
      </c>
      <c r="J212" s="63">
        <v>2.9260000000000002</v>
      </c>
      <c r="K212" s="63">
        <v>-0.01</v>
      </c>
      <c r="L212" s="63">
        <v>2.7E-2</v>
      </c>
      <c r="M212" s="140">
        <f t="shared" si="23"/>
        <v>0.05</v>
      </c>
      <c r="N212" s="140">
        <f t="shared" si="23"/>
        <v>2.9260000000000002</v>
      </c>
      <c r="O212" s="140">
        <f t="shared" si="23"/>
        <v>0.05</v>
      </c>
      <c r="P212" s="140">
        <f t="shared" si="22"/>
        <v>0.05</v>
      </c>
      <c r="Q212" s="163">
        <v>0.28499999999999998</v>
      </c>
      <c r="R212" s="129">
        <v>19.024999999999999</v>
      </c>
      <c r="S212" t="s">
        <v>676</v>
      </c>
      <c r="T212" t="s">
        <v>515</v>
      </c>
      <c r="U212" t="s">
        <v>515</v>
      </c>
      <c r="V212" s="118" t="s">
        <v>515</v>
      </c>
      <c r="W212">
        <v>40.775148999999999</v>
      </c>
      <c r="X212">
        <v>-85.623649999999998</v>
      </c>
      <c r="Y212">
        <v>7</v>
      </c>
      <c r="Z212">
        <v>21</v>
      </c>
      <c r="AA212">
        <v>2023</v>
      </c>
      <c r="AB212" t="b">
        <v>0</v>
      </c>
      <c r="AC212" s="19">
        <v>45128</v>
      </c>
      <c r="AD212" s="19" t="s">
        <v>515</v>
      </c>
      <c r="AE212" s="237">
        <v>0.54807870370370371</v>
      </c>
      <c r="AF212" s="238">
        <v>45128</v>
      </c>
      <c r="AG212" s="108" t="s">
        <v>515</v>
      </c>
      <c r="AH212" s="108" t="s">
        <v>515</v>
      </c>
      <c r="AI212" s="108">
        <v>740.7</v>
      </c>
      <c r="AJ212" s="108">
        <v>534.1</v>
      </c>
      <c r="AK212" s="108">
        <v>518.4</v>
      </c>
      <c r="AL212" s="108">
        <v>518434</v>
      </c>
      <c r="AM212" s="108">
        <v>0.25</v>
      </c>
      <c r="AN212" s="108">
        <v>516.79999999999995</v>
      </c>
      <c r="AO212" s="108">
        <v>0.48799999999999999</v>
      </c>
      <c r="AP212" s="108">
        <v>0.48899999999999999</v>
      </c>
      <c r="AQ212" s="108">
        <v>0.69199999999999995</v>
      </c>
      <c r="AR212" s="108" t="s">
        <v>515</v>
      </c>
      <c r="AS212" s="108" t="s">
        <v>515</v>
      </c>
      <c r="AT212" s="108" t="s">
        <v>515</v>
      </c>
      <c r="AU212" s="108">
        <v>40.774929999999998</v>
      </c>
      <c r="AV212" s="108">
        <v>-85.623660000000001</v>
      </c>
      <c r="AW212" s="108">
        <v>229.5</v>
      </c>
      <c r="AX212" s="108">
        <v>69.900000000000006</v>
      </c>
      <c r="AY212" s="108">
        <v>8.42</v>
      </c>
      <c r="AZ212" s="108">
        <v>-121.6</v>
      </c>
      <c r="BA212" s="108">
        <v>11.7</v>
      </c>
      <c r="BB212" s="108">
        <v>0</v>
      </c>
      <c r="BC212" s="108">
        <v>26.581</v>
      </c>
      <c r="BD212" s="108">
        <v>6.33</v>
      </c>
      <c r="BE212" s="108">
        <v>-29</v>
      </c>
      <c r="BF212" s="238">
        <v>45128</v>
      </c>
      <c r="BG212" s="108" t="s">
        <v>1866</v>
      </c>
    </row>
    <row r="213" spans="1:59" x14ac:dyDescent="0.25">
      <c r="A213" s="25">
        <v>10212</v>
      </c>
      <c r="B213" s="63" t="s">
        <v>235</v>
      </c>
      <c r="C213" s="63" t="s">
        <v>235</v>
      </c>
      <c r="D213" s="64">
        <v>3106</v>
      </c>
      <c r="E213" s="64">
        <v>6</v>
      </c>
      <c r="F213" s="118">
        <v>7900</v>
      </c>
      <c r="G213" s="63" t="s">
        <v>22</v>
      </c>
      <c r="H213" s="65" t="s">
        <v>8</v>
      </c>
      <c r="I213" s="63">
        <v>4.36E-2</v>
      </c>
      <c r="J213" s="63">
        <v>2.887</v>
      </c>
      <c r="K213" s="63">
        <v>-1.2999999999999999E-2</v>
      </c>
      <c r="L213" s="63">
        <v>4.4999999999999998E-2</v>
      </c>
      <c r="M213" s="140">
        <f t="shared" si="23"/>
        <v>0.05</v>
      </c>
      <c r="N213" s="140">
        <f t="shared" si="23"/>
        <v>2.887</v>
      </c>
      <c r="O213" s="140">
        <f t="shared" si="23"/>
        <v>0.05</v>
      </c>
      <c r="P213" s="140">
        <f t="shared" si="22"/>
        <v>0.05</v>
      </c>
      <c r="Q213" s="163">
        <v>0.17100000000000001</v>
      </c>
      <c r="R213" s="129">
        <v>25.73</v>
      </c>
      <c r="S213" t="s">
        <v>676</v>
      </c>
      <c r="T213" t="s">
        <v>515</v>
      </c>
      <c r="U213" t="s">
        <v>515</v>
      </c>
      <c r="V213" s="118" t="s">
        <v>515</v>
      </c>
      <c r="W213">
        <v>40.775530000000003</v>
      </c>
      <c r="X213">
        <v>-85.606425000000002</v>
      </c>
      <c r="Y213">
        <v>7</v>
      </c>
      <c r="Z213">
        <v>21</v>
      </c>
      <c r="AA213">
        <v>2023</v>
      </c>
      <c r="AB213" t="b">
        <v>0</v>
      </c>
      <c r="AC213" s="19">
        <v>45128</v>
      </c>
      <c r="AD213" s="19" t="s">
        <v>515</v>
      </c>
      <c r="AE213" s="237">
        <v>0.562037037037037</v>
      </c>
      <c r="AF213" s="238">
        <v>45128</v>
      </c>
      <c r="AG213" s="108" t="s">
        <v>515</v>
      </c>
      <c r="AH213" s="108" t="s">
        <v>515</v>
      </c>
      <c r="AI213" s="108">
        <v>740.5</v>
      </c>
      <c r="AJ213" s="108">
        <v>547.6</v>
      </c>
      <c r="AK213" s="108">
        <v>532.20000000000005</v>
      </c>
      <c r="AL213" s="108">
        <v>532168</v>
      </c>
      <c r="AM213" s="108">
        <v>0.26</v>
      </c>
      <c r="AN213" s="108">
        <v>530.5</v>
      </c>
      <c r="AO213" s="108">
        <v>0.65500000000000003</v>
      </c>
      <c r="AP213" s="108">
        <v>0.64200000000000002</v>
      </c>
      <c r="AQ213" s="108">
        <v>0.92900000000000005</v>
      </c>
      <c r="AR213" s="108" t="s">
        <v>515</v>
      </c>
      <c r="AS213" s="108" t="s">
        <v>515</v>
      </c>
      <c r="AT213" s="108" t="s">
        <v>515</v>
      </c>
      <c r="AU213" s="108">
        <v>40.775219999999997</v>
      </c>
      <c r="AV213" s="108">
        <v>-85.606399999999994</v>
      </c>
      <c r="AW213" s="108">
        <v>223.7</v>
      </c>
      <c r="AX213" s="108">
        <v>61.7</v>
      </c>
      <c r="AY213" s="108">
        <v>8.32</v>
      </c>
      <c r="AZ213" s="108">
        <v>-116.1</v>
      </c>
      <c r="BA213" s="108">
        <v>11.7</v>
      </c>
      <c r="BB213" s="108">
        <v>0</v>
      </c>
      <c r="BC213" s="108">
        <v>26.513999999999999</v>
      </c>
      <c r="BD213" s="108">
        <v>5.28</v>
      </c>
      <c r="BE213" s="108">
        <v>-30</v>
      </c>
      <c r="BF213" s="238">
        <v>45128</v>
      </c>
      <c r="BG213" s="108" t="s">
        <v>1867</v>
      </c>
    </row>
    <row r="214" spans="1:59" x14ac:dyDescent="0.25">
      <c r="A214" s="25">
        <v>10213</v>
      </c>
      <c r="B214" s="63" t="s">
        <v>236</v>
      </c>
      <c r="C214" s="63" t="s">
        <v>236</v>
      </c>
      <c r="D214" s="64">
        <v>3107</v>
      </c>
      <c r="E214" s="64">
        <v>7</v>
      </c>
      <c r="F214" s="118">
        <v>10610</v>
      </c>
      <c r="G214" s="63" t="s">
        <v>22</v>
      </c>
      <c r="H214" s="65" t="s">
        <v>8</v>
      </c>
      <c r="I214" s="63">
        <v>0.1142</v>
      </c>
      <c r="J214" s="63">
        <v>1.3520000000000001</v>
      </c>
      <c r="K214" s="63">
        <v>0.247</v>
      </c>
      <c r="L214" s="63">
        <v>8.0750000000000002E-2</v>
      </c>
      <c r="M214" s="140">
        <f t="shared" si="23"/>
        <v>0.1142</v>
      </c>
      <c r="N214" s="140">
        <f t="shared" si="23"/>
        <v>1.3520000000000001</v>
      </c>
      <c r="O214" s="140">
        <f t="shared" si="23"/>
        <v>0.247</v>
      </c>
      <c r="P214" s="140">
        <f t="shared" si="22"/>
        <v>0.05</v>
      </c>
      <c r="Q214" s="163">
        <v>0.11</v>
      </c>
      <c r="R214" s="129">
        <v>29.715</v>
      </c>
      <c r="S214" t="s">
        <v>676</v>
      </c>
      <c r="T214" t="s">
        <v>515</v>
      </c>
      <c r="U214" t="s">
        <v>515</v>
      </c>
      <c r="V214" s="118" t="s">
        <v>515</v>
      </c>
      <c r="W214">
        <v>40.775835999999998</v>
      </c>
      <c r="X214">
        <v>-85.579385000000002</v>
      </c>
      <c r="Y214">
        <v>7</v>
      </c>
      <c r="Z214">
        <v>21</v>
      </c>
      <c r="AA214">
        <v>2023</v>
      </c>
      <c r="AB214" t="b">
        <v>0</v>
      </c>
      <c r="AC214" s="19">
        <v>45128</v>
      </c>
      <c r="AD214" s="19" t="s">
        <v>515</v>
      </c>
      <c r="AE214" s="237">
        <v>0.58923611111111107</v>
      </c>
      <c r="AF214" s="238">
        <v>45128</v>
      </c>
      <c r="AG214" s="108" t="s">
        <v>515</v>
      </c>
      <c r="AH214" s="108" t="s">
        <v>515</v>
      </c>
      <c r="AI214" s="108">
        <v>740.3</v>
      </c>
      <c r="AJ214" s="108">
        <v>526.70000000000005</v>
      </c>
      <c r="AK214" s="108">
        <v>504</v>
      </c>
      <c r="AL214" s="108">
        <v>503988</v>
      </c>
      <c r="AM214" s="108">
        <v>0.24</v>
      </c>
      <c r="AN214" s="108">
        <v>501.6</v>
      </c>
      <c r="AO214" s="108">
        <v>0.495</v>
      </c>
      <c r="AP214" s="108">
        <v>0.498</v>
      </c>
      <c r="AQ214" s="108">
        <v>0.70199999999999996</v>
      </c>
      <c r="AR214" s="108" t="s">
        <v>515</v>
      </c>
      <c r="AS214" s="108" t="s">
        <v>515</v>
      </c>
      <c r="AT214" s="108" t="s">
        <v>515</v>
      </c>
      <c r="AU214" s="108">
        <v>40.775620000000004</v>
      </c>
      <c r="AV214" s="108">
        <v>-85.579400000000007</v>
      </c>
      <c r="AW214" s="108">
        <v>230.1</v>
      </c>
      <c r="AX214" s="108">
        <v>47.2</v>
      </c>
      <c r="AY214" s="108">
        <v>8.5399999999999991</v>
      </c>
      <c r="AZ214" s="108">
        <v>-128.5</v>
      </c>
      <c r="BA214" s="108">
        <v>11.7</v>
      </c>
      <c r="BB214" s="108">
        <v>0</v>
      </c>
      <c r="BC214" s="108">
        <v>27.361000000000001</v>
      </c>
      <c r="BD214" s="108">
        <v>9.7799999999999994</v>
      </c>
      <c r="BE214" s="108">
        <v>-24</v>
      </c>
      <c r="BF214" s="238">
        <v>45128</v>
      </c>
      <c r="BG214" s="108" t="s">
        <v>1868</v>
      </c>
    </row>
    <row r="215" spans="1:59" x14ac:dyDescent="0.25">
      <c r="A215" s="25">
        <v>10214</v>
      </c>
      <c r="B215" s="63" t="s">
        <v>237</v>
      </c>
      <c r="C215" s="63" t="s">
        <v>237</v>
      </c>
      <c r="D215" s="64">
        <v>3108</v>
      </c>
      <c r="E215" s="64">
        <v>8</v>
      </c>
      <c r="F215" s="118">
        <v>9370</v>
      </c>
      <c r="G215" s="63" t="s">
        <v>22</v>
      </c>
      <c r="H215" s="65" t="s">
        <v>8</v>
      </c>
      <c r="I215" s="63">
        <v>0.1517</v>
      </c>
      <c r="J215" s="63">
        <v>2.3079999999999998</v>
      </c>
      <c r="K215" s="63">
        <v>0.27</v>
      </c>
      <c r="L215" s="63">
        <v>4.9000000000000002E-2</v>
      </c>
      <c r="M215" s="140">
        <f t="shared" si="23"/>
        <v>0.1517</v>
      </c>
      <c r="N215" s="140">
        <f t="shared" si="23"/>
        <v>2.3079999999999998</v>
      </c>
      <c r="O215" s="140">
        <f t="shared" si="23"/>
        <v>0.27</v>
      </c>
      <c r="P215" s="140">
        <f t="shared" si="22"/>
        <v>0.05</v>
      </c>
      <c r="Q215" s="163">
        <v>0.314</v>
      </c>
      <c r="R215" s="129">
        <v>24.864999999999998</v>
      </c>
      <c r="S215" t="s">
        <v>676</v>
      </c>
      <c r="T215" t="s">
        <v>515</v>
      </c>
      <c r="U215" t="s">
        <v>515</v>
      </c>
      <c r="V215" s="118" t="s">
        <v>515</v>
      </c>
      <c r="W215">
        <v>40.766466000000001</v>
      </c>
      <c r="X215">
        <v>-85.597955999999996</v>
      </c>
      <c r="Y215">
        <v>7</v>
      </c>
      <c r="Z215">
        <v>21</v>
      </c>
      <c r="AA215">
        <v>2023</v>
      </c>
      <c r="AB215" t="b">
        <v>0</v>
      </c>
      <c r="AC215" s="19">
        <v>45128</v>
      </c>
      <c r="AD215" s="19" t="s">
        <v>515</v>
      </c>
      <c r="AE215" s="237">
        <v>0.5750925925925926</v>
      </c>
      <c r="AF215" s="238">
        <v>45128</v>
      </c>
      <c r="AG215" s="108" t="s">
        <v>515</v>
      </c>
      <c r="AH215" s="108" t="s">
        <v>515</v>
      </c>
      <c r="AI215" s="108">
        <v>740.4</v>
      </c>
      <c r="AJ215" s="108">
        <v>535.29999999999995</v>
      </c>
      <c r="AK215" s="108">
        <v>515.70000000000005</v>
      </c>
      <c r="AL215" s="108">
        <v>515653</v>
      </c>
      <c r="AM215" s="108">
        <v>0.25</v>
      </c>
      <c r="AN215" s="108">
        <v>513.6</v>
      </c>
      <c r="AO215" s="108">
        <v>0.51400000000000001</v>
      </c>
      <c r="AP215" s="108">
        <v>0.505</v>
      </c>
      <c r="AQ215" s="108">
        <v>0.72799999999999998</v>
      </c>
      <c r="AR215" s="108" t="s">
        <v>515</v>
      </c>
      <c r="AS215" s="108" t="s">
        <v>515</v>
      </c>
      <c r="AT215" s="108" t="s">
        <v>515</v>
      </c>
      <c r="AU215" s="108">
        <v>40.766280000000002</v>
      </c>
      <c r="AV215" s="108">
        <v>-85.597880000000004</v>
      </c>
      <c r="AW215" s="108">
        <v>227.8</v>
      </c>
      <c r="AX215" s="108">
        <v>45.2</v>
      </c>
      <c r="AY215" s="108">
        <v>8.4700000000000006</v>
      </c>
      <c r="AZ215" s="108">
        <v>-124.3</v>
      </c>
      <c r="BA215" s="108">
        <v>11.8</v>
      </c>
      <c r="BB215" s="108">
        <v>0</v>
      </c>
      <c r="BC215" s="108">
        <v>26.991</v>
      </c>
      <c r="BD215" s="108">
        <v>5.34</v>
      </c>
      <c r="BE215" s="108">
        <v>-30</v>
      </c>
      <c r="BF215" s="238">
        <v>45128</v>
      </c>
      <c r="BG215" s="108" t="s">
        <v>1869</v>
      </c>
    </row>
    <row r="216" spans="1:59" x14ac:dyDescent="0.25">
      <c r="A216" s="25">
        <v>10215</v>
      </c>
      <c r="B216" s="63" t="s">
        <v>238</v>
      </c>
      <c r="C216" s="63" t="s">
        <v>238</v>
      </c>
      <c r="D216" s="64">
        <v>3109</v>
      </c>
      <c r="E216" s="64">
        <v>9</v>
      </c>
      <c r="F216" s="118">
        <v>10331</v>
      </c>
      <c r="G216" s="63" t="s">
        <v>22</v>
      </c>
      <c r="H216" s="65" t="s">
        <v>8</v>
      </c>
      <c r="I216" s="63">
        <v>9.9400000000000002E-2</v>
      </c>
      <c r="J216" s="63">
        <v>2.976</v>
      </c>
      <c r="K216" s="63">
        <v>0.40899999999999997</v>
      </c>
      <c r="L216" s="63">
        <v>4.4499999999999998E-2</v>
      </c>
      <c r="M216" s="140">
        <f t="shared" si="23"/>
        <v>0.05</v>
      </c>
      <c r="N216" s="140">
        <f t="shared" si="23"/>
        <v>2.976</v>
      </c>
      <c r="O216" s="140">
        <f t="shared" si="23"/>
        <v>0.40899999999999997</v>
      </c>
      <c r="P216" s="140">
        <f t="shared" si="22"/>
        <v>0.05</v>
      </c>
      <c r="Q216" s="163">
        <v>0.33400000000000002</v>
      </c>
      <c r="R216" s="129">
        <v>21.274999999999999</v>
      </c>
      <c r="S216" t="s">
        <v>676</v>
      </c>
      <c r="T216" t="s">
        <v>515</v>
      </c>
      <c r="U216" t="s">
        <v>515</v>
      </c>
      <c r="V216" s="118" t="s">
        <v>515</v>
      </c>
      <c r="W216">
        <v>40.756110999999997</v>
      </c>
      <c r="X216">
        <v>-85.595219999999998</v>
      </c>
      <c r="Y216">
        <v>7</v>
      </c>
      <c r="Z216">
        <v>21</v>
      </c>
      <c r="AA216">
        <v>2023</v>
      </c>
      <c r="AB216" t="b">
        <v>0</v>
      </c>
      <c r="AC216" s="19">
        <v>45128</v>
      </c>
      <c r="AD216" s="19" t="s">
        <v>515</v>
      </c>
      <c r="AE216" s="237">
        <v>0.60424768518518523</v>
      </c>
      <c r="AF216" s="238">
        <v>45128</v>
      </c>
      <c r="AG216" s="108" t="s">
        <v>515</v>
      </c>
      <c r="AH216" s="108" t="s">
        <v>515</v>
      </c>
      <c r="AI216" s="108">
        <v>740.4</v>
      </c>
      <c r="AJ216" s="108">
        <v>538.29999999999995</v>
      </c>
      <c r="AK216" s="108">
        <v>518.5</v>
      </c>
      <c r="AL216" s="108">
        <v>518541</v>
      </c>
      <c r="AM216" s="108">
        <v>0.25</v>
      </c>
      <c r="AN216" s="108">
        <v>516.4</v>
      </c>
      <c r="AO216" s="108">
        <v>0.36299999999999999</v>
      </c>
      <c r="AP216" s="108">
        <v>0.34499999999999997</v>
      </c>
      <c r="AQ216" s="108">
        <v>0.51400000000000001</v>
      </c>
      <c r="AR216" s="108" t="s">
        <v>515</v>
      </c>
      <c r="AS216" s="108" t="s">
        <v>515</v>
      </c>
      <c r="AT216" s="108" t="s">
        <v>515</v>
      </c>
      <c r="AU216" s="108">
        <v>40.756300000000003</v>
      </c>
      <c r="AV216" s="108">
        <v>-85.595110000000005</v>
      </c>
      <c r="AW216" s="108">
        <v>226.8</v>
      </c>
      <c r="AX216" s="108">
        <v>47.6</v>
      </c>
      <c r="AY216" s="108">
        <v>8.5</v>
      </c>
      <c r="AZ216" s="108">
        <v>-126</v>
      </c>
      <c r="BA216" s="108">
        <v>11.7</v>
      </c>
      <c r="BB216" s="108">
        <v>0</v>
      </c>
      <c r="BC216" s="108">
        <v>26.994</v>
      </c>
      <c r="BD216" s="108">
        <v>5.88</v>
      </c>
      <c r="BE216" s="108">
        <v>-29</v>
      </c>
      <c r="BF216" s="238">
        <v>45128</v>
      </c>
      <c r="BG216" s="108" t="s">
        <v>1870</v>
      </c>
    </row>
    <row r="217" spans="1:59" x14ac:dyDescent="0.25">
      <c r="A217" s="25">
        <v>10216</v>
      </c>
      <c r="B217" s="63" t="s">
        <v>239</v>
      </c>
      <c r="C217" s="63" t="s">
        <v>239</v>
      </c>
      <c r="D217" s="64">
        <v>3110</v>
      </c>
      <c r="E217" s="64">
        <v>10</v>
      </c>
      <c r="F217" s="118">
        <v>11270</v>
      </c>
      <c r="G217" s="63" t="s">
        <v>22</v>
      </c>
      <c r="H217" s="65" t="s">
        <v>8</v>
      </c>
      <c r="I217" s="63">
        <v>0.13639999999999999</v>
      </c>
      <c r="J217" s="63">
        <v>4.069</v>
      </c>
      <c r="K217" s="63">
        <v>0.30399999999999999</v>
      </c>
      <c r="L217" s="63">
        <v>5.5E-2</v>
      </c>
      <c r="M217" s="140">
        <f t="shared" si="23"/>
        <v>0.13639999999999999</v>
      </c>
      <c r="N217" s="140">
        <f t="shared" si="23"/>
        <v>4.069</v>
      </c>
      <c r="O217" s="140">
        <f t="shared" si="23"/>
        <v>0.30399999999999999</v>
      </c>
      <c r="P217" s="140">
        <f t="shared" si="22"/>
        <v>0.05</v>
      </c>
      <c r="Q217" s="163">
        <v>0.38100000000000001</v>
      </c>
      <c r="R217" s="129">
        <v>19.739999999999998</v>
      </c>
      <c r="S217" t="s">
        <v>676</v>
      </c>
      <c r="T217" t="s">
        <v>515</v>
      </c>
      <c r="U217" t="s">
        <v>515</v>
      </c>
      <c r="V217" s="118" t="s">
        <v>515</v>
      </c>
      <c r="W217">
        <v>40.756017</v>
      </c>
      <c r="X217">
        <v>-85.581188999999995</v>
      </c>
      <c r="Y217">
        <v>7</v>
      </c>
      <c r="Z217">
        <v>21</v>
      </c>
      <c r="AA217">
        <v>2023</v>
      </c>
      <c r="AB217" t="b">
        <v>0</v>
      </c>
      <c r="AC217" s="19">
        <v>45128</v>
      </c>
      <c r="AD217" s="19" t="s">
        <v>515</v>
      </c>
      <c r="AE217" s="237">
        <v>0.62648148148148153</v>
      </c>
      <c r="AF217" s="238">
        <v>45128</v>
      </c>
      <c r="AG217" s="108" t="s">
        <v>515</v>
      </c>
      <c r="AH217" s="108" t="s">
        <v>515</v>
      </c>
      <c r="AI217" s="108">
        <v>740.3</v>
      </c>
      <c r="AJ217" s="108">
        <v>553.29999999999995</v>
      </c>
      <c r="AK217" s="108">
        <v>533.79999999999995</v>
      </c>
      <c r="AL217" s="108">
        <v>533815</v>
      </c>
      <c r="AM217" s="108">
        <v>0.26</v>
      </c>
      <c r="AN217" s="108">
        <v>531.70000000000005</v>
      </c>
      <c r="AO217" s="108">
        <v>0.626</v>
      </c>
      <c r="AP217" s="108">
        <v>0.61199999999999999</v>
      </c>
      <c r="AQ217" s="108">
        <v>0.88700000000000001</v>
      </c>
      <c r="AR217" s="108" t="s">
        <v>515</v>
      </c>
      <c r="AS217" s="108" t="s">
        <v>515</v>
      </c>
      <c r="AT217" s="108" t="s">
        <v>515</v>
      </c>
      <c r="AU217" s="108">
        <v>40.755789999999998</v>
      </c>
      <c r="AV217" s="108">
        <v>-85.581199999999995</v>
      </c>
      <c r="AW217" s="108">
        <v>231.4</v>
      </c>
      <c r="AX217" s="108">
        <v>72.599999999999994</v>
      </c>
      <c r="AY217" s="108">
        <v>8.39</v>
      </c>
      <c r="AZ217" s="108">
        <v>-119.9</v>
      </c>
      <c r="BA217" s="108">
        <v>11.7</v>
      </c>
      <c r="BB217" s="108">
        <v>0</v>
      </c>
      <c r="BC217" s="108">
        <v>26.91</v>
      </c>
      <c r="BD217" s="108">
        <v>8.25</v>
      </c>
      <c r="BE217" s="108">
        <v>-26</v>
      </c>
      <c r="BF217" s="238">
        <v>45128</v>
      </c>
      <c r="BG217" s="108" t="s">
        <v>1871</v>
      </c>
    </row>
    <row r="218" spans="1:59" x14ac:dyDescent="0.25">
      <c r="A218" s="25">
        <v>10217</v>
      </c>
      <c r="B218" s="63" t="s">
        <v>240</v>
      </c>
      <c r="C218" s="63" t="s">
        <v>240</v>
      </c>
      <c r="D218" s="64">
        <v>3111</v>
      </c>
      <c r="E218" s="64">
        <v>11</v>
      </c>
      <c r="F218" s="118" t="s">
        <v>515</v>
      </c>
      <c r="G218" s="63" t="s">
        <v>22</v>
      </c>
      <c r="H218" s="65" t="s">
        <v>8</v>
      </c>
      <c r="I218" s="63">
        <v>3.3099999999999997E-2</v>
      </c>
      <c r="J218" s="63">
        <v>4.2089999999999996</v>
      </c>
      <c r="K218" s="63">
        <v>-8.0000000000000002E-3</v>
      </c>
      <c r="L218" s="63">
        <v>8.4000000000000005E-2</v>
      </c>
      <c r="M218" s="140">
        <f t="shared" si="23"/>
        <v>0.05</v>
      </c>
      <c r="N218" s="140">
        <f t="shared" si="23"/>
        <v>4.2089999999999996</v>
      </c>
      <c r="O218" s="140">
        <f t="shared" si="23"/>
        <v>0.05</v>
      </c>
      <c r="P218" s="140">
        <f t="shared" si="22"/>
        <v>0.05</v>
      </c>
      <c r="Q218" s="163">
        <v>0.19500000000000001</v>
      </c>
      <c r="R218" s="129">
        <v>46.255000000000003</v>
      </c>
      <c r="S218" t="s">
        <v>676</v>
      </c>
      <c r="T218" t="s">
        <v>515</v>
      </c>
      <c r="U218" t="s">
        <v>515</v>
      </c>
      <c r="V218" s="118" t="s">
        <v>515</v>
      </c>
      <c r="W218">
        <v>40.74494</v>
      </c>
      <c r="X218">
        <v>-85.569293999999999</v>
      </c>
      <c r="Y218">
        <v>7</v>
      </c>
      <c r="Z218">
        <v>21</v>
      </c>
      <c r="AA218">
        <v>2023</v>
      </c>
      <c r="AB218" t="b">
        <v>0</v>
      </c>
      <c r="AC218" s="19">
        <v>45128</v>
      </c>
      <c r="AD218" s="19" t="s">
        <v>515</v>
      </c>
      <c r="AE218" s="237">
        <v>0.6398611111111111</v>
      </c>
      <c r="AF218" s="238">
        <v>45128</v>
      </c>
      <c r="AG218" s="108" t="s">
        <v>515</v>
      </c>
      <c r="AH218" s="108" t="s">
        <v>515</v>
      </c>
      <c r="AI218" s="108">
        <v>740.5</v>
      </c>
      <c r="AJ218" s="108">
        <v>541.20000000000005</v>
      </c>
      <c r="AK218" s="108">
        <v>517.1</v>
      </c>
      <c r="AL218" s="108">
        <v>517121</v>
      </c>
      <c r="AM218" s="108">
        <v>0.25</v>
      </c>
      <c r="AN218" s="108">
        <v>514.5</v>
      </c>
      <c r="AO218" s="108">
        <v>0.48</v>
      </c>
      <c r="AP218" s="108">
        <v>0.48199999999999998</v>
      </c>
      <c r="AQ218" s="108">
        <v>0.68</v>
      </c>
      <c r="AR218" s="108" t="s">
        <v>515</v>
      </c>
      <c r="AS218" s="108" t="s">
        <v>515</v>
      </c>
      <c r="AT218" s="108" t="s">
        <v>515</v>
      </c>
      <c r="AU218" s="108">
        <v>40.744779999999999</v>
      </c>
      <c r="AV218" s="108">
        <v>-85.569270000000003</v>
      </c>
      <c r="AW218" s="108">
        <v>230.6</v>
      </c>
      <c r="AX218" s="108">
        <v>64.400000000000006</v>
      </c>
      <c r="AY218" s="108">
        <v>8.6300000000000008</v>
      </c>
      <c r="AZ218" s="108">
        <v>-133.5</v>
      </c>
      <c r="BA218" s="108">
        <v>11.8</v>
      </c>
      <c r="BB218" s="108">
        <v>0</v>
      </c>
      <c r="BC218" s="108">
        <v>27.443000000000001</v>
      </c>
      <c r="BD218" s="108">
        <v>10.82</v>
      </c>
      <c r="BE218" s="108">
        <v>-23</v>
      </c>
      <c r="BF218" s="238">
        <v>45128</v>
      </c>
      <c r="BG218" s="108" t="s">
        <v>1872</v>
      </c>
    </row>
    <row r="219" spans="1:59" x14ac:dyDescent="0.25">
      <c r="A219" s="25">
        <v>10218</v>
      </c>
      <c r="B219" t="s">
        <v>241</v>
      </c>
      <c r="C219" t="s">
        <v>241</v>
      </c>
      <c r="D219" s="27">
        <v>3112</v>
      </c>
      <c r="E219" s="27">
        <v>12</v>
      </c>
      <c r="F219" s="118" t="s">
        <v>515</v>
      </c>
      <c r="G219" t="s">
        <v>22</v>
      </c>
      <c r="H219" s="24" t="s">
        <v>8</v>
      </c>
      <c r="I219">
        <v>0.2361</v>
      </c>
      <c r="J219">
        <v>3.129</v>
      </c>
      <c r="K219">
        <v>0.39100000000000001</v>
      </c>
      <c r="L219" t="s">
        <v>515</v>
      </c>
      <c r="M219" s="140">
        <f t="shared" si="23"/>
        <v>0.2361</v>
      </c>
      <c r="N219" s="140">
        <f t="shared" si="23"/>
        <v>3.129</v>
      </c>
      <c r="O219" s="140">
        <f t="shared" si="23"/>
        <v>0.39100000000000001</v>
      </c>
      <c r="P219" s="140" t="str">
        <f t="shared" si="22"/>
        <v>NULL</v>
      </c>
      <c r="Q219" s="161">
        <v>0.35499999999999998</v>
      </c>
      <c r="R219" s="125">
        <v>37.744999999999997</v>
      </c>
      <c r="S219" t="s">
        <v>676</v>
      </c>
      <c r="T219" t="s">
        <v>515</v>
      </c>
      <c r="U219" t="s">
        <v>515</v>
      </c>
      <c r="V219" s="118" t="s">
        <v>515</v>
      </c>
      <c r="W219">
        <v>40.747396000000002</v>
      </c>
      <c r="X219">
        <v>-85.549599000000001</v>
      </c>
      <c r="Y219">
        <v>7</v>
      </c>
      <c r="Z219">
        <v>21</v>
      </c>
      <c r="AA219">
        <v>2023</v>
      </c>
      <c r="AB219" t="b">
        <v>0</v>
      </c>
      <c r="AC219" s="19">
        <v>45128</v>
      </c>
      <c r="AD219" s="19" t="s">
        <v>515</v>
      </c>
      <c r="AE219" s="237">
        <v>0.65089120370370368</v>
      </c>
      <c r="AF219" s="238">
        <v>45128</v>
      </c>
      <c r="AG219" s="108" t="s">
        <v>515</v>
      </c>
      <c r="AH219" s="108" t="s">
        <v>515</v>
      </c>
      <c r="AI219" s="108">
        <v>740.5</v>
      </c>
      <c r="AJ219" s="108">
        <v>532.29999999999995</v>
      </c>
      <c r="AK219" s="108">
        <v>504.5</v>
      </c>
      <c r="AL219" s="108">
        <v>504463</v>
      </c>
      <c r="AM219" s="108">
        <v>0.24</v>
      </c>
      <c r="AN219" s="108">
        <v>501.5</v>
      </c>
      <c r="AO219" s="108">
        <v>0.438</v>
      </c>
      <c r="AP219" s="108">
        <v>0.434</v>
      </c>
      <c r="AQ219" s="108">
        <v>0.621</v>
      </c>
      <c r="AR219" s="108" t="s">
        <v>515</v>
      </c>
      <c r="AS219" s="108" t="s">
        <v>515</v>
      </c>
      <c r="AT219" s="108" t="s">
        <v>515</v>
      </c>
      <c r="AU219" s="108">
        <v>40.747140000000002</v>
      </c>
      <c r="AV219" s="108">
        <v>-85.549620000000004</v>
      </c>
      <c r="AW219" s="108">
        <v>228.3</v>
      </c>
      <c r="AX219" s="108">
        <v>62.3</v>
      </c>
      <c r="AY219" s="108">
        <v>8.8000000000000007</v>
      </c>
      <c r="AZ219" s="108">
        <v>-142.9</v>
      </c>
      <c r="BA219" s="108">
        <v>11.7</v>
      </c>
      <c r="BB219" s="108">
        <v>0</v>
      </c>
      <c r="BC219" s="108">
        <v>27.885999999999999</v>
      </c>
      <c r="BD219" s="108">
        <v>20.49</v>
      </c>
      <c r="BE219" s="108">
        <v>-10</v>
      </c>
      <c r="BF219" s="238">
        <v>45128</v>
      </c>
      <c r="BG219" s="108" t="s">
        <v>1873</v>
      </c>
    </row>
    <row r="220" spans="1:59" x14ac:dyDescent="0.25">
      <c r="A220" s="25">
        <v>10219</v>
      </c>
      <c r="B220" s="63" t="s">
        <v>242</v>
      </c>
      <c r="C220" s="63" t="s">
        <v>242</v>
      </c>
      <c r="D220" s="64">
        <v>3113</v>
      </c>
      <c r="E220" s="64">
        <v>13</v>
      </c>
      <c r="F220" s="118">
        <v>5180</v>
      </c>
      <c r="G220" s="63" t="s">
        <v>22</v>
      </c>
      <c r="H220" s="65" t="s">
        <v>8</v>
      </c>
      <c r="I220" s="63">
        <v>5.5800000000000002E-2</v>
      </c>
      <c r="J220" s="63">
        <v>2.68</v>
      </c>
      <c r="K220" s="63">
        <v>0.34</v>
      </c>
      <c r="L220" s="63">
        <v>4.2000000000000003E-2</v>
      </c>
      <c r="M220" s="140">
        <f t="shared" si="23"/>
        <v>0.05</v>
      </c>
      <c r="N220" s="140">
        <f t="shared" si="23"/>
        <v>2.68</v>
      </c>
      <c r="O220" s="140">
        <f t="shared" si="23"/>
        <v>0.34</v>
      </c>
      <c r="P220" s="140">
        <f t="shared" si="22"/>
        <v>0.05</v>
      </c>
      <c r="Q220" s="163">
        <v>0.34699999999999998</v>
      </c>
      <c r="R220" s="129">
        <v>23.204999999999998</v>
      </c>
      <c r="S220" t="s">
        <v>676</v>
      </c>
      <c r="T220" t="s">
        <v>515</v>
      </c>
      <c r="U220" t="s">
        <v>515</v>
      </c>
      <c r="V220" s="118" t="s">
        <v>515</v>
      </c>
      <c r="W220">
        <v>40.780465</v>
      </c>
      <c r="X220">
        <v>-85.637153999999995</v>
      </c>
      <c r="Y220">
        <v>7</v>
      </c>
      <c r="Z220">
        <v>21</v>
      </c>
      <c r="AA220">
        <v>2023</v>
      </c>
      <c r="AB220" t="b">
        <v>0</v>
      </c>
      <c r="AC220" s="19">
        <v>45128</v>
      </c>
      <c r="AD220" s="19" t="s">
        <v>515</v>
      </c>
      <c r="AE220" s="237">
        <v>0.5356481481481481</v>
      </c>
      <c r="AF220" s="238">
        <v>45128</v>
      </c>
      <c r="AG220" s="108" t="s">
        <v>515</v>
      </c>
      <c r="AH220" s="108" t="s">
        <v>515</v>
      </c>
      <c r="AI220" s="108">
        <v>740.8</v>
      </c>
      <c r="AJ220" s="108">
        <v>525.4</v>
      </c>
      <c r="AK220" s="108">
        <v>512.79999999999995</v>
      </c>
      <c r="AL220" s="108">
        <v>512797</v>
      </c>
      <c r="AM220" s="108">
        <v>0.25</v>
      </c>
      <c r="AN220" s="108">
        <v>511.5</v>
      </c>
      <c r="AO220" s="108">
        <v>0.47499999999999998</v>
      </c>
      <c r="AP220" s="108">
        <v>0.46700000000000003</v>
      </c>
      <c r="AQ220" s="108">
        <v>0.67400000000000004</v>
      </c>
      <c r="AR220" s="108" t="s">
        <v>515</v>
      </c>
      <c r="AS220" s="108" t="s">
        <v>515</v>
      </c>
      <c r="AT220" s="108" t="s">
        <v>515</v>
      </c>
      <c r="AU220" s="108">
        <v>40.780329999999999</v>
      </c>
      <c r="AV220" s="108">
        <v>-85.637249999999995</v>
      </c>
      <c r="AW220" s="108">
        <v>228.7</v>
      </c>
      <c r="AX220" s="108">
        <v>58</v>
      </c>
      <c r="AY220" s="108">
        <v>8.39</v>
      </c>
      <c r="AZ220" s="108">
        <v>-119.8</v>
      </c>
      <c r="BA220" s="108">
        <v>11.7</v>
      </c>
      <c r="BB220" s="108">
        <v>0</v>
      </c>
      <c r="BC220" s="108">
        <v>26.288</v>
      </c>
      <c r="BD220" s="108">
        <v>7.38</v>
      </c>
      <c r="BE220" s="108">
        <v>-27</v>
      </c>
      <c r="BF220" s="238">
        <v>45128</v>
      </c>
      <c r="BG220" s="108" t="s">
        <v>1874</v>
      </c>
    </row>
    <row r="221" spans="1:59" x14ac:dyDescent="0.25">
      <c r="A221" s="25">
        <v>10220</v>
      </c>
      <c r="B221" s="63" t="s">
        <v>243</v>
      </c>
      <c r="C221" s="63" t="s">
        <v>243</v>
      </c>
      <c r="D221" s="64">
        <v>2101</v>
      </c>
      <c r="E221" s="64">
        <v>1</v>
      </c>
      <c r="F221" s="118">
        <v>5999</v>
      </c>
      <c r="G221" s="63" t="s">
        <v>19</v>
      </c>
      <c r="H221" s="65" t="s">
        <v>8</v>
      </c>
      <c r="I221" s="63">
        <v>3.85E-2</v>
      </c>
      <c r="J221" s="63">
        <v>4.5439999999999996</v>
      </c>
      <c r="K221" s="63">
        <v>0.26</v>
      </c>
      <c r="L221" s="63">
        <v>2.5999999999999999E-2</v>
      </c>
      <c r="M221" s="140">
        <f t="shared" si="23"/>
        <v>0.05</v>
      </c>
      <c r="N221" s="140">
        <f t="shared" si="23"/>
        <v>4.5439999999999996</v>
      </c>
      <c r="O221" s="140">
        <f t="shared" si="23"/>
        <v>0.26</v>
      </c>
      <c r="P221" s="140">
        <f t="shared" si="22"/>
        <v>0.05</v>
      </c>
      <c r="Q221" s="163">
        <v>0.32900000000000001</v>
      </c>
      <c r="R221" s="129">
        <v>14.505000000000001</v>
      </c>
      <c r="S221" t="s">
        <v>676</v>
      </c>
      <c r="T221" t="s">
        <v>515</v>
      </c>
      <c r="U221" t="s">
        <v>515</v>
      </c>
      <c r="V221" s="118" t="s">
        <v>515</v>
      </c>
      <c r="W221">
        <v>40.681922</v>
      </c>
      <c r="X221">
        <v>-85.888621000000001</v>
      </c>
      <c r="Y221">
        <v>7</v>
      </c>
      <c r="Z221">
        <v>27</v>
      </c>
      <c r="AA221">
        <v>2023</v>
      </c>
      <c r="AB221" t="b">
        <v>0</v>
      </c>
      <c r="AC221" s="19">
        <v>45134</v>
      </c>
      <c r="AD221" s="19" t="s">
        <v>515</v>
      </c>
      <c r="AE221" s="230">
        <v>0.4427314814814815</v>
      </c>
      <c r="AF221" s="19">
        <v>45134</v>
      </c>
      <c r="AG221" s="118" t="s">
        <v>515</v>
      </c>
      <c r="AH221" s="118" t="s">
        <v>515</v>
      </c>
      <c r="AI221" s="118">
        <v>740.4</v>
      </c>
      <c r="AJ221" s="118">
        <v>600.20000000000005</v>
      </c>
      <c r="AK221" s="118">
        <v>574.5</v>
      </c>
      <c r="AL221" s="118">
        <v>574487</v>
      </c>
      <c r="AM221" s="118">
        <v>0.28000000000000003</v>
      </c>
      <c r="AN221" s="118">
        <v>571.70000000000005</v>
      </c>
      <c r="AO221" s="21">
        <v>0.33700000000000002</v>
      </c>
      <c r="AP221" s="118">
        <v>0.32700000000000001</v>
      </c>
      <c r="AQ221" s="118">
        <v>0.47699999999999998</v>
      </c>
      <c r="AR221" s="118" t="s">
        <v>515</v>
      </c>
      <c r="AS221" s="118" t="s">
        <v>515</v>
      </c>
      <c r="AT221" s="118" t="s">
        <v>515</v>
      </c>
      <c r="AU221" s="118">
        <v>40.681690000000003</v>
      </c>
      <c r="AV221" s="118">
        <v>-85.888779999999997</v>
      </c>
      <c r="AW221" s="118">
        <v>230.2</v>
      </c>
      <c r="AX221" s="118">
        <v>81.400000000000006</v>
      </c>
      <c r="AY221" s="118">
        <v>8.0500000000000007</v>
      </c>
      <c r="AZ221" s="118">
        <v>-110.4</v>
      </c>
      <c r="BA221" s="118">
        <v>11.7</v>
      </c>
      <c r="BB221" s="118">
        <v>0</v>
      </c>
      <c r="BC221" s="118">
        <v>27.344000000000001</v>
      </c>
      <c r="BD221" s="118">
        <v>3.17</v>
      </c>
      <c r="BE221" s="118">
        <v>-33</v>
      </c>
      <c r="BF221" s="19">
        <v>45134</v>
      </c>
      <c r="BG221" s="118" t="s">
        <v>1717</v>
      </c>
    </row>
    <row r="222" spans="1:59" x14ac:dyDescent="0.25">
      <c r="A222" s="25">
        <v>10221</v>
      </c>
      <c r="B222" s="63" t="s">
        <v>244</v>
      </c>
      <c r="C222" s="63" t="s">
        <v>244</v>
      </c>
      <c r="D222" s="64">
        <v>2102</v>
      </c>
      <c r="E222" s="64">
        <v>2</v>
      </c>
      <c r="F222" s="118">
        <v>8861</v>
      </c>
      <c r="G222" s="63" t="s">
        <v>19</v>
      </c>
      <c r="H222" s="65" t="s">
        <v>8</v>
      </c>
      <c r="I222" s="63">
        <v>6.0299999999999999E-2</v>
      </c>
      <c r="J222" s="63">
        <v>4.6989999999999998</v>
      </c>
      <c r="K222" s="63">
        <v>0.27800000000000002</v>
      </c>
      <c r="L222" s="63">
        <v>0.03</v>
      </c>
      <c r="M222" s="140">
        <f t="shared" si="23"/>
        <v>0.05</v>
      </c>
      <c r="N222" s="140">
        <f t="shared" si="23"/>
        <v>4.6989999999999998</v>
      </c>
      <c r="O222" s="140">
        <f t="shared" si="23"/>
        <v>0.27800000000000002</v>
      </c>
      <c r="P222" s="140">
        <f t="shared" si="22"/>
        <v>0.05</v>
      </c>
      <c r="Q222" s="163">
        <v>0.185</v>
      </c>
      <c r="R222" s="129">
        <v>14.734999999999999</v>
      </c>
      <c r="S222" t="s">
        <v>676</v>
      </c>
      <c r="T222" t="s">
        <v>515</v>
      </c>
      <c r="U222" t="s">
        <v>515</v>
      </c>
      <c r="V222" s="118" t="s">
        <v>515</v>
      </c>
      <c r="W222">
        <v>40.676791999999999</v>
      </c>
      <c r="X222">
        <v>-85.876581000000002</v>
      </c>
      <c r="Y222">
        <v>7</v>
      </c>
      <c r="Z222">
        <v>27</v>
      </c>
      <c r="AA222">
        <v>2023</v>
      </c>
      <c r="AB222" t="b">
        <v>0</v>
      </c>
      <c r="AC222" s="19">
        <v>45134</v>
      </c>
      <c r="AD222" s="19" t="s">
        <v>515</v>
      </c>
      <c r="AE222" s="230">
        <v>0.46538194444444442</v>
      </c>
      <c r="AF222" s="19">
        <v>45134</v>
      </c>
      <c r="AG222" s="118" t="s">
        <v>515</v>
      </c>
      <c r="AH222" s="118" t="s">
        <v>515</v>
      </c>
      <c r="AI222" s="118">
        <v>740.8</v>
      </c>
      <c r="AJ222" s="118">
        <v>607.9</v>
      </c>
      <c r="AK222" s="118">
        <v>574.70000000000005</v>
      </c>
      <c r="AL222" s="118">
        <v>574667</v>
      </c>
      <c r="AM222" s="118">
        <v>0.28000000000000003</v>
      </c>
      <c r="AN222" s="118">
        <v>571.1</v>
      </c>
      <c r="AO222" s="21">
        <v>0.36099999999999999</v>
      </c>
      <c r="AP222" s="118">
        <v>0.35799999999999998</v>
      </c>
      <c r="AQ222" s="118">
        <v>0.51100000000000001</v>
      </c>
      <c r="AR222" s="118" t="s">
        <v>515</v>
      </c>
      <c r="AS222" s="118" t="s">
        <v>515</v>
      </c>
      <c r="AT222" s="118" t="s">
        <v>515</v>
      </c>
      <c r="AU222" s="118">
        <v>40.676909999999999</v>
      </c>
      <c r="AV222" s="118">
        <v>-85.876400000000004</v>
      </c>
      <c r="AW222" s="118">
        <v>222.6</v>
      </c>
      <c r="AX222" s="118">
        <v>77.8</v>
      </c>
      <c r="AY222" s="118">
        <v>8.18</v>
      </c>
      <c r="AZ222" s="118">
        <v>-118.5</v>
      </c>
      <c r="BA222" s="118">
        <v>11.7</v>
      </c>
      <c r="BB222" s="118">
        <v>0</v>
      </c>
      <c r="BC222" s="118">
        <v>28.027000000000001</v>
      </c>
      <c r="BD222" s="118">
        <v>3.4</v>
      </c>
      <c r="BE222" s="118">
        <v>-33</v>
      </c>
      <c r="BF222" s="19">
        <v>45134</v>
      </c>
      <c r="BG222" s="118" t="s">
        <v>1716</v>
      </c>
    </row>
    <row r="223" spans="1:59" x14ac:dyDescent="0.25">
      <c r="A223" s="25">
        <v>10222</v>
      </c>
      <c r="B223" s="63" t="s">
        <v>245</v>
      </c>
      <c r="C223" s="63" t="s">
        <v>245</v>
      </c>
      <c r="D223" s="64">
        <v>2103</v>
      </c>
      <c r="E223" s="64">
        <v>3</v>
      </c>
      <c r="F223" s="118">
        <v>9921</v>
      </c>
      <c r="G223" s="63" t="s">
        <v>19</v>
      </c>
      <c r="H223" s="65" t="s">
        <v>8</v>
      </c>
      <c r="I223" s="63">
        <v>5.8700000000000002E-2</v>
      </c>
      <c r="J223" s="63">
        <v>5.5039999999999996</v>
      </c>
      <c r="K223" s="63">
        <v>0.34200000000000003</v>
      </c>
      <c r="L223" s="63">
        <v>3.4500000000000003E-2</v>
      </c>
      <c r="M223" s="140">
        <f t="shared" si="23"/>
        <v>0.05</v>
      </c>
      <c r="N223" s="140">
        <f t="shared" si="23"/>
        <v>5.5039999999999996</v>
      </c>
      <c r="O223" s="140">
        <f t="shared" si="23"/>
        <v>0.34200000000000003</v>
      </c>
      <c r="P223" s="140">
        <f t="shared" si="22"/>
        <v>0.05</v>
      </c>
      <c r="Q223" s="163">
        <v>0.34699999999999998</v>
      </c>
      <c r="R223" s="129">
        <v>11.865</v>
      </c>
      <c r="S223" t="s">
        <v>676</v>
      </c>
      <c r="T223" t="s">
        <v>515</v>
      </c>
      <c r="U223" t="s">
        <v>515</v>
      </c>
      <c r="V223" s="118" t="s">
        <v>515</v>
      </c>
      <c r="W223">
        <v>40.671010000000003</v>
      </c>
      <c r="X223">
        <v>-85.869494000000003</v>
      </c>
      <c r="Y223">
        <v>7</v>
      </c>
      <c r="Z223">
        <v>27</v>
      </c>
      <c r="AA223">
        <v>2023</v>
      </c>
      <c r="AB223" t="b">
        <v>0</v>
      </c>
      <c r="AC223" s="19">
        <v>45134</v>
      </c>
      <c r="AD223" s="19" t="s">
        <v>515</v>
      </c>
      <c r="AE223" s="230">
        <v>0.47885416666666669</v>
      </c>
      <c r="AF223" s="19">
        <v>45134</v>
      </c>
      <c r="AG223" s="118" t="s">
        <v>515</v>
      </c>
      <c r="AH223" s="118" t="s">
        <v>515</v>
      </c>
      <c r="AI223" s="118">
        <v>740.8</v>
      </c>
      <c r="AJ223" s="118">
        <v>609.1</v>
      </c>
      <c r="AK223" s="118">
        <v>585.79999999999995</v>
      </c>
      <c r="AL223" s="118">
        <v>585820</v>
      </c>
      <c r="AM223" s="118">
        <v>0.28000000000000003</v>
      </c>
      <c r="AN223" s="118">
        <v>583.29999999999995</v>
      </c>
      <c r="AO223" s="21">
        <v>0.9</v>
      </c>
      <c r="AP223" s="118">
        <v>0.89</v>
      </c>
      <c r="AQ223" s="118">
        <v>1.2749999999999999</v>
      </c>
      <c r="AR223" s="118" t="s">
        <v>515</v>
      </c>
      <c r="AS223" s="118" t="s">
        <v>515</v>
      </c>
      <c r="AT223" s="118" t="s">
        <v>515</v>
      </c>
      <c r="AU223" s="118">
        <v>40.670729999999999</v>
      </c>
      <c r="AV223" s="118">
        <v>-85.869500000000002</v>
      </c>
      <c r="AW223" s="118">
        <v>215.4</v>
      </c>
      <c r="AX223" s="118">
        <v>66.8</v>
      </c>
      <c r="AY223" s="118">
        <v>8.1999999999999993</v>
      </c>
      <c r="AZ223" s="118">
        <v>-119.2</v>
      </c>
      <c r="BA223" s="118">
        <v>11.7</v>
      </c>
      <c r="BB223" s="118">
        <v>0</v>
      </c>
      <c r="BC223" s="118">
        <v>27.077999999999999</v>
      </c>
      <c r="BD223" s="118">
        <v>4.5999999999999996</v>
      </c>
      <c r="BE223" s="118">
        <v>-31</v>
      </c>
      <c r="BF223" s="19">
        <v>45134</v>
      </c>
      <c r="BG223" s="118" t="s">
        <v>1715</v>
      </c>
    </row>
    <row r="224" spans="1:59" x14ac:dyDescent="0.25">
      <c r="A224" s="25">
        <v>10223</v>
      </c>
      <c r="B224" s="63" t="s">
        <v>246</v>
      </c>
      <c r="C224" s="63" t="s">
        <v>246</v>
      </c>
      <c r="D224" s="64">
        <v>2104</v>
      </c>
      <c r="E224" s="64">
        <v>4</v>
      </c>
      <c r="F224" s="118">
        <v>10891</v>
      </c>
      <c r="G224" s="63" t="s">
        <v>19</v>
      </c>
      <c r="H224" s="65" t="s">
        <v>8</v>
      </c>
      <c r="I224" s="63">
        <v>6.1400000000000003E-2</v>
      </c>
      <c r="J224" s="63">
        <v>5.0510000000000002</v>
      </c>
      <c r="K224" s="63">
        <v>0.19900000000000001</v>
      </c>
      <c r="L224" s="63">
        <v>4.3499999999999997E-2</v>
      </c>
      <c r="M224" s="140">
        <f t="shared" si="23"/>
        <v>0.05</v>
      </c>
      <c r="N224" s="140">
        <f t="shared" si="23"/>
        <v>5.0510000000000002</v>
      </c>
      <c r="O224" s="140">
        <f t="shared" si="23"/>
        <v>0.19900000000000001</v>
      </c>
      <c r="P224" s="140">
        <f t="shared" si="22"/>
        <v>0.05</v>
      </c>
      <c r="Q224" s="163">
        <v>0.373</v>
      </c>
      <c r="R224" s="129">
        <v>13.705</v>
      </c>
      <c r="S224" t="s">
        <v>676</v>
      </c>
      <c r="T224" t="s">
        <v>515</v>
      </c>
      <c r="U224" t="s">
        <v>515</v>
      </c>
      <c r="V224" s="118" t="s">
        <v>515</v>
      </c>
      <c r="W224">
        <v>40.663311</v>
      </c>
      <c r="X224">
        <v>-85.865977000000001</v>
      </c>
      <c r="Y224">
        <v>7</v>
      </c>
      <c r="Z224">
        <v>27</v>
      </c>
      <c r="AA224">
        <v>2023</v>
      </c>
      <c r="AB224" t="b">
        <v>0</v>
      </c>
      <c r="AC224" s="19">
        <v>45134</v>
      </c>
      <c r="AD224" s="19" t="s">
        <v>515</v>
      </c>
      <c r="AE224" s="230">
        <v>0.49039351851851853</v>
      </c>
      <c r="AF224" s="19">
        <v>45134</v>
      </c>
      <c r="AG224" s="118" t="s">
        <v>515</v>
      </c>
      <c r="AH224" s="118" t="s">
        <v>515</v>
      </c>
      <c r="AI224" s="118">
        <v>740.9</v>
      </c>
      <c r="AJ224" s="118">
        <v>625.9</v>
      </c>
      <c r="AK224" s="118">
        <v>595.9</v>
      </c>
      <c r="AL224" s="118">
        <v>595911</v>
      </c>
      <c r="AM224" s="118">
        <v>0.28999999999999998</v>
      </c>
      <c r="AN224" s="118">
        <v>592.70000000000005</v>
      </c>
      <c r="AO224" s="21">
        <v>0.29599999999999999</v>
      </c>
      <c r="AP224" s="118">
        <v>0.28799999999999998</v>
      </c>
      <c r="AQ224" s="118">
        <v>0.42</v>
      </c>
      <c r="AR224" s="118" t="s">
        <v>515</v>
      </c>
      <c r="AS224" s="118" t="s">
        <v>515</v>
      </c>
      <c r="AT224" s="118" t="s">
        <v>515</v>
      </c>
      <c r="AU224" s="118">
        <v>40.663069999999998</v>
      </c>
      <c r="AV224" s="118">
        <v>-85.865989999999996</v>
      </c>
      <c r="AW224" s="118">
        <v>218.5</v>
      </c>
      <c r="AX224" s="118">
        <v>89.6</v>
      </c>
      <c r="AY224" s="118">
        <v>8.16</v>
      </c>
      <c r="AZ224" s="118">
        <v>-116.9</v>
      </c>
      <c r="BA224" s="118">
        <v>11.8</v>
      </c>
      <c r="BB224" s="118">
        <v>0</v>
      </c>
      <c r="BC224" s="118">
        <v>27.638999999999999</v>
      </c>
      <c r="BD224" s="118">
        <v>4.34</v>
      </c>
      <c r="BE224" s="118">
        <v>-31</v>
      </c>
      <c r="BF224" s="19">
        <v>45134</v>
      </c>
      <c r="BG224" s="118" t="s">
        <v>1714</v>
      </c>
    </row>
    <row r="225" spans="1:59" x14ac:dyDescent="0.25">
      <c r="A225" s="25">
        <v>10224</v>
      </c>
      <c r="B225" t="s">
        <v>247</v>
      </c>
      <c r="C225" t="s">
        <v>247</v>
      </c>
      <c r="D225" s="27">
        <v>2105</v>
      </c>
      <c r="E225" s="27">
        <v>5</v>
      </c>
      <c r="F225" s="118">
        <v>12821</v>
      </c>
      <c r="G225" t="s">
        <v>19</v>
      </c>
      <c r="H225" s="24" t="s">
        <v>8</v>
      </c>
      <c r="I225" t="s">
        <v>515</v>
      </c>
      <c r="J225" t="s">
        <v>515</v>
      </c>
      <c r="K225" t="s">
        <v>515</v>
      </c>
      <c r="L225">
        <v>7.5999999999999998E-2</v>
      </c>
      <c r="M225" s="140" t="str">
        <f t="shared" si="23"/>
        <v>NULL</v>
      </c>
      <c r="N225" s="140" t="str">
        <f t="shared" si="23"/>
        <v>NULL</v>
      </c>
      <c r="O225" s="140" t="str">
        <f t="shared" si="23"/>
        <v>NULL</v>
      </c>
      <c r="P225" s="140">
        <f t="shared" si="22"/>
        <v>0.05</v>
      </c>
      <c r="Q225" s="161">
        <v>0.40600000000000003</v>
      </c>
      <c r="R225" s="125">
        <v>17.22</v>
      </c>
      <c r="S225" t="s">
        <v>676</v>
      </c>
      <c r="T225" t="s">
        <v>515</v>
      </c>
      <c r="U225" t="s">
        <v>515</v>
      </c>
      <c r="V225" s="118" t="s">
        <v>515</v>
      </c>
      <c r="W225">
        <v>40.668644</v>
      </c>
      <c r="X225">
        <v>-85.847110999999998</v>
      </c>
      <c r="Y225">
        <v>7</v>
      </c>
      <c r="Z225">
        <v>27</v>
      </c>
      <c r="AA225">
        <v>2023</v>
      </c>
      <c r="AB225" t="b">
        <v>0</v>
      </c>
      <c r="AC225" s="19">
        <v>45134</v>
      </c>
      <c r="AD225" s="19" t="s">
        <v>515</v>
      </c>
      <c r="AE225" s="230">
        <v>0.50407407407407412</v>
      </c>
      <c r="AF225" s="19">
        <v>45134</v>
      </c>
      <c r="AG225" s="118" t="s">
        <v>515</v>
      </c>
      <c r="AH225" s="118" t="s">
        <v>515</v>
      </c>
      <c r="AI225" s="118">
        <v>741</v>
      </c>
      <c r="AJ225" s="118">
        <v>627.20000000000005</v>
      </c>
      <c r="AK225" s="118">
        <v>600.9</v>
      </c>
      <c r="AL225" s="118">
        <v>600903</v>
      </c>
      <c r="AM225" s="118">
        <v>0.28999999999999998</v>
      </c>
      <c r="AN225" s="118">
        <v>598.1</v>
      </c>
      <c r="AO225" s="21">
        <v>0.495</v>
      </c>
      <c r="AP225" s="118">
        <v>0.50900000000000001</v>
      </c>
      <c r="AQ225" s="118">
        <v>0.70099999999999996</v>
      </c>
      <c r="AR225" s="118" t="s">
        <v>515</v>
      </c>
      <c r="AS225" s="118" t="s">
        <v>515</v>
      </c>
      <c r="AT225" s="118" t="s">
        <v>515</v>
      </c>
      <c r="AU225" s="118">
        <v>40.668590000000002</v>
      </c>
      <c r="AV225" s="118">
        <v>-85.847319999999996</v>
      </c>
      <c r="AW225" s="118">
        <v>217.5</v>
      </c>
      <c r="AX225" s="118">
        <v>86.3</v>
      </c>
      <c r="AY225" s="118">
        <v>8.14</v>
      </c>
      <c r="AZ225" s="118">
        <v>-115.6</v>
      </c>
      <c r="BA225" s="118">
        <v>11.8</v>
      </c>
      <c r="BB225" s="118">
        <v>0</v>
      </c>
      <c r="BC225" s="118">
        <v>27.291</v>
      </c>
      <c r="BD225" s="118">
        <v>6.32</v>
      </c>
      <c r="BE225" s="118">
        <v>-29</v>
      </c>
      <c r="BF225" s="19">
        <v>45134</v>
      </c>
      <c r="BG225" s="118" t="s">
        <v>1713</v>
      </c>
    </row>
    <row r="226" spans="1:59" x14ac:dyDescent="0.25">
      <c r="A226" s="25">
        <v>10225</v>
      </c>
      <c r="B226" s="63" t="s">
        <v>248</v>
      </c>
      <c r="C226" s="63" t="s">
        <v>248</v>
      </c>
      <c r="D226" s="64">
        <v>2106</v>
      </c>
      <c r="E226" s="64">
        <v>6</v>
      </c>
      <c r="F226" s="118">
        <v>14351</v>
      </c>
      <c r="G226" s="63" t="s">
        <v>19</v>
      </c>
      <c r="H226" s="65" t="s">
        <v>8</v>
      </c>
      <c r="I226" s="63">
        <v>3.8699999999999998E-2</v>
      </c>
      <c r="J226" s="63">
        <v>5.7759999999999998</v>
      </c>
      <c r="K226" s="63">
        <v>0.41199999999999998</v>
      </c>
      <c r="L226" s="63">
        <v>5.1499999999999997E-2</v>
      </c>
      <c r="M226" s="140">
        <f t="shared" ref="M226:O241" si="24">IF(I226&lt;0.1,0.05,I226)</f>
        <v>0.05</v>
      </c>
      <c r="N226" s="140">
        <f t="shared" si="24"/>
        <v>5.7759999999999998</v>
      </c>
      <c r="O226" s="140">
        <f t="shared" si="24"/>
        <v>0.41199999999999998</v>
      </c>
      <c r="P226" s="140">
        <f t="shared" si="22"/>
        <v>0.05</v>
      </c>
      <c r="Q226" s="163">
        <v>0.26600000000000001</v>
      </c>
      <c r="R226" s="129">
        <v>17.600000000000001</v>
      </c>
      <c r="S226" t="s">
        <v>676</v>
      </c>
      <c r="T226" t="s">
        <v>515</v>
      </c>
      <c r="U226" t="s">
        <v>515</v>
      </c>
      <c r="V226" s="118" t="s">
        <v>515</v>
      </c>
      <c r="W226">
        <v>40.673974000000001</v>
      </c>
      <c r="X226">
        <v>-85.831631999999999</v>
      </c>
      <c r="Y226">
        <v>7</v>
      </c>
      <c r="Z226">
        <v>27</v>
      </c>
      <c r="AA226">
        <v>2023</v>
      </c>
      <c r="AB226" t="b">
        <v>0</v>
      </c>
      <c r="AC226" s="19">
        <v>45134</v>
      </c>
      <c r="AD226" s="19" t="s">
        <v>515</v>
      </c>
      <c r="AE226" s="230">
        <v>0.51777777777777778</v>
      </c>
      <c r="AF226" s="19">
        <v>45134</v>
      </c>
      <c r="AG226" s="118" t="s">
        <v>515</v>
      </c>
      <c r="AH226" s="118" t="s">
        <v>515</v>
      </c>
      <c r="AI226" s="118">
        <v>740.9</v>
      </c>
      <c r="AJ226" s="118">
        <v>622.9</v>
      </c>
      <c r="AK226" s="118">
        <v>584.4</v>
      </c>
      <c r="AL226" s="118">
        <v>584380</v>
      </c>
      <c r="AM226" s="118">
        <v>0.28000000000000003</v>
      </c>
      <c r="AN226" s="118">
        <v>580.20000000000005</v>
      </c>
      <c r="AO226" s="21">
        <v>0.377</v>
      </c>
      <c r="AP226" s="118">
        <v>0.39600000000000002</v>
      </c>
      <c r="AQ226" s="118">
        <v>0.53400000000000003</v>
      </c>
      <c r="AR226" s="118" t="s">
        <v>515</v>
      </c>
      <c r="AS226" s="118" t="s">
        <v>515</v>
      </c>
      <c r="AT226" s="118" t="s">
        <v>515</v>
      </c>
      <c r="AU226" s="118">
        <v>40.67371</v>
      </c>
      <c r="AV226" s="118">
        <v>-85.831440000000001</v>
      </c>
      <c r="AW226" s="118">
        <v>218.9</v>
      </c>
      <c r="AX226" s="118">
        <v>60</v>
      </c>
      <c r="AY226" s="118">
        <v>8.4</v>
      </c>
      <c r="AZ226" s="118">
        <v>-131.5</v>
      </c>
      <c r="BA226" s="118">
        <v>11.8</v>
      </c>
      <c r="BB226" s="118">
        <v>0</v>
      </c>
      <c r="BC226" s="118">
        <v>28.45</v>
      </c>
      <c r="BD226" s="118">
        <v>4.47</v>
      </c>
      <c r="BE226" s="118">
        <v>-31</v>
      </c>
      <c r="BF226" s="19">
        <v>45134</v>
      </c>
      <c r="BG226" s="118" t="s">
        <v>1712</v>
      </c>
    </row>
    <row r="227" spans="1:59" x14ac:dyDescent="0.25">
      <c r="A227" s="25">
        <v>10226</v>
      </c>
      <c r="B227" s="63" t="s">
        <v>249</v>
      </c>
      <c r="C227" s="63" t="s">
        <v>249</v>
      </c>
      <c r="D227" s="64">
        <v>2107</v>
      </c>
      <c r="E227" s="64">
        <v>7</v>
      </c>
      <c r="F227" s="118">
        <v>6411</v>
      </c>
      <c r="G227" s="63" t="s">
        <v>19</v>
      </c>
      <c r="H227" s="65" t="s">
        <v>8</v>
      </c>
      <c r="I227" s="63">
        <v>6.3100000000000003E-2</v>
      </c>
      <c r="J227" s="63">
        <v>3.1890000000000001</v>
      </c>
      <c r="K227" s="63">
        <v>0.26</v>
      </c>
      <c r="L227" s="63">
        <v>3.5499999999999997E-2</v>
      </c>
      <c r="M227" s="140">
        <f t="shared" si="24"/>
        <v>0.05</v>
      </c>
      <c r="N227" s="140">
        <f t="shared" si="24"/>
        <v>3.1890000000000001</v>
      </c>
      <c r="O227" s="140">
        <f t="shared" si="24"/>
        <v>0.26</v>
      </c>
      <c r="P227" s="140">
        <f t="shared" si="22"/>
        <v>0.05</v>
      </c>
      <c r="Q227" s="163">
        <v>0.495</v>
      </c>
      <c r="R227" s="129">
        <v>26.045000000000002</v>
      </c>
      <c r="S227" t="s">
        <v>676</v>
      </c>
      <c r="T227" t="s">
        <v>515</v>
      </c>
      <c r="U227" t="s">
        <v>515</v>
      </c>
      <c r="V227" s="118" t="s">
        <v>515</v>
      </c>
      <c r="W227">
        <v>40.689686000000002</v>
      </c>
      <c r="X227">
        <v>-85.895390000000006</v>
      </c>
      <c r="Y227">
        <v>7</v>
      </c>
      <c r="Z227">
        <v>27</v>
      </c>
      <c r="AA227">
        <v>2023</v>
      </c>
      <c r="AB227" t="b">
        <v>0</v>
      </c>
      <c r="AC227" s="19">
        <v>45134</v>
      </c>
      <c r="AD227" s="19" t="s">
        <v>515</v>
      </c>
      <c r="AE227" s="230">
        <v>0.59065972222222218</v>
      </c>
      <c r="AF227" s="19">
        <v>45134</v>
      </c>
      <c r="AG227" s="118" t="s">
        <v>515</v>
      </c>
      <c r="AH227" s="118" t="s">
        <v>515</v>
      </c>
      <c r="AI227" s="118">
        <v>740.9</v>
      </c>
      <c r="AJ227" s="118">
        <v>598.6</v>
      </c>
      <c r="AK227" s="118">
        <v>562.9</v>
      </c>
      <c r="AL227" s="118">
        <v>562903</v>
      </c>
      <c r="AM227" s="118">
        <v>0.27</v>
      </c>
      <c r="AN227" s="118">
        <v>559</v>
      </c>
      <c r="AO227" s="21">
        <v>0.48199999999999998</v>
      </c>
      <c r="AP227" s="118">
        <v>0.5</v>
      </c>
      <c r="AQ227" s="118">
        <v>0.68300000000000005</v>
      </c>
      <c r="AR227" s="118" t="s">
        <v>515</v>
      </c>
      <c r="AS227" s="118" t="s">
        <v>515</v>
      </c>
      <c r="AT227" s="118" t="s">
        <v>515</v>
      </c>
      <c r="AU227" s="118">
        <v>40.68938</v>
      </c>
      <c r="AV227" s="118">
        <v>-85.895300000000006</v>
      </c>
      <c r="AW227" s="118">
        <v>223</v>
      </c>
      <c r="AX227" s="118">
        <v>43.8</v>
      </c>
      <c r="AY227" s="118">
        <v>8.49</v>
      </c>
      <c r="AZ227" s="118">
        <v>-136.69999999999999</v>
      </c>
      <c r="BA227" s="118">
        <v>11.8</v>
      </c>
      <c r="BB227" s="118">
        <v>0</v>
      </c>
      <c r="BC227" s="118">
        <v>28.318000000000001</v>
      </c>
      <c r="BD227" s="118">
        <v>4.0599999999999996</v>
      </c>
      <c r="BE227" s="118">
        <v>-32</v>
      </c>
      <c r="BF227" s="19">
        <v>45134</v>
      </c>
      <c r="BG227" s="118" t="s">
        <v>1724</v>
      </c>
    </row>
    <row r="228" spans="1:59" x14ac:dyDescent="0.25">
      <c r="A228" s="25">
        <v>10227</v>
      </c>
      <c r="B228" s="63" t="s">
        <v>250</v>
      </c>
      <c r="C228" s="63" t="s">
        <v>250</v>
      </c>
      <c r="D228" s="64">
        <v>2108</v>
      </c>
      <c r="E228" s="64">
        <v>8</v>
      </c>
      <c r="F228" s="118">
        <v>5401</v>
      </c>
      <c r="G228" s="63" t="s">
        <v>19</v>
      </c>
      <c r="H228" s="65" t="s">
        <v>8</v>
      </c>
      <c r="I228" s="63">
        <v>5.2600000000000001E-2</v>
      </c>
      <c r="J228" s="63">
        <v>4.1440000000000001</v>
      </c>
      <c r="K228" s="63">
        <v>0.26700000000000002</v>
      </c>
      <c r="L228" s="63">
        <v>3.5000000000000003E-2</v>
      </c>
      <c r="M228" s="140">
        <f t="shared" si="24"/>
        <v>0.05</v>
      </c>
      <c r="N228" s="140">
        <f t="shared" si="24"/>
        <v>4.1440000000000001</v>
      </c>
      <c r="O228" s="140">
        <f t="shared" si="24"/>
        <v>0.26700000000000002</v>
      </c>
      <c r="P228" s="140">
        <f t="shared" si="22"/>
        <v>0.05</v>
      </c>
      <c r="Q228" s="163">
        <v>0.55400000000000005</v>
      </c>
      <c r="R228" s="129">
        <v>12.87</v>
      </c>
      <c r="S228" t="s">
        <v>676</v>
      </c>
      <c r="T228" t="s">
        <v>515</v>
      </c>
      <c r="U228" t="s">
        <v>515</v>
      </c>
      <c r="V228" s="118" t="s">
        <v>515</v>
      </c>
      <c r="W228">
        <v>40.693033</v>
      </c>
      <c r="X228">
        <v>-85.907493000000002</v>
      </c>
      <c r="Y228">
        <v>7</v>
      </c>
      <c r="Z228">
        <v>27</v>
      </c>
      <c r="AA228">
        <v>2023</v>
      </c>
      <c r="AB228" t="b">
        <v>0</v>
      </c>
      <c r="AC228" s="19">
        <v>45134</v>
      </c>
      <c r="AD228" s="19" t="s">
        <v>515</v>
      </c>
      <c r="AE228" s="230">
        <v>0.60516203703703708</v>
      </c>
      <c r="AF228" s="19">
        <v>45134</v>
      </c>
      <c r="AG228" s="118" t="s">
        <v>515</v>
      </c>
      <c r="AH228" s="118" t="s">
        <v>515</v>
      </c>
      <c r="AI228" s="118">
        <v>740.9</v>
      </c>
      <c r="AJ228" s="118">
        <v>601.70000000000005</v>
      </c>
      <c r="AK228" s="118">
        <v>570.6</v>
      </c>
      <c r="AL228" s="118">
        <v>570645</v>
      </c>
      <c r="AM228" s="118">
        <v>0.27</v>
      </c>
      <c r="AN228" s="118">
        <v>567.29999999999995</v>
      </c>
      <c r="AO228" s="21">
        <v>0.51500000000000001</v>
      </c>
      <c r="AP228" s="118">
        <v>0.52600000000000002</v>
      </c>
      <c r="AQ228" s="118">
        <v>0.73099999999999998</v>
      </c>
      <c r="AR228" s="118" t="s">
        <v>515</v>
      </c>
      <c r="AS228" s="118" t="s">
        <v>515</v>
      </c>
      <c r="AT228" s="118" t="s">
        <v>515</v>
      </c>
      <c r="AU228" s="118">
        <v>40.693240000000003</v>
      </c>
      <c r="AV228" s="118">
        <v>-85.907520000000005</v>
      </c>
      <c r="AW228" s="118">
        <v>224.4</v>
      </c>
      <c r="AX228" s="118">
        <v>47.3</v>
      </c>
      <c r="AY228" s="118">
        <v>8.3000000000000007</v>
      </c>
      <c r="AZ228" s="118">
        <v>-125.4</v>
      </c>
      <c r="BA228" s="118">
        <v>11.8</v>
      </c>
      <c r="BB228" s="118">
        <v>0</v>
      </c>
      <c r="BC228" s="118">
        <v>27.844000000000001</v>
      </c>
      <c r="BD228" s="118">
        <v>3.72</v>
      </c>
      <c r="BE228" s="118">
        <v>-32</v>
      </c>
      <c r="BF228" s="19">
        <v>45134</v>
      </c>
      <c r="BG228" s="118" t="s">
        <v>1722</v>
      </c>
    </row>
    <row r="229" spans="1:59" x14ac:dyDescent="0.25">
      <c r="A229" s="25">
        <v>10228</v>
      </c>
      <c r="B229" s="63" t="s">
        <v>251</v>
      </c>
      <c r="C229" s="63" t="s">
        <v>251</v>
      </c>
      <c r="D229" s="64">
        <v>2109</v>
      </c>
      <c r="E229" s="64">
        <v>9</v>
      </c>
      <c r="F229" s="118">
        <v>4381</v>
      </c>
      <c r="G229" s="63" t="s">
        <v>19</v>
      </c>
      <c r="H229" s="65" t="s">
        <v>8</v>
      </c>
      <c r="I229" s="63">
        <v>4.2599999999999999E-2</v>
      </c>
      <c r="J229" s="63">
        <v>3.9340000000000002</v>
      </c>
      <c r="K229" s="63">
        <v>0.36899999999999999</v>
      </c>
      <c r="L229" s="63">
        <v>2.5999999999999999E-2</v>
      </c>
      <c r="M229" s="140">
        <f t="shared" si="24"/>
        <v>0.05</v>
      </c>
      <c r="N229" s="140">
        <f t="shared" si="24"/>
        <v>3.9340000000000002</v>
      </c>
      <c r="O229" s="140">
        <f t="shared" si="24"/>
        <v>0.36899999999999999</v>
      </c>
      <c r="P229" s="140">
        <f t="shared" si="22"/>
        <v>0.05</v>
      </c>
      <c r="Q229" s="163">
        <v>0.17899999999999999</v>
      </c>
      <c r="R229" s="129">
        <v>11.845000000000001</v>
      </c>
      <c r="S229" t="s">
        <v>676</v>
      </c>
      <c r="T229" t="s">
        <v>515</v>
      </c>
      <c r="U229" t="s">
        <v>515</v>
      </c>
      <c r="V229" s="118" t="s">
        <v>515</v>
      </c>
      <c r="W229">
        <v>40.704790000000003</v>
      </c>
      <c r="X229">
        <v>-85.929541999999998</v>
      </c>
      <c r="Y229">
        <v>7</v>
      </c>
      <c r="Z229">
        <v>27</v>
      </c>
      <c r="AA229">
        <v>2023</v>
      </c>
      <c r="AB229" t="b">
        <v>0</v>
      </c>
      <c r="AC229" s="19">
        <v>45134</v>
      </c>
      <c r="AD229" s="19" t="s">
        <v>515</v>
      </c>
      <c r="AE229" s="230">
        <v>0.63611111111111107</v>
      </c>
      <c r="AF229" s="19">
        <v>45134</v>
      </c>
      <c r="AG229" s="118" t="s">
        <v>515</v>
      </c>
      <c r="AH229" s="118" t="s">
        <v>515</v>
      </c>
      <c r="AI229" s="118">
        <v>740.8</v>
      </c>
      <c r="AJ229" s="118">
        <v>600.9</v>
      </c>
      <c r="AK229" s="118">
        <v>556</v>
      </c>
      <c r="AL229" s="118">
        <v>556018</v>
      </c>
      <c r="AM229" s="118">
        <v>0.27</v>
      </c>
      <c r="AN229" s="118">
        <v>551.1</v>
      </c>
      <c r="AO229" s="21">
        <v>0.316</v>
      </c>
      <c r="AP229" s="118">
        <v>0.33200000000000002</v>
      </c>
      <c r="AQ229" s="118">
        <v>0.44700000000000001</v>
      </c>
      <c r="AR229" s="118" t="s">
        <v>515</v>
      </c>
      <c r="AS229" s="118" t="s">
        <v>515</v>
      </c>
      <c r="AT229" s="118" t="s">
        <v>515</v>
      </c>
      <c r="AU229" s="118">
        <v>40.704439999999998</v>
      </c>
      <c r="AV229" s="118">
        <v>-85.929419999999993</v>
      </c>
      <c r="AW229" s="118">
        <v>221.1</v>
      </c>
      <c r="AX229" s="118">
        <v>54.4</v>
      </c>
      <c r="AY229" s="118">
        <v>8.2899999999999991</v>
      </c>
      <c r="AZ229" s="118">
        <v>-125.2</v>
      </c>
      <c r="BA229" s="118">
        <v>11.8</v>
      </c>
      <c r="BB229" s="118">
        <v>0</v>
      </c>
      <c r="BC229" s="118">
        <v>29.231000000000002</v>
      </c>
      <c r="BD229" s="118">
        <v>3.14</v>
      </c>
      <c r="BE229" s="118">
        <v>-33</v>
      </c>
      <c r="BF229" s="19">
        <v>45134</v>
      </c>
      <c r="BG229" s="118" t="s">
        <v>1718</v>
      </c>
    </row>
    <row r="230" spans="1:59" x14ac:dyDescent="0.25">
      <c r="A230" s="25">
        <v>10229</v>
      </c>
      <c r="B230" s="63" t="s">
        <v>252</v>
      </c>
      <c r="C230" s="63" t="s">
        <v>252</v>
      </c>
      <c r="D230" s="64">
        <v>2110</v>
      </c>
      <c r="E230" s="64">
        <v>10</v>
      </c>
      <c r="F230" s="118">
        <v>2851</v>
      </c>
      <c r="G230" s="63" t="s">
        <v>19</v>
      </c>
      <c r="H230" s="65" t="s">
        <v>8</v>
      </c>
      <c r="I230" s="63">
        <v>4.8099999999999997E-2</v>
      </c>
      <c r="J230" s="63">
        <v>4.0439999999999996</v>
      </c>
      <c r="K230" s="63">
        <v>0.215</v>
      </c>
      <c r="L230" s="63">
        <v>2.8500000000000001E-2</v>
      </c>
      <c r="M230" s="140">
        <f t="shared" si="24"/>
        <v>0.05</v>
      </c>
      <c r="N230" s="140">
        <f t="shared" si="24"/>
        <v>4.0439999999999996</v>
      </c>
      <c r="O230" s="140">
        <f t="shared" si="24"/>
        <v>0.215</v>
      </c>
      <c r="P230" s="140">
        <f t="shared" si="22"/>
        <v>0.05</v>
      </c>
      <c r="Q230" s="163">
        <v>0.51200000000000001</v>
      </c>
      <c r="R230" s="129">
        <v>14.845000000000001</v>
      </c>
      <c r="S230" t="s">
        <v>676</v>
      </c>
      <c r="T230" t="s">
        <v>515</v>
      </c>
      <c r="U230" t="s">
        <v>515</v>
      </c>
      <c r="V230" s="118" t="s">
        <v>515</v>
      </c>
      <c r="W230">
        <v>40.693753000000001</v>
      </c>
      <c r="X230">
        <v>-85.920210999999995</v>
      </c>
      <c r="Y230">
        <v>7</v>
      </c>
      <c r="Z230">
        <v>27</v>
      </c>
      <c r="AA230">
        <v>2023</v>
      </c>
      <c r="AB230" t="b">
        <v>0</v>
      </c>
      <c r="AC230" s="19">
        <v>45134</v>
      </c>
      <c r="AD230" s="19" t="s">
        <v>515</v>
      </c>
      <c r="AE230" s="230">
        <v>0.61561342592592594</v>
      </c>
      <c r="AF230" s="19">
        <v>45134</v>
      </c>
      <c r="AG230" s="118" t="s">
        <v>515</v>
      </c>
      <c r="AH230" s="118" t="s">
        <v>515</v>
      </c>
      <c r="AI230" s="118">
        <v>740.8</v>
      </c>
      <c r="AJ230" s="118">
        <v>598.6</v>
      </c>
      <c r="AK230" s="118">
        <v>559.20000000000005</v>
      </c>
      <c r="AL230" s="118">
        <v>559196</v>
      </c>
      <c r="AM230" s="118">
        <v>0.27</v>
      </c>
      <c r="AN230" s="118">
        <v>554.9</v>
      </c>
      <c r="AO230" s="21">
        <v>0.39600000000000002</v>
      </c>
      <c r="AP230" s="118">
        <v>0.39</v>
      </c>
      <c r="AQ230" s="118">
        <v>0.56200000000000006</v>
      </c>
      <c r="AR230" s="118" t="s">
        <v>515</v>
      </c>
      <c r="AS230" s="118" t="s">
        <v>515</v>
      </c>
      <c r="AT230" s="118" t="s">
        <v>515</v>
      </c>
      <c r="AU230" s="118">
        <v>40.69332</v>
      </c>
      <c r="AV230" s="118">
        <v>-85.919759999999997</v>
      </c>
      <c r="AW230" s="118">
        <v>221.7</v>
      </c>
      <c r="AX230" s="118">
        <v>63.1</v>
      </c>
      <c r="AY230" s="118">
        <v>8.2899999999999991</v>
      </c>
      <c r="AZ230" s="118">
        <v>-124.9</v>
      </c>
      <c r="BA230" s="118">
        <v>11.8</v>
      </c>
      <c r="BB230" s="118">
        <v>0</v>
      </c>
      <c r="BC230" s="118">
        <v>28.689</v>
      </c>
      <c r="BD230" s="118">
        <v>3.53</v>
      </c>
      <c r="BE230" s="118">
        <v>-32</v>
      </c>
      <c r="BF230" s="19">
        <v>45134</v>
      </c>
      <c r="BG230" s="118" t="s">
        <v>1725</v>
      </c>
    </row>
    <row r="231" spans="1:59" x14ac:dyDescent="0.25">
      <c r="A231" s="25">
        <v>10230</v>
      </c>
      <c r="B231" s="63" t="s">
        <v>253</v>
      </c>
      <c r="C231" s="63" t="s">
        <v>253</v>
      </c>
      <c r="D231" s="64">
        <v>2111</v>
      </c>
      <c r="E231" s="64">
        <v>11</v>
      </c>
      <c r="F231" s="118">
        <v>1731</v>
      </c>
      <c r="G231" s="63" t="s">
        <v>19</v>
      </c>
      <c r="H231" s="65" t="s">
        <v>8</v>
      </c>
      <c r="I231" s="63">
        <v>6.1100000000000002E-2</v>
      </c>
      <c r="J231" s="63">
        <v>3.6909999999999998</v>
      </c>
      <c r="K231" s="63">
        <v>0.48099999999999998</v>
      </c>
      <c r="L231" s="63">
        <v>2.3E-2</v>
      </c>
      <c r="M231" s="140">
        <f t="shared" si="24"/>
        <v>0.05</v>
      </c>
      <c r="N231" s="140">
        <f t="shared" si="24"/>
        <v>3.6909999999999998</v>
      </c>
      <c r="O231" s="140">
        <f t="shared" si="24"/>
        <v>0.48099999999999998</v>
      </c>
      <c r="P231" s="140">
        <f t="shared" si="22"/>
        <v>0.05</v>
      </c>
      <c r="Q231" s="163">
        <v>0.55600000000000005</v>
      </c>
      <c r="R231" s="129">
        <v>13.465</v>
      </c>
      <c r="S231" t="s">
        <v>676</v>
      </c>
      <c r="T231" t="s">
        <v>515</v>
      </c>
      <c r="U231" t="s">
        <v>515</v>
      </c>
      <c r="V231" s="118" t="s">
        <v>515</v>
      </c>
      <c r="W231">
        <v>40.713968999999999</v>
      </c>
      <c r="X231">
        <v>-85.936930000000004</v>
      </c>
      <c r="Y231">
        <v>7</v>
      </c>
      <c r="Z231">
        <v>27</v>
      </c>
      <c r="AA231">
        <v>2023</v>
      </c>
      <c r="AB231" t="b">
        <v>0</v>
      </c>
      <c r="AC231" s="19">
        <v>45134</v>
      </c>
      <c r="AD231" s="19" t="s">
        <v>515</v>
      </c>
      <c r="AE231" s="230">
        <v>0.64657407407407408</v>
      </c>
      <c r="AF231" s="19">
        <v>45134</v>
      </c>
      <c r="AG231" s="118" t="s">
        <v>515</v>
      </c>
      <c r="AH231" s="118" t="s">
        <v>515</v>
      </c>
      <c r="AI231" s="118">
        <v>740.7</v>
      </c>
      <c r="AJ231" s="118">
        <v>622.20000000000005</v>
      </c>
      <c r="AK231" s="118">
        <v>560</v>
      </c>
      <c r="AL231" s="118">
        <v>559970</v>
      </c>
      <c r="AM231" s="118">
        <v>0.27</v>
      </c>
      <c r="AN231" s="118">
        <v>553</v>
      </c>
      <c r="AO231" s="21">
        <v>0.40200000000000002</v>
      </c>
      <c r="AP231" s="118">
        <v>0.4</v>
      </c>
      <c r="AQ231" s="118">
        <v>0.56899999999999995</v>
      </c>
      <c r="AR231" s="118" t="s">
        <v>515</v>
      </c>
      <c r="AS231" s="118" t="s">
        <v>515</v>
      </c>
      <c r="AT231" s="118" t="s">
        <v>515</v>
      </c>
      <c r="AU231" s="118">
        <v>40.713749999999997</v>
      </c>
      <c r="AV231" s="118">
        <v>-85.936920000000001</v>
      </c>
      <c r="AW231" s="118">
        <v>222</v>
      </c>
      <c r="AX231" s="118">
        <v>61.7</v>
      </c>
      <c r="AY231" s="118">
        <v>8.2899999999999991</v>
      </c>
      <c r="AZ231" s="118">
        <v>-125.5</v>
      </c>
      <c r="BA231" s="118">
        <v>11.8</v>
      </c>
      <c r="BB231" s="118">
        <v>0</v>
      </c>
      <c r="BC231" s="118">
        <v>30.814</v>
      </c>
      <c r="BD231" s="118">
        <v>3.48</v>
      </c>
      <c r="BE231" s="118">
        <v>-32</v>
      </c>
      <c r="BF231" s="19">
        <v>45134</v>
      </c>
      <c r="BG231" s="118" t="s">
        <v>1719</v>
      </c>
    </row>
    <row r="232" spans="1:59" x14ac:dyDescent="0.25">
      <c r="A232" s="25">
        <v>10231</v>
      </c>
      <c r="B232" s="63" t="s">
        <v>254</v>
      </c>
      <c r="C232" s="63" t="s">
        <v>254</v>
      </c>
      <c r="D232" s="64">
        <v>2112</v>
      </c>
      <c r="E232" s="64">
        <v>12</v>
      </c>
      <c r="F232" s="118">
        <v>661</v>
      </c>
      <c r="G232" s="63" t="s">
        <v>19</v>
      </c>
      <c r="H232" s="65" t="s">
        <v>8</v>
      </c>
      <c r="I232" s="63">
        <v>4.6399999999999997E-2</v>
      </c>
      <c r="J232" s="63">
        <v>4.0410000000000004</v>
      </c>
      <c r="K232" s="63">
        <v>0.26100000000000001</v>
      </c>
      <c r="L232" s="63">
        <v>2.5000000000000001E-2</v>
      </c>
      <c r="M232" s="140">
        <f t="shared" si="24"/>
        <v>0.05</v>
      </c>
      <c r="N232" s="140">
        <f t="shared" si="24"/>
        <v>4.0410000000000004</v>
      </c>
      <c r="O232" s="140">
        <f t="shared" si="24"/>
        <v>0.26100000000000001</v>
      </c>
      <c r="P232" s="140">
        <f t="shared" si="22"/>
        <v>0.05</v>
      </c>
      <c r="Q232" s="163">
        <v>0.499</v>
      </c>
      <c r="R232" s="129">
        <v>13.705</v>
      </c>
      <c r="S232" t="s">
        <v>676</v>
      </c>
      <c r="T232" t="s">
        <v>515</v>
      </c>
      <c r="U232" t="s">
        <v>515</v>
      </c>
      <c r="V232" s="118" t="s">
        <v>515</v>
      </c>
      <c r="W232">
        <v>40.711269999999999</v>
      </c>
      <c r="X232">
        <v>-85.953781000000006</v>
      </c>
      <c r="Y232">
        <v>7</v>
      </c>
      <c r="Z232">
        <v>27</v>
      </c>
      <c r="AA232">
        <v>2023</v>
      </c>
      <c r="AB232" t="b">
        <v>0</v>
      </c>
      <c r="AC232" s="19">
        <v>45134</v>
      </c>
      <c r="AD232" s="19" t="s">
        <v>515</v>
      </c>
      <c r="AE232" s="230">
        <v>0.65658564814814813</v>
      </c>
      <c r="AF232" s="19">
        <v>45134</v>
      </c>
      <c r="AG232" s="118" t="s">
        <v>515</v>
      </c>
      <c r="AH232" s="118" t="s">
        <v>515</v>
      </c>
      <c r="AI232" s="118">
        <v>740.5</v>
      </c>
      <c r="AJ232" s="118">
        <v>602.4</v>
      </c>
      <c r="AK232" s="118">
        <v>557</v>
      </c>
      <c r="AL232" s="118">
        <v>557002</v>
      </c>
      <c r="AM232" s="118">
        <v>0.27</v>
      </c>
      <c r="AN232" s="118">
        <v>552</v>
      </c>
      <c r="AO232" s="21">
        <v>0.56000000000000005</v>
      </c>
      <c r="AP232" s="118">
        <v>0.57399999999999995</v>
      </c>
      <c r="AQ232" s="118">
        <v>0.79300000000000004</v>
      </c>
      <c r="AR232" s="118" t="s">
        <v>515</v>
      </c>
      <c r="AS232" s="118" t="s">
        <v>515</v>
      </c>
      <c r="AT232" s="118" t="s">
        <v>515</v>
      </c>
      <c r="AU232" s="118">
        <v>40.711039999999997</v>
      </c>
      <c r="AV232" s="118">
        <v>-85.953779999999995</v>
      </c>
      <c r="AW232" s="118">
        <v>223.2</v>
      </c>
      <c r="AX232" s="118">
        <v>60.8</v>
      </c>
      <c r="AY232" s="118">
        <v>8.36</v>
      </c>
      <c r="AZ232" s="118">
        <v>-129.6</v>
      </c>
      <c r="BA232" s="118">
        <v>11.8</v>
      </c>
      <c r="BB232" s="118">
        <v>0</v>
      </c>
      <c r="BC232" s="118">
        <v>29.263000000000002</v>
      </c>
      <c r="BD232" s="118">
        <v>3.29</v>
      </c>
      <c r="BE232" s="118">
        <v>-33</v>
      </c>
      <c r="BF232" s="19">
        <v>45134</v>
      </c>
      <c r="BG232" s="118" t="s">
        <v>1720</v>
      </c>
    </row>
    <row r="233" spans="1:59" x14ac:dyDescent="0.25">
      <c r="A233" s="25">
        <v>10232</v>
      </c>
      <c r="B233" s="63" t="s">
        <v>255</v>
      </c>
      <c r="C233" s="63" t="s">
        <v>248</v>
      </c>
      <c r="D233" s="64">
        <v>2106</v>
      </c>
      <c r="E233" s="64">
        <v>6</v>
      </c>
      <c r="F233" s="118">
        <v>14351</v>
      </c>
      <c r="G233" s="63" t="s">
        <v>19</v>
      </c>
      <c r="H233" s="65" t="s">
        <v>8</v>
      </c>
      <c r="I233" s="63">
        <v>6.5699999999999995E-2</v>
      </c>
      <c r="J233" s="63">
        <v>5.5880000000000001</v>
      </c>
      <c r="K233" s="63">
        <v>0.315</v>
      </c>
      <c r="L233" s="63">
        <v>5.1499999999999997E-2</v>
      </c>
      <c r="M233" s="140">
        <f t="shared" si="24"/>
        <v>0.05</v>
      </c>
      <c r="N233" s="140">
        <f t="shared" si="24"/>
        <v>5.5880000000000001</v>
      </c>
      <c r="O233" s="140">
        <f t="shared" si="24"/>
        <v>0.315</v>
      </c>
      <c r="P233" s="140">
        <f t="shared" si="22"/>
        <v>0.05</v>
      </c>
      <c r="Q233" s="163">
        <v>0.251</v>
      </c>
      <c r="R233" s="129">
        <v>13.38</v>
      </c>
      <c r="S233" t="s">
        <v>676</v>
      </c>
      <c r="T233" t="s">
        <v>515</v>
      </c>
      <c r="U233" t="s">
        <v>515</v>
      </c>
      <c r="V233" s="118" t="s">
        <v>515</v>
      </c>
      <c r="W233">
        <v>40.675078999999997</v>
      </c>
      <c r="X233">
        <v>-85.835430000000002</v>
      </c>
      <c r="Y233">
        <v>7</v>
      </c>
      <c r="Z233">
        <v>27</v>
      </c>
      <c r="AA233">
        <v>2023</v>
      </c>
      <c r="AB233" t="b">
        <v>0</v>
      </c>
      <c r="AC233" s="19">
        <v>45134</v>
      </c>
      <c r="AD233" s="19" t="s">
        <v>515</v>
      </c>
      <c r="AE233" s="230">
        <v>0.5309490740740741</v>
      </c>
      <c r="AF233" s="19">
        <v>45134</v>
      </c>
      <c r="AG233" s="118" t="s">
        <v>515</v>
      </c>
      <c r="AH233" s="118" t="s">
        <v>515</v>
      </c>
      <c r="AI233" s="118">
        <v>741</v>
      </c>
      <c r="AJ233" s="118">
        <v>649.4</v>
      </c>
      <c r="AK233" s="118">
        <v>594.29999999999995</v>
      </c>
      <c r="AL233" s="118">
        <v>594265</v>
      </c>
      <c r="AM233" s="118">
        <v>0.28000000000000003</v>
      </c>
      <c r="AN233" s="118">
        <v>588.20000000000005</v>
      </c>
      <c r="AO233" s="21">
        <v>0.32500000000000001</v>
      </c>
      <c r="AP233" s="118">
        <v>0.33</v>
      </c>
      <c r="AQ233" s="118">
        <v>0.46100000000000002</v>
      </c>
      <c r="AR233" s="118" t="s">
        <v>515</v>
      </c>
      <c r="AS233" s="118" t="s">
        <v>515</v>
      </c>
      <c r="AT233" s="118" t="s">
        <v>515</v>
      </c>
      <c r="AU233" s="118">
        <v>40.674959999999999</v>
      </c>
      <c r="AV233" s="118">
        <v>-85.835459999999998</v>
      </c>
      <c r="AW233" s="118">
        <v>221</v>
      </c>
      <c r="AX233" s="118">
        <v>41.6</v>
      </c>
      <c r="AY233" s="118">
        <v>8.19</v>
      </c>
      <c r="AZ233" s="118">
        <v>-119.5</v>
      </c>
      <c r="BA233" s="118">
        <v>11.8</v>
      </c>
      <c r="BB233" s="118">
        <v>0</v>
      </c>
      <c r="BC233" s="118">
        <v>29.861999999999998</v>
      </c>
      <c r="BD233" s="118">
        <v>3.24</v>
      </c>
      <c r="BE233" s="118">
        <v>-33</v>
      </c>
      <c r="BF233" s="19">
        <v>45134</v>
      </c>
      <c r="BG233" s="118" t="s">
        <v>1721</v>
      </c>
    </row>
    <row r="234" spans="1:59" x14ac:dyDescent="0.25">
      <c r="A234" s="25">
        <v>10233</v>
      </c>
      <c r="B234" t="s">
        <v>256</v>
      </c>
      <c r="C234" t="s">
        <v>255</v>
      </c>
      <c r="D234" s="27">
        <v>2113</v>
      </c>
      <c r="E234" s="27">
        <v>13</v>
      </c>
      <c r="F234" s="118">
        <v>13553</v>
      </c>
      <c r="G234" t="s">
        <v>19</v>
      </c>
      <c r="H234" s="24" t="s">
        <v>8</v>
      </c>
      <c r="I234" t="s">
        <v>515</v>
      </c>
      <c r="J234">
        <v>6.6364999999999998</v>
      </c>
      <c r="K234" t="s">
        <v>515</v>
      </c>
      <c r="L234">
        <v>6.0999999999999999E-2</v>
      </c>
      <c r="M234" s="140" t="str">
        <f t="shared" si="24"/>
        <v>NULL</v>
      </c>
      <c r="N234" s="140">
        <f t="shared" si="24"/>
        <v>6.6364999999999998</v>
      </c>
      <c r="O234" s="140" t="str">
        <f t="shared" si="24"/>
        <v>NULL</v>
      </c>
      <c r="P234" s="140">
        <f t="shared" si="22"/>
        <v>0.05</v>
      </c>
      <c r="Q234" s="161">
        <v>0.17499999999999999</v>
      </c>
      <c r="R234" s="125">
        <v>25.73</v>
      </c>
      <c r="S234" t="s">
        <v>676</v>
      </c>
      <c r="T234" t="s">
        <v>515</v>
      </c>
      <c r="U234" t="s">
        <v>515</v>
      </c>
      <c r="V234" s="118" t="s">
        <v>515</v>
      </c>
      <c r="W234">
        <v>40.673793000000003</v>
      </c>
      <c r="X234">
        <v>-85.841280999999995</v>
      </c>
      <c r="Y234">
        <v>7</v>
      </c>
      <c r="Z234">
        <v>27</v>
      </c>
      <c r="AA234">
        <v>2023</v>
      </c>
      <c r="AB234" t="b">
        <v>0</v>
      </c>
      <c r="AC234" s="19">
        <v>45134</v>
      </c>
      <c r="AD234" s="19" t="s">
        <v>515</v>
      </c>
      <c r="AE234" s="233">
        <v>0.54458333333333331</v>
      </c>
      <c r="AF234" s="234">
        <v>45134</v>
      </c>
      <c r="AG234" s="28" t="s">
        <v>515</v>
      </c>
      <c r="AH234" s="28" t="s">
        <v>515</v>
      </c>
      <c r="AI234" s="28">
        <v>741</v>
      </c>
      <c r="AJ234" s="28">
        <v>635.5</v>
      </c>
      <c r="AK234" s="28">
        <v>594.5</v>
      </c>
      <c r="AL234" s="28">
        <v>594472</v>
      </c>
      <c r="AM234" s="28">
        <v>0.28999999999999998</v>
      </c>
      <c r="AN234" s="28">
        <v>590</v>
      </c>
      <c r="AO234" s="28">
        <v>0.39200000000000002</v>
      </c>
      <c r="AP234" s="28">
        <v>0.39100000000000001</v>
      </c>
      <c r="AQ234" s="28">
        <v>0.55500000000000005</v>
      </c>
      <c r="AR234" s="28" t="s">
        <v>515</v>
      </c>
      <c r="AS234" s="28" t="s">
        <v>515</v>
      </c>
      <c r="AT234" s="28" t="s">
        <v>515</v>
      </c>
      <c r="AU234" s="28">
        <v>40.673729999999999</v>
      </c>
      <c r="AV234" s="28">
        <v>-85.841239999999999</v>
      </c>
      <c r="AW234" s="28">
        <v>221.1</v>
      </c>
      <c r="AX234" s="28">
        <v>35.1</v>
      </c>
      <c r="AY234" s="28">
        <v>8.3000000000000007</v>
      </c>
      <c r="AZ234" s="28">
        <v>-125.6</v>
      </c>
      <c r="BA234" s="28">
        <v>11.8</v>
      </c>
      <c r="BB234" s="28">
        <v>0</v>
      </c>
      <c r="BC234" s="28">
        <v>28.611999999999998</v>
      </c>
      <c r="BD234" s="28">
        <v>4.87</v>
      </c>
      <c r="BE234" s="28">
        <v>-31</v>
      </c>
      <c r="BF234" s="234">
        <v>45134</v>
      </c>
      <c r="BG234" s="28" t="s">
        <v>1726</v>
      </c>
    </row>
    <row r="235" spans="1:59" x14ac:dyDescent="0.25">
      <c r="A235" s="25">
        <v>10234</v>
      </c>
      <c r="B235" s="63" t="s">
        <v>257</v>
      </c>
      <c r="C235" s="63" t="s">
        <v>253</v>
      </c>
      <c r="D235" s="64">
        <v>2111</v>
      </c>
      <c r="E235" s="64">
        <v>11</v>
      </c>
      <c r="F235" s="118">
        <v>1731</v>
      </c>
      <c r="G235" s="63" t="s">
        <v>19</v>
      </c>
      <c r="H235" s="65" t="s">
        <v>8</v>
      </c>
      <c r="I235" s="63">
        <v>5.4300000000000001E-2</v>
      </c>
      <c r="J235" s="63">
        <v>3.1749999999999998</v>
      </c>
      <c r="K235" s="63">
        <v>0.248</v>
      </c>
      <c r="L235" s="63">
        <v>2.8500000000000001E-2</v>
      </c>
      <c r="M235" s="140">
        <f t="shared" si="24"/>
        <v>0.05</v>
      </c>
      <c r="N235" s="140">
        <f t="shared" si="24"/>
        <v>3.1749999999999998</v>
      </c>
      <c r="O235" s="140">
        <f t="shared" si="24"/>
        <v>0.248</v>
      </c>
      <c r="P235" s="140">
        <f t="shared" si="22"/>
        <v>0.05</v>
      </c>
      <c r="Q235" s="163">
        <v>0.46400000000000002</v>
      </c>
      <c r="R235" s="129">
        <v>9.8249999999999993</v>
      </c>
      <c r="S235" t="s">
        <v>676</v>
      </c>
      <c r="T235" t="s">
        <v>515</v>
      </c>
      <c r="U235" t="s">
        <v>515</v>
      </c>
      <c r="V235" s="118" t="s">
        <v>515</v>
      </c>
      <c r="W235">
        <v>40.707439999999998</v>
      </c>
      <c r="X235">
        <v>-85.940211000000005</v>
      </c>
      <c r="Y235">
        <v>7</v>
      </c>
      <c r="Z235">
        <v>27</v>
      </c>
      <c r="AA235">
        <v>2023</v>
      </c>
      <c r="AB235" t="b">
        <v>0</v>
      </c>
      <c r="AC235" s="19">
        <v>45134</v>
      </c>
      <c r="AD235" s="19" t="s">
        <v>515</v>
      </c>
      <c r="AE235" s="233">
        <v>0.67800925925925926</v>
      </c>
      <c r="AF235" s="234">
        <v>45134</v>
      </c>
      <c r="AG235" s="28" t="s">
        <v>515</v>
      </c>
      <c r="AH235" s="28" t="s">
        <v>515</v>
      </c>
      <c r="AI235" s="28">
        <v>740.5</v>
      </c>
      <c r="AJ235" s="28">
        <v>587.4</v>
      </c>
      <c r="AK235" s="28">
        <v>552.1</v>
      </c>
      <c r="AL235" s="28">
        <v>552106</v>
      </c>
      <c r="AM235" s="28">
        <v>0.26</v>
      </c>
      <c r="AN235" s="28">
        <v>548.29999999999995</v>
      </c>
      <c r="AO235" s="28">
        <v>0.55700000000000005</v>
      </c>
      <c r="AP235" s="28">
        <v>0.57099999999999995</v>
      </c>
      <c r="AQ235" s="28">
        <v>0.78900000000000003</v>
      </c>
      <c r="AR235" s="28" t="s">
        <v>515</v>
      </c>
      <c r="AS235" s="28" t="s">
        <v>515</v>
      </c>
      <c r="AT235" s="28" t="s">
        <v>515</v>
      </c>
      <c r="AU235" s="28">
        <v>40.707369999999997</v>
      </c>
      <c r="AV235" s="28">
        <v>-85.939970000000002</v>
      </c>
      <c r="AW235" s="28">
        <v>224.8</v>
      </c>
      <c r="AX235" s="28">
        <v>56.8</v>
      </c>
      <c r="AY235" s="28">
        <v>8.4</v>
      </c>
      <c r="AZ235" s="28">
        <v>-131.4</v>
      </c>
      <c r="BA235" s="28">
        <v>11.8</v>
      </c>
      <c r="BB235" s="28">
        <v>0</v>
      </c>
      <c r="BC235" s="28">
        <v>28.347000000000001</v>
      </c>
      <c r="BD235" s="28">
        <v>5.54</v>
      </c>
      <c r="BE235" s="28">
        <v>-30</v>
      </c>
      <c r="BF235" s="234">
        <v>45134</v>
      </c>
      <c r="BG235" s="28" t="s">
        <v>1727</v>
      </c>
    </row>
    <row r="236" spans="1:59" x14ac:dyDescent="0.25">
      <c r="A236" s="25">
        <v>10235</v>
      </c>
      <c r="B236" t="s">
        <v>258</v>
      </c>
      <c r="C236" t="s">
        <v>566</v>
      </c>
      <c r="D236" s="27">
        <v>4102</v>
      </c>
      <c r="E236" s="27">
        <v>2</v>
      </c>
      <c r="F236" s="118">
        <v>8165</v>
      </c>
      <c r="G236" t="s">
        <v>20</v>
      </c>
      <c r="H236" s="24" t="s">
        <v>8</v>
      </c>
      <c r="I236" t="s">
        <v>515</v>
      </c>
      <c r="J236">
        <v>7.9000000000000001E-2</v>
      </c>
      <c r="K236" t="s">
        <v>515</v>
      </c>
      <c r="L236">
        <v>0.28349999999999997</v>
      </c>
      <c r="M236" s="140" t="str">
        <f t="shared" si="24"/>
        <v>NULL</v>
      </c>
      <c r="N236" s="140">
        <f t="shared" si="24"/>
        <v>0.05</v>
      </c>
      <c r="O236" s="140" t="str">
        <f t="shared" si="24"/>
        <v>NULL</v>
      </c>
      <c r="P236" s="140">
        <f t="shared" si="22"/>
        <v>0.28349999999999997</v>
      </c>
      <c r="Q236" s="161" t="s">
        <v>676</v>
      </c>
      <c r="R236" s="125">
        <v>42.41</v>
      </c>
      <c r="S236" t="s">
        <v>676</v>
      </c>
      <c r="T236" t="s">
        <v>515</v>
      </c>
      <c r="U236" t="s">
        <v>515</v>
      </c>
      <c r="V236" s="118" t="s">
        <v>515</v>
      </c>
      <c r="W236">
        <v>40.840980000000002</v>
      </c>
      <c r="X236">
        <v>-86.80489</v>
      </c>
      <c r="Y236">
        <v>8</v>
      </c>
      <c r="Z236">
        <v>1</v>
      </c>
      <c r="AA236">
        <v>2023</v>
      </c>
      <c r="AB236" t="b">
        <v>0</v>
      </c>
      <c r="AC236" s="19">
        <v>45139</v>
      </c>
      <c r="AD236" s="19" t="s">
        <v>515</v>
      </c>
      <c r="AE236" s="230">
        <v>0.72100694444444446</v>
      </c>
      <c r="AF236" s="19">
        <v>45139</v>
      </c>
      <c r="AG236" s="118" t="s">
        <v>515</v>
      </c>
      <c r="AH236" s="118" t="s">
        <v>515</v>
      </c>
      <c r="AI236" s="118">
        <v>749.1</v>
      </c>
      <c r="AJ236" s="118">
        <v>756.2</v>
      </c>
      <c r="AK236" s="118">
        <v>716.6</v>
      </c>
      <c r="AL236" s="118">
        <v>716649</v>
      </c>
      <c r="AM236" s="118">
        <v>0.35</v>
      </c>
      <c r="AN236" s="118">
        <v>712.4</v>
      </c>
      <c r="AO236" s="21">
        <v>0.187</v>
      </c>
      <c r="AP236" s="118">
        <v>0.17899999999999999</v>
      </c>
      <c r="AQ236" s="118">
        <v>0.26600000000000001</v>
      </c>
      <c r="AR236" s="118" t="s">
        <v>515</v>
      </c>
      <c r="AS236" s="118" t="s">
        <v>515</v>
      </c>
      <c r="AT236" s="118" t="s">
        <v>515</v>
      </c>
      <c r="AU236" s="118">
        <v>40.83484</v>
      </c>
      <c r="AV236" s="118">
        <v>-86.807980000000001</v>
      </c>
      <c r="AW236" s="118">
        <v>200.8</v>
      </c>
      <c r="AX236" s="118">
        <v>71.900000000000006</v>
      </c>
      <c r="AY236" s="118">
        <v>8.1300000000000008</v>
      </c>
      <c r="AZ236" s="118">
        <v>-110.4</v>
      </c>
      <c r="BA236" s="118">
        <v>11.7</v>
      </c>
      <c r="BB236" s="118">
        <v>0</v>
      </c>
      <c r="BC236" s="118">
        <v>27.888000000000002</v>
      </c>
      <c r="BD236" s="118">
        <v>6.45</v>
      </c>
      <c r="BE236" s="118">
        <v>16</v>
      </c>
      <c r="BF236" s="19">
        <v>45139</v>
      </c>
      <c r="BG236" s="118" t="s">
        <v>1875</v>
      </c>
    </row>
    <row r="237" spans="1:59" x14ac:dyDescent="0.25">
      <c r="A237" s="25">
        <v>10236</v>
      </c>
      <c r="B237" t="s">
        <v>259</v>
      </c>
      <c r="C237" t="s">
        <v>566</v>
      </c>
      <c r="D237" s="27">
        <v>4102</v>
      </c>
      <c r="E237" s="27">
        <v>2</v>
      </c>
      <c r="F237" s="118">
        <v>8165</v>
      </c>
      <c r="G237" t="s">
        <v>20</v>
      </c>
      <c r="H237" s="24" t="s">
        <v>8</v>
      </c>
      <c r="I237" t="s">
        <v>515</v>
      </c>
      <c r="J237">
        <v>0.1075</v>
      </c>
      <c r="K237" t="s">
        <v>515</v>
      </c>
      <c r="L237">
        <v>0.32150000000000001</v>
      </c>
      <c r="M237" s="140" t="str">
        <f t="shared" si="24"/>
        <v>NULL</v>
      </c>
      <c r="N237" s="140">
        <f t="shared" si="24"/>
        <v>0.1075</v>
      </c>
      <c r="O237" s="140" t="str">
        <f t="shared" si="24"/>
        <v>NULL</v>
      </c>
      <c r="P237" s="140">
        <f t="shared" si="22"/>
        <v>0.32150000000000001</v>
      </c>
      <c r="Q237" s="161" t="s">
        <v>676</v>
      </c>
      <c r="R237" s="125">
        <v>57.79</v>
      </c>
      <c r="S237" t="s">
        <v>676</v>
      </c>
      <c r="T237" t="s">
        <v>515</v>
      </c>
      <c r="U237" t="s">
        <v>515</v>
      </c>
      <c r="V237" s="118" t="s">
        <v>515</v>
      </c>
      <c r="W237">
        <v>40.840850000000003</v>
      </c>
      <c r="X237">
        <v>-86.804950000000005</v>
      </c>
      <c r="Y237">
        <v>8</v>
      </c>
      <c r="Z237">
        <v>1</v>
      </c>
      <c r="AA237">
        <v>2023</v>
      </c>
      <c r="AB237" t="b">
        <v>0</v>
      </c>
      <c r="AC237" s="19">
        <v>45139</v>
      </c>
      <c r="AD237" s="19" t="s">
        <v>515</v>
      </c>
      <c r="AE237" s="230">
        <v>0.70701388888888894</v>
      </c>
      <c r="AF237" s="19">
        <v>45139</v>
      </c>
      <c r="AG237" s="118" t="s">
        <v>515</v>
      </c>
      <c r="AH237" s="118" t="s">
        <v>515</v>
      </c>
      <c r="AI237" s="118">
        <v>749.1</v>
      </c>
      <c r="AJ237" s="118">
        <v>756.6</v>
      </c>
      <c r="AK237" s="118">
        <v>716.6</v>
      </c>
      <c r="AL237" s="118">
        <v>716602</v>
      </c>
      <c r="AM237" s="118">
        <v>0.35</v>
      </c>
      <c r="AN237" s="118">
        <v>712.3</v>
      </c>
      <c r="AO237" s="21">
        <v>0.23200000000000001</v>
      </c>
      <c r="AP237" s="118">
        <v>0.23899999999999999</v>
      </c>
      <c r="AQ237" s="118">
        <v>0.32900000000000001</v>
      </c>
      <c r="AR237" s="118" t="s">
        <v>515</v>
      </c>
      <c r="AS237" s="118" t="s">
        <v>515</v>
      </c>
      <c r="AT237" s="118" t="s">
        <v>515</v>
      </c>
      <c r="AU237" s="118">
        <v>40.841030000000003</v>
      </c>
      <c r="AV237" s="118">
        <v>-86.804900000000004</v>
      </c>
      <c r="AW237" s="118">
        <v>199.2</v>
      </c>
      <c r="AX237" s="118">
        <v>77.099999999999994</v>
      </c>
      <c r="AY237" s="118">
        <v>8.24</v>
      </c>
      <c r="AZ237" s="118">
        <v>-117</v>
      </c>
      <c r="BA237" s="118">
        <v>11.8</v>
      </c>
      <c r="BB237" s="118">
        <v>0</v>
      </c>
      <c r="BC237" s="118">
        <v>27.920999999999999</v>
      </c>
      <c r="BD237" s="118">
        <v>7.73</v>
      </c>
      <c r="BE237" s="118">
        <v>20</v>
      </c>
      <c r="BF237" s="19">
        <v>45139</v>
      </c>
      <c r="BG237" s="118" t="s">
        <v>1876</v>
      </c>
    </row>
    <row r="238" spans="1:59" x14ac:dyDescent="0.25">
      <c r="A238" s="25">
        <v>10237</v>
      </c>
      <c r="B238" t="s">
        <v>260</v>
      </c>
      <c r="C238" t="s">
        <v>567</v>
      </c>
      <c r="D238" s="27" t="s">
        <v>515</v>
      </c>
      <c r="E238" s="27" t="str">
        <f>RIGHT(D238,2)</f>
        <v>LL</v>
      </c>
      <c r="F238" s="118" t="s">
        <v>515</v>
      </c>
      <c r="G238" t="s">
        <v>20</v>
      </c>
      <c r="H238" s="24" t="s">
        <v>8</v>
      </c>
      <c r="I238" t="s">
        <v>515</v>
      </c>
      <c r="J238" t="s">
        <v>515</v>
      </c>
      <c r="K238" t="s">
        <v>515</v>
      </c>
      <c r="L238">
        <v>0.36599999999999999</v>
      </c>
      <c r="M238" s="140" t="str">
        <f t="shared" si="24"/>
        <v>NULL</v>
      </c>
      <c r="N238" s="140" t="str">
        <f t="shared" si="24"/>
        <v>NULL</v>
      </c>
      <c r="O238" s="140" t="str">
        <f t="shared" si="24"/>
        <v>NULL</v>
      </c>
      <c r="P238" s="140">
        <f t="shared" si="22"/>
        <v>0.36599999999999999</v>
      </c>
      <c r="Q238" s="161" t="s">
        <v>676</v>
      </c>
      <c r="R238" s="125">
        <v>60.424999999999997</v>
      </c>
      <c r="S238" t="s">
        <v>676</v>
      </c>
      <c r="T238" t="s">
        <v>515</v>
      </c>
      <c r="U238" t="s">
        <v>515</v>
      </c>
      <c r="V238" s="118" t="s">
        <v>515</v>
      </c>
      <c r="W238">
        <v>40.458579999999998</v>
      </c>
      <c r="X238">
        <v>-86.844009999999997</v>
      </c>
      <c r="Y238">
        <v>8</v>
      </c>
      <c r="Z238">
        <v>1</v>
      </c>
      <c r="AA238">
        <v>2023</v>
      </c>
      <c r="AB238" t="b">
        <v>0</v>
      </c>
      <c r="AC238" s="19">
        <v>45139</v>
      </c>
      <c r="AD238" s="19" t="s">
        <v>515</v>
      </c>
      <c r="AE238" s="118" t="s">
        <v>1886</v>
      </c>
      <c r="AF238" s="19">
        <v>45139</v>
      </c>
      <c r="AG238" s="118" t="s">
        <v>515</v>
      </c>
      <c r="AH238" s="118" t="s">
        <v>515</v>
      </c>
      <c r="AI238" s="118">
        <v>749.4</v>
      </c>
      <c r="AJ238" s="118">
        <v>856.2</v>
      </c>
      <c r="AK238" s="118">
        <v>821.1</v>
      </c>
      <c r="AL238" s="118">
        <v>821145</v>
      </c>
      <c r="AM238" s="118">
        <v>0.4</v>
      </c>
      <c r="AN238" s="118">
        <v>817.4</v>
      </c>
      <c r="AO238" s="21">
        <v>0.17899999999999999</v>
      </c>
      <c r="AP238" s="118">
        <v>0.188</v>
      </c>
      <c r="AQ238" s="118">
        <v>0.253</v>
      </c>
      <c r="AR238" s="118" t="s">
        <v>515</v>
      </c>
      <c r="AS238" s="118" t="s">
        <v>515</v>
      </c>
      <c r="AT238" s="118" t="s">
        <v>515</v>
      </c>
      <c r="AU238" s="118">
        <v>40.842910000000003</v>
      </c>
      <c r="AV238" s="118">
        <v>-86.816999999999993</v>
      </c>
      <c r="AW238" s="118">
        <v>206.9</v>
      </c>
      <c r="AX238" s="118">
        <v>177</v>
      </c>
      <c r="AY238" s="118">
        <v>7.89</v>
      </c>
      <c r="AZ238" s="118">
        <v>-96.7</v>
      </c>
      <c r="BA238" s="118">
        <v>11.8</v>
      </c>
      <c r="BB238" s="118">
        <v>0</v>
      </c>
      <c r="BC238" s="118">
        <v>27.233000000000001</v>
      </c>
      <c r="BD238" s="118">
        <v>8.51</v>
      </c>
      <c r="BE238" s="118">
        <v>22</v>
      </c>
      <c r="BF238" s="19">
        <v>45139</v>
      </c>
      <c r="BG238" s="118" t="s">
        <v>1877</v>
      </c>
    </row>
    <row r="239" spans="1:59" x14ac:dyDescent="0.25">
      <c r="A239" s="25">
        <v>10238</v>
      </c>
      <c r="B239" t="s">
        <v>261</v>
      </c>
      <c r="C239" t="s">
        <v>568</v>
      </c>
      <c r="D239" s="27">
        <v>4104</v>
      </c>
      <c r="E239" s="27">
        <v>4</v>
      </c>
      <c r="F239" s="118" t="s">
        <v>515</v>
      </c>
      <c r="G239" t="s">
        <v>20</v>
      </c>
      <c r="H239" s="24" t="s">
        <v>8</v>
      </c>
      <c r="I239" t="s">
        <v>515</v>
      </c>
      <c r="J239" t="s">
        <v>515</v>
      </c>
      <c r="K239" t="s">
        <v>515</v>
      </c>
      <c r="L239" t="s">
        <v>515</v>
      </c>
      <c r="M239" s="140" t="str">
        <f t="shared" si="24"/>
        <v>NULL</v>
      </c>
      <c r="N239" s="140" t="str">
        <f t="shared" si="24"/>
        <v>NULL</v>
      </c>
      <c r="O239" s="140" t="str">
        <f t="shared" si="24"/>
        <v>NULL</v>
      </c>
      <c r="P239" s="140" t="str">
        <f t="shared" si="22"/>
        <v>NULL</v>
      </c>
      <c r="Q239" s="161" t="s">
        <v>676</v>
      </c>
      <c r="R239" s="125">
        <v>70.510000000000005</v>
      </c>
      <c r="S239" t="s">
        <v>676</v>
      </c>
      <c r="T239" t="s">
        <v>515</v>
      </c>
      <c r="U239" t="s">
        <v>515</v>
      </c>
      <c r="V239" s="118" t="s">
        <v>515</v>
      </c>
      <c r="W239">
        <v>40.847639999999998</v>
      </c>
      <c r="X239">
        <v>-86.813280000000006</v>
      </c>
      <c r="Y239">
        <v>8</v>
      </c>
      <c r="Z239">
        <v>1</v>
      </c>
      <c r="AA239">
        <v>2023</v>
      </c>
      <c r="AB239" t="b">
        <v>0</v>
      </c>
      <c r="AC239" s="19">
        <v>45139</v>
      </c>
      <c r="AD239" s="19" t="s">
        <v>515</v>
      </c>
      <c r="AE239" s="230">
        <v>0.6799884259259259</v>
      </c>
      <c r="AF239" s="19">
        <v>45139</v>
      </c>
      <c r="AG239" s="118" t="s">
        <v>515</v>
      </c>
      <c r="AH239" s="118" t="s">
        <v>515</v>
      </c>
      <c r="AI239" s="118">
        <v>749.2</v>
      </c>
      <c r="AJ239" s="118">
        <v>707.9</v>
      </c>
      <c r="AK239" s="118">
        <v>682.2</v>
      </c>
      <c r="AL239" s="118">
        <v>682153</v>
      </c>
      <c r="AM239" s="118">
        <v>0.33</v>
      </c>
      <c r="AN239" s="118">
        <v>679.4</v>
      </c>
      <c r="AO239" s="21">
        <v>0.41899999999999998</v>
      </c>
      <c r="AP239" s="118">
        <v>0.40400000000000003</v>
      </c>
      <c r="AQ239" s="118">
        <v>0.59399999999999997</v>
      </c>
      <c r="AR239" s="118" t="s">
        <v>515</v>
      </c>
      <c r="AS239" s="118" t="s">
        <v>515</v>
      </c>
      <c r="AT239" s="118" t="s">
        <v>515</v>
      </c>
      <c r="AU239" s="118">
        <v>40.847650000000002</v>
      </c>
      <c r="AV239" s="118">
        <v>-86.81326</v>
      </c>
      <c r="AW239" s="118">
        <v>200.8</v>
      </c>
      <c r="AX239" s="118">
        <v>78.2</v>
      </c>
      <c r="AY239" s="118">
        <v>8.19</v>
      </c>
      <c r="AZ239" s="118">
        <v>-113.6</v>
      </c>
      <c r="BA239" s="118">
        <v>11.8</v>
      </c>
      <c r="BB239" s="118">
        <v>0</v>
      </c>
      <c r="BC239" s="118">
        <v>26.978999999999999</v>
      </c>
      <c r="BD239" s="118">
        <v>8.9499999999999993</v>
      </c>
      <c r="BE239" s="118">
        <v>24</v>
      </c>
      <c r="BF239" s="19">
        <v>45139</v>
      </c>
      <c r="BG239" s="118" t="s">
        <v>1878</v>
      </c>
    </row>
    <row r="240" spans="1:59" x14ac:dyDescent="0.25">
      <c r="A240" s="25">
        <v>10239</v>
      </c>
      <c r="B240" t="s">
        <v>262</v>
      </c>
      <c r="C240" t="s">
        <v>461</v>
      </c>
      <c r="D240" s="27">
        <v>4105</v>
      </c>
      <c r="E240" s="27">
        <v>5</v>
      </c>
      <c r="F240" s="118">
        <v>6425</v>
      </c>
      <c r="G240" t="s">
        <v>20</v>
      </c>
      <c r="H240" s="24" t="s">
        <v>8</v>
      </c>
      <c r="I240" t="s">
        <v>515</v>
      </c>
      <c r="J240">
        <v>3.4000000000000002E-2</v>
      </c>
      <c r="K240" t="s">
        <v>515</v>
      </c>
      <c r="L240">
        <v>0.14799999999999999</v>
      </c>
      <c r="M240" s="140" t="str">
        <f t="shared" si="24"/>
        <v>NULL</v>
      </c>
      <c r="N240" s="140">
        <f t="shared" si="24"/>
        <v>0.05</v>
      </c>
      <c r="O240" s="140" t="str">
        <f t="shared" si="24"/>
        <v>NULL</v>
      </c>
      <c r="P240" s="140">
        <f t="shared" si="22"/>
        <v>0.14799999999999999</v>
      </c>
      <c r="Q240" s="161" t="s">
        <v>676</v>
      </c>
      <c r="R240" s="125">
        <v>63.155000000000001</v>
      </c>
      <c r="S240" t="s">
        <v>676</v>
      </c>
      <c r="T240" t="s">
        <v>515</v>
      </c>
      <c r="U240" t="s">
        <v>515</v>
      </c>
      <c r="V240" s="118" t="s">
        <v>515</v>
      </c>
      <c r="W240">
        <v>40.823979999999999</v>
      </c>
      <c r="X240">
        <v>-86.795230000000004</v>
      </c>
      <c r="Y240">
        <v>8</v>
      </c>
      <c r="Z240">
        <v>1</v>
      </c>
      <c r="AA240">
        <v>2023</v>
      </c>
      <c r="AB240" t="b">
        <v>0</v>
      </c>
      <c r="AC240" s="19">
        <v>45139</v>
      </c>
      <c r="AD240" s="19" t="s">
        <v>515</v>
      </c>
      <c r="AE240" s="230">
        <v>0.74615740740740744</v>
      </c>
      <c r="AF240" s="19">
        <v>45139</v>
      </c>
      <c r="AG240" s="118" t="s">
        <v>515</v>
      </c>
      <c r="AH240" s="118" t="s">
        <v>515</v>
      </c>
      <c r="AI240" s="118">
        <v>749.1</v>
      </c>
      <c r="AJ240" s="118">
        <v>747.9</v>
      </c>
      <c r="AK240" s="118">
        <v>704.8</v>
      </c>
      <c r="AL240" s="118">
        <v>704839</v>
      </c>
      <c r="AM240" s="118">
        <v>0.34</v>
      </c>
      <c r="AN240" s="118">
        <v>700.2</v>
      </c>
      <c r="AO240" s="21">
        <v>0.20200000000000001</v>
      </c>
      <c r="AP240" s="118">
        <v>0.184</v>
      </c>
      <c r="AQ240" s="118">
        <v>0.28699999999999998</v>
      </c>
      <c r="AR240" s="118" t="s">
        <v>515</v>
      </c>
      <c r="AS240" s="118" t="s">
        <v>515</v>
      </c>
      <c r="AT240" s="118" t="s">
        <v>515</v>
      </c>
      <c r="AU240" s="118">
        <v>40.823990000000002</v>
      </c>
      <c r="AV240" s="118">
        <v>-86.79522</v>
      </c>
      <c r="AW240" s="118">
        <v>196.2</v>
      </c>
      <c r="AX240" s="118">
        <v>61.8</v>
      </c>
      <c r="AY240" s="118">
        <v>8.4</v>
      </c>
      <c r="AZ240" s="118">
        <v>-126.3</v>
      </c>
      <c r="BA240" s="118">
        <v>11.7</v>
      </c>
      <c r="BB240" s="118">
        <v>0</v>
      </c>
      <c r="BC240" s="118">
        <v>28.195</v>
      </c>
      <c r="BD240" s="118">
        <v>5.67</v>
      </c>
      <c r="BE240" s="118">
        <v>13</v>
      </c>
      <c r="BF240" s="19">
        <v>45139</v>
      </c>
      <c r="BG240" s="118" t="s">
        <v>1735</v>
      </c>
    </row>
    <row r="241" spans="1:59" x14ac:dyDescent="0.25">
      <c r="A241" s="25">
        <v>10240</v>
      </c>
      <c r="B241" t="s">
        <v>263</v>
      </c>
      <c r="C241" t="s">
        <v>569</v>
      </c>
      <c r="D241" s="27">
        <v>4106</v>
      </c>
      <c r="E241" s="27">
        <v>6</v>
      </c>
      <c r="F241" s="118">
        <v>8245</v>
      </c>
      <c r="G241" t="s">
        <v>20</v>
      </c>
      <c r="H241" s="24" t="s">
        <v>8</v>
      </c>
      <c r="I241" t="s">
        <v>515</v>
      </c>
      <c r="J241" t="s">
        <v>515</v>
      </c>
      <c r="K241" t="s">
        <v>515</v>
      </c>
      <c r="L241">
        <v>7.0000000000000007E-2</v>
      </c>
      <c r="M241" s="140" t="str">
        <f t="shared" si="24"/>
        <v>NULL</v>
      </c>
      <c r="N241" s="140" t="str">
        <f t="shared" si="24"/>
        <v>NULL</v>
      </c>
      <c r="O241" s="140" t="str">
        <f t="shared" si="24"/>
        <v>NULL</v>
      </c>
      <c r="P241" s="140">
        <f t="shared" si="22"/>
        <v>0.05</v>
      </c>
      <c r="Q241" s="161" t="s">
        <v>676</v>
      </c>
      <c r="R241" s="125">
        <v>5.0599999999999996</v>
      </c>
      <c r="S241" t="s">
        <v>676</v>
      </c>
      <c r="T241" t="s">
        <v>515</v>
      </c>
      <c r="U241" t="s">
        <v>515</v>
      </c>
      <c r="V241" s="118" t="s">
        <v>515</v>
      </c>
      <c r="W241">
        <v>40.835050000000003</v>
      </c>
      <c r="X241">
        <v>-86.782030000000006</v>
      </c>
      <c r="Y241">
        <v>8</v>
      </c>
      <c r="Z241">
        <v>1</v>
      </c>
      <c r="AA241">
        <v>2023</v>
      </c>
      <c r="AB241" t="b">
        <v>0</v>
      </c>
      <c r="AC241" s="19">
        <v>45139</v>
      </c>
      <c r="AD241" s="19" t="s">
        <v>515</v>
      </c>
      <c r="AE241" s="230">
        <v>0.79708333333333337</v>
      </c>
      <c r="AF241" s="19">
        <v>45139</v>
      </c>
      <c r="AG241" s="118" t="s">
        <v>515</v>
      </c>
      <c r="AH241" s="118" t="s">
        <v>515</v>
      </c>
      <c r="AI241" s="118">
        <v>748.6</v>
      </c>
      <c r="AJ241" s="118">
        <v>658.7</v>
      </c>
      <c r="AK241" s="118">
        <v>654.4</v>
      </c>
      <c r="AL241" s="118">
        <v>654433</v>
      </c>
      <c r="AM241" s="118">
        <v>0.32</v>
      </c>
      <c r="AN241" s="118">
        <v>654</v>
      </c>
      <c r="AO241" s="21">
        <v>0.183</v>
      </c>
      <c r="AP241" s="118">
        <v>0.17299999999999999</v>
      </c>
      <c r="AQ241" s="118">
        <v>0.25900000000000001</v>
      </c>
      <c r="AR241" s="118" t="s">
        <v>515</v>
      </c>
      <c r="AS241" s="118" t="s">
        <v>515</v>
      </c>
      <c r="AT241" s="118" t="s">
        <v>515</v>
      </c>
      <c r="AU241" s="118">
        <v>40.835090000000001</v>
      </c>
      <c r="AV241" s="118">
        <v>-86.782030000000006</v>
      </c>
      <c r="AW241" s="118">
        <v>195.1</v>
      </c>
      <c r="AX241" s="118">
        <v>102</v>
      </c>
      <c r="AY241" s="118">
        <v>7.73</v>
      </c>
      <c r="AZ241" s="118">
        <v>-86.7</v>
      </c>
      <c r="BA241" s="118">
        <v>11.8</v>
      </c>
      <c r="BB241" s="118">
        <v>0</v>
      </c>
      <c r="BC241" s="118">
        <v>25.343</v>
      </c>
      <c r="BD241" s="118">
        <v>2.58</v>
      </c>
      <c r="BE241" s="118">
        <v>2</v>
      </c>
      <c r="BF241" s="19">
        <v>45139</v>
      </c>
      <c r="BG241" s="118" t="s">
        <v>1736</v>
      </c>
    </row>
    <row r="242" spans="1:59" x14ac:dyDescent="0.25">
      <c r="A242" s="25">
        <v>10241</v>
      </c>
      <c r="B242" t="s">
        <v>264</v>
      </c>
      <c r="C242" t="s">
        <v>570</v>
      </c>
      <c r="D242" s="27">
        <v>4107</v>
      </c>
      <c r="E242" s="27">
        <v>7</v>
      </c>
      <c r="F242" s="118" t="s">
        <v>515</v>
      </c>
      <c r="G242" t="s">
        <v>20</v>
      </c>
      <c r="H242" s="24" t="s">
        <v>8</v>
      </c>
      <c r="I242" t="s">
        <v>515</v>
      </c>
      <c r="J242">
        <v>4.0579999999999998</v>
      </c>
      <c r="K242" t="s">
        <v>515</v>
      </c>
      <c r="L242">
        <v>7.5499999999999998E-2</v>
      </c>
      <c r="M242" s="140" t="str">
        <f t="shared" ref="M242:O257" si="25">IF(I242&lt;0.1,0.05,I242)</f>
        <v>NULL</v>
      </c>
      <c r="N242" s="140">
        <f t="shared" si="25"/>
        <v>4.0579999999999998</v>
      </c>
      <c r="O242" s="140" t="str">
        <f t="shared" si="25"/>
        <v>NULL</v>
      </c>
      <c r="P242" s="140">
        <f t="shared" si="22"/>
        <v>0.05</v>
      </c>
      <c r="Q242" s="161" t="s">
        <v>676</v>
      </c>
      <c r="R242" s="125">
        <v>2.1850000000000001</v>
      </c>
      <c r="S242" t="s">
        <v>676</v>
      </c>
      <c r="T242" t="s">
        <v>515</v>
      </c>
      <c r="U242" t="s">
        <v>515</v>
      </c>
      <c r="V242" s="118" t="s">
        <v>515</v>
      </c>
      <c r="W242">
        <v>40.846890000000002</v>
      </c>
      <c r="X242">
        <v>-86.760059999999996</v>
      </c>
      <c r="Y242">
        <v>8</v>
      </c>
      <c r="Z242">
        <v>1</v>
      </c>
      <c r="AA242">
        <v>2023</v>
      </c>
      <c r="AB242" t="b">
        <v>0</v>
      </c>
      <c r="AC242" s="19">
        <v>45139</v>
      </c>
      <c r="AD242" s="19" t="s">
        <v>515</v>
      </c>
      <c r="AE242" s="230">
        <v>0.77880787037037036</v>
      </c>
      <c r="AF242" s="19">
        <v>45139</v>
      </c>
      <c r="AG242" s="118" t="s">
        <v>515</v>
      </c>
      <c r="AH242" s="118" t="s">
        <v>515</v>
      </c>
      <c r="AI242" s="118">
        <v>748.6</v>
      </c>
      <c r="AJ242" s="118">
        <v>643.79999999999995</v>
      </c>
      <c r="AK242" s="118">
        <v>644.6</v>
      </c>
      <c r="AL242" s="118">
        <v>644630</v>
      </c>
      <c r="AM242" s="118">
        <v>0.31</v>
      </c>
      <c r="AN242" s="118">
        <v>644.70000000000005</v>
      </c>
      <c r="AO242" s="21">
        <v>0.17899999999999999</v>
      </c>
      <c r="AP242" s="118">
        <v>0.19500000000000001</v>
      </c>
      <c r="AQ242" s="118">
        <v>0.253</v>
      </c>
      <c r="AR242" s="118" t="s">
        <v>515</v>
      </c>
      <c r="AS242" s="118" t="s">
        <v>515</v>
      </c>
      <c r="AT242" s="118" t="s">
        <v>515</v>
      </c>
      <c r="AU242" s="118">
        <v>40.846939999999996</v>
      </c>
      <c r="AV242" s="118">
        <v>-86.760059999999996</v>
      </c>
      <c r="AW242" s="118">
        <v>203</v>
      </c>
      <c r="AX242" s="118">
        <v>77.099999999999994</v>
      </c>
      <c r="AY242" s="118">
        <v>7.68</v>
      </c>
      <c r="AZ242" s="118">
        <v>-83.9</v>
      </c>
      <c r="BA242" s="118">
        <v>11.8</v>
      </c>
      <c r="BB242" s="118">
        <v>0</v>
      </c>
      <c r="BC242" s="118">
        <v>24.93</v>
      </c>
      <c r="BD242" s="118">
        <v>3.25</v>
      </c>
      <c r="BE242" s="118">
        <v>5</v>
      </c>
      <c r="BF242" s="19">
        <v>45139</v>
      </c>
      <c r="BG242" s="118" t="s">
        <v>1882</v>
      </c>
    </row>
    <row r="243" spans="1:59" x14ac:dyDescent="0.25">
      <c r="A243" s="25">
        <v>10242</v>
      </c>
      <c r="B243" t="s">
        <v>265</v>
      </c>
      <c r="C243" t="s">
        <v>571</v>
      </c>
      <c r="D243" s="27">
        <v>4108</v>
      </c>
      <c r="E243" s="27">
        <v>8</v>
      </c>
      <c r="F243" s="118">
        <v>5065</v>
      </c>
      <c r="G243" t="s">
        <v>20</v>
      </c>
      <c r="H243" s="24" t="s">
        <v>8</v>
      </c>
      <c r="I243" t="s">
        <v>515</v>
      </c>
      <c r="J243" t="s">
        <v>515</v>
      </c>
      <c r="K243" t="s">
        <v>515</v>
      </c>
      <c r="L243">
        <v>0.08</v>
      </c>
      <c r="M243" s="140" t="str">
        <f t="shared" si="25"/>
        <v>NULL</v>
      </c>
      <c r="N243" s="140" t="str">
        <f t="shared" si="25"/>
        <v>NULL</v>
      </c>
      <c r="O243" s="140" t="str">
        <f t="shared" si="25"/>
        <v>NULL</v>
      </c>
      <c r="P243" s="140">
        <f t="shared" si="22"/>
        <v>0.05</v>
      </c>
      <c r="Q243" s="161" t="s">
        <v>676</v>
      </c>
      <c r="R243" s="125">
        <v>17.41</v>
      </c>
      <c r="S243" t="s">
        <v>676</v>
      </c>
      <c r="T243" t="s">
        <v>515</v>
      </c>
      <c r="U243" t="s">
        <v>515</v>
      </c>
      <c r="V243" s="118" t="s">
        <v>515</v>
      </c>
      <c r="W243">
        <v>40.811030000000002</v>
      </c>
      <c r="X243">
        <v>-86.794619999999995</v>
      </c>
      <c r="Y243">
        <v>8</v>
      </c>
      <c r="Z243">
        <v>1</v>
      </c>
      <c r="AA243">
        <v>2023</v>
      </c>
      <c r="AB243" t="b">
        <v>0</v>
      </c>
      <c r="AC243" s="19">
        <v>45139</v>
      </c>
      <c r="AD243" s="19" t="s">
        <v>515</v>
      </c>
      <c r="AE243" s="230">
        <v>0.82098379629629625</v>
      </c>
      <c r="AF243" s="19">
        <v>45139</v>
      </c>
      <c r="AG243" s="118" t="s">
        <v>515</v>
      </c>
      <c r="AH243" s="118" t="s">
        <v>515</v>
      </c>
      <c r="AI243" s="118">
        <v>748</v>
      </c>
      <c r="AJ243" s="118">
        <v>707.2</v>
      </c>
      <c r="AK243" s="118">
        <v>676.6</v>
      </c>
      <c r="AL243" s="118">
        <v>676624</v>
      </c>
      <c r="AM243" s="118">
        <v>0.33</v>
      </c>
      <c r="AN243" s="118">
        <v>673.3</v>
      </c>
      <c r="AO243" s="21">
        <v>0.19700000000000001</v>
      </c>
      <c r="AP243" s="118">
        <v>0.20799999999999999</v>
      </c>
      <c r="AQ243" s="118">
        <v>0.27900000000000003</v>
      </c>
      <c r="AR243" s="118" t="s">
        <v>515</v>
      </c>
      <c r="AS243" s="118" t="s">
        <v>515</v>
      </c>
      <c r="AT243" s="118" t="s">
        <v>515</v>
      </c>
      <c r="AU243" s="118">
        <v>40.810980000000001</v>
      </c>
      <c r="AV243" s="118">
        <v>-86.794600000000003</v>
      </c>
      <c r="AW243" s="118">
        <v>198.2</v>
      </c>
      <c r="AX243" s="118">
        <v>107</v>
      </c>
      <c r="AY243" s="118">
        <v>7.89</v>
      </c>
      <c r="AZ243" s="118">
        <v>-96.6</v>
      </c>
      <c r="BA243" s="118">
        <v>11.7</v>
      </c>
      <c r="BB243" s="118">
        <v>0</v>
      </c>
      <c r="BC243" s="118">
        <v>27.369</v>
      </c>
      <c r="BD243" s="118">
        <v>2.64</v>
      </c>
      <c r="BE243" s="118">
        <v>3</v>
      </c>
      <c r="BF243" s="19">
        <v>45139</v>
      </c>
      <c r="BG243" s="118" t="s">
        <v>1737</v>
      </c>
    </row>
    <row r="244" spans="1:59" x14ac:dyDescent="0.25">
      <c r="A244" s="25">
        <v>10243</v>
      </c>
      <c r="B244" t="s">
        <v>266</v>
      </c>
      <c r="C244" t="s">
        <v>572</v>
      </c>
      <c r="D244" s="27">
        <v>4109</v>
      </c>
      <c r="E244" s="27">
        <v>9</v>
      </c>
      <c r="F244" s="118">
        <v>3385</v>
      </c>
      <c r="G244" t="s">
        <v>20</v>
      </c>
      <c r="H244" s="24" t="s">
        <v>8</v>
      </c>
      <c r="I244" t="s">
        <v>515</v>
      </c>
      <c r="J244">
        <v>0.33550000000000002</v>
      </c>
      <c r="K244" t="s">
        <v>515</v>
      </c>
      <c r="L244">
        <v>7.5999999999999998E-2</v>
      </c>
      <c r="M244" s="140" t="str">
        <f t="shared" si="25"/>
        <v>NULL</v>
      </c>
      <c r="N244" s="140">
        <f t="shared" si="25"/>
        <v>0.33550000000000002</v>
      </c>
      <c r="O244" s="140" t="str">
        <f t="shared" si="25"/>
        <v>NULL</v>
      </c>
      <c r="P244" s="140">
        <f t="shared" si="22"/>
        <v>0.05</v>
      </c>
      <c r="Q244" s="161" t="s">
        <v>676</v>
      </c>
      <c r="R244" s="125">
        <v>41.19</v>
      </c>
      <c r="S244" t="s">
        <v>676</v>
      </c>
      <c r="T244" t="s">
        <v>515</v>
      </c>
      <c r="U244" t="s">
        <v>515</v>
      </c>
      <c r="V244" s="118" t="s">
        <v>515</v>
      </c>
      <c r="W244">
        <v>40.80368</v>
      </c>
      <c r="X244">
        <v>-86.775949999999995</v>
      </c>
      <c r="Y244">
        <v>8</v>
      </c>
      <c r="Z244">
        <v>1</v>
      </c>
      <c r="AA244">
        <v>2023</v>
      </c>
      <c r="AB244" t="b">
        <v>0</v>
      </c>
      <c r="AC244" s="19">
        <v>45139</v>
      </c>
      <c r="AD244" s="19" t="s">
        <v>515</v>
      </c>
      <c r="AE244" s="230">
        <v>0.84040509259259255</v>
      </c>
      <c r="AF244" s="19">
        <v>45139</v>
      </c>
      <c r="AG244" s="118" t="s">
        <v>515</v>
      </c>
      <c r="AH244" s="118" t="s">
        <v>515</v>
      </c>
      <c r="AI244" s="118">
        <v>747.9</v>
      </c>
      <c r="AJ244" s="118">
        <v>810.5</v>
      </c>
      <c r="AK244" s="118">
        <v>757.3</v>
      </c>
      <c r="AL244" s="118">
        <v>757342</v>
      </c>
      <c r="AM244" s="118">
        <v>0.37</v>
      </c>
      <c r="AN244" s="118">
        <v>751.5</v>
      </c>
      <c r="AO244" s="21">
        <v>0.16700000000000001</v>
      </c>
      <c r="AP244" s="118">
        <v>0.16</v>
      </c>
      <c r="AQ244" s="118">
        <v>0.23699999999999999</v>
      </c>
      <c r="AR244" s="118" t="s">
        <v>515</v>
      </c>
      <c r="AS244" s="118" t="s">
        <v>515</v>
      </c>
      <c r="AT244" s="118" t="s">
        <v>515</v>
      </c>
      <c r="AU244" s="118">
        <v>40.803699999999999</v>
      </c>
      <c r="AV244" s="118">
        <v>-86.775970000000001</v>
      </c>
      <c r="AW244" s="118">
        <v>197.6</v>
      </c>
      <c r="AX244" s="118">
        <v>94</v>
      </c>
      <c r="AY244" s="118">
        <v>8.33</v>
      </c>
      <c r="AZ244" s="118">
        <v>-122.5</v>
      </c>
      <c r="BA244" s="118">
        <v>11.9</v>
      </c>
      <c r="BB244" s="118">
        <v>0</v>
      </c>
      <c r="BC244" s="118">
        <v>28.672000000000001</v>
      </c>
      <c r="BD244" s="118">
        <v>4.59</v>
      </c>
      <c r="BE244" s="118">
        <v>10</v>
      </c>
      <c r="BF244" s="19">
        <v>45139</v>
      </c>
      <c r="BG244" s="118" t="s">
        <v>1739</v>
      </c>
    </row>
    <row r="245" spans="1:59" x14ac:dyDescent="0.25">
      <c r="A245" s="25">
        <v>10244</v>
      </c>
      <c r="B245" t="s">
        <v>267</v>
      </c>
      <c r="C245" t="s">
        <v>573</v>
      </c>
      <c r="D245" s="27">
        <v>4110</v>
      </c>
      <c r="E245" s="27">
        <v>10</v>
      </c>
      <c r="F245" s="118">
        <v>2205</v>
      </c>
      <c r="G245" t="s">
        <v>20</v>
      </c>
      <c r="H245" s="24" t="s">
        <v>8</v>
      </c>
      <c r="I245" t="s">
        <v>515</v>
      </c>
      <c r="J245" t="s">
        <v>515</v>
      </c>
      <c r="K245" t="s">
        <v>515</v>
      </c>
      <c r="L245">
        <v>0.09</v>
      </c>
      <c r="M245" s="140" t="str">
        <f t="shared" si="25"/>
        <v>NULL</v>
      </c>
      <c r="N245" s="140" t="str">
        <f t="shared" si="25"/>
        <v>NULL</v>
      </c>
      <c r="O245" s="140" t="str">
        <f t="shared" si="25"/>
        <v>NULL</v>
      </c>
      <c r="P245" s="140">
        <f t="shared" si="22"/>
        <v>0.05</v>
      </c>
      <c r="Q245" s="161" t="s">
        <v>676</v>
      </c>
      <c r="R245" s="125">
        <v>62.793333333333301</v>
      </c>
      <c r="S245" t="s">
        <v>676</v>
      </c>
      <c r="T245" t="s">
        <v>515</v>
      </c>
      <c r="U245" t="s">
        <v>515</v>
      </c>
      <c r="V245" s="118" t="s">
        <v>515</v>
      </c>
      <c r="W245">
        <v>40.794559999999997</v>
      </c>
      <c r="X245">
        <v>-86.773859999999999</v>
      </c>
      <c r="Y245">
        <v>8</v>
      </c>
      <c r="Z245">
        <v>1</v>
      </c>
      <c r="AA245">
        <v>2023</v>
      </c>
      <c r="AB245" t="b">
        <v>0</v>
      </c>
      <c r="AC245" s="19">
        <v>45139</v>
      </c>
      <c r="AD245" s="19" t="s">
        <v>515</v>
      </c>
      <c r="AE245" s="230">
        <v>0.85709490740740746</v>
      </c>
      <c r="AF245" s="19">
        <v>45139</v>
      </c>
      <c r="AG245" s="118" t="s">
        <v>515</v>
      </c>
      <c r="AH245" s="118" t="s">
        <v>515</v>
      </c>
      <c r="AI245" s="118">
        <v>747.7</v>
      </c>
      <c r="AJ245" s="118">
        <v>812.4</v>
      </c>
      <c r="AK245" s="118">
        <v>760.4</v>
      </c>
      <c r="AL245" s="118">
        <v>760390</v>
      </c>
      <c r="AM245" s="118">
        <v>0.37</v>
      </c>
      <c r="AN245" s="118">
        <v>754.7</v>
      </c>
      <c r="AO245" s="21">
        <v>0.16400000000000001</v>
      </c>
      <c r="AP245" s="118">
        <v>0.17</v>
      </c>
      <c r="AQ245" s="118">
        <v>0.23200000000000001</v>
      </c>
      <c r="AR245" s="118" t="s">
        <v>515</v>
      </c>
      <c r="AS245" s="118" t="s">
        <v>515</v>
      </c>
      <c r="AT245" s="118" t="s">
        <v>515</v>
      </c>
      <c r="AU245" s="118">
        <v>40.794580000000003</v>
      </c>
      <c r="AV245" s="118">
        <v>-86.773960000000002</v>
      </c>
      <c r="AW245" s="118">
        <v>197</v>
      </c>
      <c r="AX245" s="118">
        <v>100</v>
      </c>
      <c r="AY245" s="118">
        <v>8.3800000000000008</v>
      </c>
      <c r="AZ245" s="118">
        <v>-125.1</v>
      </c>
      <c r="BA245" s="118">
        <v>11.9</v>
      </c>
      <c r="BB245" s="118">
        <v>0</v>
      </c>
      <c r="BC245" s="118">
        <v>28.582999999999998</v>
      </c>
      <c r="BD245" s="118">
        <v>6.33</v>
      </c>
      <c r="BE245" s="118">
        <v>15</v>
      </c>
      <c r="BF245" s="19">
        <v>45139</v>
      </c>
      <c r="BG245" s="118" t="s">
        <v>1741</v>
      </c>
    </row>
    <row r="246" spans="1:59" x14ac:dyDescent="0.25">
      <c r="A246" s="25">
        <v>10245</v>
      </c>
      <c r="B246" t="s">
        <v>268</v>
      </c>
      <c r="C246" t="s">
        <v>574</v>
      </c>
      <c r="D246" s="27">
        <v>4111</v>
      </c>
      <c r="E246" s="27">
        <v>11</v>
      </c>
      <c r="F246" s="118">
        <v>1385</v>
      </c>
      <c r="G246" t="s">
        <v>20</v>
      </c>
      <c r="H246" s="24" t="s">
        <v>8</v>
      </c>
      <c r="I246" t="s">
        <v>515</v>
      </c>
      <c r="J246">
        <v>7.6499999999999999E-2</v>
      </c>
      <c r="K246" t="s">
        <v>515</v>
      </c>
      <c r="L246">
        <v>0.1305</v>
      </c>
      <c r="M246" s="140" t="str">
        <f t="shared" si="25"/>
        <v>NULL</v>
      </c>
      <c r="N246" s="140">
        <f t="shared" si="25"/>
        <v>0.05</v>
      </c>
      <c r="O246" s="140" t="str">
        <f t="shared" si="25"/>
        <v>NULL</v>
      </c>
      <c r="P246" s="140">
        <f t="shared" si="22"/>
        <v>0.1305</v>
      </c>
      <c r="Q246" s="161" t="s">
        <v>676</v>
      </c>
      <c r="R246" s="125">
        <v>80.319999999999993</v>
      </c>
      <c r="S246" t="s">
        <v>676</v>
      </c>
      <c r="T246" t="s">
        <v>515</v>
      </c>
      <c r="U246" t="s">
        <v>515</v>
      </c>
      <c r="V246" s="118" t="s">
        <v>515</v>
      </c>
      <c r="W246">
        <v>40.788409999999999</v>
      </c>
      <c r="X246">
        <v>-86.771069999999995</v>
      </c>
      <c r="Y246">
        <v>8</v>
      </c>
      <c r="Z246">
        <v>1</v>
      </c>
      <c r="AA246">
        <v>2023</v>
      </c>
      <c r="AB246" t="b">
        <v>0</v>
      </c>
      <c r="AC246" s="19">
        <v>45139</v>
      </c>
      <c r="AD246" s="19" t="s">
        <v>515</v>
      </c>
      <c r="AE246" s="230">
        <v>0.88021990740740741</v>
      </c>
      <c r="AF246" s="19">
        <v>45139</v>
      </c>
      <c r="AG246" s="118" t="s">
        <v>515</v>
      </c>
      <c r="AH246" s="118" t="s">
        <v>515</v>
      </c>
      <c r="AI246" s="118">
        <v>747.7</v>
      </c>
      <c r="AJ246" s="118">
        <v>809.1</v>
      </c>
      <c r="AK246" s="118">
        <v>750.6</v>
      </c>
      <c r="AL246" s="118">
        <v>750629</v>
      </c>
      <c r="AM246" s="118">
        <v>0.36</v>
      </c>
      <c r="AN246" s="118">
        <v>744.2</v>
      </c>
      <c r="AO246" s="21">
        <v>0.17</v>
      </c>
      <c r="AP246" s="118">
        <v>0.16700000000000001</v>
      </c>
      <c r="AQ246" s="118">
        <v>0.24099999999999999</v>
      </c>
      <c r="AR246" s="118" t="s">
        <v>515</v>
      </c>
      <c r="AS246" s="118" t="s">
        <v>515</v>
      </c>
      <c r="AT246" s="118" t="s">
        <v>515</v>
      </c>
      <c r="AU246" s="118">
        <v>40.788440000000001</v>
      </c>
      <c r="AV246" s="118">
        <v>-86.771060000000006</v>
      </c>
      <c r="AW246" s="118">
        <v>200.6</v>
      </c>
      <c r="AX246" s="118">
        <v>56.2</v>
      </c>
      <c r="AY246" s="118">
        <v>8.4</v>
      </c>
      <c r="AZ246" s="118">
        <v>-126.6</v>
      </c>
      <c r="BA246" s="118">
        <v>11.8</v>
      </c>
      <c r="BB246" s="118">
        <v>0</v>
      </c>
      <c r="BC246" s="118">
        <v>29.074999999999999</v>
      </c>
      <c r="BD246" s="118">
        <v>5.89</v>
      </c>
      <c r="BE246" s="118">
        <v>14</v>
      </c>
      <c r="BF246" s="19">
        <v>45139</v>
      </c>
      <c r="BG246" s="118" t="s">
        <v>1742</v>
      </c>
    </row>
    <row r="247" spans="1:59" x14ac:dyDescent="0.25">
      <c r="A247" s="25">
        <v>10246</v>
      </c>
      <c r="B247" t="s">
        <v>269</v>
      </c>
      <c r="C247" t="s">
        <v>575</v>
      </c>
      <c r="D247" s="27">
        <v>4112</v>
      </c>
      <c r="E247" s="27">
        <v>12</v>
      </c>
      <c r="F247" s="118">
        <v>275</v>
      </c>
      <c r="G247" t="s">
        <v>20</v>
      </c>
      <c r="H247" s="24" t="s">
        <v>8</v>
      </c>
      <c r="I247" t="s">
        <v>515</v>
      </c>
      <c r="J247">
        <v>2.9499999999999998E-2</v>
      </c>
      <c r="K247" t="s">
        <v>515</v>
      </c>
      <c r="L247">
        <v>0.1085</v>
      </c>
      <c r="M247" s="140" t="str">
        <f t="shared" si="25"/>
        <v>NULL</v>
      </c>
      <c r="N247" s="140">
        <f t="shared" si="25"/>
        <v>0.05</v>
      </c>
      <c r="O247" s="140" t="str">
        <f t="shared" si="25"/>
        <v>NULL</v>
      </c>
      <c r="P247" s="140">
        <f t="shared" si="22"/>
        <v>0.1085</v>
      </c>
      <c r="Q247" s="161" t="s">
        <v>676</v>
      </c>
      <c r="R247" s="125">
        <v>60.7</v>
      </c>
      <c r="S247" t="s">
        <v>676</v>
      </c>
      <c r="T247" t="s">
        <v>515</v>
      </c>
      <c r="U247" t="s">
        <v>515</v>
      </c>
      <c r="V247" s="118" t="s">
        <v>515</v>
      </c>
      <c r="W247">
        <v>40.781559999999999</v>
      </c>
      <c r="X247">
        <v>-86.762090000000001</v>
      </c>
      <c r="Y247">
        <v>8</v>
      </c>
      <c r="Z247">
        <v>1</v>
      </c>
      <c r="AA247">
        <v>2023</v>
      </c>
      <c r="AB247" t="b">
        <v>0</v>
      </c>
      <c r="AC247" s="19">
        <v>45139</v>
      </c>
      <c r="AD247" s="19" t="s">
        <v>515</v>
      </c>
      <c r="AE247" s="230">
        <v>0.86766203703703704</v>
      </c>
      <c r="AF247" s="19">
        <v>45139</v>
      </c>
      <c r="AG247" s="118" t="s">
        <v>515</v>
      </c>
      <c r="AH247" s="118" t="s">
        <v>515</v>
      </c>
      <c r="AI247" s="118">
        <v>747.8</v>
      </c>
      <c r="AJ247" s="118">
        <v>815.2</v>
      </c>
      <c r="AK247" s="118">
        <v>762.4</v>
      </c>
      <c r="AL247" s="118">
        <v>762371</v>
      </c>
      <c r="AM247" s="118">
        <v>0.37</v>
      </c>
      <c r="AN247" s="118">
        <v>756.6</v>
      </c>
      <c r="AO247" s="21">
        <v>0.20399999999999999</v>
      </c>
      <c r="AP247" s="118">
        <v>0.20899999999999999</v>
      </c>
      <c r="AQ247" s="118">
        <v>0.28899999999999998</v>
      </c>
      <c r="AR247" s="118" t="s">
        <v>515</v>
      </c>
      <c r="AS247" s="118" t="s">
        <v>515</v>
      </c>
      <c r="AT247" s="118" t="s">
        <v>515</v>
      </c>
      <c r="AU247" s="118">
        <v>40.781619999999997</v>
      </c>
      <c r="AV247" s="118">
        <v>-86.762079999999997</v>
      </c>
      <c r="AW247" s="118">
        <v>195.5</v>
      </c>
      <c r="AX247" s="118">
        <v>94</v>
      </c>
      <c r="AY247" s="118">
        <v>8.33</v>
      </c>
      <c r="AZ247" s="118">
        <v>-122</v>
      </c>
      <c r="BA247" s="118">
        <v>11.9</v>
      </c>
      <c r="BB247" s="118">
        <v>0</v>
      </c>
      <c r="BC247" s="118">
        <v>28.629000000000001</v>
      </c>
      <c r="BD247" s="118">
        <v>7.54</v>
      </c>
      <c r="BE247" s="118">
        <v>19</v>
      </c>
      <c r="BF247" s="19">
        <v>45139</v>
      </c>
      <c r="BG247" s="118" t="s">
        <v>1743</v>
      </c>
    </row>
    <row r="248" spans="1:59" x14ac:dyDescent="0.25">
      <c r="A248" s="25">
        <v>10247</v>
      </c>
      <c r="B248" t="s">
        <v>270</v>
      </c>
      <c r="C248" t="s">
        <v>568</v>
      </c>
      <c r="D248" s="27">
        <v>4104</v>
      </c>
      <c r="E248" s="27">
        <v>4</v>
      </c>
      <c r="F248" s="118" t="s">
        <v>515</v>
      </c>
      <c r="G248" t="s">
        <v>20</v>
      </c>
      <c r="H248" s="24" t="s">
        <v>8</v>
      </c>
      <c r="I248" t="s">
        <v>515</v>
      </c>
      <c r="J248">
        <v>6.4999999999999997E-3</v>
      </c>
      <c r="K248" t="s">
        <v>515</v>
      </c>
      <c r="L248">
        <v>0.38950000000000001</v>
      </c>
      <c r="M248" s="140" t="str">
        <f t="shared" si="25"/>
        <v>NULL</v>
      </c>
      <c r="N248" s="140">
        <f t="shared" si="25"/>
        <v>0.05</v>
      </c>
      <c r="O248" s="140" t="str">
        <f t="shared" si="25"/>
        <v>NULL</v>
      </c>
      <c r="P248" s="140">
        <f t="shared" si="22"/>
        <v>0.38950000000000001</v>
      </c>
      <c r="Q248" s="161" t="s">
        <v>676</v>
      </c>
      <c r="R248" s="125">
        <v>39.244999999999997</v>
      </c>
      <c r="S248" t="s">
        <v>676</v>
      </c>
      <c r="T248" t="s">
        <v>515</v>
      </c>
      <c r="U248" t="s">
        <v>515</v>
      </c>
      <c r="V248" s="118" t="s">
        <v>515</v>
      </c>
      <c r="W248">
        <v>40.847639999999998</v>
      </c>
      <c r="X248">
        <v>-86.81326</v>
      </c>
      <c r="Y248">
        <v>8</v>
      </c>
      <c r="Z248">
        <v>1</v>
      </c>
      <c r="AA248">
        <v>2023</v>
      </c>
      <c r="AB248" t="b">
        <v>0</v>
      </c>
      <c r="AC248" s="19">
        <v>45139</v>
      </c>
      <c r="AD248" s="19" t="s">
        <v>515</v>
      </c>
      <c r="AE248" s="230">
        <v>0.69547453703703699</v>
      </c>
      <c r="AF248" s="19">
        <v>45139</v>
      </c>
      <c r="AG248" s="118" t="s">
        <v>515</v>
      </c>
      <c r="AH248" s="118" t="s">
        <v>515</v>
      </c>
      <c r="AI248" s="118">
        <v>749.1</v>
      </c>
      <c r="AJ248" s="118">
        <v>807.1</v>
      </c>
      <c r="AK248" s="118">
        <v>766.7</v>
      </c>
      <c r="AL248" s="118">
        <v>766668</v>
      </c>
      <c r="AM248" s="118">
        <v>0.37</v>
      </c>
      <c r="AN248" s="118">
        <v>762.3</v>
      </c>
      <c r="AO248" s="21">
        <v>0.27500000000000002</v>
      </c>
      <c r="AP248" s="118">
        <v>0.30199999999999999</v>
      </c>
      <c r="AQ248" s="118">
        <v>0.38900000000000001</v>
      </c>
      <c r="AR248" s="118" t="s">
        <v>515</v>
      </c>
      <c r="AS248" s="118" t="s">
        <v>515</v>
      </c>
      <c r="AT248" s="118" t="s">
        <v>515</v>
      </c>
      <c r="AU248" s="118">
        <v>40.839979999999997</v>
      </c>
      <c r="AV248" s="118">
        <v>-86.811459999999997</v>
      </c>
      <c r="AW248" s="118">
        <v>199.2</v>
      </c>
      <c r="AX248" s="118">
        <v>72.3</v>
      </c>
      <c r="AY248" s="118">
        <v>8.16</v>
      </c>
      <c r="AZ248" s="118">
        <v>-112.1</v>
      </c>
      <c r="BA248" s="118">
        <v>11.8</v>
      </c>
      <c r="BB248" s="118">
        <v>0</v>
      </c>
      <c r="BC248" s="118">
        <v>27.763000000000002</v>
      </c>
      <c r="BD248" s="118">
        <v>9.3000000000000007</v>
      </c>
      <c r="BE248" s="118">
        <v>25</v>
      </c>
      <c r="BF248" s="19">
        <v>45139</v>
      </c>
      <c r="BG248" s="118" t="s">
        <v>1881</v>
      </c>
    </row>
    <row r="249" spans="1:59" x14ac:dyDescent="0.25">
      <c r="A249" s="25">
        <v>10248</v>
      </c>
      <c r="B249" t="s">
        <v>271</v>
      </c>
      <c r="C249" t="s">
        <v>576</v>
      </c>
      <c r="D249" s="27">
        <v>4114</v>
      </c>
      <c r="E249" s="27">
        <v>14</v>
      </c>
      <c r="F249" s="118">
        <v>4225</v>
      </c>
      <c r="G249" t="s">
        <v>20</v>
      </c>
      <c r="H249" s="24" t="s">
        <v>8</v>
      </c>
      <c r="I249" t="s">
        <v>515</v>
      </c>
      <c r="J249">
        <v>1.3965000000000001</v>
      </c>
      <c r="K249" t="s">
        <v>515</v>
      </c>
      <c r="L249">
        <v>7.8E-2</v>
      </c>
      <c r="M249" s="140" t="str">
        <f t="shared" si="25"/>
        <v>NULL</v>
      </c>
      <c r="N249" s="140">
        <f t="shared" si="25"/>
        <v>1.3965000000000001</v>
      </c>
      <c r="O249" s="140" t="str">
        <f t="shared" si="25"/>
        <v>NULL</v>
      </c>
      <c r="P249" s="140">
        <f t="shared" si="22"/>
        <v>0.05</v>
      </c>
      <c r="Q249" s="161" t="s">
        <v>676</v>
      </c>
      <c r="R249" s="125">
        <v>24.734999999999999</v>
      </c>
      <c r="S249" t="s">
        <v>676</v>
      </c>
      <c r="T249" t="s">
        <v>515</v>
      </c>
      <c r="U249" t="s">
        <v>515</v>
      </c>
      <c r="V249" s="118" t="s">
        <v>515</v>
      </c>
      <c r="W249">
        <v>40.8065</v>
      </c>
      <c r="X249">
        <v>-86.7851</v>
      </c>
      <c r="Y249">
        <v>8</v>
      </c>
      <c r="Z249">
        <v>1</v>
      </c>
      <c r="AA249">
        <v>2023</v>
      </c>
      <c r="AB249" t="b">
        <v>0</v>
      </c>
      <c r="AC249" s="19">
        <v>45139</v>
      </c>
      <c r="AD249" s="19" t="s">
        <v>515</v>
      </c>
      <c r="AE249" s="230">
        <v>0.83078703703703705</v>
      </c>
      <c r="AF249" s="19">
        <v>45139</v>
      </c>
      <c r="AG249" s="118" t="s">
        <v>515</v>
      </c>
      <c r="AH249" s="118" t="s">
        <v>515</v>
      </c>
      <c r="AI249" s="118">
        <v>748</v>
      </c>
      <c r="AJ249" s="118">
        <v>739.9</v>
      </c>
      <c r="AK249" s="118">
        <v>697.2</v>
      </c>
      <c r="AL249" s="118">
        <v>697173</v>
      </c>
      <c r="AM249" s="118">
        <v>0.34</v>
      </c>
      <c r="AN249" s="118">
        <v>692.5</v>
      </c>
      <c r="AO249" s="21">
        <v>0.17100000000000001</v>
      </c>
      <c r="AP249" s="118">
        <v>0.18099999999999999</v>
      </c>
      <c r="AQ249" s="118">
        <v>0.24299999999999999</v>
      </c>
      <c r="AR249" s="118" t="s">
        <v>515</v>
      </c>
      <c r="AS249" s="118" t="s">
        <v>515</v>
      </c>
      <c r="AT249" s="118" t="s">
        <v>515</v>
      </c>
      <c r="AU249" s="118">
        <v>40.8065</v>
      </c>
      <c r="AV249" s="118">
        <v>-86.785139999999998</v>
      </c>
      <c r="AW249" s="118">
        <v>197.9</v>
      </c>
      <c r="AX249" s="118">
        <v>96.4</v>
      </c>
      <c r="AY249" s="118">
        <v>8.11</v>
      </c>
      <c r="AZ249" s="118">
        <v>-109.2</v>
      </c>
      <c r="BA249" s="118">
        <v>11.8</v>
      </c>
      <c r="BB249" s="118">
        <v>0</v>
      </c>
      <c r="BC249" s="118">
        <v>28.212</v>
      </c>
      <c r="BD249" s="118">
        <v>2.37</v>
      </c>
      <c r="BE249" s="118">
        <v>2</v>
      </c>
      <c r="BF249" s="19">
        <v>45139</v>
      </c>
      <c r="BG249" s="118" t="s">
        <v>1738</v>
      </c>
    </row>
    <row r="250" spans="1:59" x14ac:dyDescent="0.25">
      <c r="A250" s="25">
        <v>10249</v>
      </c>
      <c r="B250" t="s">
        <v>272</v>
      </c>
      <c r="C250" t="s">
        <v>577</v>
      </c>
      <c r="D250" s="27">
        <v>4115</v>
      </c>
      <c r="E250" s="27">
        <v>15</v>
      </c>
      <c r="F250" s="118">
        <v>2905</v>
      </c>
      <c r="G250" t="s">
        <v>20</v>
      </c>
      <c r="H250" s="24" t="s">
        <v>8</v>
      </c>
      <c r="I250" t="s">
        <v>515</v>
      </c>
      <c r="J250" t="s">
        <v>515</v>
      </c>
      <c r="K250" t="s">
        <v>515</v>
      </c>
      <c r="L250">
        <v>8.4000000000000005E-2</v>
      </c>
      <c r="M250" s="140" t="str">
        <f t="shared" si="25"/>
        <v>NULL</v>
      </c>
      <c r="N250" s="140" t="str">
        <f t="shared" si="25"/>
        <v>NULL</v>
      </c>
      <c r="O250" s="140" t="str">
        <f t="shared" si="25"/>
        <v>NULL</v>
      </c>
      <c r="P250" s="140">
        <f t="shared" si="22"/>
        <v>0.05</v>
      </c>
      <c r="Q250" s="161" t="s">
        <v>676</v>
      </c>
      <c r="R250" s="125">
        <v>73.995000000000005</v>
      </c>
      <c r="S250" t="s">
        <v>676</v>
      </c>
      <c r="T250" t="s">
        <v>515</v>
      </c>
      <c r="U250" t="s">
        <v>515</v>
      </c>
      <c r="V250" s="118" t="s">
        <v>515</v>
      </c>
      <c r="W250">
        <v>40.80003</v>
      </c>
      <c r="X250">
        <v>-86.779110000000003</v>
      </c>
      <c r="Y250">
        <v>8</v>
      </c>
      <c r="Z250">
        <v>1</v>
      </c>
      <c r="AA250">
        <v>2023</v>
      </c>
      <c r="AB250" t="b">
        <v>0</v>
      </c>
      <c r="AC250" s="19">
        <v>45139</v>
      </c>
      <c r="AD250" s="19" t="s">
        <v>515</v>
      </c>
      <c r="AE250" s="230">
        <v>0.84865740740740736</v>
      </c>
      <c r="AF250" s="19">
        <v>45139</v>
      </c>
      <c r="AG250" s="118" t="s">
        <v>515</v>
      </c>
      <c r="AH250" s="118" t="s">
        <v>515</v>
      </c>
      <c r="AI250" s="118">
        <v>747.8</v>
      </c>
      <c r="AJ250" s="118">
        <v>806</v>
      </c>
      <c r="AK250" s="118">
        <v>750.8</v>
      </c>
      <c r="AL250" s="118">
        <v>750785</v>
      </c>
      <c r="AM250" s="118">
        <v>0.36</v>
      </c>
      <c r="AN250" s="118">
        <v>744.7</v>
      </c>
      <c r="AO250" s="21">
        <v>0.20799999999999999</v>
      </c>
      <c r="AP250" s="118">
        <v>0.20499999999999999</v>
      </c>
      <c r="AQ250" s="118">
        <v>0.29499999999999998</v>
      </c>
      <c r="AR250" s="118" t="s">
        <v>515</v>
      </c>
      <c r="AS250" s="118" t="s">
        <v>515</v>
      </c>
      <c r="AT250" s="118" t="s">
        <v>515</v>
      </c>
      <c r="AU250" s="118">
        <v>40.800109999999997</v>
      </c>
      <c r="AV250" s="118">
        <v>-86.779169999999993</v>
      </c>
      <c r="AW250" s="118">
        <v>198</v>
      </c>
      <c r="AX250" s="118">
        <v>87.5</v>
      </c>
      <c r="AY250" s="118">
        <v>8.3699999999999992</v>
      </c>
      <c r="AZ250" s="118">
        <v>-124.9</v>
      </c>
      <c r="BA250" s="118">
        <v>11.9</v>
      </c>
      <c r="BB250" s="118">
        <v>0</v>
      </c>
      <c r="BC250" s="118">
        <v>28.849</v>
      </c>
      <c r="BD250" s="118">
        <v>6.41</v>
      </c>
      <c r="BE250" s="118">
        <v>16</v>
      </c>
      <c r="BF250" s="19">
        <v>45139</v>
      </c>
      <c r="BG250" s="118" t="s">
        <v>1740</v>
      </c>
    </row>
    <row r="251" spans="1:59" x14ac:dyDescent="0.25">
      <c r="A251" s="25">
        <v>10250</v>
      </c>
      <c r="B251" t="s">
        <v>273</v>
      </c>
      <c r="C251" t="s">
        <v>273</v>
      </c>
      <c r="D251" s="27">
        <v>3101</v>
      </c>
      <c r="E251" s="27">
        <v>1</v>
      </c>
      <c r="F251" s="118">
        <v>5210</v>
      </c>
      <c r="G251" t="s">
        <v>22</v>
      </c>
      <c r="H251" s="24" t="s">
        <v>8</v>
      </c>
      <c r="I251" t="s">
        <v>515</v>
      </c>
      <c r="J251">
        <v>2.3264999999999998</v>
      </c>
      <c r="K251" t="s">
        <v>515</v>
      </c>
      <c r="L251" t="s">
        <v>515</v>
      </c>
      <c r="M251" s="140" t="str">
        <f t="shared" si="25"/>
        <v>NULL</v>
      </c>
      <c r="N251" s="140">
        <f t="shared" si="25"/>
        <v>2.3264999999999998</v>
      </c>
      <c r="O251" s="140" t="str">
        <f t="shared" si="25"/>
        <v>NULL</v>
      </c>
      <c r="P251" s="140" t="str">
        <f t="shared" si="22"/>
        <v>NULL</v>
      </c>
      <c r="Q251" s="161" t="s">
        <v>676</v>
      </c>
      <c r="R251" s="125" t="s">
        <v>676</v>
      </c>
      <c r="S251" t="s">
        <v>676</v>
      </c>
      <c r="T251" t="s">
        <v>515</v>
      </c>
      <c r="U251" t="s">
        <v>515</v>
      </c>
      <c r="V251" s="118" t="s">
        <v>515</v>
      </c>
      <c r="W251">
        <v>40.7727</v>
      </c>
      <c r="X251">
        <v>-85.644385</v>
      </c>
      <c r="Y251">
        <v>8</v>
      </c>
      <c r="Z251">
        <v>4</v>
      </c>
      <c r="AA251">
        <v>2023</v>
      </c>
      <c r="AB251" t="b">
        <v>0</v>
      </c>
      <c r="AC251" s="19">
        <v>45142</v>
      </c>
      <c r="AD251" s="19" t="s">
        <v>515</v>
      </c>
      <c r="AE251" s="230">
        <v>0.62474537037037037</v>
      </c>
      <c r="AF251" s="19">
        <v>45142</v>
      </c>
      <c r="AG251" s="118" t="s">
        <v>515</v>
      </c>
      <c r="AH251" s="118" t="s">
        <v>515</v>
      </c>
      <c r="AI251" s="118">
        <v>740.5</v>
      </c>
      <c r="AJ251" s="118">
        <v>550.20000000000005</v>
      </c>
      <c r="AK251" s="118">
        <v>520.70000000000005</v>
      </c>
      <c r="AL251" s="118">
        <v>520714</v>
      </c>
      <c r="AM251" s="118">
        <v>0.25</v>
      </c>
      <c r="AN251" s="118">
        <v>517.5</v>
      </c>
      <c r="AO251" s="21">
        <v>0.73499999999999999</v>
      </c>
      <c r="AP251" s="118">
        <v>0.72699999999999998</v>
      </c>
      <c r="AQ251" s="118">
        <v>1.0409999999999999</v>
      </c>
      <c r="AR251" s="118" t="s">
        <v>515</v>
      </c>
      <c r="AS251" s="118" t="s">
        <v>515</v>
      </c>
      <c r="AT251" s="118" t="s">
        <v>515</v>
      </c>
      <c r="AU251" s="118">
        <v>40.772480000000002</v>
      </c>
      <c r="AV251" s="118">
        <v>-85.644390000000001</v>
      </c>
      <c r="AW251" s="118">
        <v>231.1</v>
      </c>
      <c r="AX251" s="118">
        <v>114.6</v>
      </c>
      <c r="AY251" s="118">
        <v>8.36</v>
      </c>
      <c r="AZ251" s="118">
        <v>-123</v>
      </c>
      <c r="BA251" s="118">
        <v>11.7</v>
      </c>
      <c r="BB251" s="118">
        <v>0</v>
      </c>
      <c r="BC251" s="118">
        <v>27.968</v>
      </c>
      <c r="BD251" s="118">
        <v>2.78</v>
      </c>
      <c r="BE251" s="118">
        <v>3</v>
      </c>
      <c r="BF251" s="19">
        <v>45142</v>
      </c>
      <c r="BG251" s="118" t="s">
        <v>1862</v>
      </c>
    </row>
    <row r="252" spans="1:59" x14ac:dyDescent="0.25">
      <c r="A252" s="25">
        <v>10251</v>
      </c>
      <c r="B252" t="s">
        <v>274</v>
      </c>
      <c r="C252" t="s">
        <v>274</v>
      </c>
      <c r="D252" s="27">
        <v>3102</v>
      </c>
      <c r="E252" s="27">
        <v>2</v>
      </c>
      <c r="F252" s="118">
        <v>5430</v>
      </c>
      <c r="G252" t="s">
        <v>22</v>
      </c>
      <c r="H252" s="24" t="s">
        <v>8</v>
      </c>
      <c r="I252" t="s">
        <v>515</v>
      </c>
      <c r="J252">
        <v>2.5015000000000001</v>
      </c>
      <c r="K252" t="s">
        <v>515</v>
      </c>
      <c r="L252" t="s">
        <v>515</v>
      </c>
      <c r="M252" s="140" t="str">
        <f t="shared" si="25"/>
        <v>NULL</v>
      </c>
      <c r="N252" s="140">
        <f t="shared" si="25"/>
        <v>2.5015000000000001</v>
      </c>
      <c r="O252" s="140" t="str">
        <f t="shared" si="25"/>
        <v>NULL</v>
      </c>
      <c r="P252" s="140" t="str">
        <f t="shared" si="22"/>
        <v>NULL</v>
      </c>
      <c r="Q252" s="161" t="s">
        <v>676</v>
      </c>
      <c r="R252" s="125" t="s">
        <v>676</v>
      </c>
      <c r="S252" t="s">
        <v>676</v>
      </c>
      <c r="T252" t="s">
        <v>515</v>
      </c>
      <c r="U252" t="s">
        <v>515</v>
      </c>
      <c r="V252" s="118" t="s">
        <v>515</v>
      </c>
      <c r="W252">
        <v>40.771228999999998</v>
      </c>
      <c r="X252">
        <v>-85.647807999999998</v>
      </c>
      <c r="Y252">
        <v>8</v>
      </c>
      <c r="Z252">
        <v>4</v>
      </c>
      <c r="AA252">
        <v>2023</v>
      </c>
      <c r="AB252" t="b">
        <v>0</v>
      </c>
      <c r="AC252" s="19">
        <v>45142</v>
      </c>
      <c r="AD252" s="19" t="s">
        <v>515</v>
      </c>
      <c r="AE252" s="230">
        <v>0.63689814814814816</v>
      </c>
      <c r="AF252" s="19">
        <v>45142</v>
      </c>
      <c r="AG252" s="118" t="s">
        <v>515</v>
      </c>
      <c r="AH252" s="118" t="s">
        <v>515</v>
      </c>
      <c r="AI252" s="118">
        <v>740.5</v>
      </c>
      <c r="AJ252" s="118">
        <v>553.20000000000005</v>
      </c>
      <c r="AK252" s="118">
        <v>522.4</v>
      </c>
      <c r="AL252" s="118">
        <v>522431</v>
      </c>
      <c r="AM252" s="118">
        <v>0.25</v>
      </c>
      <c r="AN252" s="118">
        <v>519.1</v>
      </c>
      <c r="AO252" s="21">
        <v>0.34</v>
      </c>
      <c r="AP252" s="118">
        <v>0.33100000000000002</v>
      </c>
      <c r="AQ252" s="118">
        <v>0.48199999999999998</v>
      </c>
      <c r="AR252" s="118" t="s">
        <v>515</v>
      </c>
      <c r="AS252" s="118" t="s">
        <v>515</v>
      </c>
      <c r="AT252" s="118" t="s">
        <v>515</v>
      </c>
      <c r="AU252" s="118">
        <v>40.770940000000003</v>
      </c>
      <c r="AV252" s="118">
        <v>-85.647959999999998</v>
      </c>
      <c r="AW252" s="118">
        <v>233.4</v>
      </c>
      <c r="AX252" s="118">
        <v>73.3</v>
      </c>
      <c r="AY252" s="118">
        <v>8.65</v>
      </c>
      <c r="AZ252" s="118">
        <v>-139.19999999999999</v>
      </c>
      <c r="BA252" s="118">
        <v>11.8</v>
      </c>
      <c r="BB252" s="118">
        <v>0</v>
      </c>
      <c r="BC252" s="118">
        <v>28.084</v>
      </c>
      <c r="BD252" s="118">
        <v>3.21</v>
      </c>
      <c r="BE252" s="118">
        <v>5</v>
      </c>
      <c r="BF252" s="19">
        <v>45142</v>
      </c>
      <c r="BG252" s="118" t="s">
        <v>1863</v>
      </c>
    </row>
    <row r="253" spans="1:59" x14ac:dyDescent="0.25">
      <c r="A253" s="25">
        <v>10252</v>
      </c>
      <c r="B253" t="s">
        <v>275</v>
      </c>
      <c r="C253" t="s">
        <v>275</v>
      </c>
      <c r="D253" s="27">
        <v>3103</v>
      </c>
      <c r="E253" s="27">
        <v>3</v>
      </c>
      <c r="F253" s="118">
        <v>4180</v>
      </c>
      <c r="G253" t="s">
        <v>22</v>
      </c>
      <c r="H253" s="24" t="s">
        <v>8</v>
      </c>
      <c r="I253" t="s">
        <v>515</v>
      </c>
      <c r="J253">
        <v>2.6509999999999998</v>
      </c>
      <c r="K253" t="s">
        <v>515</v>
      </c>
      <c r="L253" t="s">
        <v>515</v>
      </c>
      <c r="M253" s="140" t="str">
        <f t="shared" si="25"/>
        <v>NULL</v>
      </c>
      <c r="N253" s="140">
        <f t="shared" si="25"/>
        <v>2.6509999999999998</v>
      </c>
      <c r="O253" s="140" t="str">
        <f t="shared" si="25"/>
        <v>NULL</v>
      </c>
      <c r="P253" s="140" t="str">
        <f t="shared" si="22"/>
        <v>NULL</v>
      </c>
      <c r="Q253" s="161" t="s">
        <v>676</v>
      </c>
      <c r="R253" s="125" t="s">
        <v>676</v>
      </c>
      <c r="S253" t="s">
        <v>676</v>
      </c>
      <c r="T253" t="s">
        <v>515</v>
      </c>
      <c r="U253" t="s">
        <v>515</v>
      </c>
      <c r="V253" s="118" t="s">
        <v>515</v>
      </c>
      <c r="W253">
        <v>40.780830000000002</v>
      </c>
      <c r="X253">
        <v>-85.644176000000002</v>
      </c>
      <c r="Y253">
        <v>8</v>
      </c>
      <c r="Z253">
        <v>4</v>
      </c>
      <c r="AA253">
        <v>2023</v>
      </c>
      <c r="AB253" t="b">
        <v>0</v>
      </c>
      <c r="AC253" s="19">
        <v>45142</v>
      </c>
      <c r="AD253" s="19" t="s">
        <v>515</v>
      </c>
      <c r="AE253" s="230">
        <v>0.65017361111111116</v>
      </c>
      <c r="AF253" s="19">
        <v>45142</v>
      </c>
      <c r="AG253" s="118" t="s">
        <v>515</v>
      </c>
      <c r="AH253" s="118" t="s">
        <v>515</v>
      </c>
      <c r="AI253" s="118">
        <v>740.5</v>
      </c>
      <c r="AJ253" s="118">
        <v>555.70000000000005</v>
      </c>
      <c r="AK253" s="118">
        <v>524.4</v>
      </c>
      <c r="AL253" s="118">
        <v>524432</v>
      </c>
      <c r="AM253" s="118">
        <v>0.25</v>
      </c>
      <c r="AN253" s="118">
        <v>521</v>
      </c>
      <c r="AO253" s="21">
        <v>0.34799999999999998</v>
      </c>
      <c r="AP253" s="118">
        <v>0.35899999999999999</v>
      </c>
      <c r="AQ253" s="118">
        <v>0.49399999999999999</v>
      </c>
      <c r="AR253" s="118" t="s">
        <v>515</v>
      </c>
      <c r="AS253" s="118" t="s">
        <v>515</v>
      </c>
      <c r="AT253" s="118" t="s">
        <v>515</v>
      </c>
      <c r="AU253" s="118">
        <v>40.780540000000002</v>
      </c>
      <c r="AV253" s="118">
        <v>-85.644199999999998</v>
      </c>
      <c r="AW253" s="118">
        <v>227.8</v>
      </c>
      <c r="AX253" s="118">
        <v>66.599999999999994</v>
      </c>
      <c r="AY253" s="118">
        <v>8.6</v>
      </c>
      <c r="AZ253" s="118">
        <v>-136.6</v>
      </c>
      <c r="BA253" s="118">
        <v>11.8</v>
      </c>
      <c r="BB253" s="118">
        <v>0</v>
      </c>
      <c r="BC253" s="118">
        <v>28.122</v>
      </c>
      <c r="BD253" s="118">
        <v>2.4</v>
      </c>
      <c r="BE253" s="118">
        <v>2</v>
      </c>
      <c r="BF253" s="19">
        <v>45142</v>
      </c>
      <c r="BG253" s="118" t="s">
        <v>1864</v>
      </c>
    </row>
    <row r="254" spans="1:59" x14ac:dyDescent="0.25">
      <c r="A254" s="25">
        <v>10253</v>
      </c>
      <c r="B254" t="s">
        <v>276</v>
      </c>
      <c r="C254" t="s">
        <v>276</v>
      </c>
      <c r="D254" s="27">
        <v>3104</v>
      </c>
      <c r="E254" s="27">
        <v>4</v>
      </c>
      <c r="F254" s="118">
        <v>4980</v>
      </c>
      <c r="G254" t="s">
        <v>22</v>
      </c>
      <c r="H254" s="24" t="s">
        <v>8</v>
      </c>
      <c r="I254" t="s">
        <v>515</v>
      </c>
      <c r="J254">
        <v>2.5234999999999999</v>
      </c>
      <c r="K254" t="s">
        <v>515</v>
      </c>
      <c r="L254" t="s">
        <v>515</v>
      </c>
      <c r="M254" s="140" t="str">
        <f t="shared" si="25"/>
        <v>NULL</v>
      </c>
      <c r="N254" s="140">
        <f t="shared" si="25"/>
        <v>2.5234999999999999</v>
      </c>
      <c r="O254" s="140" t="str">
        <f t="shared" si="25"/>
        <v>NULL</v>
      </c>
      <c r="P254" s="140" t="str">
        <f t="shared" si="22"/>
        <v>NULL</v>
      </c>
      <c r="Q254" s="161" t="s">
        <v>676</v>
      </c>
      <c r="R254" s="125" t="s">
        <v>676</v>
      </c>
      <c r="S254" t="s">
        <v>676</v>
      </c>
      <c r="T254" t="s">
        <v>515</v>
      </c>
      <c r="U254" t="s">
        <v>515</v>
      </c>
      <c r="V254" s="118" t="s">
        <v>515</v>
      </c>
      <c r="W254">
        <v>40.783552999999998</v>
      </c>
      <c r="X254">
        <v>-85.638116999999994</v>
      </c>
      <c r="Y254">
        <v>8</v>
      </c>
      <c r="Z254">
        <v>4</v>
      </c>
      <c r="AA254">
        <v>2023</v>
      </c>
      <c r="AB254" t="b">
        <v>0</v>
      </c>
      <c r="AC254" s="19">
        <v>45142</v>
      </c>
      <c r="AD254" s="19" t="s">
        <v>515</v>
      </c>
      <c r="AE254" s="230">
        <v>0.66030092592592593</v>
      </c>
      <c r="AF254" s="19">
        <v>45142</v>
      </c>
      <c r="AG254" s="118" t="s">
        <v>515</v>
      </c>
      <c r="AH254" s="118" t="s">
        <v>515</v>
      </c>
      <c r="AI254" s="118">
        <v>740.7</v>
      </c>
      <c r="AJ254" s="118">
        <v>556.4</v>
      </c>
      <c r="AK254" s="118">
        <v>524.5</v>
      </c>
      <c r="AL254" s="118">
        <v>524481</v>
      </c>
      <c r="AM254" s="118">
        <v>0.25</v>
      </c>
      <c r="AN254" s="118">
        <v>521</v>
      </c>
      <c r="AO254" s="21">
        <v>0.33500000000000002</v>
      </c>
      <c r="AP254" s="118">
        <v>0.32800000000000001</v>
      </c>
      <c r="AQ254" s="118">
        <v>0.47399999999999998</v>
      </c>
      <c r="AR254" s="118" t="s">
        <v>515</v>
      </c>
      <c r="AS254" s="118" t="s">
        <v>515</v>
      </c>
      <c r="AT254" s="118" t="s">
        <v>515</v>
      </c>
      <c r="AU254" s="118">
        <v>40.783470000000001</v>
      </c>
      <c r="AV254" s="118">
        <v>-85.638459999999995</v>
      </c>
      <c r="AW254" s="118">
        <v>229.2</v>
      </c>
      <c r="AX254" s="118">
        <v>69.3</v>
      </c>
      <c r="AY254" s="118">
        <v>8.56</v>
      </c>
      <c r="AZ254" s="118">
        <v>-134.30000000000001</v>
      </c>
      <c r="BA254" s="118">
        <v>11.9</v>
      </c>
      <c r="BB254" s="118">
        <v>0</v>
      </c>
      <c r="BC254" s="118">
        <v>28.184000000000001</v>
      </c>
      <c r="BD254" s="118">
        <v>2.87</v>
      </c>
      <c r="BE254" s="118">
        <v>3</v>
      </c>
      <c r="BF254" s="19">
        <v>45142</v>
      </c>
      <c r="BG254" s="118" t="s">
        <v>1865</v>
      </c>
    </row>
    <row r="255" spans="1:59" x14ac:dyDescent="0.25">
      <c r="A255" s="25">
        <v>10254</v>
      </c>
      <c r="B255" t="s">
        <v>277</v>
      </c>
      <c r="C255" t="s">
        <v>277</v>
      </c>
      <c r="D255" s="27">
        <v>3105</v>
      </c>
      <c r="E255" s="27">
        <v>5</v>
      </c>
      <c r="F255" s="118">
        <v>6340</v>
      </c>
      <c r="G255" t="s">
        <v>22</v>
      </c>
      <c r="H255" s="24" t="s">
        <v>8</v>
      </c>
      <c r="I255" t="s">
        <v>515</v>
      </c>
      <c r="J255">
        <v>2.7945000000000002</v>
      </c>
      <c r="K255" t="s">
        <v>515</v>
      </c>
      <c r="L255" t="s">
        <v>515</v>
      </c>
      <c r="M255" s="140" t="str">
        <f t="shared" si="25"/>
        <v>NULL</v>
      </c>
      <c r="N255" s="140">
        <f t="shared" si="25"/>
        <v>2.7945000000000002</v>
      </c>
      <c r="O255" s="140" t="str">
        <f t="shared" si="25"/>
        <v>NULL</v>
      </c>
      <c r="P255" s="140" t="str">
        <f t="shared" si="22"/>
        <v>NULL</v>
      </c>
      <c r="Q255" s="161" t="s">
        <v>676</v>
      </c>
      <c r="R255" s="125" t="s">
        <v>676</v>
      </c>
      <c r="S255" t="s">
        <v>676</v>
      </c>
      <c r="T255" t="s">
        <v>515</v>
      </c>
      <c r="U255" t="s">
        <v>515</v>
      </c>
      <c r="V255" s="118" t="s">
        <v>515</v>
      </c>
      <c r="W255">
        <v>40.774898</v>
      </c>
      <c r="X255">
        <v>-85.623652000000007</v>
      </c>
      <c r="Y255">
        <v>8</v>
      </c>
      <c r="Z255">
        <v>4</v>
      </c>
      <c r="AA255">
        <v>2023</v>
      </c>
      <c r="AB255" t="b">
        <v>0</v>
      </c>
      <c r="AC255" s="19">
        <v>45142</v>
      </c>
      <c r="AD255" s="19" t="s">
        <v>515</v>
      </c>
      <c r="AE255" s="230">
        <v>0.6821180555555556</v>
      </c>
      <c r="AF255" s="19">
        <v>45142</v>
      </c>
      <c r="AG255" s="118" t="s">
        <v>515</v>
      </c>
      <c r="AH255" s="118" t="s">
        <v>515</v>
      </c>
      <c r="AI255" s="118">
        <v>740.5</v>
      </c>
      <c r="AJ255" s="118">
        <v>559.79999999999995</v>
      </c>
      <c r="AK255" s="118">
        <v>523.20000000000005</v>
      </c>
      <c r="AL255" s="118">
        <v>523200</v>
      </c>
      <c r="AM255" s="118">
        <v>0.25</v>
      </c>
      <c r="AN255" s="118">
        <v>519.20000000000005</v>
      </c>
      <c r="AO255" s="21">
        <v>0.435</v>
      </c>
      <c r="AP255" s="118">
        <v>0.438</v>
      </c>
      <c r="AQ255" s="118">
        <v>0.61599999999999999</v>
      </c>
      <c r="AR255" s="118" t="s">
        <v>515</v>
      </c>
      <c r="AS255" s="118" t="s">
        <v>515</v>
      </c>
      <c r="AT255" s="118" t="s">
        <v>515</v>
      </c>
      <c r="AU255" s="118">
        <v>40.774650000000001</v>
      </c>
      <c r="AV255" s="118">
        <v>-85.623630000000006</v>
      </c>
      <c r="AW255" s="118">
        <v>228.7</v>
      </c>
      <c r="AX255" s="118">
        <v>97.2</v>
      </c>
      <c r="AY255" s="118">
        <v>8.69</v>
      </c>
      <c r="AZ255" s="118">
        <v>-142.1</v>
      </c>
      <c r="BA255" s="118">
        <v>11.8</v>
      </c>
      <c r="BB255" s="118">
        <v>0</v>
      </c>
      <c r="BC255" s="118">
        <v>28.664999999999999</v>
      </c>
      <c r="BD255" s="118">
        <v>3.38</v>
      </c>
      <c r="BE255" s="118">
        <v>5</v>
      </c>
      <c r="BF255" s="19">
        <v>45142</v>
      </c>
      <c r="BG255" s="118" t="s">
        <v>1866</v>
      </c>
    </row>
    <row r="256" spans="1:59" x14ac:dyDescent="0.25">
      <c r="A256" s="25">
        <v>10255</v>
      </c>
      <c r="B256" t="s">
        <v>278</v>
      </c>
      <c r="C256" t="s">
        <v>278</v>
      </c>
      <c r="D256" s="27">
        <v>3106</v>
      </c>
      <c r="E256" s="27">
        <v>6</v>
      </c>
      <c r="F256" s="118">
        <v>7900</v>
      </c>
      <c r="G256" t="s">
        <v>22</v>
      </c>
      <c r="H256" s="24" t="s">
        <v>8</v>
      </c>
      <c r="I256" t="s">
        <v>515</v>
      </c>
      <c r="J256">
        <v>2.7524999999999999</v>
      </c>
      <c r="K256" t="s">
        <v>515</v>
      </c>
      <c r="L256" t="s">
        <v>515</v>
      </c>
      <c r="M256" s="140" t="str">
        <f t="shared" si="25"/>
        <v>NULL</v>
      </c>
      <c r="N256" s="140">
        <f t="shared" si="25"/>
        <v>2.7524999999999999</v>
      </c>
      <c r="O256" s="140" t="str">
        <f t="shared" si="25"/>
        <v>NULL</v>
      </c>
      <c r="P256" s="140" t="str">
        <f t="shared" si="22"/>
        <v>NULL</v>
      </c>
      <c r="Q256" s="161" t="s">
        <v>676</v>
      </c>
      <c r="R256" s="125" t="s">
        <v>676</v>
      </c>
      <c r="S256" t="s">
        <v>676</v>
      </c>
      <c r="T256" t="s">
        <v>515</v>
      </c>
      <c r="U256" t="s">
        <v>515</v>
      </c>
      <c r="V256" s="118" t="s">
        <v>515</v>
      </c>
      <c r="W256">
        <v>40.775556000000002</v>
      </c>
      <c r="X256">
        <v>-85.606223999999997</v>
      </c>
      <c r="Y256">
        <v>8</v>
      </c>
      <c r="Z256">
        <v>4</v>
      </c>
      <c r="AA256">
        <v>2023</v>
      </c>
      <c r="AB256" t="b">
        <v>0</v>
      </c>
      <c r="AC256" s="19">
        <v>45142</v>
      </c>
      <c r="AD256" s="19" t="s">
        <v>515</v>
      </c>
      <c r="AE256" s="230">
        <v>0.69452546296296291</v>
      </c>
      <c r="AF256" s="19">
        <v>45142</v>
      </c>
      <c r="AG256" s="118" t="s">
        <v>515</v>
      </c>
      <c r="AH256" s="118" t="s">
        <v>515</v>
      </c>
      <c r="AI256" s="118">
        <v>740.5</v>
      </c>
      <c r="AJ256" s="118">
        <v>557.70000000000005</v>
      </c>
      <c r="AK256" s="118">
        <v>524.4</v>
      </c>
      <c r="AL256" s="118">
        <v>524424</v>
      </c>
      <c r="AM256" s="118">
        <v>0.25</v>
      </c>
      <c r="AN256" s="118">
        <v>520.79999999999995</v>
      </c>
      <c r="AO256" s="21">
        <v>0.33500000000000002</v>
      </c>
      <c r="AP256" s="118">
        <v>0.33200000000000002</v>
      </c>
      <c r="AQ256" s="118">
        <v>0.47499999999999998</v>
      </c>
      <c r="AR256" s="118" t="s">
        <v>515</v>
      </c>
      <c r="AS256" s="118" t="s">
        <v>515</v>
      </c>
      <c r="AT256" s="118" t="s">
        <v>515</v>
      </c>
      <c r="AU256" s="118">
        <v>40.775500000000001</v>
      </c>
      <c r="AV256" s="118">
        <v>-85.606530000000006</v>
      </c>
      <c r="AW256" s="118">
        <v>233</v>
      </c>
      <c r="AX256" s="118">
        <v>73.900000000000006</v>
      </c>
      <c r="AY256" s="118">
        <v>8.74</v>
      </c>
      <c r="AZ256" s="118">
        <v>-144.80000000000001</v>
      </c>
      <c r="BA256" s="118">
        <v>11.8</v>
      </c>
      <c r="BB256" s="118">
        <v>0</v>
      </c>
      <c r="BC256" s="118">
        <v>28.321999999999999</v>
      </c>
      <c r="BD256" s="118">
        <v>2.85</v>
      </c>
      <c r="BE256" s="118">
        <v>3</v>
      </c>
      <c r="BF256" s="19">
        <v>45142</v>
      </c>
      <c r="BG256" s="118" t="s">
        <v>1867</v>
      </c>
    </row>
    <row r="257" spans="1:67" x14ac:dyDescent="0.25">
      <c r="A257" s="25">
        <v>10256</v>
      </c>
      <c r="B257" t="s">
        <v>279</v>
      </c>
      <c r="C257" t="s">
        <v>279</v>
      </c>
      <c r="D257" s="27">
        <v>3107</v>
      </c>
      <c r="E257" s="27">
        <v>7</v>
      </c>
      <c r="F257" s="118">
        <v>10610</v>
      </c>
      <c r="G257" t="s">
        <v>22</v>
      </c>
      <c r="H257" s="24" t="s">
        <v>8</v>
      </c>
      <c r="I257" t="s">
        <v>515</v>
      </c>
      <c r="J257">
        <v>2.3315000000000001</v>
      </c>
      <c r="K257" t="s">
        <v>515</v>
      </c>
      <c r="L257" t="s">
        <v>515</v>
      </c>
      <c r="M257" s="140" t="str">
        <f t="shared" si="25"/>
        <v>NULL</v>
      </c>
      <c r="N257" s="140">
        <f t="shared" si="25"/>
        <v>2.3315000000000001</v>
      </c>
      <c r="O257" s="140" t="str">
        <f t="shared" si="25"/>
        <v>NULL</v>
      </c>
      <c r="P257" s="140" t="str">
        <f t="shared" si="22"/>
        <v>NULL</v>
      </c>
      <c r="Q257" s="161" t="s">
        <v>676</v>
      </c>
      <c r="R257" s="125" t="s">
        <v>676</v>
      </c>
      <c r="S257" t="s">
        <v>676</v>
      </c>
      <c r="T257" t="s">
        <v>515</v>
      </c>
      <c r="U257" t="s">
        <v>515</v>
      </c>
      <c r="V257" s="118" t="s">
        <v>515</v>
      </c>
      <c r="W257">
        <v>40.775584000000002</v>
      </c>
      <c r="X257">
        <v>-85.581607000000005</v>
      </c>
      <c r="Y257">
        <v>8</v>
      </c>
      <c r="Z257">
        <v>4</v>
      </c>
      <c r="AA257">
        <v>2023</v>
      </c>
      <c r="AB257" t="b">
        <v>0</v>
      </c>
      <c r="AC257" s="19">
        <v>45142</v>
      </c>
      <c r="AD257" s="19" t="s">
        <v>515</v>
      </c>
      <c r="AE257" s="230">
        <v>0.70844907407407409</v>
      </c>
      <c r="AF257" s="19">
        <v>45142</v>
      </c>
      <c r="AG257" s="118" t="s">
        <v>515</v>
      </c>
      <c r="AH257" s="118" t="s">
        <v>515</v>
      </c>
      <c r="AI257" s="118">
        <v>740.5</v>
      </c>
      <c r="AJ257" s="118">
        <v>537.29999999999995</v>
      </c>
      <c r="AK257" s="118">
        <v>504.5</v>
      </c>
      <c r="AL257" s="118">
        <v>504501</v>
      </c>
      <c r="AM257" s="118">
        <v>0.24</v>
      </c>
      <c r="AN257" s="118">
        <v>500.9</v>
      </c>
      <c r="AO257" s="21">
        <v>0.46100000000000002</v>
      </c>
      <c r="AP257" s="118">
        <v>0.47399999999999998</v>
      </c>
      <c r="AQ257" s="118">
        <v>0.65300000000000002</v>
      </c>
      <c r="AR257" s="118" t="s">
        <v>515</v>
      </c>
      <c r="AS257" s="118" t="s">
        <v>515</v>
      </c>
      <c r="AT257" s="118" t="s">
        <v>515</v>
      </c>
      <c r="AU257" s="118">
        <v>40.77534</v>
      </c>
      <c r="AV257" s="118">
        <v>-85.581630000000004</v>
      </c>
      <c r="AW257" s="118">
        <v>233.2</v>
      </c>
      <c r="AX257" s="118">
        <v>58.6</v>
      </c>
      <c r="AY257" s="118">
        <v>8.89</v>
      </c>
      <c r="AZ257" s="118">
        <v>-153.4</v>
      </c>
      <c r="BA257" s="118">
        <v>11.8</v>
      </c>
      <c r="BB257" s="118">
        <v>0</v>
      </c>
      <c r="BC257" s="118">
        <v>28.395</v>
      </c>
      <c r="BD257" s="118">
        <v>5.44</v>
      </c>
      <c r="BE257" s="118">
        <v>13</v>
      </c>
      <c r="BF257" s="19">
        <v>45142</v>
      </c>
      <c r="BG257" s="118" t="s">
        <v>1868</v>
      </c>
    </row>
    <row r="258" spans="1:67" x14ac:dyDescent="0.25">
      <c r="A258" s="25">
        <v>10257</v>
      </c>
      <c r="B258" t="s">
        <v>280</v>
      </c>
      <c r="C258" t="s">
        <v>280</v>
      </c>
      <c r="D258" s="27">
        <v>3108</v>
      </c>
      <c r="E258" s="27">
        <v>8</v>
      </c>
      <c r="F258" s="118">
        <v>9370</v>
      </c>
      <c r="G258" t="s">
        <v>22</v>
      </c>
      <c r="H258" s="24" t="s">
        <v>8</v>
      </c>
      <c r="I258" t="s">
        <v>515</v>
      </c>
      <c r="J258">
        <v>2.7509999999999999</v>
      </c>
      <c r="K258" t="s">
        <v>515</v>
      </c>
      <c r="L258" t="s">
        <v>515</v>
      </c>
      <c r="M258" s="140" t="str">
        <f t="shared" ref="M258:O273" si="26">IF(I258&lt;0.1,0.05,I258)</f>
        <v>NULL</v>
      </c>
      <c r="N258" s="140">
        <f t="shared" si="26"/>
        <v>2.7509999999999999</v>
      </c>
      <c r="O258" s="140" t="str">
        <f t="shared" si="26"/>
        <v>NULL</v>
      </c>
      <c r="P258" s="140" t="str">
        <f t="shared" ref="P258:P321" si="27">IF(L258&lt;0.1,0.05,L258)</f>
        <v>NULL</v>
      </c>
      <c r="Q258" s="161" t="s">
        <v>676</v>
      </c>
      <c r="R258" s="125" t="s">
        <v>676</v>
      </c>
      <c r="S258" t="s">
        <v>676</v>
      </c>
      <c r="T258" t="s">
        <v>515</v>
      </c>
      <c r="U258" t="s">
        <v>515</v>
      </c>
      <c r="V258" s="118" t="s">
        <v>515</v>
      </c>
      <c r="W258">
        <v>40.768312999999999</v>
      </c>
      <c r="X258">
        <v>-85.597781999999995</v>
      </c>
      <c r="Y258">
        <v>8</v>
      </c>
      <c r="Z258">
        <v>4</v>
      </c>
      <c r="AA258">
        <v>2023</v>
      </c>
      <c r="AB258" t="b">
        <v>0</v>
      </c>
      <c r="AC258" s="19">
        <v>45142</v>
      </c>
      <c r="AD258" s="19" t="s">
        <v>515</v>
      </c>
      <c r="AE258" s="230">
        <v>0.71996527777777775</v>
      </c>
      <c r="AF258" s="19">
        <v>45142</v>
      </c>
      <c r="AG258" s="118" t="s">
        <v>515</v>
      </c>
      <c r="AH258" s="118" t="s">
        <v>515</v>
      </c>
      <c r="AI258" s="118">
        <v>740.4</v>
      </c>
      <c r="AJ258" s="118">
        <v>555.79999999999995</v>
      </c>
      <c r="AK258" s="118">
        <v>515.4</v>
      </c>
      <c r="AL258" s="118">
        <v>515370</v>
      </c>
      <c r="AM258" s="118">
        <v>0.25</v>
      </c>
      <c r="AN258" s="118">
        <v>510.9</v>
      </c>
      <c r="AO258" s="21">
        <v>0.35</v>
      </c>
      <c r="AP258" s="118">
        <v>0.33100000000000002</v>
      </c>
      <c r="AQ258" s="118">
        <v>0.496</v>
      </c>
      <c r="AR258" s="118" t="s">
        <v>515</v>
      </c>
      <c r="AS258" s="118" t="s">
        <v>515</v>
      </c>
      <c r="AT258" s="118" t="s">
        <v>515</v>
      </c>
      <c r="AU258" s="118">
        <v>40.767949999999999</v>
      </c>
      <c r="AV258" s="118">
        <v>-85.597759999999994</v>
      </c>
      <c r="AW258" s="118">
        <v>230.1</v>
      </c>
      <c r="AX258" s="118">
        <v>66.599999999999994</v>
      </c>
      <c r="AY258" s="118">
        <v>8.8000000000000007</v>
      </c>
      <c r="AZ258" s="118">
        <v>-148.30000000000001</v>
      </c>
      <c r="BA258" s="118">
        <v>11.8</v>
      </c>
      <c r="BB258" s="118">
        <v>0</v>
      </c>
      <c r="BC258" s="118">
        <v>29.105</v>
      </c>
      <c r="BD258" s="118">
        <v>3.55</v>
      </c>
      <c r="BE258" s="118">
        <v>6</v>
      </c>
      <c r="BF258" s="19">
        <v>45142</v>
      </c>
      <c r="BG258" s="118" t="s">
        <v>1869</v>
      </c>
    </row>
    <row r="259" spans="1:67" x14ac:dyDescent="0.25">
      <c r="A259" s="25">
        <v>10258</v>
      </c>
      <c r="B259" t="s">
        <v>281</v>
      </c>
      <c r="C259" t="s">
        <v>281</v>
      </c>
      <c r="D259" s="27">
        <v>3109</v>
      </c>
      <c r="E259" s="27">
        <v>9</v>
      </c>
      <c r="F259" s="118">
        <v>10331</v>
      </c>
      <c r="G259" t="s">
        <v>22</v>
      </c>
      <c r="H259" s="24" t="s">
        <v>8</v>
      </c>
      <c r="I259" t="s">
        <v>515</v>
      </c>
      <c r="J259">
        <v>2.9889999999999999</v>
      </c>
      <c r="K259" t="s">
        <v>515</v>
      </c>
      <c r="L259" t="s">
        <v>515</v>
      </c>
      <c r="M259" s="140" t="str">
        <f t="shared" si="26"/>
        <v>NULL</v>
      </c>
      <c r="N259" s="140">
        <f t="shared" si="26"/>
        <v>2.9889999999999999</v>
      </c>
      <c r="O259" s="140" t="str">
        <f t="shared" si="26"/>
        <v>NULL</v>
      </c>
      <c r="P259" s="140" t="str">
        <f t="shared" si="27"/>
        <v>NULL</v>
      </c>
      <c r="Q259" s="161" t="s">
        <v>676</v>
      </c>
      <c r="R259" s="125" t="s">
        <v>676</v>
      </c>
      <c r="S259" t="s">
        <v>676</v>
      </c>
      <c r="T259" t="s">
        <v>515</v>
      </c>
      <c r="U259" t="s">
        <v>515</v>
      </c>
      <c r="V259" s="118" t="s">
        <v>515</v>
      </c>
      <c r="W259">
        <v>40.757067999999997</v>
      </c>
      <c r="X259">
        <v>-85.595474999999993</v>
      </c>
      <c r="Y259">
        <v>8</v>
      </c>
      <c r="Z259">
        <v>4</v>
      </c>
      <c r="AA259">
        <v>2023</v>
      </c>
      <c r="AB259" t="b">
        <v>0</v>
      </c>
      <c r="AC259" s="19">
        <v>45142</v>
      </c>
      <c r="AD259" s="19" t="s">
        <v>515</v>
      </c>
      <c r="AE259" s="230">
        <v>0.72862268518518514</v>
      </c>
      <c r="AF259" s="19">
        <v>45142</v>
      </c>
      <c r="AG259" s="118" t="s">
        <v>515</v>
      </c>
      <c r="AH259" s="118" t="s">
        <v>515</v>
      </c>
      <c r="AI259" s="118">
        <v>740.5</v>
      </c>
      <c r="AJ259" s="118">
        <v>567.70000000000005</v>
      </c>
      <c r="AK259" s="118">
        <v>519.70000000000005</v>
      </c>
      <c r="AL259" s="118">
        <v>519672</v>
      </c>
      <c r="AM259" s="118">
        <v>0.25</v>
      </c>
      <c r="AN259" s="118">
        <v>514.4</v>
      </c>
      <c r="AO259" s="21">
        <v>0.33200000000000002</v>
      </c>
      <c r="AP259" s="118">
        <v>0.34599999999999997</v>
      </c>
      <c r="AQ259" s="118">
        <v>0.47099999999999997</v>
      </c>
      <c r="AR259" s="118" t="s">
        <v>515</v>
      </c>
      <c r="AS259" s="118" t="s">
        <v>515</v>
      </c>
      <c r="AT259" s="118" t="s">
        <v>515</v>
      </c>
      <c r="AU259" s="118">
        <v>40.756860000000003</v>
      </c>
      <c r="AV259" s="118">
        <v>-85.595489999999998</v>
      </c>
      <c r="AW259" s="118">
        <v>232.9</v>
      </c>
      <c r="AX259" s="118">
        <v>72.8</v>
      </c>
      <c r="AY259" s="118">
        <v>8.76</v>
      </c>
      <c r="AZ259" s="118">
        <v>-146.4</v>
      </c>
      <c r="BA259" s="118">
        <v>11.8</v>
      </c>
      <c r="BB259" s="118">
        <v>0</v>
      </c>
      <c r="BC259" s="118">
        <v>29.841000000000001</v>
      </c>
      <c r="BD259" s="118">
        <v>3.81</v>
      </c>
      <c r="BE259" s="118">
        <v>7</v>
      </c>
      <c r="BF259" s="19">
        <v>45142</v>
      </c>
      <c r="BG259" s="118" t="s">
        <v>1870</v>
      </c>
    </row>
    <row r="260" spans="1:67" x14ac:dyDescent="0.25">
      <c r="A260" s="25">
        <v>10259</v>
      </c>
      <c r="B260" t="s">
        <v>282</v>
      </c>
      <c r="C260" t="s">
        <v>282</v>
      </c>
      <c r="D260" s="27">
        <v>3110</v>
      </c>
      <c r="E260" s="27">
        <v>10</v>
      </c>
      <c r="F260" s="118">
        <v>11270</v>
      </c>
      <c r="G260" t="s">
        <v>22</v>
      </c>
      <c r="H260" s="24" t="s">
        <v>8</v>
      </c>
      <c r="I260" t="s">
        <v>515</v>
      </c>
      <c r="J260">
        <v>3.024</v>
      </c>
      <c r="K260" t="s">
        <v>515</v>
      </c>
      <c r="L260" t="s">
        <v>515</v>
      </c>
      <c r="M260" s="140" t="str">
        <f t="shared" si="26"/>
        <v>NULL</v>
      </c>
      <c r="N260" s="140">
        <f t="shared" si="26"/>
        <v>3.024</v>
      </c>
      <c r="O260" s="140" t="str">
        <f t="shared" si="26"/>
        <v>NULL</v>
      </c>
      <c r="P260" s="140" t="str">
        <f t="shared" si="27"/>
        <v>NULL</v>
      </c>
      <c r="Q260" s="161" t="s">
        <v>676</v>
      </c>
      <c r="R260" s="125" t="s">
        <v>676</v>
      </c>
      <c r="S260" t="s">
        <v>676</v>
      </c>
      <c r="T260" t="s">
        <v>515</v>
      </c>
      <c r="U260" t="s">
        <v>515</v>
      </c>
      <c r="V260" s="118" t="s">
        <v>515</v>
      </c>
      <c r="W260">
        <v>40.755789999999998</v>
      </c>
      <c r="X260">
        <v>-85.582571000000002</v>
      </c>
      <c r="Y260">
        <v>8</v>
      </c>
      <c r="Z260">
        <v>4</v>
      </c>
      <c r="AA260">
        <v>2023</v>
      </c>
      <c r="AB260" t="b">
        <v>0</v>
      </c>
      <c r="AC260" s="19">
        <v>45142</v>
      </c>
      <c r="AD260" s="19" t="s">
        <v>515</v>
      </c>
      <c r="AE260" s="230">
        <v>0.73707175925925927</v>
      </c>
      <c r="AF260" s="19">
        <v>45142</v>
      </c>
      <c r="AG260" s="118" t="s">
        <v>515</v>
      </c>
      <c r="AH260" s="118" t="s">
        <v>515</v>
      </c>
      <c r="AI260" s="118">
        <v>740.5</v>
      </c>
      <c r="AJ260" s="118">
        <v>556.29999999999995</v>
      </c>
      <c r="AK260" s="118">
        <v>516</v>
      </c>
      <c r="AL260" s="118">
        <v>516039</v>
      </c>
      <c r="AM260" s="118">
        <v>0.25</v>
      </c>
      <c r="AN260" s="118">
        <v>511.6</v>
      </c>
      <c r="AO260" s="21">
        <v>0.34899999999999998</v>
      </c>
      <c r="AP260" s="118">
        <v>0.35899999999999999</v>
      </c>
      <c r="AQ260" s="118">
        <v>0.49399999999999999</v>
      </c>
      <c r="AR260" s="118" t="s">
        <v>515</v>
      </c>
      <c r="AS260" s="118" t="s">
        <v>515</v>
      </c>
      <c r="AT260" s="118" t="s">
        <v>515</v>
      </c>
      <c r="AU260" s="118">
        <v>40.755549999999999</v>
      </c>
      <c r="AV260" s="118">
        <v>-85.582579999999993</v>
      </c>
      <c r="AW260" s="118">
        <v>231.6</v>
      </c>
      <c r="AX260" s="118">
        <v>78.5</v>
      </c>
      <c r="AY260" s="118">
        <v>8.92</v>
      </c>
      <c r="AZ260" s="118">
        <v>-155.30000000000001</v>
      </c>
      <c r="BA260" s="118">
        <v>11.9</v>
      </c>
      <c r="BB260" s="118">
        <v>0</v>
      </c>
      <c r="BC260" s="118">
        <v>29.079000000000001</v>
      </c>
      <c r="BD260" s="118">
        <v>6.1</v>
      </c>
      <c r="BE260" s="118">
        <v>15</v>
      </c>
      <c r="BF260" s="19">
        <v>45142</v>
      </c>
      <c r="BG260" s="118" t="s">
        <v>1871</v>
      </c>
    </row>
    <row r="261" spans="1:67" x14ac:dyDescent="0.25">
      <c r="A261" s="25">
        <v>10260</v>
      </c>
      <c r="B261" t="s">
        <v>283</v>
      </c>
      <c r="C261" t="s">
        <v>283</v>
      </c>
      <c r="D261" s="27">
        <v>3111</v>
      </c>
      <c r="E261" s="27">
        <v>11</v>
      </c>
      <c r="F261" s="118" t="s">
        <v>515</v>
      </c>
      <c r="G261" t="s">
        <v>22</v>
      </c>
      <c r="H261" s="24" t="s">
        <v>8</v>
      </c>
      <c r="I261" t="s">
        <v>515</v>
      </c>
      <c r="J261">
        <v>2.3935</v>
      </c>
      <c r="K261" t="s">
        <v>515</v>
      </c>
      <c r="L261" t="s">
        <v>515</v>
      </c>
      <c r="M261" s="140" t="str">
        <f t="shared" si="26"/>
        <v>NULL</v>
      </c>
      <c r="N261" s="140">
        <f t="shared" si="26"/>
        <v>2.3935</v>
      </c>
      <c r="O261" s="140" t="str">
        <f t="shared" si="26"/>
        <v>NULL</v>
      </c>
      <c r="P261" s="140" t="str">
        <f t="shared" si="27"/>
        <v>NULL</v>
      </c>
      <c r="Q261" s="161" t="s">
        <v>676</v>
      </c>
      <c r="R261" s="125" t="s">
        <v>676</v>
      </c>
      <c r="S261" t="s">
        <v>676</v>
      </c>
      <c r="T261" t="s">
        <v>515</v>
      </c>
      <c r="U261" t="s">
        <v>515</v>
      </c>
      <c r="V261" s="118" t="s">
        <v>515</v>
      </c>
      <c r="W261">
        <v>40.745711999999997</v>
      </c>
      <c r="X261">
        <v>-85.569688999999997</v>
      </c>
      <c r="Y261">
        <v>8</v>
      </c>
      <c r="Z261">
        <v>4</v>
      </c>
      <c r="AA261">
        <v>2023</v>
      </c>
      <c r="AB261" t="b">
        <v>0</v>
      </c>
      <c r="AC261" s="19">
        <v>45142</v>
      </c>
      <c r="AD261" s="19" t="s">
        <v>515</v>
      </c>
      <c r="AE261" s="230">
        <v>0.74732638888888892</v>
      </c>
      <c r="AF261" s="19">
        <v>45142</v>
      </c>
      <c r="AG261" s="118" t="s">
        <v>515</v>
      </c>
      <c r="AH261" s="118" t="s">
        <v>515</v>
      </c>
      <c r="AI261" s="118">
        <v>740.5</v>
      </c>
      <c r="AJ261" s="118">
        <v>586.70000000000005</v>
      </c>
      <c r="AK261" s="118">
        <v>535.20000000000005</v>
      </c>
      <c r="AL261" s="118">
        <v>535164</v>
      </c>
      <c r="AM261" s="118">
        <v>0.26</v>
      </c>
      <c r="AN261" s="118">
        <v>529.4</v>
      </c>
      <c r="AO261" s="21">
        <v>0.42899999999999999</v>
      </c>
      <c r="AP261" s="118">
        <v>0.42499999999999999</v>
      </c>
      <c r="AQ261" s="118">
        <v>0.60799999999999998</v>
      </c>
      <c r="AR261" s="118" t="s">
        <v>515</v>
      </c>
      <c r="AS261" s="118" t="s">
        <v>515</v>
      </c>
      <c r="AT261" s="118" t="s">
        <v>515</v>
      </c>
      <c r="AU261" s="118">
        <v>40.745460000000001</v>
      </c>
      <c r="AV261" s="118">
        <v>-85.569689999999994</v>
      </c>
      <c r="AW261" s="118">
        <v>229.3</v>
      </c>
      <c r="AX261" s="118">
        <v>68.599999999999994</v>
      </c>
      <c r="AY261" s="118">
        <v>8.8699999999999992</v>
      </c>
      <c r="AZ261" s="118">
        <v>-152.6</v>
      </c>
      <c r="BA261" s="118">
        <v>11.8</v>
      </c>
      <c r="BB261" s="118">
        <v>0</v>
      </c>
      <c r="BC261" s="118">
        <v>30.042999999999999</v>
      </c>
      <c r="BD261" s="118">
        <v>8.1</v>
      </c>
      <c r="BE261" s="118">
        <v>21</v>
      </c>
      <c r="BF261" s="19">
        <v>45142</v>
      </c>
      <c r="BG261" s="118" t="s">
        <v>1872</v>
      </c>
    </row>
    <row r="262" spans="1:67" x14ac:dyDescent="0.25">
      <c r="A262" s="25">
        <v>10261</v>
      </c>
      <c r="B262" t="s">
        <v>284</v>
      </c>
      <c r="C262" t="s">
        <v>284</v>
      </c>
      <c r="D262" s="27">
        <v>3112</v>
      </c>
      <c r="E262" s="27">
        <v>12</v>
      </c>
      <c r="F262" s="118" t="s">
        <v>515</v>
      </c>
      <c r="G262" t="s">
        <v>22</v>
      </c>
      <c r="H262" s="24" t="s">
        <v>8</v>
      </c>
      <c r="I262" t="s">
        <v>515</v>
      </c>
      <c r="J262">
        <v>1.2909999999999999</v>
      </c>
      <c r="K262" t="s">
        <v>515</v>
      </c>
      <c r="L262" t="s">
        <v>515</v>
      </c>
      <c r="M262" s="140" t="str">
        <f t="shared" si="26"/>
        <v>NULL</v>
      </c>
      <c r="N262" s="140">
        <f t="shared" si="26"/>
        <v>1.2909999999999999</v>
      </c>
      <c r="O262" s="140" t="str">
        <f t="shared" si="26"/>
        <v>NULL</v>
      </c>
      <c r="P262" s="140" t="str">
        <f t="shared" si="27"/>
        <v>NULL</v>
      </c>
      <c r="Q262" s="161" t="s">
        <v>676</v>
      </c>
      <c r="R262" s="125" t="s">
        <v>676</v>
      </c>
      <c r="S262" t="s">
        <v>676</v>
      </c>
      <c r="T262" t="s">
        <v>515</v>
      </c>
      <c r="U262" t="s">
        <v>515</v>
      </c>
      <c r="V262" s="118" t="s">
        <v>515</v>
      </c>
      <c r="W262">
        <v>40.747199999999999</v>
      </c>
      <c r="X262">
        <v>-85.549642000000006</v>
      </c>
      <c r="Y262">
        <v>8</v>
      </c>
      <c r="Z262">
        <v>4</v>
      </c>
      <c r="AA262">
        <v>2023</v>
      </c>
      <c r="AB262" t="b">
        <v>0</v>
      </c>
      <c r="AC262" s="19">
        <v>45142</v>
      </c>
      <c r="AD262" s="19" t="s">
        <v>515</v>
      </c>
      <c r="AE262" s="230">
        <v>0.75601851851851853</v>
      </c>
      <c r="AF262" s="19">
        <v>45142</v>
      </c>
      <c r="AG262" s="118" t="s">
        <v>515</v>
      </c>
      <c r="AH262" s="118" t="s">
        <v>515</v>
      </c>
      <c r="AI262" s="118">
        <v>740.5</v>
      </c>
      <c r="AJ262" s="118">
        <v>616.9</v>
      </c>
      <c r="AK262" s="118">
        <v>563.20000000000005</v>
      </c>
      <c r="AL262" s="118">
        <v>563215</v>
      </c>
      <c r="AM262" s="118">
        <v>0.27</v>
      </c>
      <c r="AN262" s="118">
        <v>557.29999999999995</v>
      </c>
      <c r="AO262" s="21">
        <v>0.439</v>
      </c>
      <c r="AP262" s="118">
        <v>0.42099999999999999</v>
      </c>
      <c r="AQ262" s="118">
        <v>0.622</v>
      </c>
      <c r="AR262" s="118" t="s">
        <v>515</v>
      </c>
      <c r="AS262" s="118" t="s">
        <v>515</v>
      </c>
      <c r="AT262" s="118" t="s">
        <v>515</v>
      </c>
      <c r="AU262" s="118">
        <v>40.747430000000001</v>
      </c>
      <c r="AV262" s="118">
        <v>-85.549539999999993</v>
      </c>
      <c r="AW262" s="118">
        <v>230.2</v>
      </c>
      <c r="AX262" s="118">
        <v>82.1</v>
      </c>
      <c r="AY262" s="118">
        <v>8.75</v>
      </c>
      <c r="AZ262" s="118">
        <v>-145.5</v>
      </c>
      <c r="BA262" s="118">
        <v>11.8</v>
      </c>
      <c r="BB262" s="118">
        <v>0</v>
      </c>
      <c r="BC262" s="118">
        <v>29.986999999999998</v>
      </c>
      <c r="BD262" s="118">
        <v>18.989999999999998</v>
      </c>
      <c r="BE262" s="118">
        <v>49</v>
      </c>
      <c r="BF262" s="19">
        <v>45142</v>
      </c>
      <c r="BG262" s="118" t="s">
        <v>1873</v>
      </c>
    </row>
    <row r="263" spans="1:67" x14ac:dyDescent="0.25">
      <c r="A263" s="25">
        <v>10262</v>
      </c>
      <c r="B263" t="s">
        <v>285</v>
      </c>
      <c r="C263" t="s">
        <v>285</v>
      </c>
      <c r="D263" s="27">
        <v>3113</v>
      </c>
      <c r="E263" s="27">
        <v>13</v>
      </c>
      <c r="F263" s="118">
        <v>5180</v>
      </c>
      <c r="G263" t="s">
        <v>22</v>
      </c>
      <c r="H263" s="34" t="s">
        <v>8</v>
      </c>
      <c r="I263" t="s">
        <v>515</v>
      </c>
      <c r="J263">
        <v>2.6970000000000001</v>
      </c>
      <c r="K263" t="s">
        <v>515</v>
      </c>
      <c r="L263" t="s">
        <v>515</v>
      </c>
      <c r="M263" s="140" t="str">
        <f t="shared" si="26"/>
        <v>NULL</v>
      </c>
      <c r="N263" s="140">
        <f t="shared" si="26"/>
        <v>2.6970000000000001</v>
      </c>
      <c r="O263" s="140" t="str">
        <f t="shared" si="26"/>
        <v>NULL</v>
      </c>
      <c r="P263" s="140" t="str">
        <f t="shared" si="27"/>
        <v>NULL</v>
      </c>
      <c r="Q263" s="161" t="s">
        <v>676</v>
      </c>
      <c r="R263" s="125" t="s">
        <v>676</v>
      </c>
      <c r="S263" t="s">
        <v>676</v>
      </c>
      <c r="T263" t="s">
        <v>515</v>
      </c>
      <c r="U263" t="s">
        <v>515</v>
      </c>
      <c r="V263" s="118" t="s">
        <v>515</v>
      </c>
      <c r="W263">
        <v>40.780724999999997</v>
      </c>
      <c r="X263">
        <v>-85.637589000000006</v>
      </c>
      <c r="Y263">
        <v>8</v>
      </c>
      <c r="Z263">
        <v>4</v>
      </c>
      <c r="AA263">
        <v>2023</v>
      </c>
      <c r="AB263" t="b">
        <v>0</v>
      </c>
      <c r="AC263" s="19">
        <v>45142</v>
      </c>
      <c r="AD263" s="19" t="s">
        <v>515</v>
      </c>
      <c r="AE263" s="230">
        <v>0.67262731481481486</v>
      </c>
      <c r="AF263" s="19">
        <v>45142</v>
      </c>
      <c r="AG263" s="118" t="s">
        <v>515</v>
      </c>
      <c r="AH263" s="118" t="s">
        <v>515</v>
      </c>
      <c r="AI263" s="118">
        <v>740.6</v>
      </c>
      <c r="AJ263" s="118">
        <v>560.9</v>
      </c>
      <c r="AK263" s="118">
        <v>524.79999999999995</v>
      </c>
      <c r="AL263" s="118">
        <v>524841</v>
      </c>
      <c r="AM263" s="118">
        <v>0.25</v>
      </c>
      <c r="AN263" s="118">
        <v>520.9</v>
      </c>
      <c r="AO263" s="21">
        <v>0.26900000000000002</v>
      </c>
      <c r="AP263" s="118">
        <v>0.28000000000000003</v>
      </c>
      <c r="AQ263" s="118">
        <v>0.38200000000000001</v>
      </c>
      <c r="AR263" s="118" t="s">
        <v>515</v>
      </c>
      <c r="AS263" s="118" t="s">
        <v>515</v>
      </c>
      <c r="AT263" s="118" t="s">
        <v>515</v>
      </c>
      <c r="AU263" s="118">
        <v>40.78049</v>
      </c>
      <c r="AV263" s="118">
        <v>-85.63758</v>
      </c>
      <c r="AW263" s="118">
        <v>229.6</v>
      </c>
      <c r="AX263" s="118">
        <v>55</v>
      </c>
      <c r="AY263" s="118">
        <v>8.57</v>
      </c>
      <c r="AZ263" s="118">
        <v>-135.19999999999999</v>
      </c>
      <c r="BA263" s="118">
        <v>11.8</v>
      </c>
      <c r="BB263" s="118">
        <v>0</v>
      </c>
      <c r="BC263" s="118">
        <v>28.594000000000001</v>
      </c>
      <c r="BD263" s="118">
        <v>2.97</v>
      </c>
      <c r="BE263" s="118">
        <v>4</v>
      </c>
      <c r="BF263" s="19">
        <v>45142</v>
      </c>
      <c r="BG263" s="118" t="s">
        <v>1874</v>
      </c>
    </row>
    <row r="264" spans="1:67" x14ac:dyDescent="0.25">
      <c r="A264" s="25">
        <v>10263</v>
      </c>
      <c r="B264" t="s">
        <v>286</v>
      </c>
      <c r="C264" t="s">
        <v>578</v>
      </c>
      <c r="D264" s="27">
        <v>1101</v>
      </c>
      <c r="E264" s="27">
        <v>1</v>
      </c>
      <c r="F264" s="118" t="s">
        <v>515</v>
      </c>
      <c r="G264" t="s">
        <v>514</v>
      </c>
      <c r="H264" s="34" t="s">
        <v>8</v>
      </c>
      <c r="I264" t="s">
        <v>515</v>
      </c>
      <c r="J264">
        <v>0.03</v>
      </c>
      <c r="K264" t="s">
        <v>515</v>
      </c>
      <c r="L264" t="s">
        <v>515</v>
      </c>
      <c r="M264" s="140" t="str">
        <f t="shared" si="26"/>
        <v>NULL</v>
      </c>
      <c r="N264" s="140">
        <f t="shared" si="26"/>
        <v>0.05</v>
      </c>
      <c r="O264" s="140" t="str">
        <f t="shared" si="26"/>
        <v>NULL</v>
      </c>
      <c r="P264" s="140" t="str">
        <f t="shared" si="27"/>
        <v>NULL</v>
      </c>
      <c r="Q264" s="161" t="s">
        <v>676</v>
      </c>
      <c r="R264" s="125" t="s">
        <v>676</v>
      </c>
      <c r="S264" t="s">
        <v>676</v>
      </c>
      <c r="T264" t="s">
        <v>515</v>
      </c>
      <c r="U264" t="s">
        <v>515</v>
      </c>
      <c r="V264" s="118" t="s">
        <v>515</v>
      </c>
      <c r="W264">
        <v>40.73124</v>
      </c>
      <c r="X264">
        <v>-86.755099999999999</v>
      </c>
      <c r="Y264">
        <v>9</v>
      </c>
      <c r="Z264">
        <v>22</v>
      </c>
      <c r="AA264">
        <v>2023</v>
      </c>
      <c r="AB264" t="b">
        <v>0</v>
      </c>
      <c r="AC264" s="19">
        <v>45191</v>
      </c>
      <c r="AD264" s="19" t="s">
        <v>515</v>
      </c>
      <c r="AE264" s="118" t="s">
        <v>515</v>
      </c>
      <c r="AF264" s="118" t="s">
        <v>515</v>
      </c>
      <c r="AG264" s="118" t="s">
        <v>515</v>
      </c>
      <c r="AH264" s="118" t="s">
        <v>515</v>
      </c>
      <c r="AI264" s="118" t="s">
        <v>515</v>
      </c>
      <c r="AJ264" s="118" t="s">
        <v>515</v>
      </c>
      <c r="AK264" s="118" t="s">
        <v>515</v>
      </c>
      <c r="AL264" s="118" t="s">
        <v>515</v>
      </c>
      <c r="AM264" s="118" t="s">
        <v>515</v>
      </c>
      <c r="AN264" s="118" t="s">
        <v>515</v>
      </c>
      <c r="AO264" s="21" t="s">
        <v>515</v>
      </c>
      <c r="AP264" s="118" t="s">
        <v>515</v>
      </c>
      <c r="AQ264" s="118" t="s">
        <v>515</v>
      </c>
      <c r="AR264" s="118" t="s">
        <v>515</v>
      </c>
      <c r="AS264" s="118" t="s">
        <v>515</v>
      </c>
      <c r="AT264" s="118" t="s">
        <v>515</v>
      </c>
      <c r="AU264" s="118" t="s">
        <v>515</v>
      </c>
      <c r="AV264" s="118" t="s">
        <v>515</v>
      </c>
      <c r="AW264" s="118" t="s">
        <v>515</v>
      </c>
      <c r="AX264" s="118" t="s">
        <v>515</v>
      </c>
      <c r="AY264" s="118" t="s">
        <v>515</v>
      </c>
      <c r="AZ264" s="118" t="s">
        <v>515</v>
      </c>
      <c r="BA264" s="118" t="s">
        <v>515</v>
      </c>
      <c r="BB264" s="118" t="s">
        <v>515</v>
      </c>
      <c r="BC264" s="118" t="s">
        <v>515</v>
      </c>
      <c r="BD264" s="118" t="s">
        <v>515</v>
      </c>
      <c r="BE264" s="118" t="s">
        <v>515</v>
      </c>
      <c r="BF264" s="118" t="s">
        <v>515</v>
      </c>
      <c r="BG264" s="118" t="s">
        <v>515</v>
      </c>
    </row>
    <row r="265" spans="1:67" x14ac:dyDescent="0.25">
      <c r="A265" s="25">
        <v>10264</v>
      </c>
      <c r="B265" t="s">
        <v>287</v>
      </c>
      <c r="C265" t="s">
        <v>579</v>
      </c>
      <c r="D265" s="27">
        <v>1102</v>
      </c>
      <c r="E265" s="27">
        <v>2</v>
      </c>
      <c r="F265" s="118" t="s">
        <v>515</v>
      </c>
      <c r="G265" t="s">
        <v>514</v>
      </c>
      <c r="H265" s="34" t="s">
        <v>8</v>
      </c>
      <c r="I265" t="s">
        <v>515</v>
      </c>
      <c r="J265">
        <v>2.8500000000000001E-2</v>
      </c>
      <c r="K265" t="s">
        <v>515</v>
      </c>
      <c r="L265" t="s">
        <v>515</v>
      </c>
      <c r="M265" s="140" t="str">
        <f t="shared" si="26"/>
        <v>NULL</v>
      </c>
      <c r="N265" s="140">
        <f t="shared" si="26"/>
        <v>0.05</v>
      </c>
      <c r="O265" s="140" t="str">
        <f t="shared" si="26"/>
        <v>NULL</v>
      </c>
      <c r="P265" s="140" t="str">
        <f t="shared" si="27"/>
        <v>NULL</v>
      </c>
      <c r="Q265" s="161" t="s">
        <v>676</v>
      </c>
      <c r="R265" s="125" t="s">
        <v>676</v>
      </c>
      <c r="S265" t="s">
        <v>676</v>
      </c>
      <c r="T265" t="s">
        <v>515</v>
      </c>
      <c r="U265" t="s">
        <v>515</v>
      </c>
      <c r="V265" s="118" t="s">
        <v>515</v>
      </c>
      <c r="W265">
        <v>40.723280000000003</v>
      </c>
      <c r="X265">
        <v>-86.756259999999997</v>
      </c>
      <c r="Y265">
        <v>9</v>
      </c>
      <c r="Z265">
        <v>22</v>
      </c>
      <c r="AA265">
        <v>2023</v>
      </c>
      <c r="AB265" t="b">
        <v>0</v>
      </c>
      <c r="AC265" s="19">
        <v>45191</v>
      </c>
      <c r="AD265" s="19" t="s">
        <v>515</v>
      </c>
      <c r="AE265" s="118" t="s">
        <v>515</v>
      </c>
      <c r="AF265" s="118" t="s">
        <v>515</v>
      </c>
      <c r="AG265" s="118" t="s">
        <v>515</v>
      </c>
      <c r="AH265" s="118" t="s">
        <v>515</v>
      </c>
      <c r="AI265" s="118" t="s">
        <v>515</v>
      </c>
      <c r="AJ265" s="118" t="s">
        <v>515</v>
      </c>
      <c r="AK265" s="118" t="s">
        <v>515</v>
      </c>
      <c r="AL265" s="118" t="s">
        <v>515</v>
      </c>
      <c r="AM265" s="118" t="s">
        <v>515</v>
      </c>
      <c r="AN265" s="118" t="s">
        <v>515</v>
      </c>
      <c r="AO265" s="21" t="s">
        <v>515</v>
      </c>
      <c r="AP265" s="118" t="s">
        <v>515</v>
      </c>
      <c r="AQ265" s="118" t="s">
        <v>515</v>
      </c>
      <c r="AR265" s="118" t="s">
        <v>515</v>
      </c>
      <c r="AS265" s="118" t="s">
        <v>515</v>
      </c>
      <c r="AT265" s="118" t="s">
        <v>515</v>
      </c>
      <c r="AU265" s="118" t="s">
        <v>515</v>
      </c>
      <c r="AV265" s="118" t="s">
        <v>515</v>
      </c>
      <c r="AW265" s="118" t="s">
        <v>515</v>
      </c>
      <c r="AX265" s="118" t="s">
        <v>515</v>
      </c>
      <c r="AY265" s="118" t="s">
        <v>515</v>
      </c>
      <c r="AZ265" s="118" t="s">
        <v>515</v>
      </c>
      <c r="BA265" s="118" t="s">
        <v>515</v>
      </c>
      <c r="BB265" s="118" t="s">
        <v>515</v>
      </c>
      <c r="BC265" s="118" t="s">
        <v>515</v>
      </c>
      <c r="BD265" s="118" t="s">
        <v>515</v>
      </c>
      <c r="BE265" s="118" t="s">
        <v>515</v>
      </c>
      <c r="BF265" s="118" t="s">
        <v>515</v>
      </c>
      <c r="BG265" s="118" t="s">
        <v>515</v>
      </c>
    </row>
    <row r="266" spans="1:67" x14ac:dyDescent="0.25">
      <c r="A266" s="25">
        <v>10265</v>
      </c>
      <c r="B266" t="s">
        <v>288</v>
      </c>
      <c r="C266" t="s">
        <v>580</v>
      </c>
      <c r="D266" s="27">
        <v>1103</v>
      </c>
      <c r="E266" s="27">
        <v>3</v>
      </c>
      <c r="F266" s="118" t="s">
        <v>515</v>
      </c>
      <c r="G266" t="s">
        <v>514</v>
      </c>
      <c r="H266" s="34" t="s">
        <v>8</v>
      </c>
      <c r="I266" t="s">
        <v>515</v>
      </c>
      <c r="J266">
        <v>1.6500000000000001E-2</v>
      </c>
      <c r="K266" t="s">
        <v>515</v>
      </c>
      <c r="L266" t="s">
        <v>515</v>
      </c>
      <c r="M266" s="140" t="str">
        <f t="shared" si="26"/>
        <v>NULL</v>
      </c>
      <c r="N266" s="140">
        <f t="shared" si="26"/>
        <v>0.05</v>
      </c>
      <c r="O266" s="140" t="str">
        <f t="shared" si="26"/>
        <v>NULL</v>
      </c>
      <c r="P266" s="140" t="str">
        <f t="shared" si="27"/>
        <v>NULL</v>
      </c>
      <c r="Q266" s="161" t="s">
        <v>676</v>
      </c>
      <c r="R266" s="125" t="s">
        <v>676</v>
      </c>
      <c r="S266" t="s">
        <v>676</v>
      </c>
      <c r="T266" t="s">
        <v>515</v>
      </c>
      <c r="U266" t="s">
        <v>515</v>
      </c>
      <c r="V266" s="118" t="s">
        <v>515</v>
      </c>
      <c r="W266">
        <v>40.710569999999997</v>
      </c>
      <c r="X266">
        <v>-86.755129999999994</v>
      </c>
      <c r="Y266">
        <v>9</v>
      </c>
      <c r="Z266">
        <v>22</v>
      </c>
      <c r="AA266">
        <v>2023</v>
      </c>
      <c r="AB266" t="b">
        <v>0</v>
      </c>
      <c r="AC266" s="19">
        <v>45191</v>
      </c>
      <c r="AD266" s="19" t="s">
        <v>515</v>
      </c>
      <c r="AE266" s="118" t="s">
        <v>515</v>
      </c>
      <c r="AF266" s="118" t="s">
        <v>515</v>
      </c>
      <c r="AG266" s="118" t="s">
        <v>515</v>
      </c>
      <c r="AH266" s="118" t="s">
        <v>515</v>
      </c>
      <c r="AI266" s="118" t="s">
        <v>515</v>
      </c>
      <c r="AJ266" s="118" t="s">
        <v>515</v>
      </c>
      <c r="AK266" s="118" t="s">
        <v>515</v>
      </c>
      <c r="AL266" s="118" t="s">
        <v>515</v>
      </c>
      <c r="AM266" s="118" t="s">
        <v>515</v>
      </c>
      <c r="AN266" s="118" t="s">
        <v>515</v>
      </c>
      <c r="AO266" s="21" t="s">
        <v>515</v>
      </c>
      <c r="AP266" s="118" t="s">
        <v>515</v>
      </c>
      <c r="AQ266" s="118" t="s">
        <v>515</v>
      </c>
      <c r="AR266" s="118" t="s">
        <v>515</v>
      </c>
      <c r="AS266" s="118" t="s">
        <v>515</v>
      </c>
      <c r="AT266" s="118" t="s">
        <v>515</v>
      </c>
      <c r="AU266" s="118" t="s">
        <v>515</v>
      </c>
      <c r="AV266" s="118" t="s">
        <v>515</v>
      </c>
      <c r="AW266" s="118" t="s">
        <v>515</v>
      </c>
      <c r="AX266" s="118" t="s">
        <v>515</v>
      </c>
      <c r="AY266" s="118" t="s">
        <v>515</v>
      </c>
      <c r="AZ266" s="118" t="s">
        <v>515</v>
      </c>
      <c r="BA266" s="118" t="s">
        <v>515</v>
      </c>
      <c r="BB266" s="118" t="s">
        <v>515</v>
      </c>
      <c r="BC266" s="118" t="s">
        <v>515</v>
      </c>
      <c r="BD266" s="118" t="s">
        <v>515</v>
      </c>
      <c r="BE266" s="118" t="s">
        <v>515</v>
      </c>
      <c r="BF266" s="118" t="s">
        <v>515</v>
      </c>
      <c r="BG266" s="118" t="s">
        <v>515</v>
      </c>
    </row>
    <row r="267" spans="1:67" s="51" customFormat="1" x14ac:dyDescent="0.25">
      <c r="A267" s="47">
        <v>10266</v>
      </c>
      <c r="B267" s="48" t="s">
        <v>289</v>
      </c>
      <c r="C267" s="48" t="s">
        <v>581</v>
      </c>
      <c r="D267" s="49">
        <v>1111</v>
      </c>
      <c r="E267" s="49">
        <v>11</v>
      </c>
      <c r="F267" s="118" t="s">
        <v>515</v>
      </c>
      <c r="G267" s="48" t="s">
        <v>514</v>
      </c>
      <c r="H267" s="50" t="s">
        <v>8</v>
      </c>
      <c r="I267" s="51" t="s">
        <v>515</v>
      </c>
      <c r="J267" s="51">
        <v>0.48299999999999998</v>
      </c>
      <c r="K267" s="51" t="s">
        <v>515</v>
      </c>
      <c r="L267" s="51" t="s">
        <v>515</v>
      </c>
      <c r="M267" s="140" t="str">
        <f t="shared" si="26"/>
        <v>NULL</v>
      </c>
      <c r="N267" s="140">
        <f t="shared" si="26"/>
        <v>0.48299999999999998</v>
      </c>
      <c r="O267" s="140" t="str">
        <f t="shared" si="26"/>
        <v>NULL</v>
      </c>
      <c r="P267" s="140" t="str">
        <f t="shared" si="27"/>
        <v>NULL</v>
      </c>
      <c r="Q267" s="164" t="s">
        <v>676</v>
      </c>
      <c r="R267" s="130" t="s">
        <v>676</v>
      </c>
      <c r="S267" s="51" t="s">
        <v>676</v>
      </c>
      <c r="T267" s="51" t="s">
        <v>515</v>
      </c>
      <c r="U267" s="51" t="s">
        <v>515</v>
      </c>
      <c r="V267" s="51" t="s">
        <v>515</v>
      </c>
      <c r="W267" s="51">
        <v>40.698450000000001</v>
      </c>
      <c r="X267" s="51">
        <v>-86.761899</v>
      </c>
      <c r="Y267" s="51">
        <v>9</v>
      </c>
      <c r="Z267" s="51">
        <v>22</v>
      </c>
      <c r="AA267" s="51">
        <v>2023</v>
      </c>
      <c r="AB267" s="51" t="b">
        <v>0</v>
      </c>
      <c r="AC267" s="52">
        <v>45191</v>
      </c>
      <c r="AD267" s="52" t="s">
        <v>515</v>
      </c>
      <c r="AE267" s="118" t="s">
        <v>515</v>
      </c>
      <c r="AF267" s="118" t="s">
        <v>515</v>
      </c>
      <c r="AG267" s="118" t="s">
        <v>515</v>
      </c>
      <c r="AH267" s="118" t="s">
        <v>515</v>
      </c>
      <c r="AI267" s="118" t="s">
        <v>515</v>
      </c>
      <c r="AJ267" s="118" t="s">
        <v>515</v>
      </c>
      <c r="AK267" s="118" t="s">
        <v>515</v>
      </c>
      <c r="AL267" s="118" t="s">
        <v>515</v>
      </c>
      <c r="AM267" s="118" t="s">
        <v>515</v>
      </c>
      <c r="AN267" s="118" t="s">
        <v>515</v>
      </c>
      <c r="AO267" s="21" t="s">
        <v>515</v>
      </c>
      <c r="AP267" s="118" t="s">
        <v>515</v>
      </c>
      <c r="AQ267" s="118" t="s">
        <v>515</v>
      </c>
      <c r="AR267" s="118" t="s">
        <v>515</v>
      </c>
      <c r="AS267" s="118" t="s">
        <v>515</v>
      </c>
      <c r="AT267" s="118" t="s">
        <v>515</v>
      </c>
      <c r="AU267" s="118" t="s">
        <v>515</v>
      </c>
      <c r="AV267" s="118" t="s">
        <v>515</v>
      </c>
      <c r="AW267" s="118" t="s">
        <v>515</v>
      </c>
      <c r="AX267" s="118" t="s">
        <v>515</v>
      </c>
      <c r="AY267" s="118" t="s">
        <v>515</v>
      </c>
      <c r="AZ267" s="118" t="s">
        <v>515</v>
      </c>
      <c r="BA267" s="118" t="s">
        <v>515</v>
      </c>
      <c r="BB267" s="118" t="s">
        <v>515</v>
      </c>
      <c r="BC267" s="118" t="s">
        <v>515</v>
      </c>
      <c r="BD267" s="118" t="s">
        <v>515</v>
      </c>
      <c r="BE267" s="118" t="s">
        <v>515</v>
      </c>
      <c r="BF267" s="118" t="s">
        <v>515</v>
      </c>
      <c r="BG267" s="118" t="s">
        <v>515</v>
      </c>
    </row>
    <row r="268" spans="1:67" x14ac:dyDescent="0.25">
      <c r="A268" s="25">
        <v>10267</v>
      </c>
      <c r="B268" s="26" t="s">
        <v>293</v>
      </c>
      <c r="C268" s="26" t="s">
        <v>293</v>
      </c>
      <c r="D268" s="30" t="s">
        <v>462</v>
      </c>
      <c r="E268" s="30">
        <v>1</v>
      </c>
      <c r="F268" s="118">
        <v>5999</v>
      </c>
      <c r="G268" s="26" t="s">
        <v>19</v>
      </c>
      <c r="H268" s="26" t="s">
        <v>8</v>
      </c>
      <c r="I268" t="s">
        <v>515</v>
      </c>
      <c r="J268" t="s">
        <v>515</v>
      </c>
      <c r="K268" t="s">
        <v>515</v>
      </c>
      <c r="L268" t="s">
        <v>515</v>
      </c>
      <c r="M268" s="140" t="str">
        <f t="shared" si="26"/>
        <v>NULL</v>
      </c>
      <c r="N268" s="140" t="str">
        <f t="shared" si="26"/>
        <v>NULL</v>
      </c>
      <c r="O268" s="140" t="str">
        <f t="shared" si="26"/>
        <v>NULL</v>
      </c>
      <c r="P268" s="140" t="str">
        <f t="shared" si="27"/>
        <v>NULL</v>
      </c>
      <c r="Q268" s="161" t="s">
        <v>515</v>
      </c>
      <c r="R268" s="125" t="s">
        <v>515</v>
      </c>
      <c r="S268" t="s">
        <v>515</v>
      </c>
      <c r="T268" t="s">
        <v>515</v>
      </c>
      <c r="U268" t="s">
        <v>515</v>
      </c>
      <c r="V268" s="118" t="s">
        <v>515</v>
      </c>
      <c r="W268" t="s">
        <v>515</v>
      </c>
      <c r="X268" t="s">
        <v>515</v>
      </c>
      <c r="Y268">
        <f t="shared" ref="Y268:Y299" si="28">MONTH(AC268)</f>
        <v>5</v>
      </c>
      <c r="Z268">
        <f t="shared" ref="Z268:Z299" si="29">DAY(AC268)</f>
        <v>16</v>
      </c>
      <c r="AA268">
        <f t="shared" ref="AA268:AA299" si="30">YEAR(AC268)</f>
        <v>2024</v>
      </c>
      <c r="AB268" s="118" t="b">
        <v>0</v>
      </c>
      <c r="AC268" s="19">
        <v>45428</v>
      </c>
      <c r="AD268" s="19" t="s">
        <v>515</v>
      </c>
      <c r="AE268" t="s">
        <v>515</v>
      </c>
      <c r="AF268" s="19">
        <v>45428</v>
      </c>
      <c r="AG268" t="s">
        <v>515</v>
      </c>
      <c r="AH268" t="s">
        <v>515</v>
      </c>
      <c r="AI268" s="155">
        <v>737.5</v>
      </c>
      <c r="AJ268" s="155">
        <v>402.2</v>
      </c>
      <c r="AK268" s="155">
        <v>441.2</v>
      </c>
      <c r="AL268" s="155">
        <v>287</v>
      </c>
      <c r="AM268" s="155">
        <v>0.21</v>
      </c>
      <c r="AN268" s="155">
        <v>444.9</v>
      </c>
      <c r="AO268" s="155">
        <v>0.53100000000000003</v>
      </c>
      <c r="AP268" s="155">
        <v>0.55900000000000005</v>
      </c>
      <c r="AQ268" s="155">
        <v>0.754</v>
      </c>
      <c r="AR268" s="155">
        <v>111.9</v>
      </c>
      <c r="AS268" s="155">
        <v>10.08</v>
      </c>
      <c r="AT268" s="155">
        <v>115.5</v>
      </c>
      <c r="AU268" s="155">
        <v>40.68186</v>
      </c>
      <c r="AV268" s="155">
        <v>-85.888649999999998</v>
      </c>
      <c r="AW268" s="155">
        <v>218.1</v>
      </c>
      <c r="AX268" s="155">
        <v>94.1</v>
      </c>
      <c r="AY268" s="155">
        <v>8.58</v>
      </c>
      <c r="AZ268" s="155">
        <v>-97.9</v>
      </c>
      <c r="BA268" s="155">
        <v>11.9</v>
      </c>
      <c r="BB268" s="155">
        <v>0</v>
      </c>
      <c r="BC268" s="155">
        <v>20.37</v>
      </c>
      <c r="BD268" s="155">
        <v>6.47</v>
      </c>
      <c r="BE268" s="155">
        <v>0</v>
      </c>
      <c r="BF268" t="s">
        <v>515</v>
      </c>
      <c r="BG268" t="s">
        <v>515</v>
      </c>
      <c r="BH268" s="118"/>
      <c r="BI268" s="118"/>
      <c r="BJ268" s="118"/>
      <c r="BK268" s="118"/>
      <c r="BL268" s="118"/>
      <c r="BM268" s="118"/>
      <c r="BN268" s="118"/>
      <c r="BO268" s="118"/>
    </row>
    <row r="269" spans="1:67" x14ac:dyDescent="0.25">
      <c r="A269" s="25">
        <v>10268</v>
      </c>
      <c r="B269" t="s">
        <v>294</v>
      </c>
      <c r="C269" t="s">
        <v>294</v>
      </c>
      <c r="D269" s="27" t="s">
        <v>463</v>
      </c>
      <c r="E269" s="27">
        <v>2</v>
      </c>
      <c r="F269" s="118">
        <v>8861</v>
      </c>
      <c r="G269" t="s">
        <v>19</v>
      </c>
      <c r="H269" t="s">
        <v>8</v>
      </c>
      <c r="I269" t="s">
        <v>515</v>
      </c>
      <c r="J269" t="s">
        <v>515</v>
      </c>
      <c r="K269" t="s">
        <v>515</v>
      </c>
      <c r="L269" t="s">
        <v>515</v>
      </c>
      <c r="M269" s="140" t="str">
        <f t="shared" si="26"/>
        <v>NULL</v>
      </c>
      <c r="N269" s="140" t="str">
        <f t="shared" si="26"/>
        <v>NULL</v>
      </c>
      <c r="O269" s="140" t="str">
        <f t="shared" si="26"/>
        <v>NULL</v>
      </c>
      <c r="P269" s="140" t="str">
        <f t="shared" si="27"/>
        <v>NULL</v>
      </c>
      <c r="Q269" s="161" t="s">
        <v>515</v>
      </c>
      <c r="R269" s="125" t="s">
        <v>515</v>
      </c>
      <c r="S269" t="s">
        <v>515</v>
      </c>
      <c r="T269" t="s">
        <v>515</v>
      </c>
      <c r="U269" t="s">
        <v>515</v>
      </c>
      <c r="V269" s="118" t="s">
        <v>515</v>
      </c>
      <c r="W269" t="s">
        <v>515</v>
      </c>
      <c r="X269" t="s">
        <v>515</v>
      </c>
      <c r="Y269">
        <f t="shared" si="28"/>
        <v>5</v>
      </c>
      <c r="Z269">
        <f t="shared" si="29"/>
        <v>16</v>
      </c>
      <c r="AA269">
        <f t="shared" si="30"/>
        <v>2024</v>
      </c>
      <c r="AB269" s="118" t="b">
        <v>0</v>
      </c>
      <c r="AC269" s="19">
        <v>45428</v>
      </c>
      <c r="AD269" s="19" t="s">
        <v>515</v>
      </c>
      <c r="AE269" t="s">
        <v>515</v>
      </c>
      <c r="AF269" s="19">
        <v>45428</v>
      </c>
      <c r="AG269" t="s">
        <v>515</v>
      </c>
      <c r="AH269" t="s">
        <v>515</v>
      </c>
      <c r="AI269" s="26">
        <v>737.6</v>
      </c>
      <c r="AJ269" s="26">
        <v>457.7</v>
      </c>
      <c r="AK269" s="26">
        <v>491.9</v>
      </c>
      <c r="AL269" s="26">
        <v>320</v>
      </c>
      <c r="AM269" s="26">
        <v>0.24</v>
      </c>
      <c r="AN269" s="26">
        <v>495.2</v>
      </c>
      <c r="AO269" s="26">
        <v>0.501</v>
      </c>
      <c r="AP269" s="26">
        <v>0.48</v>
      </c>
      <c r="AQ269" s="26">
        <v>0.71099999999999997</v>
      </c>
      <c r="AR269" s="26">
        <v>145.69999999999999</v>
      </c>
      <c r="AS269" s="26">
        <v>12.88</v>
      </c>
      <c r="AT269" s="26">
        <v>150.4</v>
      </c>
      <c r="AU269" s="26">
        <v>40.677390000000003</v>
      </c>
      <c r="AV269" s="26">
        <v>-85.877480000000006</v>
      </c>
      <c r="AW269" s="26">
        <v>218.1</v>
      </c>
      <c r="AX269" s="26">
        <v>103.5</v>
      </c>
      <c r="AY269" s="26">
        <v>8.8000000000000007</v>
      </c>
      <c r="AZ269" s="26">
        <v>-111.1</v>
      </c>
      <c r="BA269" s="26">
        <v>12</v>
      </c>
      <c r="BB269" s="26">
        <v>0</v>
      </c>
      <c r="BC269" s="26">
        <v>21.355</v>
      </c>
      <c r="BD269" s="26">
        <v>5.04</v>
      </c>
      <c r="BE269" s="155">
        <v>0</v>
      </c>
      <c r="BF269" t="s">
        <v>515</v>
      </c>
      <c r="BG269" t="s">
        <v>515</v>
      </c>
      <c r="BH269" s="118"/>
      <c r="BI269" s="118"/>
      <c r="BJ269" s="118"/>
      <c r="BK269" s="118"/>
      <c r="BL269" s="118"/>
      <c r="BM269" s="118"/>
      <c r="BN269" s="118"/>
      <c r="BO269" s="118"/>
    </row>
    <row r="270" spans="1:67" x14ac:dyDescent="0.25">
      <c r="A270" s="25">
        <v>10269</v>
      </c>
      <c r="B270" t="s">
        <v>295</v>
      </c>
      <c r="C270" t="s">
        <v>295</v>
      </c>
      <c r="D270" s="27" t="s">
        <v>464</v>
      </c>
      <c r="E270" s="27">
        <v>3</v>
      </c>
      <c r="F270" s="118">
        <v>9921</v>
      </c>
      <c r="G270" t="s">
        <v>19</v>
      </c>
      <c r="H270" t="s">
        <v>8</v>
      </c>
      <c r="I270" t="s">
        <v>515</v>
      </c>
      <c r="J270" t="s">
        <v>515</v>
      </c>
      <c r="K270" t="s">
        <v>515</v>
      </c>
      <c r="L270" t="s">
        <v>515</v>
      </c>
      <c r="M270" s="140" t="str">
        <f t="shared" si="26"/>
        <v>NULL</v>
      </c>
      <c r="N270" s="140" t="str">
        <f t="shared" si="26"/>
        <v>NULL</v>
      </c>
      <c r="O270" s="140" t="str">
        <f t="shared" si="26"/>
        <v>NULL</v>
      </c>
      <c r="P270" s="140" t="str">
        <f t="shared" si="27"/>
        <v>NULL</v>
      </c>
      <c r="Q270" s="161" t="s">
        <v>515</v>
      </c>
      <c r="R270" s="125" t="s">
        <v>515</v>
      </c>
      <c r="S270" t="s">
        <v>515</v>
      </c>
      <c r="T270" t="s">
        <v>515</v>
      </c>
      <c r="U270" t="s">
        <v>515</v>
      </c>
      <c r="V270" s="118" t="s">
        <v>515</v>
      </c>
      <c r="W270" t="s">
        <v>515</v>
      </c>
      <c r="X270" t="s">
        <v>515</v>
      </c>
      <c r="Y270">
        <f t="shared" si="28"/>
        <v>5</v>
      </c>
      <c r="Z270">
        <f t="shared" si="29"/>
        <v>16</v>
      </c>
      <c r="AA270">
        <f t="shared" si="30"/>
        <v>2024</v>
      </c>
      <c r="AB270" s="118" t="b">
        <v>0</v>
      </c>
      <c r="AC270" s="19">
        <v>45428</v>
      </c>
      <c r="AD270" s="19" t="s">
        <v>515</v>
      </c>
      <c r="AE270" t="s">
        <v>515</v>
      </c>
      <c r="AF270" s="19">
        <v>45428</v>
      </c>
      <c r="AG270" t="s">
        <v>515</v>
      </c>
      <c r="AH270" t="s">
        <v>515</v>
      </c>
      <c r="AI270" s="155">
        <v>737.5</v>
      </c>
      <c r="AJ270" s="155">
        <v>460.4</v>
      </c>
      <c r="AK270" s="155">
        <v>494.1</v>
      </c>
      <c r="AL270" s="155">
        <v>321</v>
      </c>
      <c r="AM270" s="155">
        <v>0.24</v>
      </c>
      <c r="AN270" s="155">
        <v>497.4</v>
      </c>
      <c r="AO270" s="155">
        <v>0.53200000000000003</v>
      </c>
      <c r="AP270" s="155">
        <v>0.54800000000000004</v>
      </c>
      <c r="AQ270" s="155">
        <v>0.755</v>
      </c>
      <c r="AR270" s="155">
        <v>175.8</v>
      </c>
      <c r="AS270" s="155">
        <v>15.52</v>
      </c>
      <c r="AT270" s="155">
        <v>181.5</v>
      </c>
      <c r="AU270" s="155">
        <v>40.671309999999998</v>
      </c>
      <c r="AV270" s="155">
        <v>-85.869649999999993</v>
      </c>
      <c r="AW270" s="155">
        <v>217.6</v>
      </c>
      <c r="AX270" s="155">
        <v>71.400000000000006</v>
      </c>
      <c r="AY270" s="155">
        <v>8.94</v>
      </c>
      <c r="AZ270" s="155">
        <v>-119.6</v>
      </c>
      <c r="BA270" s="155">
        <v>12</v>
      </c>
      <c r="BB270" s="155">
        <v>0</v>
      </c>
      <c r="BC270" s="155">
        <v>21.425000000000001</v>
      </c>
      <c r="BD270" s="155">
        <v>5.22</v>
      </c>
      <c r="BE270" s="155">
        <v>0</v>
      </c>
      <c r="BF270" t="s">
        <v>515</v>
      </c>
      <c r="BG270" t="s">
        <v>515</v>
      </c>
      <c r="BH270" s="118"/>
      <c r="BI270" s="118"/>
      <c r="BJ270" s="118"/>
      <c r="BK270" s="118"/>
      <c r="BL270" s="118"/>
      <c r="BM270" s="118"/>
      <c r="BN270" s="118"/>
      <c r="BO270" s="118"/>
    </row>
    <row r="271" spans="1:67" x14ac:dyDescent="0.25">
      <c r="A271" s="25">
        <v>10270</v>
      </c>
      <c r="B271" t="s">
        <v>296</v>
      </c>
      <c r="C271" t="s">
        <v>296</v>
      </c>
      <c r="D271" s="27" t="s">
        <v>465</v>
      </c>
      <c r="E271" s="27">
        <v>4</v>
      </c>
      <c r="F271" s="118">
        <v>10891</v>
      </c>
      <c r="G271" t="s">
        <v>19</v>
      </c>
      <c r="H271" t="s">
        <v>8</v>
      </c>
      <c r="I271" t="s">
        <v>515</v>
      </c>
      <c r="J271" t="s">
        <v>515</v>
      </c>
      <c r="K271" t="s">
        <v>515</v>
      </c>
      <c r="L271" t="s">
        <v>515</v>
      </c>
      <c r="M271" s="140" t="str">
        <f t="shared" si="26"/>
        <v>NULL</v>
      </c>
      <c r="N271" s="140" t="str">
        <f t="shared" si="26"/>
        <v>NULL</v>
      </c>
      <c r="O271" s="140" t="str">
        <f t="shared" si="26"/>
        <v>NULL</v>
      </c>
      <c r="P271" s="140" t="str">
        <f t="shared" si="27"/>
        <v>NULL</v>
      </c>
      <c r="Q271" s="161" t="s">
        <v>515</v>
      </c>
      <c r="R271" s="125" t="s">
        <v>515</v>
      </c>
      <c r="S271" t="s">
        <v>515</v>
      </c>
      <c r="T271" t="s">
        <v>515</v>
      </c>
      <c r="U271" t="s">
        <v>515</v>
      </c>
      <c r="V271" s="118" t="s">
        <v>515</v>
      </c>
      <c r="W271" t="s">
        <v>515</v>
      </c>
      <c r="X271" t="s">
        <v>515</v>
      </c>
      <c r="Y271">
        <f t="shared" si="28"/>
        <v>5</v>
      </c>
      <c r="Z271">
        <f t="shared" si="29"/>
        <v>16</v>
      </c>
      <c r="AA271">
        <f t="shared" si="30"/>
        <v>2024</v>
      </c>
      <c r="AB271" s="118" t="b">
        <v>0</v>
      </c>
      <c r="AC271" s="19">
        <v>45428</v>
      </c>
      <c r="AD271" s="19" t="s">
        <v>515</v>
      </c>
      <c r="AE271" t="s">
        <v>515</v>
      </c>
      <c r="AF271" s="19">
        <v>45428</v>
      </c>
      <c r="AG271" t="s">
        <v>515</v>
      </c>
      <c r="AH271" t="s">
        <v>515</v>
      </c>
      <c r="AI271" s="26">
        <v>737.5</v>
      </c>
      <c r="AJ271" s="26">
        <v>462.6</v>
      </c>
      <c r="AK271" s="26">
        <v>507.7</v>
      </c>
      <c r="AL271" s="26">
        <v>330</v>
      </c>
      <c r="AM271" s="26">
        <v>0.25</v>
      </c>
      <c r="AN271" s="26">
        <v>512</v>
      </c>
      <c r="AO271" s="26">
        <v>0.45900000000000002</v>
      </c>
      <c r="AP271" s="26">
        <v>0.45200000000000001</v>
      </c>
      <c r="AQ271" s="26">
        <v>0.65200000000000002</v>
      </c>
      <c r="AR271" s="26">
        <v>131.19999999999999</v>
      </c>
      <c r="AS271" s="26">
        <v>11.83</v>
      </c>
      <c r="AT271" s="26">
        <v>135.4</v>
      </c>
      <c r="AU271" s="26">
        <v>40.662909999999997</v>
      </c>
      <c r="AV271" s="26">
        <v>-85.867450000000005</v>
      </c>
      <c r="AW271" s="26">
        <v>217.6</v>
      </c>
      <c r="AX271" s="26">
        <v>97.1</v>
      </c>
      <c r="AY271" s="26">
        <v>8.65</v>
      </c>
      <c r="AZ271" s="26">
        <v>-102.4</v>
      </c>
      <c r="BA271" s="26">
        <v>11.9</v>
      </c>
      <c r="BB271" s="26">
        <v>0</v>
      </c>
      <c r="BC271" s="26">
        <v>20.350000000000001</v>
      </c>
      <c r="BD271" s="26">
        <v>3.87</v>
      </c>
      <c r="BE271" s="155">
        <v>0</v>
      </c>
      <c r="BF271" t="s">
        <v>515</v>
      </c>
      <c r="BG271" t="s">
        <v>515</v>
      </c>
      <c r="BH271" s="118"/>
      <c r="BI271" s="118"/>
      <c r="BJ271" s="118"/>
      <c r="BK271" s="118"/>
      <c r="BL271" s="118"/>
      <c r="BM271" s="118"/>
      <c r="BN271" s="118"/>
      <c r="BO271" s="118"/>
    </row>
    <row r="272" spans="1:67" x14ac:dyDescent="0.25">
      <c r="A272" s="25">
        <v>10271</v>
      </c>
      <c r="B272" t="s">
        <v>297</v>
      </c>
      <c r="C272" t="s">
        <v>297</v>
      </c>
      <c r="D272" s="27" t="s">
        <v>466</v>
      </c>
      <c r="E272" s="27">
        <v>5</v>
      </c>
      <c r="F272" s="118">
        <v>12821</v>
      </c>
      <c r="G272" t="s">
        <v>19</v>
      </c>
      <c r="H272" t="s">
        <v>8</v>
      </c>
      <c r="I272" t="s">
        <v>515</v>
      </c>
      <c r="J272" t="s">
        <v>515</v>
      </c>
      <c r="K272" t="s">
        <v>515</v>
      </c>
      <c r="L272" t="s">
        <v>515</v>
      </c>
      <c r="M272" s="140" t="str">
        <f t="shared" si="26"/>
        <v>NULL</v>
      </c>
      <c r="N272" s="140" t="str">
        <f t="shared" si="26"/>
        <v>NULL</v>
      </c>
      <c r="O272" s="140" t="str">
        <f t="shared" si="26"/>
        <v>NULL</v>
      </c>
      <c r="P272" s="140" t="str">
        <f t="shared" si="27"/>
        <v>NULL</v>
      </c>
      <c r="Q272" s="161" t="s">
        <v>515</v>
      </c>
      <c r="R272" s="125" t="s">
        <v>515</v>
      </c>
      <c r="S272" t="s">
        <v>515</v>
      </c>
      <c r="T272" t="s">
        <v>515</v>
      </c>
      <c r="U272" t="s">
        <v>515</v>
      </c>
      <c r="V272" s="118" t="s">
        <v>515</v>
      </c>
      <c r="W272" t="s">
        <v>515</v>
      </c>
      <c r="X272" t="s">
        <v>515</v>
      </c>
      <c r="Y272">
        <f t="shared" si="28"/>
        <v>5</v>
      </c>
      <c r="Z272">
        <f t="shared" si="29"/>
        <v>16</v>
      </c>
      <c r="AA272">
        <f t="shared" si="30"/>
        <v>2024</v>
      </c>
      <c r="AB272" s="118" t="b">
        <v>0</v>
      </c>
      <c r="AC272" s="19">
        <v>45428</v>
      </c>
      <c r="AD272" s="19" t="s">
        <v>515</v>
      </c>
      <c r="AE272" t="s">
        <v>515</v>
      </c>
      <c r="AF272" s="19">
        <v>45428</v>
      </c>
      <c r="AG272" t="s">
        <v>515</v>
      </c>
      <c r="AH272" t="s">
        <v>515</v>
      </c>
      <c r="AI272" s="26">
        <v>737.3</v>
      </c>
      <c r="AJ272" s="26">
        <v>472.3</v>
      </c>
      <c r="AK272" s="26">
        <v>507</v>
      </c>
      <c r="AL272" s="26">
        <v>330</v>
      </c>
      <c r="AM272" s="26">
        <v>0.24</v>
      </c>
      <c r="AN272" s="26">
        <v>510.3</v>
      </c>
      <c r="AO272" s="26">
        <v>0.51500000000000001</v>
      </c>
      <c r="AP272" s="26">
        <v>0.52600000000000002</v>
      </c>
      <c r="AQ272" s="26">
        <v>0.73099999999999998</v>
      </c>
      <c r="AR272" s="26">
        <v>166.4</v>
      </c>
      <c r="AS272" s="26">
        <v>14.7</v>
      </c>
      <c r="AT272" s="26">
        <v>171.8</v>
      </c>
      <c r="AU272" s="26">
        <v>40.668909999999997</v>
      </c>
      <c r="AV272" s="26">
        <v>-85.847520000000003</v>
      </c>
      <c r="AW272" s="26">
        <v>219</v>
      </c>
      <c r="AX272" s="26">
        <v>101.1</v>
      </c>
      <c r="AY272" s="26">
        <v>8.82</v>
      </c>
      <c r="AZ272" s="26">
        <v>-112.4</v>
      </c>
      <c r="BA272" s="26">
        <v>12</v>
      </c>
      <c r="BB272" s="26">
        <v>0</v>
      </c>
      <c r="BC272" s="26">
        <v>21.416</v>
      </c>
      <c r="BD272" s="26">
        <v>4.7699999999999996</v>
      </c>
      <c r="BE272" s="155">
        <v>0</v>
      </c>
      <c r="BF272" t="s">
        <v>515</v>
      </c>
      <c r="BG272" t="s">
        <v>515</v>
      </c>
      <c r="BH272" s="118"/>
      <c r="BI272" s="118"/>
      <c r="BJ272" s="118"/>
      <c r="BK272" s="118"/>
      <c r="BL272" s="118"/>
      <c r="BM272" s="118"/>
      <c r="BN272" s="118"/>
      <c r="BO272" s="118"/>
    </row>
    <row r="273" spans="1:67" ht="15.75" thickBot="1" x14ac:dyDescent="0.3">
      <c r="A273" s="25">
        <v>10272</v>
      </c>
      <c r="B273" t="s">
        <v>298</v>
      </c>
      <c r="C273" t="s">
        <v>298</v>
      </c>
      <c r="D273" s="27" t="s">
        <v>467</v>
      </c>
      <c r="E273" s="27">
        <v>6</v>
      </c>
      <c r="F273" s="118">
        <v>14351</v>
      </c>
      <c r="G273" t="s">
        <v>19</v>
      </c>
      <c r="H273" t="s">
        <v>8</v>
      </c>
      <c r="I273" t="s">
        <v>515</v>
      </c>
      <c r="J273" t="s">
        <v>515</v>
      </c>
      <c r="K273" t="s">
        <v>515</v>
      </c>
      <c r="L273" t="s">
        <v>515</v>
      </c>
      <c r="M273" s="140" t="str">
        <f t="shared" si="26"/>
        <v>NULL</v>
      </c>
      <c r="N273" s="140" t="str">
        <f t="shared" si="26"/>
        <v>NULL</v>
      </c>
      <c r="O273" s="140" t="str">
        <f t="shared" si="26"/>
        <v>NULL</v>
      </c>
      <c r="P273" s="140" t="str">
        <f t="shared" si="27"/>
        <v>NULL</v>
      </c>
      <c r="Q273" s="161" t="s">
        <v>515</v>
      </c>
      <c r="R273" s="125" t="s">
        <v>515</v>
      </c>
      <c r="S273" t="s">
        <v>515</v>
      </c>
      <c r="T273" t="s">
        <v>515</v>
      </c>
      <c r="U273" t="s">
        <v>515</v>
      </c>
      <c r="V273" s="118" t="s">
        <v>515</v>
      </c>
      <c r="W273" t="s">
        <v>515</v>
      </c>
      <c r="X273" t="s">
        <v>515</v>
      </c>
      <c r="Y273">
        <f t="shared" si="28"/>
        <v>5</v>
      </c>
      <c r="Z273">
        <f t="shared" si="29"/>
        <v>16</v>
      </c>
      <c r="AA273">
        <f t="shared" si="30"/>
        <v>2024</v>
      </c>
      <c r="AB273" s="118" t="b">
        <v>0</v>
      </c>
      <c r="AC273" s="19">
        <v>45428</v>
      </c>
      <c r="AD273" s="19" t="s">
        <v>515</v>
      </c>
      <c r="AE273" t="s">
        <v>515</v>
      </c>
      <c r="AF273" s="19">
        <v>45428</v>
      </c>
      <c r="AG273" t="s">
        <v>515</v>
      </c>
      <c r="AH273" t="s">
        <v>515</v>
      </c>
      <c r="AI273" s="155">
        <v>737.1</v>
      </c>
      <c r="AJ273" s="155">
        <v>481.8</v>
      </c>
      <c r="AK273" s="155">
        <v>514.1</v>
      </c>
      <c r="AL273" s="155">
        <v>334</v>
      </c>
      <c r="AM273" s="155">
        <v>0.25</v>
      </c>
      <c r="AN273" s="155">
        <v>517.20000000000005</v>
      </c>
      <c r="AO273" s="155">
        <v>0.50600000000000001</v>
      </c>
      <c r="AP273" s="155">
        <v>0.51100000000000001</v>
      </c>
      <c r="AQ273" s="155">
        <v>0.71799999999999997</v>
      </c>
      <c r="AR273" s="155">
        <v>186.6</v>
      </c>
      <c r="AS273" s="155">
        <v>16.39</v>
      </c>
      <c r="AT273" s="155">
        <v>192.7</v>
      </c>
      <c r="AU273" s="155">
        <v>40.673859999999998</v>
      </c>
      <c r="AV273" s="155">
        <v>-85.83175</v>
      </c>
      <c r="AW273" s="155">
        <v>220.2</v>
      </c>
      <c r="AX273" s="155">
        <v>115.8</v>
      </c>
      <c r="AY273" s="155">
        <v>8.89</v>
      </c>
      <c r="AZ273" s="155">
        <v>-116.4</v>
      </c>
      <c r="BA273" s="155">
        <v>11.9</v>
      </c>
      <c r="BB273" s="155">
        <v>0</v>
      </c>
      <c r="BC273" s="155">
        <v>21.712</v>
      </c>
      <c r="BD273" s="155">
        <v>4.97</v>
      </c>
      <c r="BE273" s="155">
        <v>0</v>
      </c>
      <c r="BF273" t="s">
        <v>515</v>
      </c>
      <c r="BG273" t="s">
        <v>515</v>
      </c>
      <c r="BH273" s="118"/>
      <c r="BI273" s="118"/>
      <c r="BJ273" s="118"/>
      <c r="BK273" s="118"/>
      <c r="BL273" s="118"/>
      <c r="BM273" s="118"/>
      <c r="BN273" s="118"/>
      <c r="BO273" s="118"/>
    </row>
    <row r="274" spans="1:67" x14ac:dyDescent="0.25">
      <c r="A274" s="25">
        <v>10273</v>
      </c>
      <c r="B274" t="s">
        <v>299</v>
      </c>
      <c r="C274" t="s">
        <v>299</v>
      </c>
      <c r="D274" s="27" t="s">
        <v>468</v>
      </c>
      <c r="E274" s="27">
        <v>7</v>
      </c>
      <c r="F274" s="118">
        <v>6411</v>
      </c>
      <c r="G274" t="s">
        <v>19</v>
      </c>
      <c r="H274" t="s">
        <v>8</v>
      </c>
      <c r="I274" t="s">
        <v>515</v>
      </c>
      <c r="J274" t="s">
        <v>515</v>
      </c>
      <c r="K274" t="s">
        <v>515</v>
      </c>
      <c r="L274" t="s">
        <v>515</v>
      </c>
      <c r="M274" s="140" t="str">
        <f t="shared" ref="M274:O289" si="31">IF(I274&lt;0.1,0.05,I274)</f>
        <v>NULL</v>
      </c>
      <c r="N274" s="140" t="str">
        <f t="shared" si="31"/>
        <v>NULL</v>
      </c>
      <c r="O274" s="140" t="str">
        <f t="shared" si="31"/>
        <v>NULL</v>
      </c>
      <c r="P274" s="140" t="str">
        <f t="shared" si="27"/>
        <v>NULL</v>
      </c>
      <c r="Q274" s="161" t="s">
        <v>515</v>
      </c>
      <c r="R274" s="125" t="s">
        <v>515</v>
      </c>
      <c r="S274" t="s">
        <v>515</v>
      </c>
      <c r="T274" t="s">
        <v>515</v>
      </c>
      <c r="U274" t="s">
        <v>515</v>
      </c>
      <c r="V274" s="118" t="s">
        <v>515</v>
      </c>
      <c r="W274" t="s">
        <v>515</v>
      </c>
      <c r="X274" t="s">
        <v>515</v>
      </c>
      <c r="Y274">
        <f t="shared" si="28"/>
        <v>5</v>
      </c>
      <c r="Z274">
        <f t="shared" si="29"/>
        <v>16</v>
      </c>
      <c r="AA274">
        <f t="shared" si="30"/>
        <v>2024</v>
      </c>
      <c r="AB274" s="118" t="b">
        <v>0</v>
      </c>
      <c r="AC274" s="19">
        <v>45428</v>
      </c>
      <c r="AD274" s="19" t="s">
        <v>515</v>
      </c>
      <c r="AE274" t="s">
        <v>515</v>
      </c>
      <c r="AF274" s="19">
        <v>45428</v>
      </c>
      <c r="AG274" t="s">
        <v>515</v>
      </c>
      <c r="AH274" t="s">
        <v>515</v>
      </c>
      <c r="AI274" s="223">
        <v>737.8</v>
      </c>
      <c r="AJ274" s="223">
        <v>376.4</v>
      </c>
      <c r="AK274" s="223">
        <v>412.5</v>
      </c>
      <c r="AL274" s="223">
        <v>268</v>
      </c>
      <c r="AM274" s="223">
        <v>0.2</v>
      </c>
      <c r="AN274" s="223">
        <v>415.9</v>
      </c>
      <c r="AO274" s="223">
        <v>0.57399999999999995</v>
      </c>
      <c r="AP274" s="223">
        <v>0.56100000000000005</v>
      </c>
      <c r="AQ274" s="223">
        <v>0.81499999999999995</v>
      </c>
      <c r="AR274" s="223">
        <v>94</v>
      </c>
      <c r="AS274" s="223">
        <v>8.4700000000000006</v>
      </c>
      <c r="AT274" s="223">
        <v>97.1</v>
      </c>
      <c r="AU274" s="223">
        <v>40.687788930000004</v>
      </c>
      <c r="AV274" s="223">
        <v>-85.896540270000003</v>
      </c>
      <c r="AW274" s="223">
        <v>223.1</v>
      </c>
      <c r="AX274" s="223">
        <v>66.099999999999994</v>
      </c>
      <c r="AY274" s="223">
        <v>8.32</v>
      </c>
      <c r="AZ274" s="223">
        <v>-83</v>
      </c>
      <c r="BA274" s="223">
        <v>11.9</v>
      </c>
      <c r="BB274" s="223">
        <v>0</v>
      </c>
      <c r="BC274" s="223">
        <v>20.407</v>
      </c>
      <c r="BD274" s="223">
        <v>8.85</v>
      </c>
      <c r="BE274" s="225">
        <v>0</v>
      </c>
      <c r="BF274" t="s">
        <v>515</v>
      </c>
      <c r="BG274" t="s">
        <v>515</v>
      </c>
      <c r="BH274" s="118"/>
      <c r="BI274" s="118"/>
      <c r="BJ274" s="118"/>
      <c r="BK274" s="118"/>
      <c r="BL274" s="118"/>
      <c r="BM274" s="118"/>
      <c r="BN274" s="118"/>
      <c r="BO274" s="118"/>
    </row>
    <row r="275" spans="1:67" x14ac:dyDescent="0.25">
      <c r="A275" s="25">
        <v>10274</v>
      </c>
      <c r="B275" t="s">
        <v>300</v>
      </c>
      <c r="C275" t="s">
        <v>300</v>
      </c>
      <c r="D275" s="27" t="s">
        <v>469</v>
      </c>
      <c r="E275" s="27">
        <v>8</v>
      </c>
      <c r="F275" s="118">
        <v>5401</v>
      </c>
      <c r="G275" t="s">
        <v>19</v>
      </c>
      <c r="H275" t="s">
        <v>8</v>
      </c>
      <c r="I275" t="s">
        <v>515</v>
      </c>
      <c r="J275" t="s">
        <v>515</v>
      </c>
      <c r="K275" t="s">
        <v>515</v>
      </c>
      <c r="L275" t="s">
        <v>515</v>
      </c>
      <c r="M275" s="140" t="str">
        <f t="shared" si="31"/>
        <v>NULL</v>
      </c>
      <c r="N275" s="140" t="str">
        <f t="shared" si="31"/>
        <v>NULL</v>
      </c>
      <c r="O275" s="140" t="str">
        <f t="shared" si="31"/>
        <v>NULL</v>
      </c>
      <c r="P275" s="140" t="str">
        <f t="shared" si="27"/>
        <v>NULL</v>
      </c>
      <c r="Q275" s="161" t="s">
        <v>515</v>
      </c>
      <c r="R275" s="125" t="s">
        <v>515</v>
      </c>
      <c r="S275" t="s">
        <v>515</v>
      </c>
      <c r="T275" t="s">
        <v>515</v>
      </c>
      <c r="U275" t="s">
        <v>515</v>
      </c>
      <c r="V275" s="118" t="s">
        <v>515</v>
      </c>
      <c r="W275" t="s">
        <v>515</v>
      </c>
      <c r="X275" t="s">
        <v>515</v>
      </c>
      <c r="Y275">
        <f t="shared" si="28"/>
        <v>5</v>
      </c>
      <c r="Z275">
        <f t="shared" si="29"/>
        <v>16</v>
      </c>
      <c r="AA275">
        <f t="shared" si="30"/>
        <v>2024</v>
      </c>
      <c r="AB275" s="118" t="b">
        <v>0</v>
      </c>
      <c r="AC275" s="19">
        <v>45428</v>
      </c>
      <c r="AD275" s="19" t="s">
        <v>515</v>
      </c>
      <c r="AE275" t="s">
        <v>515</v>
      </c>
      <c r="AF275" s="19">
        <v>45428</v>
      </c>
      <c r="AG275" t="s">
        <v>515</v>
      </c>
      <c r="AH275" t="s">
        <v>515</v>
      </c>
      <c r="AI275" s="26">
        <v>738</v>
      </c>
      <c r="AJ275" s="26">
        <v>367.8</v>
      </c>
      <c r="AK275" s="26">
        <v>398.4</v>
      </c>
      <c r="AL275" s="26">
        <v>259</v>
      </c>
      <c r="AM275" s="26">
        <v>0.19</v>
      </c>
      <c r="AN275" s="26">
        <v>401.3</v>
      </c>
      <c r="AO275" s="26">
        <v>0.48499999999999999</v>
      </c>
      <c r="AP275" s="26">
        <v>0.50700000000000001</v>
      </c>
      <c r="AQ275" s="26">
        <v>0.68799999999999994</v>
      </c>
      <c r="AR275" s="26">
        <v>95.3</v>
      </c>
      <c r="AS275" s="26">
        <v>8.49</v>
      </c>
      <c r="AT275" s="26">
        <v>98.4</v>
      </c>
      <c r="AU275" s="26">
        <v>40.691644570000001</v>
      </c>
      <c r="AV275" s="26">
        <v>-85.908247720000006</v>
      </c>
      <c r="AW275" s="26">
        <v>222.2</v>
      </c>
      <c r="AX275" s="26">
        <v>73.2</v>
      </c>
      <c r="AY275" s="26">
        <v>8.3800000000000008</v>
      </c>
      <c r="AZ275" s="26">
        <v>-86.8</v>
      </c>
      <c r="BA275" s="26">
        <v>11.9</v>
      </c>
      <c r="BB275" s="26">
        <v>0</v>
      </c>
      <c r="BC275" s="26">
        <v>20.98</v>
      </c>
      <c r="BD275" s="26">
        <v>10.3</v>
      </c>
      <c r="BE275" s="226">
        <v>0</v>
      </c>
      <c r="BF275" t="s">
        <v>515</v>
      </c>
      <c r="BG275" t="s">
        <v>515</v>
      </c>
      <c r="BH275" s="118"/>
      <c r="BI275" s="118"/>
      <c r="BJ275" s="118"/>
      <c r="BK275" s="118"/>
      <c r="BL275" s="118"/>
      <c r="BM275" s="118"/>
      <c r="BN275" s="118"/>
      <c r="BO275" s="118"/>
    </row>
    <row r="276" spans="1:67" x14ac:dyDescent="0.25">
      <c r="A276" s="25">
        <v>10275</v>
      </c>
      <c r="B276" t="s">
        <v>301</v>
      </c>
      <c r="C276" t="s">
        <v>301</v>
      </c>
      <c r="D276" s="27" t="s">
        <v>470</v>
      </c>
      <c r="E276" s="27">
        <v>9</v>
      </c>
      <c r="F276" s="118">
        <v>4381</v>
      </c>
      <c r="G276" t="s">
        <v>19</v>
      </c>
      <c r="H276" t="s">
        <v>8</v>
      </c>
      <c r="I276" t="s">
        <v>515</v>
      </c>
      <c r="J276" t="s">
        <v>515</v>
      </c>
      <c r="K276" t="s">
        <v>515</v>
      </c>
      <c r="L276" t="s">
        <v>515</v>
      </c>
      <c r="M276" s="140" t="str">
        <f t="shared" si="31"/>
        <v>NULL</v>
      </c>
      <c r="N276" s="140" t="str">
        <f t="shared" si="31"/>
        <v>NULL</v>
      </c>
      <c r="O276" s="140" t="str">
        <f t="shared" si="31"/>
        <v>NULL</v>
      </c>
      <c r="P276" s="140" t="str">
        <f t="shared" si="27"/>
        <v>NULL</v>
      </c>
      <c r="Q276" s="161" t="s">
        <v>515</v>
      </c>
      <c r="R276" s="125" t="s">
        <v>515</v>
      </c>
      <c r="S276" t="s">
        <v>515</v>
      </c>
      <c r="T276" t="s">
        <v>515</v>
      </c>
      <c r="U276" t="s">
        <v>515</v>
      </c>
      <c r="V276" s="118" t="s">
        <v>515</v>
      </c>
      <c r="W276" t="s">
        <v>515</v>
      </c>
      <c r="X276" t="s">
        <v>515</v>
      </c>
      <c r="Y276">
        <f t="shared" si="28"/>
        <v>5</v>
      </c>
      <c r="Z276">
        <f t="shared" si="29"/>
        <v>16</v>
      </c>
      <c r="AA276">
        <f t="shared" si="30"/>
        <v>2024</v>
      </c>
      <c r="AB276" s="118" t="b">
        <v>0</v>
      </c>
      <c r="AC276" s="19">
        <v>45428</v>
      </c>
      <c r="AD276" s="19" t="s">
        <v>515</v>
      </c>
      <c r="AE276" t="s">
        <v>515</v>
      </c>
      <c r="AF276" s="19">
        <v>45428</v>
      </c>
      <c r="AG276" t="s">
        <v>515</v>
      </c>
      <c r="AH276" t="s">
        <v>515</v>
      </c>
      <c r="AI276" s="155">
        <v>738.2</v>
      </c>
      <c r="AJ276" s="155">
        <v>349.9</v>
      </c>
      <c r="AK276" s="155">
        <v>381</v>
      </c>
      <c r="AL276" s="155">
        <v>248</v>
      </c>
      <c r="AM276" s="155">
        <v>0.18</v>
      </c>
      <c r="AN276" s="155">
        <v>383.9</v>
      </c>
      <c r="AO276" s="155">
        <v>0.56200000000000006</v>
      </c>
      <c r="AP276" s="155">
        <v>0.56799999999999995</v>
      </c>
      <c r="AQ276" s="155">
        <v>0.79800000000000004</v>
      </c>
      <c r="AR276" s="155">
        <v>88.4</v>
      </c>
      <c r="AS276" s="155">
        <v>7.91</v>
      </c>
      <c r="AT276" s="155">
        <v>91.2</v>
      </c>
      <c r="AU276" s="155">
        <v>40.70410554</v>
      </c>
      <c r="AV276" s="155">
        <v>-85.929932579999999</v>
      </c>
      <c r="AW276" s="155">
        <v>223.2</v>
      </c>
      <c r="AX276" s="155">
        <v>109.4</v>
      </c>
      <c r="AY276" s="155">
        <v>8.19</v>
      </c>
      <c r="AZ276" s="155">
        <v>-75.7</v>
      </c>
      <c r="BA276" s="155">
        <v>11.9</v>
      </c>
      <c r="BB276" s="155">
        <v>0</v>
      </c>
      <c r="BC276" s="155">
        <v>20.724</v>
      </c>
      <c r="BD276" s="155">
        <v>11.41</v>
      </c>
      <c r="BE276" s="226">
        <v>0</v>
      </c>
      <c r="BF276" t="s">
        <v>515</v>
      </c>
      <c r="BG276" t="s">
        <v>515</v>
      </c>
      <c r="BH276" s="118"/>
      <c r="BI276" s="118"/>
      <c r="BJ276" s="118"/>
      <c r="BK276" s="118"/>
      <c r="BL276" s="118"/>
      <c r="BM276" s="118"/>
      <c r="BN276" s="118"/>
      <c r="BO276" s="118"/>
    </row>
    <row r="277" spans="1:67" x14ac:dyDescent="0.25">
      <c r="A277" s="25">
        <v>10276</v>
      </c>
      <c r="B277" t="s">
        <v>302</v>
      </c>
      <c r="C277" t="s">
        <v>302</v>
      </c>
      <c r="D277" s="27" t="s">
        <v>471</v>
      </c>
      <c r="E277" s="27">
        <v>10</v>
      </c>
      <c r="F277" s="118">
        <v>2851</v>
      </c>
      <c r="G277" t="s">
        <v>19</v>
      </c>
      <c r="H277" t="s">
        <v>8</v>
      </c>
      <c r="I277" t="s">
        <v>515</v>
      </c>
      <c r="J277" t="s">
        <v>515</v>
      </c>
      <c r="K277" t="s">
        <v>515</v>
      </c>
      <c r="L277" t="s">
        <v>515</v>
      </c>
      <c r="M277" s="140" t="str">
        <f t="shared" si="31"/>
        <v>NULL</v>
      </c>
      <c r="N277" s="140" t="str">
        <f t="shared" si="31"/>
        <v>NULL</v>
      </c>
      <c r="O277" s="140" t="str">
        <f t="shared" si="31"/>
        <v>NULL</v>
      </c>
      <c r="P277" s="140" t="str">
        <f t="shared" si="27"/>
        <v>NULL</v>
      </c>
      <c r="Q277" s="161" t="s">
        <v>515</v>
      </c>
      <c r="R277" s="125" t="s">
        <v>515</v>
      </c>
      <c r="S277" t="s">
        <v>515</v>
      </c>
      <c r="T277" t="s">
        <v>515</v>
      </c>
      <c r="U277" t="s">
        <v>515</v>
      </c>
      <c r="V277" s="118" t="s">
        <v>515</v>
      </c>
      <c r="W277" t="s">
        <v>515</v>
      </c>
      <c r="X277" t="s">
        <v>515</v>
      </c>
      <c r="Y277">
        <f t="shared" si="28"/>
        <v>5</v>
      </c>
      <c r="Z277">
        <f t="shared" si="29"/>
        <v>16</v>
      </c>
      <c r="AA277">
        <f t="shared" si="30"/>
        <v>2024</v>
      </c>
      <c r="AB277" s="118" t="b">
        <v>0</v>
      </c>
      <c r="AC277" s="19">
        <v>45428</v>
      </c>
      <c r="AD277" s="19" t="s">
        <v>515</v>
      </c>
      <c r="AE277" t="s">
        <v>515</v>
      </c>
      <c r="AF277" s="19">
        <v>45428</v>
      </c>
      <c r="AG277" t="s">
        <v>515</v>
      </c>
      <c r="AH277" t="s">
        <v>515</v>
      </c>
      <c r="AI277" s="26">
        <v>738.1</v>
      </c>
      <c r="AJ277" s="26">
        <v>358.1</v>
      </c>
      <c r="AK277" s="26">
        <v>389.8</v>
      </c>
      <c r="AL277" s="26">
        <v>253</v>
      </c>
      <c r="AM277" s="26">
        <v>0.19</v>
      </c>
      <c r="AN277" s="26">
        <v>392.8</v>
      </c>
      <c r="AO277" s="26">
        <v>0.51300000000000001</v>
      </c>
      <c r="AP277" s="26">
        <v>0.52200000000000002</v>
      </c>
      <c r="AQ277" s="26">
        <v>0.72799999999999998</v>
      </c>
      <c r="AR277" s="26">
        <v>90.2</v>
      </c>
      <c r="AS277" s="26">
        <v>8.07</v>
      </c>
      <c r="AT277" s="26">
        <v>93.1</v>
      </c>
      <c r="AU277" s="26">
        <v>40.693329519999999</v>
      </c>
      <c r="AV277" s="26">
        <v>-85.920152470000005</v>
      </c>
      <c r="AW277" s="26">
        <v>217.6</v>
      </c>
      <c r="AX277" s="26">
        <v>104.9</v>
      </c>
      <c r="AY277" s="26">
        <v>8.25</v>
      </c>
      <c r="AZ277" s="26">
        <v>-79</v>
      </c>
      <c r="BA277" s="26">
        <v>11.9</v>
      </c>
      <c r="BB277" s="26">
        <v>0</v>
      </c>
      <c r="BC277" s="26">
        <v>20.736000000000001</v>
      </c>
      <c r="BD277" s="26">
        <v>10.42</v>
      </c>
      <c r="BE277" s="226">
        <v>0</v>
      </c>
      <c r="BF277" t="s">
        <v>515</v>
      </c>
      <c r="BG277" t="s">
        <v>515</v>
      </c>
      <c r="BH277" s="118"/>
      <c r="BI277" s="118"/>
      <c r="BJ277" s="118"/>
      <c r="BK277" s="118"/>
      <c r="BL277" s="118"/>
      <c r="BM277" s="118"/>
      <c r="BN277" s="118"/>
      <c r="BO277" s="118"/>
    </row>
    <row r="278" spans="1:67" x14ac:dyDescent="0.25">
      <c r="A278" s="25">
        <v>10277</v>
      </c>
      <c r="B278" t="s">
        <v>303</v>
      </c>
      <c r="C278" t="s">
        <v>303</v>
      </c>
      <c r="D278" s="27" t="s">
        <v>472</v>
      </c>
      <c r="E278" s="27">
        <v>11</v>
      </c>
      <c r="F278" s="118">
        <v>1731</v>
      </c>
      <c r="G278" t="s">
        <v>19</v>
      </c>
      <c r="H278" t="s">
        <v>8</v>
      </c>
      <c r="I278" t="s">
        <v>515</v>
      </c>
      <c r="J278" t="s">
        <v>515</v>
      </c>
      <c r="K278" t="s">
        <v>515</v>
      </c>
      <c r="L278" t="s">
        <v>515</v>
      </c>
      <c r="M278" s="140" t="str">
        <f t="shared" si="31"/>
        <v>NULL</v>
      </c>
      <c r="N278" s="140" t="str">
        <f t="shared" si="31"/>
        <v>NULL</v>
      </c>
      <c r="O278" s="140" t="str">
        <f t="shared" si="31"/>
        <v>NULL</v>
      </c>
      <c r="P278" s="140" t="str">
        <f t="shared" si="27"/>
        <v>NULL</v>
      </c>
      <c r="Q278" s="161" t="s">
        <v>515</v>
      </c>
      <c r="R278" s="125" t="s">
        <v>515</v>
      </c>
      <c r="S278" t="s">
        <v>515</v>
      </c>
      <c r="T278" t="s">
        <v>515</v>
      </c>
      <c r="U278" t="s">
        <v>515</v>
      </c>
      <c r="V278" s="118" t="s">
        <v>515</v>
      </c>
      <c r="W278" t="s">
        <v>515</v>
      </c>
      <c r="X278" t="s">
        <v>515</v>
      </c>
      <c r="Y278">
        <f t="shared" si="28"/>
        <v>5</v>
      </c>
      <c r="Z278">
        <f t="shared" si="29"/>
        <v>16</v>
      </c>
      <c r="AA278">
        <f t="shared" si="30"/>
        <v>2024</v>
      </c>
      <c r="AB278" s="118" t="b">
        <v>0</v>
      </c>
      <c r="AC278" s="19">
        <v>45428</v>
      </c>
      <c r="AD278" s="19" t="s">
        <v>515</v>
      </c>
      <c r="AE278" t="s">
        <v>515</v>
      </c>
      <c r="AF278" s="19">
        <v>45428</v>
      </c>
      <c r="AG278" t="s">
        <v>515</v>
      </c>
      <c r="AH278" t="s">
        <v>515</v>
      </c>
      <c r="AI278" s="26">
        <v>738.1</v>
      </c>
      <c r="AJ278" s="26">
        <v>343.7</v>
      </c>
      <c r="AK278" s="26">
        <v>375.8</v>
      </c>
      <c r="AL278" s="26">
        <v>244</v>
      </c>
      <c r="AM278" s="26">
        <v>0.18</v>
      </c>
      <c r="AN278" s="26">
        <v>378.8</v>
      </c>
      <c r="AO278" s="26">
        <v>0.59199999999999997</v>
      </c>
      <c r="AP278" s="26">
        <v>0.57699999999999996</v>
      </c>
      <c r="AQ278" s="26">
        <v>0.84</v>
      </c>
      <c r="AR278" s="26">
        <v>87.6</v>
      </c>
      <c r="AS278" s="26">
        <v>7.88</v>
      </c>
      <c r="AT278" s="26">
        <v>90.5</v>
      </c>
      <c r="AU278" s="26">
        <v>40.710942269999997</v>
      </c>
      <c r="AV278" s="26">
        <v>-85.93857319</v>
      </c>
      <c r="AW278" s="26">
        <v>219.6</v>
      </c>
      <c r="AX278" s="26">
        <v>87.2</v>
      </c>
      <c r="AY278" s="26">
        <v>8.16</v>
      </c>
      <c r="AZ278" s="26">
        <v>-73.8</v>
      </c>
      <c r="BA278" s="26">
        <v>12</v>
      </c>
      <c r="BB278" s="26">
        <v>0</v>
      </c>
      <c r="BC278" s="26">
        <v>20.521000000000001</v>
      </c>
      <c r="BD278" s="26">
        <v>12.19</v>
      </c>
      <c r="BE278" s="226">
        <v>0</v>
      </c>
      <c r="BF278" t="s">
        <v>515</v>
      </c>
      <c r="BG278" t="s">
        <v>515</v>
      </c>
      <c r="BH278" s="118"/>
      <c r="BI278" s="118"/>
      <c r="BJ278" s="118"/>
      <c r="BK278" s="118"/>
      <c r="BL278" s="118"/>
      <c r="BM278" s="118"/>
      <c r="BN278" s="118"/>
      <c r="BO278" s="118"/>
    </row>
    <row r="279" spans="1:67" x14ac:dyDescent="0.25">
      <c r="A279" s="25">
        <v>10278</v>
      </c>
      <c r="B279" t="s">
        <v>304</v>
      </c>
      <c r="C279" t="s">
        <v>304</v>
      </c>
      <c r="D279" s="27" t="s">
        <v>473</v>
      </c>
      <c r="E279" s="27">
        <v>12</v>
      </c>
      <c r="F279" s="118">
        <v>661</v>
      </c>
      <c r="G279" t="s">
        <v>19</v>
      </c>
      <c r="H279" t="s">
        <v>8</v>
      </c>
      <c r="I279" t="s">
        <v>515</v>
      </c>
      <c r="J279" t="s">
        <v>515</v>
      </c>
      <c r="K279" t="s">
        <v>515</v>
      </c>
      <c r="L279" t="s">
        <v>515</v>
      </c>
      <c r="M279" s="140" t="str">
        <f t="shared" si="31"/>
        <v>NULL</v>
      </c>
      <c r="N279" s="140" t="str">
        <f t="shared" si="31"/>
        <v>NULL</v>
      </c>
      <c r="O279" s="140" t="str">
        <f t="shared" si="31"/>
        <v>NULL</v>
      </c>
      <c r="P279" s="140" t="str">
        <f t="shared" si="27"/>
        <v>NULL</v>
      </c>
      <c r="Q279" s="161" t="s">
        <v>515</v>
      </c>
      <c r="R279" s="125" t="s">
        <v>515</v>
      </c>
      <c r="S279" t="s">
        <v>515</v>
      </c>
      <c r="T279" t="s">
        <v>515</v>
      </c>
      <c r="U279" t="s">
        <v>515</v>
      </c>
      <c r="V279" s="118" t="s">
        <v>515</v>
      </c>
      <c r="W279" t="s">
        <v>515</v>
      </c>
      <c r="X279" t="s">
        <v>515</v>
      </c>
      <c r="Y279">
        <f t="shared" si="28"/>
        <v>5</v>
      </c>
      <c r="Z279">
        <f t="shared" si="29"/>
        <v>16</v>
      </c>
      <c r="AA279">
        <f t="shared" si="30"/>
        <v>2024</v>
      </c>
      <c r="AB279" s="118" t="b">
        <v>0</v>
      </c>
      <c r="AC279" s="19">
        <v>45428</v>
      </c>
      <c r="AD279" s="19" t="s">
        <v>515</v>
      </c>
      <c r="AE279" t="s">
        <v>515</v>
      </c>
      <c r="AF279" s="19">
        <v>45428</v>
      </c>
      <c r="AG279" t="s">
        <v>515</v>
      </c>
      <c r="AH279" t="s">
        <v>515</v>
      </c>
      <c r="AI279" s="26">
        <v>738.1</v>
      </c>
      <c r="AJ279" s="26">
        <v>342.1</v>
      </c>
      <c r="AK279" s="26">
        <v>371.8</v>
      </c>
      <c r="AL279" s="26">
        <v>242</v>
      </c>
      <c r="AM279" s="26">
        <v>0.18</v>
      </c>
      <c r="AN279" s="26">
        <v>374.7</v>
      </c>
      <c r="AO279" s="26">
        <v>0.54900000000000004</v>
      </c>
      <c r="AP279" s="26">
        <v>0.54400000000000004</v>
      </c>
      <c r="AQ279" s="26">
        <v>0.78</v>
      </c>
      <c r="AR279" s="26">
        <v>88.2</v>
      </c>
      <c r="AS279" s="26">
        <v>7.88</v>
      </c>
      <c r="AT279" s="26">
        <v>91</v>
      </c>
      <c r="AU279" s="26">
        <v>40.711599679999999</v>
      </c>
      <c r="AV279" s="26">
        <v>-85.951027190000005</v>
      </c>
      <c r="AW279" s="26">
        <v>218.1</v>
      </c>
      <c r="AX279" s="26">
        <v>84.7</v>
      </c>
      <c r="AY279" s="26">
        <v>8.15</v>
      </c>
      <c r="AZ279" s="26">
        <v>-73.3</v>
      </c>
      <c r="BA279" s="26">
        <v>11.9</v>
      </c>
      <c r="BB279" s="26">
        <v>0</v>
      </c>
      <c r="BC279" s="26">
        <v>20.812000000000001</v>
      </c>
      <c r="BD279" s="26">
        <v>12.34</v>
      </c>
      <c r="BE279" s="226">
        <v>0</v>
      </c>
      <c r="BF279" t="s">
        <v>515</v>
      </c>
      <c r="BG279" t="s">
        <v>515</v>
      </c>
      <c r="BH279" s="118"/>
      <c r="BI279" s="118"/>
      <c r="BJ279" s="118"/>
      <c r="BK279" s="118"/>
      <c r="BL279" s="118"/>
      <c r="BM279" s="118"/>
      <c r="BN279" s="118"/>
      <c r="BO279" s="118"/>
    </row>
    <row r="280" spans="1:67" ht="15.75" thickBot="1" x14ac:dyDescent="0.3">
      <c r="A280" s="25">
        <v>10279</v>
      </c>
      <c r="B280" t="s">
        <v>305</v>
      </c>
      <c r="C280" t="s">
        <v>305</v>
      </c>
      <c r="D280" s="27" t="s">
        <v>474</v>
      </c>
      <c r="E280" s="27">
        <v>13</v>
      </c>
      <c r="F280" s="118">
        <v>13553</v>
      </c>
      <c r="G280" t="s">
        <v>19</v>
      </c>
      <c r="H280" t="s">
        <v>8</v>
      </c>
      <c r="I280" t="s">
        <v>515</v>
      </c>
      <c r="J280" t="s">
        <v>515</v>
      </c>
      <c r="K280" t="s">
        <v>515</v>
      </c>
      <c r="L280" t="s">
        <v>515</v>
      </c>
      <c r="M280" s="140" t="str">
        <f t="shared" si="31"/>
        <v>NULL</v>
      </c>
      <c r="N280" s="140" t="str">
        <f t="shared" si="31"/>
        <v>NULL</v>
      </c>
      <c r="O280" s="140" t="str">
        <f t="shared" si="31"/>
        <v>NULL</v>
      </c>
      <c r="P280" s="140" t="str">
        <f t="shared" si="27"/>
        <v>NULL</v>
      </c>
      <c r="Q280" s="161" t="s">
        <v>515</v>
      </c>
      <c r="R280" s="125" t="s">
        <v>515</v>
      </c>
      <c r="S280" t="s">
        <v>515</v>
      </c>
      <c r="T280" t="s">
        <v>515</v>
      </c>
      <c r="U280" t="s">
        <v>515</v>
      </c>
      <c r="V280" s="118" t="s">
        <v>515</v>
      </c>
      <c r="W280" t="s">
        <v>515</v>
      </c>
      <c r="X280" t="s">
        <v>515</v>
      </c>
      <c r="Y280">
        <f t="shared" si="28"/>
        <v>5</v>
      </c>
      <c r="Z280">
        <f t="shared" si="29"/>
        <v>16</v>
      </c>
      <c r="AA280">
        <f t="shared" si="30"/>
        <v>2024</v>
      </c>
      <c r="AB280" s="118" t="b">
        <v>0</v>
      </c>
      <c r="AC280" s="19">
        <v>45428</v>
      </c>
      <c r="AD280" s="19" t="s">
        <v>515</v>
      </c>
      <c r="AE280" t="s">
        <v>515</v>
      </c>
      <c r="AF280" s="19">
        <v>45428</v>
      </c>
      <c r="AG280" t="s">
        <v>515</v>
      </c>
      <c r="AH280" t="s">
        <v>515</v>
      </c>
      <c r="AI280" s="224">
        <v>737.2</v>
      </c>
      <c r="AJ280" s="224">
        <v>478</v>
      </c>
      <c r="AK280" s="224">
        <v>510.2</v>
      </c>
      <c r="AL280" s="224">
        <v>332</v>
      </c>
      <c r="AM280" s="224">
        <v>0.25</v>
      </c>
      <c r="AN280" s="224">
        <v>513.4</v>
      </c>
      <c r="AO280" s="224">
        <v>0.499</v>
      </c>
      <c r="AP280" s="224">
        <v>0.51600000000000001</v>
      </c>
      <c r="AQ280" s="224">
        <v>0.70899999999999996</v>
      </c>
      <c r="AR280" s="224">
        <v>177.9</v>
      </c>
      <c r="AS280" s="224">
        <v>15.63</v>
      </c>
      <c r="AT280" s="224">
        <v>183.6</v>
      </c>
      <c r="AU280" s="224">
        <v>40.672780000000003</v>
      </c>
      <c r="AV280" s="224">
        <v>-85.841340000000002</v>
      </c>
      <c r="AW280" s="224">
        <v>216.9</v>
      </c>
      <c r="AX280" s="224">
        <v>105.4</v>
      </c>
      <c r="AY280" s="224">
        <v>8.85</v>
      </c>
      <c r="AZ280" s="224">
        <v>-114.3</v>
      </c>
      <c r="BA280" s="224">
        <v>12</v>
      </c>
      <c r="BB280" s="224">
        <v>0</v>
      </c>
      <c r="BC280" s="224">
        <v>21.687000000000001</v>
      </c>
      <c r="BD280" s="224">
        <v>5.73</v>
      </c>
      <c r="BE280" s="227">
        <v>0</v>
      </c>
      <c r="BF280" t="s">
        <v>515</v>
      </c>
      <c r="BG280" t="s">
        <v>515</v>
      </c>
      <c r="BH280" s="118"/>
      <c r="BI280" s="118"/>
      <c r="BJ280" s="118"/>
      <c r="BK280" s="118"/>
      <c r="BL280" s="118"/>
      <c r="BM280" s="118"/>
      <c r="BN280" s="118"/>
      <c r="BO280" s="118"/>
    </row>
    <row r="281" spans="1:67" x14ac:dyDescent="0.25">
      <c r="A281" s="25">
        <v>10280</v>
      </c>
      <c r="B281" t="s">
        <v>306</v>
      </c>
      <c r="C281" t="s">
        <v>306</v>
      </c>
      <c r="D281" s="27" t="s">
        <v>475</v>
      </c>
      <c r="E281" s="27">
        <v>1</v>
      </c>
      <c r="F281" s="118" t="s">
        <v>515</v>
      </c>
      <c r="G281" t="s">
        <v>19</v>
      </c>
      <c r="H281" t="s">
        <v>9</v>
      </c>
      <c r="I281">
        <v>2.3699999999999999E-2</v>
      </c>
      <c r="J281">
        <v>2.3460000000000001</v>
      </c>
      <c r="K281">
        <v>2.1999999999999999E-2</v>
      </c>
      <c r="L281" t="s">
        <v>515</v>
      </c>
      <c r="M281" s="140">
        <f t="shared" si="31"/>
        <v>0.05</v>
      </c>
      <c r="N281" s="140">
        <f t="shared" si="31"/>
        <v>2.3460000000000001</v>
      </c>
      <c r="O281" s="140">
        <f t="shared" si="31"/>
        <v>0.05</v>
      </c>
      <c r="P281" s="140" t="str">
        <f t="shared" si="27"/>
        <v>NULL</v>
      </c>
      <c r="Q281" s="161" t="s">
        <v>515</v>
      </c>
      <c r="R281" s="125">
        <v>15.24</v>
      </c>
      <c r="S281">
        <v>4.416666666666667</v>
      </c>
      <c r="T281" s="104">
        <v>3.423036292706092</v>
      </c>
      <c r="U281" s="104">
        <v>1.417308304427668</v>
      </c>
      <c r="V281" s="151" t="s">
        <v>515</v>
      </c>
      <c r="W281" t="s">
        <v>515</v>
      </c>
      <c r="X281" t="s">
        <v>515</v>
      </c>
      <c r="Y281">
        <f t="shared" si="28"/>
        <v>5</v>
      </c>
      <c r="Z281">
        <f t="shared" si="29"/>
        <v>30</v>
      </c>
      <c r="AA281">
        <f t="shared" si="30"/>
        <v>2024</v>
      </c>
      <c r="AB281" t="s">
        <v>515</v>
      </c>
      <c r="AC281" s="19">
        <v>45442</v>
      </c>
      <c r="AD281" s="19" t="s">
        <v>515</v>
      </c>
      <c r="AE281" t="s">
        <v>515</v>
      </c>
      <c r="AF281" s="19">
        <v>45442</v>
      </c>
      <c r="AG281" t="s">
        <v>515</v>
      </c>
      <c r="AH281" t="s">
        <v>515</v>
      </c>
      <c r="AI281" s="118" t="s">
        <v>515</v>
      </c>
      <c r="AJ281" s="118" t="s">
        <v>515</v>
      </c>
      <c r="AK281" s="118" t="s">
        <v>515</v>
      </c>
      <c r="AL281" s="118" t="s">
        <v>515</v>
      </c>
      <c r="AM281" s="118" t="s">
        <v>515</v>
      </c>
      <c r="AN281" s="118" t="s">
        <v>515</v>
      </c>
      <c r="AO281" s="118" t="s">
        <v>515</v>
      </c>
      <c r="AP281" s="118" t="s">
        <v>515</v>
      </c>
      <c r="AQ281" s="118" t="s">
        <v>515</v>
      </c>
      <c r="AR281" s="118" t="s">
        <v>515</v>
      </c>
      <c r="AS281" s="118" t="s">
        <v>515</v>
      </c>
      <c r="AT281" s="118" t="s">
        <v>515</v>
      </c>
      <c r="AU281" s="118" t="s">
        <v>515</v>
      </c>
      <c r="AV281" s="118" t="s">
        <v>515</v>
      </c>
      <c r="AW281" s="118" t="s">
        <v>515</v>
      </c>
      <c r="AX281" s="118" t="s">
        <v>515</v>
      </c>
      <c r="AY281" s="118" t="s">
        <v>515</v>
      </c>
      <c r="AZ281" s="118" t="s">
        <v>515</v>
      </c>
      <c r="BA281" s="118" t="s">
        <v>515</v>
      </c>
      <c r="BB281" s="118" t="s">
        <v>515</v>
      </c>
      <c r="BC281" s="118" t="s">
        <v>515</v>
      </c>
      <c r="BD281" s="118" t="s">
        <v>515</v>
      </c>
      <c r="BE281" s="118" t="s">
        <v>515</v>
      </c>
      <c r="BF281" t="s">
        <v>515</v>
      </c>
      <c r="BG281" t="s">
        <v>515</v>
      </c>
      <c r="BH281" s="118"/>
      <c r="BI281" s="118"/>
      <c r="BJ281" s="118"/>
      <c r="BK281" s="118"/>
      <c r="BL281" s="118"/>
      <c r="BM281" s="118"/>
      <c r="BN281" s="118"/>
      <c r="BO281" s="118"/>
    </row>
    <row r="282" spans="1:67" x14ac:dyDescent="0.25">
      <c r="A282" s="25">
        <v>10281</v>
      </c>
      <c r="B282" t="s">
        <v>307</v>
      </c>
      <c r="C282" t="s">
        <v>307</v>
      </c>
      <c r="D282" s="27" t="s">
        <v>476</v>
      </c>
      <c r="E282" s="27">
        <v>2</v>
      </c>
      <c r="F282" s="118" t="s">
        <v>515</v>
      </c>
      <c r="G282" t="s">
        <v>19</v>
      </c>
      <c r="H282" t="s">
        <v>9</v>
      </c>
      <c r="I282">
        <v>1.21E-2</v>
      </c>
      <c r="J282">
        <v>2.141</v>
      </c>
      <c r="K282">
        <v>2.1999999999999999E-2</v>
      </c>
      <c r="L282" t="s">
        <v>515</v>
      </c>
      <c r="M282" s="140">
        <f t="shared" si="31"/>
        <v>0.05</v>
      </c>
      <c r="N282" s="140">
        <f t="shared" si="31"/>
        <v>2.141</v>
      </c>
      <c r="O282" s="140">
        <f t="shared" si="31"/>
        <v>0.05</v>
      </c>
      <c r="P282" s="140" t="str">
        <f t="shared" si="27"/>
        <v>NULL</v>
      </c>
      <c r="Q282" s="161" t="s">
        <v>515</v>
      </c>
      <c r="R282" s="125">
        <v>30.76</v>
      </c>
      <c r="S282">
        <v>3.6766666666666672</v>
      </c>
      <c r="T282">
        <v>3.6740972461472277</v>
      </c>
      <c r="U282">
        <v>1.360449160035367</v>
      </c>
      <c r="V282" s="118" t="s">
        <v>515</v>
      </c>
      <c r="W282" t="s">
        <v>515</v>
      </c>
      <c r="X282" t="s">
        <v>515</v>
      </c>
      <c r="Y282">
        <f t="shared" si="28"/>
        <v>5</v>
      </c>
      <c r="Z282">
        <f t="shared" si="29"/>
        <v>30</v>
      </c>
      <c r="AA282">
        <f t="shared" si="30"/>
        <v>2024</v>
      </c>
      <c r="AB282" t="s">
        <v>515</v>
      </c>
      <c r="AC282" s="19">
        <v>45442</v>
      </c>
      <c r="AD282" s="19" t="s">
        <v>515</v>
      </c>
      <c r="AE282" t="s">
        <v>515</v>
      </c>
      <c r="AF282" s="19">
        <v>45442</v>
      </c>
      <c r="AG282" t="s">
        <v>515</v>
      </c>
      <c r="AH282" t="s">
        <v>515</v>
      </c>
      <c r="AI282" s="118" t="s">
        <v>515</v>
      </c>
      <c r="AJ282" s="118" t="s">
        <v>515</v>
      </c>
      <c r="AK282" s="118" t="s">
        <v>515</v>
      </c>
      <c r="AL282" s="118" t="s">
        <v>515</v>
      </c>
      <c r="AM282" s="118" t="s">
        <v>515</v>
      </c>
      <c r="AN282" s="118" t="s">
        <v>515</v>
      </c>
      <c r="AO282" s="118" t="s">
        <v>515</v>
      </c>
      <c r="AP282" s="118" t="s">
        <v>515</v>
      </c>
      <c r="AQ282" s="118" t="s">
        <v>515</v>
      </c>
      <c r="AR282" s="118" t="s">
        <v>515</v>
      </c>
      <c r="AS282" s="118" t="s">
        <v>515</v>
      </c>
      <c r="AT282" s="118" t="s">
        <v>515</v>
      </c>
      <c r="AU282" s="118" t="s">
        <v>515</v>
      </c>
      <c r="AV282" s="118" t="s">
        <v>515</v>
      </c>
      <c r="AW282" s="118" t="s">
        <v>515</v>
      </c>
      <c r="AX282" s="118" t="s">
        <v>515</v>
      </c>
      <c r="AY282" s="118" t="s">
        <v>515</v>
      </c>
      <c r="AZ282" s="118" t="s">
        <v>515</v>
      </c>
      <c r="BA282" s="118" t="s">
        <v>515</v>
      </c>
      <c r="BB282" s="118" t="s">
        <v>515</v>
      </c>
      <c r="BC282" s="118" t="s">
        <v>515</v>
      </c>
      <c r="BD282" s="118" t="s">
        <v>515</v>
      </c>
      <c r="BE282" s="118" t="s">
        <v>515</v>
      </c>
      <c r="BF282" t="s">
        <v>515</v>
      </c>
      <c r="BG282" t="s">
        <v>515</v>
      </c>
      <c r="BH282" s="118"/>
      <c r="BI282" s="118"/>
      <c r="BJ282" s="118"/>
      <c r="BK282" s="118"/>
      <c r="BL282" s="118"/>
      <c r="BM282" s="118"/>
      <c r="BN282" s="118"/>
      <c r="BO282" s="118"/>
    </row>
    <row r="283" spans="1:67" x14ac:dyDescent="0.25">
      <c r="A283" s="25">
        <v>10282</v>
      </c>
      <c r="B283" t="s">
        <v>308</v>
      </c>
      <c r="C283" t="s">
        <v>308</v>
      </c>
      <c r="D283" s="27" t="s">
        <v>477</v>
      </c>
      <c r="E283" s="27">
        <v>3</v>
      </c>
      <c r="F283" s="118" t="s">
        <v>515</v>
      </c>
      <c r="G283" t="s">
        <v>19</v>
      </c>
      <c r="H283" t="s">
        <v>9</v>
      </c>
      <c r="I283">
        <v>1.5299999999999999E-2</v>
      </c>
      <c r="J283">
        <v>2.3130000000000002</v>
      </c>
      <c r="K283">
        <v>2.8000000000000001E-2</v>
      </c>
      <c r="L283" t="s">
        <v>515</v>
      </c>
      <c r="M283" s="140">
        <f t="shared" si="31"/>
        <v>0.05</v>
      </c>
      <c r="N283" s="140">
        <f t="shared" si="31"/>
        <v>2.3130000000000002</v>
      </c>
      <c r="O283" s="140">
        <f t="shared" si="31"/>
        <v>0.05</v>
      </c>
      <c r="P283" s="140" t="str">
        <f t="shared" si="27"/>
        <v>NULL</v>
      </c>
      <c r="Q283" s="161" t="s">
        <v>515</v>
      </c>
      <c r="R283" s="125">
        <v>24.08666666666667</v>
      </c>
      <c r="S283">
        <v>10.183333333333334</v>
      </c>
      <c r="T283">
        <v>4.1235465996505454</v>
      </c>
      <c r="U283">
        <v>1.31583241515337</v>
      </c>
      <c r="V283" s="118" t="s">
        <v>515</v>
      </c>
      <c r="W283" t="s">
        <v>515</v>
      </c>
      <c r="X283" t="s">
        <v>515</v>
      </c>
      <c r="Y283">
        <f t="shared" si="28"/>
        <v>5</v>
      </c>
      <c r="Z283">
        <f t="shared" si="29"/>
        <v>30</v>
      </c>
      <c r="AA283">
        <f t="shared" si="30"/>
        <v>2024</v>
      </c>
      <c r="AB283" t="s">
        <v>515</v>
      </c>
      <c r="AC283" s="19">
        <v>45442</v>
      </c>
      <c r="AD283" s="19" t="s">
        <v>515</v>
      </c>
      <c r="AE283" t="s">
        <v>515</v>
      </c>
      <c r="AF283" s="19">
        <v>45442</v>
      </c>
      <c r="AG283" t="s">
        <v>515</v>
      </c>
      <c r="AH283" t="s">
        <v>515</v>
      </c>
      <c r="AI283" s="118" t="s">
        <v>515</v>
      </c>
      <c r="AJ283" s="118" t="s">
        <v>515</v>
      </c>
      <c r="AK283" s="118" t="s">
        <v>515</v>
      </c>
      <c r="AL283" s="118" t="s">
        <v>515</v>
      </c>
      <c r="AM283" s="118" t="s">
        <v>515</v>
      </c>
      <c r="AN283" s="118" t="s">
        <v>515</v>
      </c>
      <c r="AO283" s="118" t="s">
        <v>515</v>
      </c>
      <c r="AP283" s="118" t="s">
        <v>515</v>
      </c>
      <c r="AQ283" s="118" t="s">
        <v>515</v>
      </c>
      <c r="AR283" s="118" t="s">
        <v>515</v>
      </c>
      <c r="AS283" s="118" t="s">
        <v>515</v>
      </c>
      <c r="AT283" s="118" t="s">
        <v>515</v>
      </c>
      <c r="AU283" s="118" t="s">
        <v>515</v>
      </c>
      <c r="AV283" s="118" t="s">
        <v>515</v>
      </c>
      <c r="AW283" s="118" t="s">
        <v>515</v>
      </c>
      <c r="AX283" s="118" t="s">
        <v>515</v>
      </c>
      <c r="AY283" s="118" t="s">
        <v>515</v>
      </c>
      <c r="AZ283" s="118" t="s">
        <v>515</v>
      </c>
      <c r="BA283" s="118" t="s">
        <v>515</v>
      </c>
      <c r="BB283" s="118" t="s">
        <v>515</v>
      </c>
      <c r="BC283" s="118" t="s">
        <v>515</v>
      </c>
      <c r="BD283" s="118" t="s">
        <v>515</v>
      </c>
      <c r="BE283" s="118" t="s">
        <v>515</v>
      </c>
      <c r="BF283" t="s">
        <v>515</v>
      </c>
      <c r="BG283" t="s">
        <v>515</v>
      </c>
      <c r="BH283" s="118"/>
      <c r="BI283" s="118"/>
      <c r="BJ283" s="118"/>
      <c r="BK283" s="118"/>
      <c r="BL283" s="118"/>
      <c r="BM283" s="118"/>
      <c r="BN283" s="118"/>
      <c r="BO283" s="118"/>
    </row>
    <row r="284" spans="1:67" x14ac:dyDescent="0.25">
      <c r="A284" s="25">
        <v>10283</v>
      </c>
      <c r="B284" t="s">
        <v>309</v>
      </c>
      <c r="C284" t="s">
        <v>309</v>
      </c>
      <c r="D284" s="27" t="s">
        <v>478</v>
      </c>
      <c r="E284" s="27">
        <v>4</v>
      </c>
      <c r="F284" s="118" t="s">
        <v>515</v>
      </c>
      <c r="G284" t="s">
        <v>19</v>
      </c>
      <c r="H284" t="s">
        <v>9</v>
      </c>
      <c r="I284">
        <v>1.35E-2</v>
      </c>
      <c r="J284">
        <v>2.08</v>
      </c>
      <c r="K284">
        <v>0.02</v>
      </c>
      <c r="L284" t="s">
        <v>515</v>
      </c>
      <c r="M284" s="140">
        <f t="shared" si="31"/>
        <v>0.05</v>
      </c>
      <c r="N284" s="140">
        <f t="shared" si="31"/>
        <v>2.08</v>
      </c>
      <c r="O284" s="140">
        <f t="shared" si="31"/>
        <v>0.05</v>
      </c>
      <c r="P284" s="140" t="str">
        <f t="shared" si="27"/>
        <v>NULL</v>
      </c>
      <c r="Q284" s="161" t="s">
        <v>515</v>
      </c>
      <c r="R284" s="125">
        <v>32.550000000000004</v>
      </c>
      <c r="S284">
        <v>8.5200000000000014</v>
      </c>
      <c r="T284">
        <v>3.442268705288539</v>
      </c>
      <c r="U284">
        <v>1.2285032986465347</v>
      </c>
      <c r="V284" s="118" t="s">
        <v>515</v>
      </c>
      <c r="W284" t="s">
        <v>515</v>
      </c>
      <c r="X284" t="s">
        <v>515</v>
      </c>
      <c r="Y284">
        <f t="shared" si="28"/>
        <v>5</v>
      </c>
      <c r="Z284">
        <f t="shared" si="29"/>
        <v>30</v>
      </c>
      <c r="AA284">
        <f t="shared" si="30"/>
        <v>2024</v>
      </c>
      <c r="AB284" t="s">
        <v>515</v>
      </c>
      <c r="AC284" s="19">
        <v>45442</v>
      </c>
      <c r="AD284" s="19" t="s">
        <v>515</v>
      </c>
      <c r="AE284" t="s">
        <v>515</v>
      </c>
      <c r="AF284" s="19">
        <v>45442</v>
      </c>
      <c r="AG284" t="s">
        <v>515</v>
      </c>
      <c r="AH284" t="s">
        <v>515</v>
      </c>
      <c r="AI284" s="118" t="s">
        <v>515</v>
      </c>
      <c r="AJ284" s="118" t="s">
        <v>515</v>
      </c>
      <c r="AK284" s="118" t="s">
        <v>515</v>
      </c>
      <c r="AL284" s="118" t="s">
        <v>515</v>
      </c>
      <c r="AM284" s="118" t="s">
        <v>515</v>
      </c>
      <c r="AN284" s="118" t="s">
        <v>515</v>
      </c>
      <c r="AO284" s="118" t="s">
        <v>515</v>
      </c>
      <c r="AP284" s="118" t="s">
        <v>515</v>
      </c>
      <c r="AQ284" s="118" t="s">
        <v>515</v>
      </c>
      <c r="AR284" s="118" t="s">
        <v>515</v>
      </c>
      <c r="AS284" s="118" t="s">
        <v>515</v>
      </c>
      <c r="AT284" s="118" t="s">
        <v>515</v>
      </c>
      <c r="AU284" s="118" t="s">
        <v>515</v>
      </c>
      <c r="AV284" s="118" t="s">
        <v>515</v>
      </c>
      <c r="AW284" s="118" t="s">
        <v>515</v>
      </c>
      <c r="AX284" s="118" t="s">
        <v>515</v>
      </c>
      <c r="AY284" s="118" t="s">
        <v>515</v>
      </c>
      <c r="AZ284" s="118" t="s">
        <v>515</v>
      </c>
      <c r="BA284" s="118" t="s">
        <v>515</v>
      </c>
      <c r="BB284" s="118" t="s">
        <v>515</v>
      </c>
      <c r="BC284" s="118" t="s">
        <v>515</v>
      </c>
      <c r="BD284" s="118" t="s">
        <v>515</v>
      </c>
      <c r="BE284" s="118" t="s">
        <v>515</v>
      </c>
      <c r="BF284" t="s">
        <v>515</v>
      </c>
      <c r="BG284" t="s">
        <v>515</v>
      </c>
      <c r="BH284" s="118"/>
      <c r="BI284" s="118"/>
      <c r="BJ284" s="118"/>
      <c r="BK284" s="118"/>
      <c r="BL284" s="118"/>
      <c r="BM284" s="118"/>
      <c r="BN284" s="118"/>
      <c r="BO284" s="118"/>
    </row>
    <row r="285" spans="1:67" x14ac:dyDescent="0.25">
      <c r="A285" s="25">
        <v>10284</v>
      </c>
      <c r="B285" t="s">
        <v>310</v>
      </c>
      <c r="C285" t="s">
        <v>310</v>
      </c>
      <c r="D285" s="27" t="s">
        <v>479</v>
      </c>
      <c r="E285" s="27">
        <v>5</v>
      </c>
      <c r="F285" s="118" t="s">
        <v>515</v>
      </c>
      <c r="G285" t="s">
        <v>19</v>
      </c>
      <c r="H285" t="s">
        <v>9</v>
      </c>
      <c r="I285">
        <v>1.29E-2</v>
      </c>
      <c r="J285">
        <v>2.2069999999999999</v>
      </c>
      <c r="K285">
        <v>0.02</v>
      </c>
      <c r="L285" t="s">
        <v>515</v>
      </c>
      <c r="M285" s="140">
        <f t="shared" si="31"/>
        <v>0.05</v>
      </c>
      <c r="N285" s="140">
        <f t="shared" si="31"/>
        <v>2.2069999999999999</v>
      </c>
      <c r="O285" s="140">
        <f t="shared" si="31"/>
        <v>0.05</v>
      </c>
      <c r="P285" s="140" t="str">
        <f t="shared" si="27"/>
        <v>NULL</v>
      </c>
      <c r="Q285" s="161" t="s">
        <v>515</v>
      </c>
      <c r="R285" s="125">
        <v>55.443333333333335</v>
      </c>
      <c r="S285">
        <v>5.7366666666666672</v>
      </c>
      <c r="T285">
        <v>3.2125193441684932</v>
      </c>
      <c r="U285">
        <v>1.0851311977147522</v>
      </c>
      <c r="V285" s="118" t="s">
        <v>515</v>
      </c>
      <c r="W285" t="s">
        <v>515</v>
      </c>
      <c r="X285" t="s">
        <v>515</v>
      </c>
      <c r="Y285">
        <f t="shared" si="28"/>
        <v>5</v>
      </c>
      <c r="Z285">
        <f t="shared" si="29"/>
        <v>30</v>
      </c>
      <c r="AA285">
        <f t="shared" si="30"/>
        <v>2024</v>
      </c>
      <c r="AB285" t="s">
        <v>515</v>
      </c>
      <c r="AC285" s="19">
        <v>45442</v>
      </c>
      <c r="AD285" s="19" t="s">
        <v>515</v>
      </c>
      <c r="AE285" t="s">
        <v>515</v>
      </c>
      <c r="AF285" s="19">
        <v>45442</v>
      </c>
      <c r="AG285" t="s">
        <v>515</v>
      </c>
      <c r="AH285" t="s">
        <v>515</v>
      </c>
      <c r="AI285" s="118" t="s">
        <v>515</v>
      </c>
      <c r="AJ285" s="118" t="s">
        <v>515</v>
      </c>
      <c r="AK285" s="118" t="s">
        <v>515</v>
      </c>
      <c r="AL285" s="118" t="s">
        <v>515</v>
      </c>
      <c r="AM285" s="118" t="s">
        <v>515</v>
      </c>
      <c r="AN285" s="118" t="s">
        <v>515</v>
      </c>
      <c r="AO285" s="118" t="s">
        <v>515</v>
      </c>
      <c r="AP285" s="118" t="s">
        <v>515</v>
      </c>
      <c r="AQ285" s="118" t="s">
        <v>515</v>
      </c>
      <c r="AR285" s="118" t="s">
        <v>515</v>
      </c>
      <c r="AS285" s="118" t="s">
        <v>515</v>
      </c>
      <c r="AT285" s="118" t="s">
        <v>515</v>
      </c>
      <c r="AU285" s="118" t="s">
        <v>515</v>
      </c>
      <c r="AV285" s="118" t="s">
        <v>515</v>
      </c>
      <c r="AW285" s="118" t="s">
        <v>515</v>
      </c>
      <c r="AX285" s="118" t="s">
        <v>515</v>
      </c>
      <c r="AY285" s="118" t="s">
        <v>515</v>
      </c>
      <c r="AZ285" s="118" t="s">
        <v>515</v>
      </c>
      <c r="BA285" s="118" t="s">
        <v>515</v>
      </c>
      <c r="BB285" s="118" t="s">
        <v>515</v>
      </c>
      <c r="BC285" s="118" t="s">
        <v>515</v>
      </c>
      <c r="BD285" s="118" t="s">
        <v>515</v>
      </c>
      <c r="BE285" s="118" t="s">
        <v>515</v>
      </c>
      <c r="BF285" t="s">
        <v>515</v>
      </c>
      <c r="BG285" t="s">
        <v>515</v>
      </c>
      <c r="BH285" s="118"/>
      <c r="BI285" s="118"/>
      <c r="BJ285" s="118"/>
      <c r="BK285" s="118"/>
      <c r="BL285" s="118"/>
      <c r="BM285" s="118"/>
      <c r="BN285" s="118"/>
      <c r="BO285" s="118"/>
    </row>
    <row r="286" spans="1:67" x14ac:dyDescent="0.25">
      <c r="A286" s="25">
        <v>10285</v>
      </c>
      <c r="B286" t="s">
        <v>311</v>
      </c>
      <c r="C286" t="s">
        <v>311</v>
      </c>
      <c r="D286" s="27" t="s">
        <v>480</v>
      </c>
      <c r="E286" s="27">
        <v>6</v>
      </c>
      <c r="F286" s="118" t="s">
        <v>515</v>
      </c>
      <c r="G286" t="s">
        <v>19</v>
      </c>
      <c r="H286" t="s">
        <v>9</v>
      </c>
      <c r="I286">
        <v>1.34E-2</v>
      </c>
      <c r="J286">
        <v>2.0939999999999999</v>
      </c>
      <c r="K286">
        <v>1.2E-2</v>
      </c>
      <c r="L286" t="s">
        <v>515</v>
      </c>
      <c r="M286" s="140">
        <f t="shared" si="31"/>
        <v>0.05</v>
      </c>
      <c r="N286" s="140">
        <f t="shared" si="31"/>
        <v>2.0939999999999999</v>
      </c>
      <c r="O286" s="140">
        <f t="shared" si="31"/>
        <v>0.05</v>
      </c>
      <c r="P286" s="140" t="str">
        <f t="shared" si="27"/>
        <v>NULL</v>
      </c>
      <c r="Q286" s="161" t="s">
        <v>515</v>
      </c>
      <c r="R286" s="125">
        <v>74.263333333333335</v>
      </c>
      <c r="S286">
        <v>5.7766666666666664</v>
      </c>
      <c r="T286">
        <v>2.875692226508336</v>
      </c>
      <c r="U286">
        <v>0.99698592124056329</v>
      </c>
      <c r="V286" s="118" t="s">
        <v>515</v>
      </c>
      <c r="W286" t="s">
        <v>515</v>
      </c>
      <c r="X286" t="s">
        <v>515</v>
      </c>
      <c r="Y286">
        <f t="shared" si="28"/>
        <v>5</v>
      </c>
      <c r="Z286">
        <f t="shared" si="29"/>
        <v>30</v>
      </c>
      <c r="AA286">
        <f t="shared" si="30"/>
        <v>2024</v>
      </c>
      <c r="AB286" t="s">
        <v>515</v>
      </c>
      <c r="AC286" s="19">
        <v>45442</v>
      </c>
      <c r="AD286" s="19" t="s">
        <v>515</v>
      </c>
      <c r="AE286" t="s">
        <v>515</v>
      </c>
      <c r="AF286" s="19">
        <v>45442</v>
      </c>
      <c r="AG286" t="s">
        <v>515</v>
      </c>
      <c r="AH286" t="s">
        <v>515</v>
      </c>
      <c r="AI286" s="118" t="s">
        <v>515</v>
      </c>
      <c r="AJ286" s="118" t="s">
        <v>515</v>
      </c>
      <c r="AK286" s="118" t="s">
        <v>515</v>
      </c>
      <c r="AL286" s="118" t="s">
        <v>515</v>
      </c>
      <c r="AM286" s="118" t="s">
        <v>515</v>
      </c>
      <c r="AN286" s="118" t="s">
        <v>515</v>
      </c>
      <c r="AO286" s="118" t="s">
        <v>515</v>
      </c>
      <c r="AP286" s="118" t="s">
        <v>515</v>
      </c>
      <c r="AQ286" s="118" t="s">
        <v>515</v>
      </c>
      <c r="AR286" s="118" t="s">
        <v>515</v>
      </c>
      <c r="AS286" s="118" t="s">
        <v>515</v>
      </c>
      <c r="AT286" s="118" t="s">
        <v>515</v>
      </c>
      <c r="AU286" s="118" t="s">
        <v>515</v>
      </c>
      <c r="AV286" s="118" t="s">
        <v>515</v>
      </c>
      <c r="AW286" s="118" t="s">
        <v>515</v>
      </c>
      <c r="AX286" s="118" t="s">
        <v>515</v>
      </c>
      <c r="AY286" s="118" t="s">
        <v>515</v>
      </c>
      <c r="AZ286" s="118" t="s">
        <v>515</v>
      </c>
      <c r="BA286" s="118" t="s">
        <v>515</v>
      </c>
      <c r="BB286" s="118" t="s">
        <v>515</v>
      </c>
      <c r="BC286" s="118" t="s">
        <v>515</v>
      </c>
      <c r="BD286" s="118" t="s">
        <v>515</v>
      </c>
      <c r="BE286" s="118" t="s">
        <v>515</v>
      </c>
      <c r="BF286" t="s">
        <v>515</v>
      </c>
      <c r="BG286" t="s">
        <v>515</v>
      </c>
      <c r="BH286" s="118"/>
      <c r="BI286" s="118"/>
      <c r="BJ286" s="118"/>
      <c r="BK286" s="118"/>
      <c r="BL286" s="118"/>
      <c r="BM286" s="118"/>
      <c r="BN286" s="118"/>
      <c r="BO286" s="118"/>
    </row>
    <row r="287" spans="1:67" x14ac:dyDescent="0.25">
      <c r="A287" s="25">
        <v>10286</v>
      </c>
      <c r="B287" t="s">
        <v>312</v>
      </c>
      <c r="C287" t="s">
        <v>312</v>
      </c>
      <c r="D287" s="27" t="s">
        <v>481</v>
      </c>
      <c r="E287" s="27">
        <v>7</v>
      </c>
      <c r="F287" s="118" t="s">
        <v>515</v>
      </c>
      <c r="G287" t="s">
        <v>19</v>
      </c>
      <c r="H287" t="s">
        <v>9</v>
      </c>
      <c r="I287">
        <v>1.34E-2</v>
      </c>
      <c r="J287">
        <v>2.2559999999999998</v>
      </c>
      <c r="K287">
        <v>1.2999999999999999E-2</v>
      </c>
      <c r="L287" t="s">
        <v>515</v>
      </c>
      <c r="M287" s="140">
        <f t="shared" si="31"/>
        <v>0.05</v>
      </c>
      <c r="N287" s="140">
        <f t="shared" si="31"/>
        <v>2.2559999999999998</v>
      </c>
      <c r="O287" s="140">
        <f t="shared" si="31"/>
        <v>0.05</v>
      </c>
      <c r="P287" s="140" t="str">
        <f t="shared" si="27"/>
        <v>NULL</v>
      </c>
      <c r="Q287" s="161" t="s">
        <v>515</v>
      </c>
      <c r="R287" s="125">
        <v>32.153333333333329</v>
      </c>
      <c r="S287">
        <v>9.2233333333333345</v>
      </c>
      <c r="T287">
        <v>3.0207150132786813</v>
      </c>
      <c r="U287">
        <v>1.068535945045229</v>
      </c>
      <c r="V287" s="118" t="s">
        <v>515</v>
      </c>
      <c r="W287" t="s">
        <v>515</v>
      </c>
      <c r="X287" t="s">
        <v>515</v>
      </c>
      <c r="Y287">
        <f t="shared" si="28"/>
        <v>5</v>
      </c>
      <c r="Z287">
        <f t="shared" si="29"/>
        <v>30</v>
      </c>
      <c r="AA287">
        <f t="shared" si="30"/>
        <v>2024</v>
      </c>
      <c r="AB287" t="s">
        <v>515</v>
      </c>
      <c r="AC287" s="19">
        <v>45442</v>
      </c>
      <c r="AD287" s="19" t="s">
        <v>515</v>
      </c>
      <c r="AE287" t="s">
        <v>515</v>
      </c>
      <c r="AF287" s="19">
        <v>45442</v>
      </c>
      <c r="AG287" t="s">
        <v>515</v>
      </c>
      <c r="AH287" t="s">
        <v>515</v>
      </c>
      <c r="AI287" s="118" t="s">
        <v>515</v>
      </c>
      <c r="AJ287" s="118" t="s">
        <v>515</v>
      </c>
      <c r="AK287" s="118" t="s">
        <v>515</v>
      </c>
      <c r="AL287" s="118" t="s">
        <v>515</v>
      </c>
      <c r="AM287" s="118" t="s">
        <v>515</v>
      </c>
      <c r="AN287" s="118" t="s">
        <v>515</v>
      </c>
      <c r="AO287" s="118" t="s">
        <v>515</v>
      </c>
      <c r="AP287" s="118" t="s">
        <v>515</v>
      </c>
      <c r="AQ287" s="118" t="s">
        <v>515</v>
      </c>
      <c r="AR287" s="118" t="s">
        <v>515</v>
      </c>
      <c r="AS287" s="118" t="s">
        <v>515</v>
      </c>
      <c r="AT287" s="118" t="s">
        <v>515</v>
      </c>
      <c r="AU287" s="118" t="s">
        <v>515</v>
      </c>
      <c r="AV287" s="118" t="s">
        <v>515</v>
      </c>
      <c r="AW287" s="118" t="s">
        <v>515</v>
      </c>
      <c r="AX287" s="118" t="s">
        <v>515</v>
      </c>
      <c r="AY287" s="118" t="s">
        <v>515</v>
      </c>
      <c r="AZ287" s="118" t="s">
        <v>515</v>
      </c>
      <c r="BA287" s="118" t="s">
        <v>515</v>
      </c>
      <c r="BB287" s="118" t="s">
        <v>515</v>
      </c>
      <c r="BC287" s="118" t="s">
        <v>515</v>
      </c>
      <c r="BD287" s="118" t="s">
        <v>515</v>
      </c>
      <c r="BE287" s="118" t="s">
        <v>515</v>
      </c>
      <c r="BF287" t="s">
        <v>515</v>
      </c>
      <c r="BG287" t="s">
        <v>515</v>
      </c>
      <c r="BH287" s="118"/>
      <c r="BI287" s="118"/>
      <c r="BJ287" s="118"/>
      <c r="BK287" s="118"/>
      <c r="BL287" s="118"/>
      <c r="BM287" s="118"/>
      <c r="BN287" s="118"/>
      <c r="BO287" s="118"/>
    </row>
    <row r="288" spans="1:67" x14ac:dyDescent="0.25">
      <c r="A288" s="25">
        <v>10287</v>
      </c>
      <c r="B288" t="s">
        <v>313</v>
      </c>
      <c r="C288" t="s">
        <v>313</v>
      </c>
      <c r="D288" s="27" t="s">
        <v>482</v>
      </c>
      <c r="E288" s="27">
        <v>8</v>
      </c>
      <c r="F288" s="118" t="s">
        <v>515</v>
      </c>
      <c r="G288" t="s">
        <v>19</v>
      </c>
      <c r="H288" t="s">
        <v>9</v>
      </c>
      <c r="I288">
        <v>2.5700000000000001E-2</v>
      </c>
      <c r="J288">
        <v>2.286</v>
      </c>
      <c r="K288">
        <v>3.0000000000000001E-3</v>
      </c>
      <c r="L288" t="s">
        <v>515</v>
      </c>
      <c r="M288" s="140">
        <f t="shared" si="31"/>
        <v>0.05</v>
      </c>
      <c r="N288" s="140">
        <f t="shared" si="31"/>
        <v>2.286</v>
      </c>
      <c r="O288" s="140">
        <f t="shared" si="31"/>
        <v>0.05</v>
      </c>
      <c r="P288" s="140" t="str">
        <f t="shared" si="27"/>
        <v>NULL</v>
      </c>
      <c r="Q288" s="161" t="s">
        <v>515</v>
      </c>
      <c r="R288" s="125">
        <v>31.983333333333334</v>
      </c>
      <c r="S288">
        <v>8.1399999999999988</v>
      </c>
      <c r="T288">
        <v>3.0435859904037539</v>
      </c>
      <c r="U288">
        <v>1.877010406039584</v>
      </c>
      <c r="V288" s="118" t="s">
        <v>515</v>
      </c>
      <c r="W288" t="s">
        <v>515</v>
      </c>
      <c r="X288" t="s">
        <v>515</v>
      </c>
      <c r="Y288">
        <f t="shared" si="28"/>
        <v>5</v>
      </c>
      <c r="Z288">
        <f t="shared" si="29"/>
        <v>30</v>
      </c>
      <c r="AA288">
        <f t="shared" si="30"/>
        <v>2024</v>
      </c>
      <c r="AB288" t="s">
        <v>515</v>
      </c>
      <c r="AC288" s="19">
        <v>45442</v>
      </c>
      <c r="AD288" s="19" t="s">
        <v>515</v>
      </c>
      <c r="AE288" t="s">
        <v>515</v>
      </c>
      <c r="AF288" s="19">
        <v>45442</v>
      </c>
      <c r="AG288" t="s">
        <v>515</v>
      </c>
      <c r="AH288" t="s">
        <v>515</v>
      </c>
      <c r="AI288" s="118" t="s">
        <v>515</v>
      </c>
      <c r="AJ288" s="118" t="s">
        <v>515</v>
      </c>
      <c r="AK288" s="118" t="s">
        <v>515</v>
      </c>
      <c r="AL288" s="118" t="s">
        <v>515</v>
      </c>
      <c r="AM288" s="118" t="s">
        <v>515</v>
      </c>
      <c r="AN288" s="118" t="s">
        <v>515</v>
      </c>
      <c r="AO288" s="118" t="s">
        <v>515</v>
      </c>
      <c r="AP288" s="118" t="s">
        <v>515</v>
      </c>
      <c r="AQ288" s="118" t="s">
        <v>515</v>
      </c>
      <c r="AR288" s="118" t="s">
        <v>515</v>
      </c>
      <c r="AS288" s="118" t="s">
        <v>515</v>
      </c>
      <c r="AT288" s="118" t="s">
        <v>515</v>
      </c>
      <c r="AU288" s="118" t="s">
        <v>515</v>
      </c>
      <c r="AV288" s="118" t="s">
        <v>515</v>
      </c>
      <c r="AW288" s="118" t="s">
        <v>515</v>
      </c>
      <c r="AX288" s="118" t="s">
        <v>515</v>
      </c>
      <c r="AY288" s="118" t="s">
        <v>515</v>
      </c>
      <c r="AZ288" s="118" t="s">
        <v>515</v>
      </c>
      <c r="BA288" s="118" t="s">
        <v>515</v>
      </c>
      <c r="BB288" s="118" t="s">
        <v>515</v>
      </c>
      <c r="BC288" s="118" t="s">
        <v>515</v>
      </c>
      <c r="BD288" s="118" t="s">
        <v>515</v>
      </c>
      <c r="BE288" s="118" t="s">
        <v>515</v>
      </c>
      <c r="BF288" t="s">
        <v>515</v>
      </c>
      <c r="BG288" t="s">
        <v>515</v>
      </c>
      <c r="BH288" s="118"/>
      <c r="BI288" s="118"/>
      <c r="BJ288" s="118"/>
      <c r="BK288" s="118"/>
      <c r="BL288" s="118"/>
      <c r="BM288" s="118"/>
      <c r="BN288" s="118"/>
      <c r="BO288" s="118"/>
    </row>
    <row r="289" spans="1:67" x14ac:dyDescent="0.25">
      <c r="A289" s="25">
        <v>10288</v>
      </c>
      <c r="B289" t="s">
        <v>631</v>
      </c>
      <c r="C289" t="s">
        <v>631</v>
      </c>
      <c r="D289" s="27">
        <v>4105</v>
      </c>
      <c r="E289" s="27">
        <v>5</v>
      </c>
      <c r="F289" s="118">
        <v>6425</v>
      </c>
      <c r="G289" s="23" t="s">
        <v>20</v>
      </c>
      <c r="H289" t="s">
        <v>8</v>
      </c>
      <c r="I289">
        <v>-2.3999999999999998E-3</v>
      </c>
      <c r="J289">
        <v>3.6349999999999998</v>
      </c>
      <c r="K289">
        <v>0.33500000000000002</v>
      </c>
      <c r="L289" s="63">
        <v>1.4342001576044129E-2</v>
      </c>
      <c r="M289" s="140">
        <f t="shared" si="31"/>
        <v>0.05</v>
      </c>
      <c r="N289" s="140">
        <f t="shared" si="31"/>
        <v>3.6349999999999998</v>
      </c>
      <c r="O289" s="140">
        <f t="shared" si="31"/>
        <v>0.33500000000000002</v>
      </c>
      <c r="P289" s="140">
        <f t="shared" si="27"/>
        <v>0.05</v>
      </c>
      <c r="Q289" s="161" t="s">
        <v>515</v>
      </c>
      <c r="R289" s="125">
        <v>50.594999999999999</v>
      </c>
      <c r="S289">
        <v>10.07</v>
      </c>
      <c r="T289" s="27">
        <v>2.7772024917077909</v>
      </c>
      <c r="U289" s="27">
        <v>1.5239797786342895</v>
      </c>
      <c r="V289" s="27" t="s">
        <v>515</v>
      </c>
      <c r="W289" t="s">
        <v>515</v>
      </c>
      <c r="X289" t="s">
        <v>515</v>
      </c>
      <c r="Y289">
        <f t="shared" si="28"/>
        <v>6</v>
      </c>
      <c r="Z289">
        <f t="shared" si="29"/>
        <v>4</v>
      </c>
      <c r="AA289">
        <f t="shared" si="30"/>
        <v>2024</v>
      </c>
      <c r="AB289" s="118" t="b">
        <v>0</v>
      </c>
      <c r="AC289" s="22">
        <v>45447</v>
      </c>
      <c r="AD289" s="22" t="s">
        <v>515</v>
      </c>
      <c r="AE289" t="s">
        <v>515</v>
      </c>
      <c r="AF289" s="22">
        <v>45447</v>
      </c>
      <c r="AG289" t="s">
        <v>515</v>
      </c>
      <c r="AH289" t="s">
        <v>515</v>
      </c>
      <c r="AI289" s="190" t="s">
        <v>515</v>
      </c>
      <c r="AJ289" s="190" t="s">
        <v>515</v>
      </c>
      <c r="AK289" s="190" t="s">
        <v>515</v>
      </c>
      <c r="AL289" s="190" t="s">
        <v>515</v>
      </c>
      <c r="AM289" s="190" t="s">
        <v>515</v>
      </c>
      <c r="AN289" s="190" t="s">
        <v>515</v>
      </c>
      <c r="AO289" s="190" t="s">
        <v>515</v>
      </c>
      <c r="AP289" s="190" t="s">
        <v>515</v>
      </c>
      <c r="AQ289" s="190" t="s">
        <v>515</v>
      </c>
      <c r="AR289" s="190" t="s">
        <v>515</v>
      </c>
      <c r="AS289" s="190" t="s">
        <v>515</v>
      </c>
      <c r="AT289" s="190" t="s">
        <v>515</v>
      </c>
      <c r="AU289" s="190" t="s">
        <v>515</v>
      </c>
      <c r="AV289" s="190" t="s">
        <v>515</v>
      </c>
      <c r="AW289" s="190" t="s">
        <v>515</v>
      </c>
      <c r="AX289" s="190" t="s">
        <v>515</v>
      </c>
      <c r="AY289" s="190" t="s">
        <v>515</v>
      </c>
      <c r="AZ289" s="190" t="s">
        <v>515</v>
      </c>
      <c r="BA289" s="190" t="s">
        <v>515</v>
      </c>
      <c r="BB289" s="190" t="s">
        <v>515</v>
      </c>
      <c r="BC289" s="190" t="s">
        <v>515</v>
      </c>
      <c r="BD289" s="190" t="s">
        <v>515</v>
      </c>
      <c r="BE289" s="190" t="s">
        <v>515</v>
      </c>
      <c r="BF289" t="s">
        <v>515</v>
      </c>
      <c r="BG289" t="s">
        <v>515</v>
      </c>
      <c r="BH289" s="118">
        <v>347.923</v>
      </c>
      <c r="BI289" s="118">
        <v>426.54500000000002</v>
      </c>
      <c r="BJ289" s="118">
        <v>534.17700000000002</v>
      </c>
      <c r="BK289" s="118">
        <v>596.49199999999996</v>
      </c>
      <c r="BL289" s="118">
        <v>619.48400000000004</v>
      </c>
      <c r="BM289" s="118">
        <v>538.43200000000002</v>
      </c>
      <c r="BN289" s="118">
        <v>608.98500000000001</v>
      </c>
      <c r="BO289" s="118">
        <v>729.00300000000004</v>
      </c>
    </row>
    <row r="290" spans="1:67" x14ac:dyDescent="0.25">
      <c r="A290" s="25">
        <v>10289</v>
      </c>
      <c r="B290" t="s">
        <v>314</v>
      </c>
      <c r="C290" t="s">
        <v>314</v>
      </c>
      <c r="D290" s="27" t="s">
        <v>483</v>
      </c>
      <c r="E290" s="27">
        <v>6</v>
      </c>
      <c r="F290" s="118">
        <v>8245</v>
      </c>
      <c r="G290" t="s">
        <v>20</v>
      </c>
      <c r="H290" t="s">
        <v>8</v>
      </c>
      <c r="I290">
        <v>1.14E-2</v>
      </c>
      <c r="J290">
        <v>3.2829999999999999</v>
      </c>
      <c r="K290">
        <v>0.246</v>
      </c>
      <c r="L290" s="63">
        <v>1.4342001576044129E-2</v>
      </c>
      <c r="M290" s="140">
        <f t="shared" ref="M290:O305" si="32">IF(I290&lt;0.1,0.05,I290)</f>
        <v>0.05</v>
      </c>
      <c r="N290" s="140">
        <f t="shared" si="32"/>
        <v>3.2829999999999999</v>
      </c>
      <c r="O290" s="140">
        <f t="shared" si="32"/>
        <v>0.246</v>
      </c>
      <c r="P290" s="140">
        <f t="shared" si="27"/>
        <v>0.05</v>
      </c>
      <c r="Q290" s="161" t="s">
        <v>515</v>
      </c>
      <c r="R290" s="125">
        <v>1.4566666666666668</v>
      </c>
      <c r="S290">
        <v>2.4666666666666668</v>
      </c>
      <c r="T290" s="27">
        <v>3.417826227651485</v>
      </c>
      <c r="U290" s="27">
        <v>2.3010633716008497</v>
      </c>
      <c r="V290" s="27" t="s">
        <v>515</v>
      </c>
      <c r="W290" t="s">
        <v>515</v>
      </c>
      <c r="X290" t="s">
        <v>515</v>
      </c>
      <c r="Y290">
        <f t="shared" si="28"/>
        <v>6</v>
      </c>
      <c r="Z290">
        <f t="shared" si="29"/>
        <v>4</v>
      </c>
      <c r="AA290">
        <f t="shared" si="30"/>
        <v>2024</v>
      </c>
      <c r="AB290" s="118" t="b">
        <v>0</v>
      </c>
      <c r="AC290" s="19">
        <v>45447</v>
      </c>
      <c r="AD290" s="19" t="s">
        <v>515</v>
      </c>
      <c r="AE290" t="s">
        <v>515</v>
      </c>
      <c r="AF290" s="19">
        <v>45447</v>
      </c>
      <c r="AG290" t="s">
        <v>515</v>
      </c>
      <c r="AH290" t="s">
        <v>515</v>
      </c>
      <c r="AI290" s="190" t="s">
        <v>515</v>
      </c>
      <c r="AJ290" s="190" t="s">
        <v>515</v>
      </c>
      <c r="AK290" s="190" t="s">
        <v>515</v>
      </c>
      <c r="AL290" s="190" t="s">
        <v>515</v>
      </c>
      <c r="AM290" s="190" t="s">
        <v>515</v>
      </c>
      <c r="AN290" s="190" t="s">
        <v>515</v>
      </c>
      <c r="AO290" s="190" t="s">
        <v>515</v>
      </c>
      <c r="AP290" s="190" t="s">
        <v>515</v>
      </c>
      <c r="AQ290" s="190" t="s">
        <v>515</v>
      </c>
      <c r="AR290" s="190" t="s">
        <v>515</v>
      </c>
      <c r="AS290" s="190" t="s">
        <v>515</v>
      </c>
      <c r="AT290" s="190" t="s">
        <v>515</v>
      </c>
      <c r="AU290" s="190" t="s">
        <v>515</v>
      </c>
      <c r="AV290" s="190" t="s">
        <v>515</v>
      </c>
      <c r="AW290" s="190" t="s">
        <v>515</v>
      </c>
      <c r="AX290" s="190" t="s">
        <v>515</v>
      </c>
      <c r="AY290" s="190" t="s">
        <v>515</v>
      </c>
      <c r="AZ290" s="190" t="s">
        <v>515</v>
      </c>
      <c r="BA290" s="190" t="s">
        <v>515</v>
      </c>
      <c r="BB290" s="190" t="s">
        <v>515</v>
      </c>
      <c r="BC290" s="190" t="s">
        <v>515</v>
      </c>
      <c r="BD290" s="190" t="s">
        <v>515</v>
      </c>
      <c r="BE290" s="190" t="s">
        <v>515</v>
      </c>
      <c r="BF290" t="s">
        <v>515</v>
      </c>
      <c r="BG290" t="s">
        <v>515</v>
      </c>
      <c r="BH290" s="118">
        <v>292.315</v>
      </c>
      <c r="BI290" s="118">
        <v>361.41399999999999</v>
      </c>
      <c r="BJ290" s="118">
        <v>444.13400000000001</v>
      </c>
      <c r="BK290" s="118">
        <v>513.88599999999997</v>
      </c>
      <c r="BL290" s="118">
        <v>554.08299999999997</v>
      </c>
      <c r="BM290" s="118">
        <v>525.54100000000005</v>
      </c>
      <c r="BN290" s="118">
        <v>504.17200000000003</v>
      </c>
      <c r="BO290" s="118">
        <v>655.88599999999997</v>
      </c>
    </row>
    <row r="291" spans="1:67" x14ac:dyDescent="0.25">
      <c r="A291" s="25">
        <v>10290</v>
      </c>
      <c r="B291" t="s">
        <v>315</v>
      </c>
      <c r="C291" t="s">
        <v>315</v>
      </c>
      <c r="D291" s="27" t="s">
        <v>484</v>
      </c>
      <c r="E291" s="27">
        <v>8</v>
      </c>
      <c r="F291" s="118">
        <v>5065</v>
      </c>
      <c r="G291" t="s">
        <v>20</v>
      </c>
      <c r="H291" t="s">
        <v>8</v>
      </c>
      <c r="I291">
        <v>1.7100000000000001E-2</v>
      </c>
      <c r="J291">
        <v>5.7089999999999996</v>
      </c>
      <c r="K291">
        <v>0.24199999999999999</v>
      </c>
      <c r="L291" t="s">
        <v>515</v>
      </c>
      <c r="M291" s="140">
        <f t="shared" si="32"/>
        <v>0.05</v>
      </c>
      <c r="N291" s="140">
        <f t="shared" si="32"/>
        <v>5.7089999999999996</v>
      </c>
      <c r="O291" s="140">
        <f t="shared" si="32"/>
        <v>0.24199999999999999</v>
      </c>
      <c r="P291" s="140" t="str">
        <f t="shared" si="27"/>
        <v>NULL</v>
      </c>
      <c r="Q291" s="161" t="s">
        <v>515</v>
      </c>
      <c r="R291" s="125">
        <v>1.7233333333333334</v>
      </c>
      <c r="S291">
        <v>2.9</v>
      </c>
      <c r="T291" s="27">
        <v>2.5142787800339779</v>
      </c>
      <c r="U291" s="27">
        <v>3.2934542078017173</v>
      </c>
      <c r="V291" s="27" t="s">
        <v>515</v>
      </c>
      <c r="W291" t="s">
        <v>515</v>
      </c>
      <c r="X291" t="s">
        <v>515</v>
      </c>
      <c r="Y291">
        <f t="shared" si="28"/>
        <v>6</v>
      </c>
      <c r="Z291">
        <f t="shared" si="29"/>
        <v>4</v>
      </c>
      <c r="AA291">
        <f t="shared" si="30"/>
        <v>2024</v>
      </c>
      <c r="AB291" s="118" t="b">
        <v>0</v>
      </c>
      <c r="AC291" s="19">
        <v>45447</v>
      </c>
      <c r="AD291" s="19" t="s">
        <v>515</v>
      </c>
      <c r="AE291" t="s">
        <v>515</v>
      </c>
      <c r="AF291" s="19">
        <v>45447</v>
      </c>
      <c r="AG291" t="s">
        <v>515</v>
      </c>
      <c r="AH291" t="s">
        <v>515</v>
      </c>
      <c r="AI291" s="190" t="s">
        <v>515</v>
      </c>
      <c r="AJ291" s="190" t="s">
        <v>515</v>
      </c>
      <c r="AK291" s="190" t="s">
        <v>515</v>
      </c>
      <c r="AL291" s="190" t="s">
        <v>515</v>
      </c>
      <c r="AM291" s="190" t="s">
        <v>515</v>
      </c>
      <c r="AN291" s="190" t="s">
        <v>515</v>
      </c>
      <c r="AO291" s="190" t="s">
        <v>515</v>
      </c>
      <c r="AP291" s="190" t="s">
        <v>515</v>
      </c>
      <c r="AQ291" s="190" t="s">
        <v>515</v>
      </c>
      <c r="AR291" s="190" t="s">
        <v>515</v>
      </c>
      <c r="AS291" s="190" t="s">
        <v>515</v>
      </c>
      <c r="AT291" s="190" t="s">
        <v>515</v>
      </c>
      <c r="AU291" s="190" t="s">
        <v>515</v>
      </c>
      <c r="AV291" s="190" t="s">
        <v>515</v>
      </c>
      <c r="AW291" s="190" t="s">
        <v>515</v>
      </c>
      <c r="AX291" s="190" t="s">
        <v>515</v>
      </c>
      <c r="AY291" s="190" t="s">
        <v>515</v>
      </c>
      <c r="AZ291" s="190" t="s">
        <v>515</v>
      </c>
      <c r="BA291" s="190" t="s">
        <v>515</v>
      </c>
      <c r="BB291" s="190" t="s">
        <v>515</v>
      </c>
      <c r="BC291" s="190" t="s">
        <v>515</v>
      </c>
      <c r="BD291" s="190" t="s">
        <v>515</v>
      </c>
      <c r="BE291" s="190" t="s">
        <v>515</v>
      </c>
      <c r="BF291" t="s">
        <v>515</v>
      </c>
      <c r="BG291" t="s">
        <v>515</v>
      </c>
      <c r="BH291" s="118">
        <v>233.14599999999999</v>
      </c>
      <c r="BI291" s="118">
        <v>292.03300000000002</v>
      </c>
      <c r="BJ291" s="118">
        <v>376.22500000000002</v>
      </c>
      <c r="BK291" s="118">
        <v>446.90600000000001</v>
      </c>
      <c r="BL291" s="118">
        <v>483.21</v>
      </c>
      <c r="BM291" s="118">
        <v>430.84699999999998</v>
      </c>
      <c r="BN291" s="118">
        <v>414.08499999999998</v>
      </c>
      <c r="BO291" s="118">
        <v>535.92999999999995</v>
      </c>
    </row>
    <row r="292" spans="1:67" x14ac:dyDescent="0.25">
      <c r="A292" s="25">
        <v>10291</v>
      </c>
      <c r="B292" t="s">
        <v>316</v>
      </c>
      <c r="C292" t="s">
        <v>316</v>
      </c>
      <c r="D292" s="27" t="s">
        <v>485</v>
      </c>
      <c r="E292" s="27">
        <v>9</v>
      </c>
      <c r="F292" s="118">
        <v>3385</v>
      </c>
      <c r="G292" t="s">
        <v>20</v>
      </c>
      <c r="H292" t="s">
        <v>8</v>
      </c>
      <c r="I292">
        <v>7.4999999999999997E-3</v>
      </c>
      <c r="J292">
        <v>2.532</v>
      </c>
      <c r="K292">
        <v>0.23499999999999999</v>
      </c>
      <c r="L292" s="63">
        <v>6.4617809298660369E-3</v>
      </c>
      <c r="M292" s="140">
        <f t="shared" si="32"/>
        <v>0.05</v>
      </c>
      <c r="N292" s="140">
        <f t="shared" si="32"/>
        <v>2.532</v>
      </c>
      <c r="O292" s="140">
        <f t="shared" si="32"/>
        <v>0.23499999999999999</v>
      </c>
      <c r="P292" s="140">
        <f t="shared" si="27"/>
        <v>0.05</v>
      </c>
      <c r="Q292" s="161" t="s">
        <v>515</v>
      </c>
      <c r="R292" s="125">
        <v>23.366666666666664</v>
      </c>
      <c r="S292">
        <v>15.716666666666667</v>
      </c>
      <c r="T292" s="27">
        <v>3.5644567591618803</v>
      </c>
      <c r="U292" s="27">
        <v>2.6049553194085977</v>
      </c>
      <c r="V292" s="27" t="s">
        <v>515</v>
      </c>
      <c r="W292" t="s">
        <v>515</v>
      </c>
      <c r="X292" t="s">
        <v>515</v>
      </c>
      <c r="Y292">
        <f t="shared" si="28"/>
        <v>6</v>
      </c>
      <c r="Z292">
        <f t="shared" si="29"/>
        <v>4</v>
      </c>
      <c r="AA292">
        <f t="shared" si="30"/>
        <v>2024</v>
      </c>
      <c r="AB292" s="118" t="b">
        <v>0</v>
      </c>
      <c r="AC292" s="19">
        <v>45447</v>
      </c>
      <c r="AD292" s="19" t="s">
        <v>515</v>
      </c>
      <c r="AE292" t="s">
        <v>515</v>
      </c>
      <c r="AF292" s="19">
        <v>45447</v>
      </c>
      <c r="AG292" t="s">
        <v>515</v>
      </c>
      <c r="AH292" t="s">
        <v>515</v>
      </c>
      <c r="AI292" s="190" t="s">
        <v>515</v>
      </c>
      <c r="AJ292" s="190" t="s">
        <v>515</v>
      </c>
      <c r="AK292" s="190" t="s">
        <v>515</v>
      </c>
      <c r="AL292" s="190" t="s">
        <v>515</v>
      </c>
      <c r="AM292" s="190" t="s">
        <v>515</v>
      </c>
      <c r="AN292" s="190" t="s">
        <v>515</v>
      </c>
      <c r="AO292" s="190" t="s">
        <v>515</v>
      </c>
      <c r="AP292" s="190" t="s">
        <v>515</v>
      </c>
      <c r="AQ292" s="190" t="s">
        <v>515</v>
      </c>
      <c r="AR292" s="190" t="s">
        <v>515</v>
      </c>
      <c r="AS292" s="190" t="s">
        <v>515</v>
      </c>
      <c r="AT292" s="190" t="s">
        <v>515</v>
      </c>
      <c r="AU292" s="190" t="s">
        <v>515</v>
      </c>
      <c r="AV292" s="190" t="s">
        <v>515</v>
      </c>
      <c r="AW292" s="190" t="s">
        <v>515</v>
      </c>
      <c r="AX292" s="190" t="s">
        <v>515</v>
      </c>
      <c r="AY292" s="190" t="s">
        <v>515</v>
      </c>
      <c r="AZ292" s="190" t="s">
        <v>515</v>
      </c>
      <c r="BA292" s="190" t="s">
        <v>515</v>
      </c>
      <c r="BB292" s="190" t="s">
        <v>515</v>
      </c>
      <c r="BC292" s="190" t="s">
        <v>515</v>
      </c>
      <c r="BD292" s="190" t="s">
        <v>515</v>
      </c>
      <c r="BE292" s="190" t="s">
        <v>515</v>
      </c>
      <c r="BF292" t="s">
        <v>515</v>
      </c>
      <c r="BG292" t="s">
        <v>515</v>
      </c>
      <c r="BH292" s="118">
        <v>237.68799999999999</v>
      </c>
      <c r="BI292" s="118">
        <v>308.452</v>
      </c>
      <c r="BJ292" s="118">
        <v>379.745</v>
      </c>
      <c r="BK292" s="118">
        <v>450.35700000000003</v>
      </c>
      <c r="BL292" s="118">
        <v>479.97500000000002</v>
      </c>
      <c r="BM292" s="118">
        <v>419.86599999999999</v>
      </c>
      <c r="BN292" s="118">
        <v>441.64600000000002</v>
      </c>
      <c r="BO292" s="118">
        <v>625.77099999999996</v>
      </c>
    </row>
    <row r="293" spans="1:67" x14ac:dyDescent="0.25">
      <c r="A293" s="25">
        <v>10292</v>
      </c>
      <c r="B293" t="s">
        <v>317</v>
      </c>
      <c r="C293" t="s">
        <v>317</v>
      </c>
      <c r="D293" s="27" t="s">
        <v>486</v>
      </c>
      <c r="E293" s="27">
        <v>10</v>
      </c>
      <c r="F293" s="118">
        <v>2205</v>
      </c>
      <c r="G293" t="s">
        <v>20</v>
      </c>
      <c r="H293" t="s">
        <v>8</v>
      </c>
      <c r="I293">
        <v>-3.8999999999999998E-3</v>
      </c>
      <c r="J293">
        <v>3.5329999999999999</v>
      </c>
      <c r="K293">
        <v>0.24199999999999999</v>
      </c>
      <c r="L293" s="63">
        <v>1.2765957446808512E-2</v>
      </c>
      <c r="M293" s="140">
        <f t="shared" si="32"/>
        <v>0.05</v>
      </c>
      <c r="N293" s="140">
        <f t="shared" si="32"/>
        <v>3.5329999999999999</v>
      </c>
      <c r="O293" s="140">
        <f t="shared" si="32"/>
        <v>0.24199999999999999</v>
      </c>
      <c r="P293" s="140">
        <f t="shared" si="27"/>
        <v>0.05</v>
      </c>
      <c r="Q293" s="161" t="s">
        <v>515</v>
      </c>
      <c r="R293" s="125">
        <v>26.55</v>
      </c>
      <c r="S293">
        <v>3.7266666666666666</v>
      </c>
      <c r="T293" s="27">
        <v>3.2256896691206198</v>
      </c>
      <c r="U293" s="27">
        <v>2.2215591037148901</v>
      </c>
      <c r="V293" s="27" t="s">
        <v>515</v>
      </c>
      <c r="W293" t="s">
        <v>515</v>
      </c>
      <c r="X293" t="s">
        <v>515</v>
      </c>
      <c r="Y293">
        <f t="shared" si="28"/>
        <v>6</v>
      </c>
      <c r="Z293">
        <f t="shared" si="29"/>
        <v>4</v>
      </c>
      <c r="AA293">
        <f t="shared" si="30"/>
        <v>2024</v>
      </c>
      <c r="AB293" s="118" t="b">
        <v>0</v>
      </c>
      <c r="AC293" s="19">
        <v>45447</v>
      </c>
      <c r="AD293" s="19" t="s">
        <v>515</v>
      </c>
      <c r="AE293" t="s">
        <v>515</v>
      </c>
      <c r="AF293" s="19">
        <v>45447</v>
      </c>
      <c r="AG293" t="s">
        <v>515</v>
      </c>
      <c r="AH293" t="s">
        <v>515</v>
      </c>
      <c r="AI293" s="190" t="s">
        <v>515</v>
      </c>
      <c r="AJ293" s="190" t="s">
        <v>515</v>
      </c>
      <c r="AK293" s="190" t="s">
        <v>515</v>
      </c>
      <c r="AL293" s="190" t="s">
        <v>515</v>
      </c>
      <c r="AM293" s="190" t="s">
        <v>515</v>
      </c>
      <c r="AN293" s="190" t="s">
        <v>515</v>
      </c>
      <c r="AO293" s="190" t="s">
        <v>515</v>
      </c>
      <c r="AP293" s="190" t="s">
        <v>515</v>
      </c>
      <c r="AQ293" s="190" t="s">
        <v>515</v>
      </c>
      <c r="AR293" s="190" t="s">
        <v>515</v>
      </c>
      <c r="AS293" s="190" t="s">
        <v>515</v>
      </c>
      <c r="AT293" s="190" t="s">
        <v>515</v>
      </c>
      <c r="AU293" s="190" t="s">
        <v>515</v>
      </c>
      <c r="AV293" s="190" t="s">
        <v>515</v>
      </c>
      <c r="AW293" s="190" t="s">
        <v>515</v>
      </c>
      <c r="AX293" s="190" t="s">
        <v>515</v>
      </c>
      <c r="AY293" s="190" t="s">
        <v>515</v>
      </c>
      <c r="AZ293" s="190" t="s">
        <v>515</v>
      </c>
      <c r="BA293" s="190" t="s">
        <v>515</v>
      </c>
      <c r="BB293" s="190" t="s">
        <v>515</v>
      </c>
      <c r="BC293" s="190" t="s">
        <v>515</v>
      </c>
      <c r="BD293" s="190" t="s">
        <v>515</v>
      </c>
      <c r="BE293" s="190" t="s">
        <v>515</v>
      </c>
      <c r="BF293" t="s">
        <v>515</v>
      </c>
      <c r="BG293" t="s">
        <v>515</v>
      </c>
      <c r="BH293" s="118">
        <v>415.45100000000002</v>
      </c>
      <c r="BI293" s="118">
        <v>519.63199999999995</v>
      </c>
      <c r="BJ293" s="118">
        <v>595.06700000000001</v>
      </c>
      <c r="BK293" s="118">
        <v>662.16499999999996</v>
      </c>
      <c r="BL293" s="118">
        <v>702.16200000000003</v>
      </c>
      <c r="BM293" s="118">
        <v>657.14099999999996</v>
      </c>
      <c r="BN293" s="118">
        <v>621.67700000000002</v>
      </c>
      <c r="BO293" s="118">
        <v>701.34699999999998</v>
      </c>
    </row>
    <row r="294" spans="1:67" x14ac:dyDescent="0.25">
      <c r="A294" s="25">
        <v>10293</v>
      </c>
      <c r="B294" t="s">
        <v>318</v>
      </c>
      <c r="C294" t="s">
        <v>318</v>
      </c>
      <c r="D294" s="27" t="s">
        <v>487</v>
      </c>
      <c r="E294" s="27">
        <v>11</v>
      </c>
      <c r="F294" s="118">
        <v>1385</v>
      </c>
      <c r="G294" t="s">
        <v>20</v>
      </c>
      <c r="H294" t="s">
        <v>8</v>
      </c>
      <c r="I294">
        <v>-3.0999999999999999E-3</v>
      </c>
      <c r="J294">
        <v>5.0369999999999999</v>
      </c>
      <c r="K294">
        <v>0.24199999999999999</v>
      </c>
      <c r="L294" s="63">
        <v>1.4342001576044129E-2</v>
      </c>
      <c r="M294" s="140">
        <f t="shared" si="32"/>
        <v>0.05</v>
      </c>
      <c r="N294" s="140">
        <f t="shared" si="32"/>
        <v>5.0369999999999999</v>
      </c>
      <c r="O294" s="140">
        <f t="shared" si="32"/>
        <v>0.24199999999999999</v>
      </c>
      <c r="P294" s="140">
        <f t="shared" si="27"/>
        <v>0.05</v>
      </c>
      <c r="Q294" s="161" t="s">
        <v>515</v>
      </c>
      <c r="R294" s="125">
        <v>41.636666666666663</v>
      </c>
      <c r="S294">
        <v>32.410000000000004</v>
      </c>
      <c r="T294" s="27">
        <v>3.5776029447455713</v>
      </c>
      <c r="U294" s="27">
        <v>3.3880925368334802</v>
      </c>
      <c r="V294" s="27" t="s">
        <v>515</v>
      </c>
      <c r="W294" t="s">
        <v>515</v>
      </c>
      <c r="X294" t="s">
        <v>515</v>
      </c>
      <c r="Y294">
        <f t="shared" si="28"/>
        <v>6</v>
      </c>
      <c r="Z294">
        <f t="shared" si="29"/>
        <v>4</v>
      </c>
      <c r="AA294">
        <f t="shared" si="30"/>
        <v>2024</v>
      </c>
      <c r="AB294" s="118" t="b">
        <v>0</v>
      </c>
      <c r="AC294" s="19">
        <v>45447</v>
      </c>
      <c r="AD294" s="19" t="s">
        <v>515</v>
      </c>
      <c r="AE294" t="s">
        <v>515</v>
      </c>
      <c r="AF294" s="19">
        <v>45447</v>
      </c>
      <c r="AG294" t="s">
        <v>515</v>
      </c>
      <c r="AH294" t="s">
        <v>515</v>
      </c>
      <c r="AI294" s="190" t="s">
        <v>515</v>
      </c>
      <c r="AJ294" s="190" t="s">
        <v>515</v>
      </c>
      <c r="AK294" s="190" t="s">
        <v>515</v>
      </c>
      <c r="AL294" s="190" t="s">
        <v>515</v>
      </c>
      <c r="AM294" s="190" t="s">
        <v>515</v>
      </c>
      <c r="AN294" s="190" t="s">
        <v>515</v>
      </c>
      <c r="AO294" s="190" t="s">
        <v>515</v>
      </c>
      <c r="AP294" s="190" t="s">
        <v>515</v>
      </c>
      <c r="AQ294" s="190" t="s">
        <v>515</v>
      </c>
      <c r="AR294" s="190" t="s">
        <v>515</v>
      </c>
      <c r="AS294" s="190" t="s">
        <v>515</v>
      </c>
      <c r="AT294" s="190" t="s">
        <v>515</v>
      </c>
      <c r="AU294" s="190" t="s">
        <v>515</v>
      </c>
      <c r="AV294" s="190" t="s">
        <v>515</v>
      </c>
      <c r="AW294" s="190" t="s">
        <v>515</v>
      </c>
      <c r="AX294" s="190" t="s">
        <v>515</v>
      </c>
      <c r="AY294" s="190" t="s">
        <v>515</v>
      </c>
      <c r="AZ294" s="190" t="s">
        <v>515</v>
      </c>
      <c r="BA294" s="190" t="s">
        <v>515</v>
      </c>
      <c r="BB294" s="190" t="s">
        <v>515</v>
      </c>
      <c r="BC294" s="190" t="s">
        <v>515</v>
      </c>
      <c r="BD294" s="190" t="s">
        <v>515</v>
      </c>
      <c r="BE294" s="190" t="s">
        <v>515</v>
      </c>
      <c r="BF294" t="s">
        <v>515</v>
      </c>
      <c r="BG294" t="s">
        <v>515</v>
      </c>
      <c r="BH294" s="118">
        <v>300.07900000000001</v>
      </c>
      <c r="BI294" s="118">
        <v>352.16500000000002</v>
      </c>
      <c r="BJ294" s="118">
        <v>441.96199999999999</v>
      </c>
      <c r="BK294" s="118">
        <v>509.61900000000003</v>
      </c>
      <c r="BL294" s="118">
        <v>545.32000000000005</v>
      </c>
      <c r="BM294" s="118">
        <v>473.34199999999998</v>
      </c>
      <c r="BN294" s="118">
        <v>506.25200000000001</v>
      </c>
      <c r="BO294" s="118">
        <v>630.89800000000002</v>
      </c>
    </row>
    <row r="295" spans="1:67" x14ac:dyDescent="0.25">
      <c r="A295" s="25">
        <v>10294</v>
      </c>
      <c r="B295" t="s">
        <v>319</v>
      </c>
      <c r="C295" t="s">
        <v>319</v>
      </c>
      <c r="D295" s="27" t="s">
        <v>488</v>
      </c>
      <c r="E295" s="27">
        <v>12</v>
      </c>
      <c r="F295" s="118">
        <v>275</v>
      </c>
      <c r="G295" t="s">
        <v>20</v>
      </c>
      <c r="H295" t="s">
        <v>8</v>
      </c>
      <c r="I295">
        <v>2.81E-2</v>
      </c>
      <c r="J295">
        <v>3.9940000000000002</v>
      </c>
      <c r="K295">
        <v>0.24099999999999999</v>
      </c>
      <c r="L295" t="s">
        <v>515</v>
      </c>
      <c r="M295" s="140">
        <f t="shared" si="32"/>
        <v>0.05</v>
      </c>
      <c r="N295" s="140">
        <f t="shared" si="32"/>
        <v>3.9940000000000002</v>
      </c>
      <c r="O295" s="140">
        <f t="shared" si="32"/>
        <v>0.24099999999999999</v>
      </c>
      <c r="P295" s="140" t="str">
        <f t="shared" si="27"/>
        <v>NULL</v>
      </c>
      <c r="Q295" s="161" t="s">
        <v>515</v>
      </c>
      <c r="R295" s="125">
        <v>28.046666666666667</v>
      </c>
      <c r="S295">
        <v>24.44</v>
      </c>
      <c r="T295" s="27">
        <v>3.355634657390179</v>
      </c>
      <c r="U295" s="27">
        <v>2.6428913660140805</v>
      </c>
      <c r="V295" s="27" t="s">
        <v>515</v>
      </c>
      <c r="W295" t="s">
        <v>515</v>
      </c>
      <c r="X295" t="s">
        <v>515</v>
      </c>
      <c r="Y295">
        <f t="shared" si="28"/>
        <v>6</v>
      </c>
      <c r="Z295">
        <f t="shared" si="29"/>
        <v>4</v>
      </c>
      <c r="AA295">
        <f t="shared" si="30"/>
        <v>2024</v>
      </c>
      <c r="AB295" s="118" t="b">
        <v>0</v>
      </c>
      <c r="AC295" s="19">
        <v>45447</v>
      </c>
      <c r="AD295" s="19" t="s">
        <v>515</v>
      </c>
      <c r="AE295" t="s">
        <v>515</v>
      </c>
      <c r="AF295" s="19">
        <v>45447</v>
      </c>
      <c r="AG295" t="s">
        <v>515</v>
      </c>
      <c r="AH295" t="s">
        <v>515</v>
      </c>
      <c r="AI295" s="190" t="s">
        <v>515</v>
      </c>
      <c r="AJ295" s="190" t="s">
        <v>515</v>
      </c>
      <c r="AK295" s="190" t="s">
        <v>515</v>
      </c>
      <c r="AL295" s="190" t="s">
        <v>515</v>
      </c>
      <c r="AM295" s="190" t="s">
        <v>515</v>
      </c>
      <c r="AN295" s="190" t="s">
        <v>515</v>
      </c>
      <c r="AO295" s="190" t="s">
        <v>515</v>
      </c>
      <c r="AP295" s="190" t="s">
        <v>515</v>
      </c>
      <c r="AQ295" s="190" t="s">
        <v>515</v>
      </c>
      <c r="AR295" s="190" t="s">
        <v>515</v>
      </c>
      <c r="AS295" s="190" t="s">
        <v>515</v>
      </c>
      <c r="AT295" s="190" t="s">
        <v>515</v>
      </c>
      <c r="AU295" s="190" t="s">
        <v>515</v>
      </c>
      <c r="AV295" s="190" t="s">
        <v>515</v>
      </c>
      <c r="AW295" s="190" t="s">
        <v>515</v>
      </c>
      <c r="AX295" s="190" t="s">
        <v>515</v>
      </c>
      <c r="AY295" s="190" t="s">
        <v>515</v>
      </c>
      <c r="AZ295" s="190" t="s">
        <v>515</v>
      </c>
      <c r="BA295" s="190" t="s">
        <v>515</v>
      </c>
      <c r="BB295" s="190" t="s">
        <v>515</v>
      </c>
      <c r="BC295" s="190" t="s">
        <v>515</v>
      </c>
      <c r="BD295" s="190" t="s">
        <v>515</v>
      </c>
      <c r="BE295" s="190" t="s">
        <v>515</v>
      </c>
      <c r="BF295" t="s">
        <v>515</v>
      </c>
      <c r="BG295" t="s">
        <v>515</v>
      </c>
      <c r="BH295" s="118">
        <v>376.17399999999998</v>
      </c>
      <c r="BI295" s="118">
        <v>460.298</v>
      </c>
      <c r="BJ295" s="118">
        <v>532.32000000000005</v>
      </c>
      <c r="BK295" s="118">
        <v>589.06299999999999</v>
      </c>
      <c r="BL295" s="118">
        <v>630.91200000000003</v>
      </c>
      <c r="BM295" s="118">
        <v>579.61</v>
      </c>
      <c r="BN295" s="118">
        <v>581.42100000000005</v>
      </c>
      <c r="BO295" s="118">
        <v>717.30600000000004</v>
      </c>
    </row>
    <row r="296" spans="1:67" x14ac:dyDescent="0.25">
      <c r="A296" s="25">
        <v>10295</v>
      </c>
      <c r="B296" t="s">
        <v>320</v>
      </c>
      <c r="C296" t="s">
        <v>320</v>
      </c>
      <c r="D296" s="27" t="s">
        <v>489</v>
      </c>
      <c r="E296" s="27">
        <v>14</v>
      </c>
      <c r="F296" s="118">
        <v>4225</v>
      </c>
      <c r="G296" t="s">
        <v>20</v>
      </c>
      <c r="H296" t="s">
        <v>8</v>
      </c>
      <c r="I296">
        <v>1.4500000000000001E-2</v>
      </c>
      <c r="J296">
        <v>3.2130000000000001</v>
      </c>
      <c r="K296">
        <v>0.254</v>
      </c>
      <c r="L296" t="s">
        <v>515</v>
      </c>
      <c r="M296" s="140">
        <f t="shared" si="32"/>
        <v>0.05</v>
      </c>
      <c r="N296" s="140">
        <f t="shared" si="32"/>
        <v>3.2130000000000001</v>
      </c>
      <c r="O296" s="140">
        <f t="shared" si="32"/>
        <v>0.254</v>
      </c>
      <c r="P296" s="140" t="str">
        <f t="shared" si="27"/>
        <v>NULL</v>
      </c>
      <c r="Q296" s="161" t="s">
        <v>515</v>
      </c>
      <c r="R296" s="125">
        <v>3.83</v>
      </c>
      <c r="S296">
        <v>3.25</v>
      </c>
      <c r="T296" s="27">
        <v>3.3359153790146427</v>
      </c>
      <c r="U296" s="27">
        <v>2.3030812464202901</v>
      </c>
      <c r="V296" s="27" t="s">
        <v>515</v>
      </c>
      <c r="W296" t="s">
        <v>515</v>
      </c>
      <c r="X296" t="s">
        <v>515</v>
      </c>
      <c r="Y296">
        <f t="shared" si="28"/>
        <v>6</v>
      </c>
      <c r="Z296">
        <f t="shared" si="29"/>
        <v>4</v>
      </c>
      <c r="AA296">
        <f t="shared" si="30"/>
        <v>2024</v>
      </c>
      <c r="AB296" s="118" t="b">
        <v>0</v>
      </c>
      <c r="AC296" s="19">
        <v>45447</v>
      </c>
      <c r="AD296" s="19" t="s">
        <v>515</v>
      </c>
      <c r="AE296" t="s">
        <v>515</v>
      </c>
      <c r="AF296" s="19">
        <v>45447</v>
      </c>
      <c r="AG296" t="s">
        <v>515</v>
      </c>
      <c r="AH296" t="s">
        <v>515</v>
      </c>
      <c r="AI296" s="190" t="s">
        <v>515</v>
      </c>
      <c r="AJ296" s="190" t="s">
        <v>515</v>
      </c>
      <c r="AK296" s="190" t="s">
        <v>515</v>
      </c>
      <c r="AL296" s="190" t="s">
        <v>515</v>
      </c>
      <c r="AM296" s="190" t="s">
        <v>515</v>
      </c>
      <c r="AN296" s="190" t="s">
        <v>515</v>
      </c>
      <c r="AO296" s="190" t="s">
        <v>515</v>
      </c>
      <c r="AP296" s="190" t="s">
        <v>515</v>
      </c>
      <c r="AQ296" s="190" t="s">
        <v>515</v>
      </c>
      <c r="AR296" s="190" t="s">
        <v>515</v>
      </c>
      <c r="AS296" s="190" t="s">
        <v>515</v>
      </c>
      <c r="AT296" s="190" t="s">
        <v>515</v>
      </c>
      <c r="AU296" s="190" t="s">
        <v>515</v>
      </c>
      <c r="AV296" s="190" t="s">
        <v>515</v>
      </c>
      <c r="AW296" s="190" t="s">
        <v>515</v>
      </c>
      <c r="AX296" s="190" t="s">
        <v>515</v>
      </c>
      <c r="AY296" s="190" t="s">
        <v>515</v>
      </c>
      <c r="AZ296" s="190" t="s">
        <v>515</v>
      </c>
      <c r="BA296" s="190" t="s">
        <v>515</v>
      </c>
      <c r="BB296" s="190" t="s">
        <v>515</v>
      </c>
      <c r="BC296" s="190" t="s">
        <v>515</v>
      </c>
      <c r="BD296" s="190" t="s">
        <v>515</v>
      </c>
      <c r="BE296" s="190" t="s">
        <v>515</v>
      </c>
      <c r="BF296" t="s">
        <v>515</v>
      </c>
      <c r="BG296" t="s">
        <v>515</v>
      </c>
      <c r="BH296" s="118">
        <v>394.84699999999998</v>
      </c>
      <c r="BI296" s="118">
        <v>488.31700000000001</v>
      </c>
      <c r="BJ296" s="118">
        <v>567.68399999999997</v>
      </c>
      <c r="BK296" s="118">
        <v>642.17100000000005</v>
      </c>
      <c r="BL296" s="118">
        <v>685.34900000000005</v>
      </c>
      <c r="BM296" s="118">
        <v>639.07100000000003</v>
      </c>
      <c r="BN296" s="118">
        <v>621.18799999999999</v>
      </c>
      <c r="BO296" s="118">
        <v>766.11</v>
      </c>
    </row>
    <row r="297" spans="1:67" x14ac:dyDescent="0.25">
      <c r="A297" s="25">
        <v>10296</v>
      </c>
      <c r="B297" t="s">
        <v>321</v>
      </c>
      <c r="C297" t="s">
        <v>321</v>
      </c>
      <c r="D297" s="27" t="s">
        <v>490</v>
      </c>
      <c r="E297" s="27">
        <v>15</v>
      </c>
      <c r="F297" s="118">
        <v>2905</v>
      </c>
      <c r="G297" t="s">
        <v>20</v>
      </c>
      <c r="H297" t="s">
        <v>8</v>
      </c>
      <c r="I297">
        <v>2.9999999999999997E-4</v>
      </c>
      <c r="J297">
        <v>3.6190000000000002</v>
      </c>
      <c r="K297">
        <v>0.21</v>
      </c>
      <c r="L297" t="s">
        <v>515</v>
      </c>
      <c r="M297" s="140">
        <f t="shared" si="32"/>
        <v>0.05</v>
      </c>
      <c r="N297" s="140">
        <f t="shared" si="32"/>
        <v>3.6190000000000002</v>
      </c>
      <c r="O297" s="140">
        <f t="shared" si="32"/>
        <v>0.21</v>
      </c>
      <c r="P297" s="140" t="str">
        <f t="shared" si="27"/>
        <v>NULL</v>
      </c>
      <c r="Q297" s="161" t="s">
        <v>515</v>
      </c>
      <c r="R297" s="125">
        <v>16.783333333333335</v>
      </c>
      <c r="S297">
        <v>2.78</v>
      </c>
      <c r="T297" s="27">
        <v>3.084115362834722</v>
      </c>
      <c r="U297" s="27">
        <v>2.1791837325066394</v>
      </c>
      <c r="V297" s="27" t="s">
        <v>515</v>
      </c>
      <c r="W297" t="s">
        <v>515</v>
      </c>
      <c r="X297" t="s">
        <v>515</v>
      </c>
      <c r="Y297">
        <f t="shared" si="28"/>
        <v>6</v>
      </c>
      <c r="Z297">
        <f t="shared" si="29"/>
        <v>4</v>
      </c>
      <c r="AA297">
        <f t="shared" si="30"/>
        <v>2024</v>
      </c>
      <c r="AB297" s="118" t="b">
        <v>0</v>
      </c>
      <c r="AC297" s="19">
        <v>45447</v>
      </c>
      <c r="AD297" s="19" t="s">
        <v>515</v>
      </c>
      <c r="AE297" t="s">
        <v>515</v>
      </c>
      <c r="AF297" s="19">
        <v>45447</v>
      </c>
      <c r="AG297" t="s">
        <v>515</v>
      </c>
      <c r="AH297" t="s">
        <v>515</v>
      </c>
      <c r="AI297" s="190" t="s">
        <v>515</v>
      </c>
      <c r="AJ297" s="190" t="s">
        <v>515</v>
      </c>
      <c r="AK297" s="190" t="s">
        <v>515</v>
      </c>
      <c r="AL297" s="190" t="s">
        <v>515</v>
      </c>
      <c r="AM297" s="190" t="s">
        <v>515</v>
      </c>
      <c r="AN297" s="190" t="s">
        <v>515</v>
      </c>
      <c r="AO297" s="190" t="s">
        <v>515</v>
      </c>
      <c r="AP297" s="190" t="s">
        <v>515</v>
      </c>
      <c r="AQ297" s="190" t="s">
        <v>515</v>
      </c>
      <c r="AR297" s="190" t="s">
        <v>515</v>
      </c>
      <c r="AS297" s="190" t="s">
        <v>515</v>
      </c>
      <c r="AT297" s="190" t="s">
        <v>515</v>
      </c>
      <c r="AU297" s="190" t="s">
        <v>515</v>
      </c>
      <c r="AV297" s="190" t="s">
        <v>515</v>
      </c>
      <c r="AW297" s="190" t="s">
        <v>515</v>
      </c>
      <c r="AX297" s="190" t="s">
        <v>515</v>
      </c>
      <c r="AY297" s="190" t="s">
        <v>515</v>
      </c>
      <c r="AZ297" s="190" t="s">
        <v>515</v>
      </c>
      <c r="BA297" s="190" t="s">
        <v>515</v>
      </c>
      <c r="BB297" s="190" t="s">
        <v>515</v>
      </c>
      <c r="BC297" s="190" t="s">
        <v>515</v>
      </c>
      <c r="BD297" s="190" t="s">
        <v>515</v>
      </c>
      <c r="BE297" s="190" t="s">
        <v>515</v>
      </c>
      <c r="BF297" t="s">
        <v>515</v>
      </c>
      <c r="BG297" t="s">
        <v>515</v>
      </c>
      <c r="BH297" s="118">
        <v>290.64100000000002</v>
      </c>
      <c r="BI297" s="118">
        <v>360.58800000000002</v>
      </c>
      <c r="BJ297" s="118">
        <v>446.21899999999999</v>
      </c>
      <c r="BK297" s="118">
        <v>514.726</v>
      </c>
      <c r="BL297" s="118">
        <v>545.745</v>
      </c>
      <c r="BM297" s="118">
        <v>491.49200000000002</v>
      </c>
      <c r="BN297" s="118">
        <v>474.62799999999999</v>
      </c>
      <c r="BO297" s="118">
        <v>588.87</v>
      </c>
    </row>
    <row r="298" spans="1:67" x14ac:dyDescent="0.25">
      <c r="A298" s="25">
        <v>10297</v>
      </c>
      <c r="B298" t="s">
        <v>322</v>
      </c>
      <c r="C298" t="s">
        <v>322</v>
      </c>
      <c r="D298" s="27" t="s">
        <v>491</v>
      </c>
      <c r="E298" s="27">
        <v>1</v>
      </c>
      <c r="F298" s="118">
        <v>5210</v>
      </c>
      <c r="G298" t="s">
        <v>22</v>
      </c>
      <c r="H298" t="s">
        <v>8</v>
      </c>
      <c r="I298">
        <v>-0.49569999999999997</v>
      </c>
      <c r="J298">
        <v>2.8149999999999999</v>
      </c>
      <c r="K298">
        <v>2.7E-2</v>
      </c>
      <c r="L298" s="29">
        <v>1.802096985583224E-2</v>
      </c>
      <c r="M298" s="140">
        <f t="shared" si="32"/>
        <v>0.05</v>
      </c>
      <c r="N298" s="140">
        <f t="shared" si="32"/>
        <v>2.8149999999999999</v>
      </c>
      <c r="O298" s="140">
        <f t="shared" si="32"/>
        <v>0.05</v>
      </c>
      <c r="P298" s="140">
        <f t="shared" si="27"/>
        <v>0.05</v>
      </c>
      <c r="Q298" s="161" t="s">
        <v>515</v>
      </c>
      <c r="R298" s="125">
        <v>34.299999999999997</v>
      </c>
      <c r="S298">
        <v>20.306666666666668</v>
      </c>
      <c r="T298" s="23">
        <v>3.580014362973635</v>
      </c>
      <c r="U298" s="23">
        <v>1.4130914779296742</v>
      </c>
      <c r="V298" s="23" t="s">
        <v>515</v>
      </c>
      <c r="W298" t="s">
        <v>515</v>
      </c>
      <c r="X298" t="s">
        <v>515</v>
      </c>
      <c r="Y298">
        <f t="shared" si="28"/>
        <v>6</v>
      </c>
      <c r="Z298">
        <f t="shared" si="29"/>
        <v>6</v>
      </c>
      <c r="AA298">
        <f t="shared" si="30"/>
        <v>2024</v>
      </c>
      <c r="AB298" s="118" t="b">
        <v>0</v>
      </c>
      <c r="AC298" s="19">
        <v>45449</v>
      </c>
      <c r="AD298" s="19" t="s">
        <v>515</v>
      </c>
      <c r="AE298" t="s">
        <v>515</v>
      </c>
      <c r="AF298" s="19">
        <v>45449</v>
      </c>
      <c r="AG298" t="s">
        <v>515</v>
      </c>
      <c r="AH298" t="s">
        <v>515</v>
      </c>
      <c r="AI298" s="118" t="s">
        <v>515</v>
      </c>
      <c r="AJ298" s="118" t="s">
        <v>515</v>
      </c>
      <c r="AK298" s="118" t="s">
        <v>515</v>
      </c>
      <c r="AL298" s="118" t="s">
        <v>515</v>
      </c>
      <c r="AM298" s="118" t="s">
        <v>515</v>
      </c>
      <c r="AN298" s="118" t="s">
        <v>515</v>
      </c>
      <c r="AO298" s="118" t="s">
        <v>515</v>
      </c>
      <c r="AP298" s="118" t="s">
        <v>515</v>
      </c>
      <c r="AQ298" s="118" t="s">
        <v>515</v>
      </c>
      <c r="AR298" s="118" t="s">
        <v>515</v>
      </c>
      <c r="AS298" s="118" t="s">
        <v>515</v>
      </c>
      <c r="AT298" s="118" t="s">
        <v>515</v>
      </c>
      <c r="AU298" s="118" t="s">
        <v>515</v>
      </c>
      <c r="AV298" s="118" t="s">
        <v>515</v>
      </c>
      <c r="AW298" s="118" t="s">
        <v>515</v>
      </c>
      <c r="AX298" s="118" t="s">
        <v>515</v>
      </c>
      <c r="AY298" s="118" t="s">
        <v>515</v>
      </c>
      <c r="AZ298" s="118" t="s">
        <v>515</v>
      </c>
      <c r="BA298" s="118" t="s">
        <v>515</v>
      </c>
      <c r="BB298" s="118" t="s">
        <v>515</v>
      </c>
      <c r="BC298" s="118" t="s">
        <v>515</v>
      </c>
      <c r="BD298" s="118" t="s">
        <v>515</v>
      </c>
      <c r="BE298" s="118" t="s">
        <v>515</v>
      </c>
      <c r="BF298" t="s">
        <v>515</v>
      </c>
      <c r="BG298" t="s">
        <v>515</v>
      </c>
      <c r="BH298" s="118">
        <v>189.334</v>
      </c>
      <c r="BI298" s="118">
        <v>324.036</v>
      </c>
      <c r="BJ298" s="118">
        <v>474.27600000000001</v>
      </c>
      <c r="BK298" s="118">
        <v>541.399</v>
      </c>
      <c r="BL298" s="118">
        <v>545.11900000000003</v>
      </c>
      <c r="BM298" s="118">
        <v>487.19</v>
      </c>
      <c r="BN298" s="118">
        <v>538.32100000000003</v>
      </c>
      <c r="BO298" s="118">
        <v>489.82</v>
      </c>
    </row>
    <row r="299" spans="1:67" x14ac:dyDescent="0.25">
      <c r="A299" s="25">
        <v>10298</v>
      </c>
      <c r="B299" t="s">
        <v>323</v>
      </c>
      <c r="C299" t="s">
        <v>323</v>
      </c>
      <c r="D299" s="27" t="s">
        <v>492</v>
      </c>
      <c r="E299" s="27">
        <v>2</v>
      </c>
      <c r="F299" s="118">
        <v>5430</v>
      </c>
      <c r="G299" t="s">
        <v>22</v>
      </c>
      <c r="H299" t="s">
        <v>8</v>
      </c>
      <c r="I299">
        <v>-0.495</v>
      </c>
      <c r="J299">
        <v>4.4690000000000003</v>
      </c>
      <c r="K299">
        <v>6.2E-2</v>
      </c>
      <c r="L299" s="29">
        <v>2.8289473684210528E-2</v>
      </c>
      <c r="M299" s="140">
        <f t="shared" si="32"/>
        <v>0.05</v>
      </c>
      <c r="N299" s="140">
        <f t="shared" si="32"/>
        <v>4.4690000000000003</v>
      </c>
      <c r="O299" s="140">
        <f t="shared" si="32"/>
        <v>0.05</v>
      </c>
      <c r="P299" s="140">
        <f t="shared" si="27"/>
        <v>0.05</v>
      </c>
      <c r="Q299" s="161" t="s">
        <v>515</v>
      </c>
      <c r="R299" s="125">
        <v>22.136666666666667</v>
      </c>
      <c r="S299">
        <v>10.876666666666667</v>
      </c>
      <c r="T299">
        <v>3.5394703580700972</v>
      </c>
      <c r="U299">
        <v>1.8506892470924301</v>
      </c>
      <c r="V299" s="118" t="s">
        <v>515</v>
      </c>
      <c r="W299" t="s">
        <v>515</v>
      </c>
      <c r="X299" t="s">
        <v>515</v>
      </c>
      <c r="Y299">
        <f t="shared" si="28"/>
        <v>6</v>
      </c>
      <c r="Z299">
        <f t="shared" si="29"/>
        <v>6</v>
      </c>
      <c r="AA299">
        <f t="shared" si="30"/>
        <v>2024</v>
      </c>
      <c r="AB299" s="118" t="b">
        <v>0</v>
      </c>
      <c r="AC299" s="19">
        <v>45449</v>
      </c>
      <c r="AD299" s="19" t="s">
        <v>515</v>
      </c>
      <c r="AE299" t="s">
        <v>515</v>
      </c>
      <c r="AF299" s="19">
        <v>45449</v>
      </c>
      <c r="AG299" t="s">
        <v>515</v>
      </c>
      <c r="AH299" t="s">
        <v>515</v>
      </c>
      <c r="AI299" s="118">
        <v>733</v>
      </c>
      <c r="AJ299" s="118">
        <v>361.9</v>
      </c>
      <c r="AK299" s="118">
        <v>369.2</v>
      </c>
      <c r="AL299" s="118">
        <v>240</v>
      </c>
      <c r="AM299" s="118">
        <v>0.18</v>
      </c>
      <c r="AN299" s="118">
        <v>370</v>
      </c>
      <c r="AO299" s="118">
        <v>0.49099999999999999</v>
      </c>
      <c r="AP299" s="118">
        <v>0.48099999999999998</v>
      </c>
      <c r="AQ299" s="118">
        <v>0.69599999999999995</v>
      </c>
      <c r="AR299" s="118">
        <v>111.1</v>
      </c>
      <c r="AS299" s="118">
        <v>9.35</v>
      </c>
      <c r="AT299" s="118">
        <v>114.7</v>
      </c>
      <c r="AU299" s="118">
        <v>-85.647150420000003</v>
      </c>
      <c r="AV299" s="118">
        <v>40.770774430000003</v>
      </c>
      <c r="AW299" s="118">
        <v>232.2</v>
      </c>
      <c r="AX299" s="118">
        <v>119.3</v>
      </c>
      <c r="AY299" s="118">
        <v>8.5</v>
      </c>
      <c r="AZ299" s="118">
        <v>-102.4</v>
      </c>
      <c r="BA299" s="118">
        <v>12.1</v>
      </c>
      <c r="BB299" s="118">
        <v>0</v>
      </c>
      <c r="BC299" s="118">
        <v>23.96</v>
      </c>
      <c r="BD299" s="118">
        <v>10.46</v>
      </c>
      <c r="BE299" s="118">
        <v>0</v>
      </c>
      <c r="BF299" t="s">
        <v>515</v>
      </c>
      <c r="BG299" t="s">
        <v>515</v>
      </c>
      <c r="BH299" s="118">
        <v>100.66800000000001</v>
      </c>
      <c r="BI299" s="118">
        <v>221.054</v>
      </c>
      <c r="BJ299" s="118">
        <v>368.52199999999999</v>
      </c>
      <c r="BK299" s="118">
        <v>443.435</v>
      </c>
      <c r="BL299" s="118">
        <v>445.58199999999999</v>
      </c>
      <c r="BM299" s="118">
        <v>371.50799999999998</v>
      </c>
      <c r="BN299" s="118">
        <v>439.327</v>
      </c>
      <c r="BO299" s="118">
        <v>409.00400000000002</v>
      </c>
    </row>
    <row r="300" spans="1:67" x14ac:dyDescent="0.25">
      <c r="A300" s="25">
        <v>10299</v>
      </c>
      <c r="B300" t="s">
        <v>324</v>
      </c>
      <c r="C300" t="s">
        <v>324</v>
      </c>
      <c r="D300" s="27" t="s">
        <v>493</v>
      </c>
      <c r="E300" s="27">
        <v>3</v>
      </c>
      <c r="F300" s="118">
        <v>4180</v>
      </c>
      <c r="G300" t="s">
        <v>22</v>
      </c>
      <c r="H300" t="s">
        <v>8</v>
      </c>
      <c r="I300">
        <v>-0.50170000000000003</v>
      </c>
      <c r="J300">
        <v>3.4350000000000001</v>
      </c>
      <c r="K300">
        <v>3.7999999999999999E-2</v>
      </c>
      <c r="L300" s="29">
        <v>1.802096985583224E-2</v>
      </c>
      <c r="M300" s="140">
        <f t="shared" si="32"/>
        <v>0.05</v>
      </c>
      <c r="N300" s="140">
        <f t="shared" si="32"/>
        <v>3.4350000000000001</v>
      </c>
      <c r="O300" s="140">
        <f t="shared" si="32"/>
        <v>0.05</v>
      </c>
      <c r="P300" s="140">
        <f t="shared" si="27"/>
        <v>0.05</v>
      </c>
      <c r="Q300" s="161" t="s">
        <v>515</v>
      </c>
      <c r="R300" s="125">
        <v>19.309999999999999</v>
      </c>
      <c r="S300">
        <v>4.3366666666666669</v>
      </c>
      <c r="T300">
        <v>3.9367669531291201</v>
      </c>
      <c r="U300">
        <v>2.1204301163027957</v>
      </c>
      <c r="V300" s="118" t="s">
        <v>515</v>
      </c>
      <c r="W300" t="s">
        <v>515</v>
      </c>
      <c r="X300" t="s">
        <v>515</v>
      </c>
      <c r="Y300">
        <f t="shared" ref="Y300:Y331" si="33">MONTH(AC300)</f>
        <v>6</v>
      </c>
      <c r="Z300">
        <f t="shared" ref="Z300:Z331" si="34">DAY(AC300)</f>
        <v>6</v>
      </c>
      <c r="AA300">
        <f t="shared" ref="AA300:AA331" si="35">YEAR(AC300)</f>
        <v>2024</v>
      </c>
      <c r="AB300" s="118" t="b">
        <v>0</v>
      </c>
      <c r="AC300" s="19">
        <v>45449</v>
      </c>
      <c r="AD300" s="19" t="s">
        <v>515</v>
      </c>
      <c r="AE300" t="s">
        <v>515</v>
      </c>
      <c r="AF300" s="19">
        <v>45449</v>
      </c>
      <c r="AG300" t="s">
        <v>515</v>
      </c>
      <c r="AH300" t="s">
        <v>515</v>
      </c>
      <c r="AI300" s="118">
        <v>732.9</v>
      </c>
      <c r="AJ300" s="118">
        <v>362.1</v>
      </c>
      <c r="AK300" s="118">
        <v>369.4</v>
      </c>
      <c r="AL300" s="118">
        <v>240</v>
      </c>
      <c r="AM300" s="118">
        <v>0.18</v>
      </c>
      <c r="AN300" s="118">
        <v>370.1</v>
      </c>
      <c r="AO300" s="118">
        <v>0.46</v>
      </c>
      <c r="AP300" s="118">
        <v>0.41699999999999998</v>
      </c>
      <c r="AQ300" s="118">
        <v>0.65300000000000002</v>
      </c>
      <c r="AR300" s="118">
        <v>104.7</v>
      </c>
      <c r="AS300" s="118">
        <v>8.81</v>
      </c>
      <c r="AT300" s="118">
        <v>108.2</v>
      </c>
      <c r="AU300" s="118">
        <v>-85.646588960000003</v>
      </c>
      <c r="AV300" s="118">
        <v>40.781075420000001</v>
      </c>
      <c r="AW300" s="118">
        <v>224.1</v>
      </c>
      <c r="AX300" s="118">
        <v>102.4</v>
      </c>
      <c r="AY300" s="118">
        <v>8.44</v>
      </c>
      <c r="AZ300" s="118">
        <v>-99</v>
      </c>
      <c r="BA300" s="118">
        <v>12.1</v>
      </c>
      <c r="BB300" s="118">
        <v>0</v>
      </c>
      <c r="BC300" s="118">
        <v>23.97</v>
      </c>
      <c r="BD300" s="118">
        <v>10.63</v>
      </c>
      <c r="BE300" s="118">
        <v>0</v>
      </c>
      <c r="BF300" t="s">
        <v>515</v>
      </c>
      <c r="BG300" t="s">
        <v>515</v>
      </c>
      <c r="BH300" s="118">
        <v>232.24299999999999</v>
      </c>
      <c r="BI300" s="118">
        <v>380.16800000000001</v>
      </c>
      <c r="BJ300" s="118">
        <v>529.03099999999995</v>
      </c>
      <c r="BK300" s="118">
        <v>594.10299999999995</v>
      </c>
      <c r="BL300" s="118">
        <v>612.60199999999998</v>
      </c>
      <c r="BM300" s="118">
        <v>566.48400000000004</v>
      </c>
      <c r="BN300" s="118">
        <v>572.21500000000003</v>
      </c>
      <c r="BO300" s="118">
        <v>499.47500000000002</v>
      </c>
    </row>
    <row r="301" spans="1:67" x14ac:dyDescent="0.25">
      <c r="A301" s="25">
        <v>10300</v>
      </c>
      <c r="B301" t="s">
        <v>325</v>
      </c>
      <c r="C301" t="s">
        <v>325</v>
      </c>
      <c r="D301" s="27" t="s">
        <v>494</v>
      </c>
      <c r="E301" s="27">
        <v>4</v>
      </c>
      <c r="F301" s="118">
        <v>4980</v>
      </c>
      <c r="G301" t="s">
        <v>22</v>
      </c>
      <c r="H301" t="s">
        <v>8</v>
      </c>
      <c r="I301">
        <v>-0.50080000000000002</v>
      </c>
      <c r="J301">
        <v>2.653</v>
      </c>
      <c r="K301">
        <v>1.0999999999999999E-2</v>
      </c>
      <c r="L301" s="29">
        <v>4.9148099606815187E-3</v>
      </c>
      <c r="M301" s="140">
        <f t="shared" si="32"/>
        <v>0.05</v>
      </c>
      <c r="N301" s="140">
        <f t="shared" si="32"/>
        <v>2.653</v>
      </c>
      <c r="O301" s="140">
        <f t="shared" si="32"/>
        <v>0.05</v>
      </c>
      <c r="P301" s="140">
        <f t="shared" si="27"/>
        <v>0.05</v>
      </c>
      <c r="Q301" s="161" t="s">
        <v>515</v>
      </c>
      <c r="R301" s="125">
        <v>25.563333333333333</v>
      </c>
      <c r="S301">
        <v>35.669999999999995</v>
      </c>
      <c r="T301">
        <v>3.6818941701671393</v>
      </c>
      <c r="U301">
        <v>1.8457922872883086</v>
      </c>
      <c r="V301" s="118" t="s">
        <v>515</v>
      </c>
      <c r="W301" t="s">
        <v>515</v>
      </c>
      <c r="X301" t="s">
        <v>515</v>
      </c>
      <c r="Y301">
        <f t="shared" si="33"/>
        <v>6</v>
      </c>
      <c r="Z301">
        <f t="shared" si="34"/>
        <v>6</v>
      </c>
      <c r="AA301">
        <f t="shared" si="35"/>
        <v>2024</v>
      </c>
      <c r="AB301" s="118" t="b">
        <v>0</v>
      </c>
      <c r="AC301" s="19">
        <v>45449</v>
      </c>
      <c r="AD301" s="19" t="s">
        <v>515</v>
      </c>
      <c r="AE301" t="s">
        <v>515</v>
      </c>
      <c r="AF301" s="19">
        <v>45449</v>
      </c>
      <c r="AG301" t="s">
        <v>515</v>
      </c>
      <c r="AH301" t="s">
        <v>515</v>
      </c>
      <c r="AI301" s="118">
        <v>732.7</v>
      </c>
      <c r="AJ301" s="118">
        <v>368.7</v>
      </c>
      <c r="AK301" s="118">
        <v>372.5</v>
      </c>
      <c r="AL301" s="118">
        <v>242</v>
      </c>
      <c r="AM301" s="118">
        <v>0.18</v>
      </c>
      <c r="AN301" s="118">
        <v>372.9</v>
      </c>
      <c r="AO301" s="118">
        <v>0.55200000000000005</v>
      </c>
      <c r="AP301" s="118">
        <v>0.56799999999999995</v>
      </c>
      <c r="AQ301" s="118">
        <v>0.78300000000000003</v>
      </c>
      <c r="AR301" s="118">
        <v>124.4</v>
      </c>
      <c r="AS301" s="118">
        <v>10.37</v>
      </c>
      <c r="AT301" s="118">
        <v>128.5</v>
      </c>
      <c r="AU301" s="118">
        <v>-85.638733939999995</v>
      </c>
      <c r="AV301" s="118">
        <v>40.783930470000001</v>
      </c>
      <c r="AW301" s="118">
        <v>229.6</v>
      </c>
      <c r="AX301" s="118">
        <v>73.8</v>
      </c>
      <c r="AY301" s="118">
        <v>8.69</v>
      </c>
      <c r="AZ301" s="118">
        <v>-113.8</v>
      </c>
      <c r="BA301" s="118">
        <v>12.1</v>
      </c>
      <c r="BB301" s="118">
        <v>0</v>
      </c>
      <c r="BC301" s="118">
        <v>24.471</v>
      </c>
      <c r="BD301" s="118">
        <v>11.13</v>
      </c>
      <c r="BE301" s="118">
        <v>0</v>
      </c>
      <c r="BF301" t="s">
        <v>515</v>
      </c>
      <c r="BG301" t="s">
        <v>515</v>
      </c>
      <c r="BH301" s="118">
        <v>202.619</v>
      </c>
      <c r="BI301" s="118">
        <v>358.101</v>
      </c>
      <c r="BJ301" s="118">
        <v>501.19499999999999</v>
      </c>
      <c r="BK301" s="118">
        <v>576.20699999999999</v>
      </c>
      <c r="BL301" s="118">
        <v>577.33199999999999</v>
      </c>
      <c r="BM301" s="118">
        <v>531.69100000000003</v>
      </c>
      <c r="BN301" s="118">
        <v>571.14499999999998</v>
      </c>
      <c r="BO301" s="118">
        <v>527.80499999999995</v>
      </c>
    </row>
    <row r="302" spans="1:67" x14ac:dyDescent="0.25">
      <c r="A302" s="25">
        <v>10301</v>
      </c>
      <c r="B302" t="s">
        <v>326</v>
      </c>
      <c r="C302" t="s">
        <v>326</v>
      </c>
      <c r="D302" s="27" t="s">
        <v>495</v>
      </c>
      <c r="E302" s="27">
        <v>5</v>
      </c>
      <c r="F302" s="118">
        <v>6340</v>
      </c>
      <c r="G302" t="s">
        <v>22</v>
      </c>
      <c r="H302" t="s">
        <v>8</v>
      </c>
      <c r="I302">
        <v>-0.50209999999999999</v>
      </c>
      <c r="J302">
        <v>3.198</v>
      </c>
      <c r="K302">
        <v>2.5999999999999999E-2</v>
      </c>
      <c r="L302" t="s">
        <v>515</v>
      </c>
      <c r="M302" s="140">
        <f t="shared" si="32"/>
        <v>0.05</v>
      </c>
      <c r="N302" s="140">
        <f t="shared" si="32"/>
        <v>3.198</v>
      </c>
      <c r="O302" s="140">
        <f t="shared" si="32"/>
        <v>0.05</v>
      </c>
      <c r="P302" s="140" t="str">
        <f t="shared" si="27"/>
        <v>NULL</v>
      </c>
      <c r="Q302" s="161" t="s">
        <v>515</v>
      </c>
      <c r="R302" s="125">
        <v>18.093333333333334</v>
      </c>
      <c r="S302">
        <v>23.656666666666666</v>
      </c>
      <c r="T302">
        <v>3.6647409373233346</v>
      </c>
      <c r="U302">
        <v>1.8508932870842687</v>
      </c>
      <c r="V302" s="118" t="s">
        <v>515</v>
      </c>
      <c r="W302" t="s">
        <v>515</v>
      </c>
      <c r="X302" t="s">
        <v>515</v>
      </c>
      <c r="Y302">
        <f t="shared" si="33"/>
        <v>6</v>
      </c>
      <c r="Z302">
        <f t="shared" si="34"/>
        <v>6</v>
      </c>
      <c r="AA302">
        <f t="shared" si="35"/>
        <v>2024</v>
      </c>
      <c r="AB302" s="118" t="b">
        <v>0</v>
      </c>
      <c r="AC302" s="19">
        <v>45449</v>
      </c>
      <c r="AD302" s="19" t="s">
        <v>515</v>
      </c>
      <c r="AE302" t="s">
        <v>515</v>
      </c>
      <c r="AF302" s="19">
        <v>45449</v>
      </c>
      <c r="AG302" t="s">
        <v>515</v>
      </c>
      <c r="AH302" t="s">
        <v>515</v>
      </c>
      <c r="AI302" s="118">
        <v>732.7</v>
      </c>
      <c r="AJ302" s="118">
        <v>370.6</v>
      </c>
      <c r="AK302" s="118">
        <v>374.9</v>
      </c>
      <c r="AL302" s="118">
        <v>244</v>
      </c>
      <c r="AM302" s="118">
        <v>0.18</v>
      </c>
      <c r="AN302" s="118">
        <v>375.4</v>
      </c>
      <c r="AO302" s="118">
        <v>0.55300000000000005</v>
      </c>
      <c r="AP302" s="118">
        <v>0.55700000000000005</v>
      </c>
      <c r="AQ302" s="118">
        <v>0.78400000000000003</v>
      </c>
      <c r="AR302" s="118">
        <v>116.7</v>
      </c>
      <c r="AS302" s="118">
        <v>9.74</v>
      </c>
      <c r="AT302" s="118">
        <v>120.5</v>
      </c>
      <c r="AU302" s="118">
        <v>-85.624036320000002</v>
      </c>
      <c r="AV302" s="118">
        <v>40.774560219999998</v>
      </c>
      <c r="AW302" s="118">
        <v>227</v>
      </c>
      <c r="AX302" s="118">
        <v>65.7</v>
      </c>
      <c r="AY302" s="118">
        <v>8.64</v>
      </c>
      <c r="AZ302" s="118">
        <v>-110.7</v>
      </c>
      <c r="BA302" s="118">
        <v>12.1</v>
      </c>
      <c r="BB302" s="118">
        <v>0</v>
      </c>
      <c r="BC302" s="118">
        <v>24.396999999999998</v>
      </c>
      <c r="BD302" s="118">
        <v>18.28</v>
      </c>
      <c r="BE302" s="118">
        <v>0</v>
      </c>
      <c r="BF302" t="s">
        <v>515</v>
      </c>
      <c r="BG302" t="s">
        <v>515</v>
      </c>
      <c r="BH302" s="118">
        <v>219.251</v>
      </c>
      <c r="BI302" s="118">
        <v>373.02100000000002</v>
      </c>
      <c r="BJ302" s="118">
        <v>511.16199999999998</v>
      </c>
      <c r="BK302" s="118">
        <v>613.50900000000001</v>
      </c>
      <c r="BL302" s="118">
        <v>610.32600000000002</v>
      </c>
      <c r="BM302" s="118">
        <v>557.39200000000005</v>
      </c>
      <c r="BN302" s="118">
        <v>633.096</v>
      </c>
      <c r="BO302" s="118">
        <v>577.08900000000006</v>
      </c>
    </row>
    <row r="303" spans="1:67" x14ac:dyDescent="0.25">
      <c r="A303" s="25">
        <v>10302</v>
      </c>
      <c r="B303" t="s">
        <v>327</v>
      </c>
      <c r="C303" t="s">
        <v>327</v>
      </c>
      <c r="D303" s="27" t="s">
        <v>496</v>
      </c>
      <c r="E303" s="27">
        <v>6</v>
      </c>
      <c r="F303" s="118">
        <v>7900</v>
      </c>
      <c r="G303" t="s">
        <v>22</v>
      </c>
      <c r="H303" t="s">
        <v>8</v>
      </c>
      <c r="I303">
        <v>-0.50729999999999997</v>
      </c>
      <c r="J303">
        <v>2.9169999999999998</v>
      </c>
      <c r="K303">
        <v>2E-3</v>
      </c>
      <c r="L303" t="s">
        <v>515</v>
      </c>
      <c r="M303" s="140">
        <f t="shared" si="32"/>
        <v>0.05</v>
      </c>
      <c r="N303" s="140">
        <f t="shared" si="32"/>
        <v>2.9169999999999998</v>
      </c>
      <c r="O303" s="140">
        <f t="shared" si="32"/>
        <v>0.05</v>
      </c>
      <c r="P303" s="140" t="str">
        <f t="shared" si="27"/>
        <v>NULL</v>
      </c>
      <c r="Q303" s="161" t="s">
        <v>515</v>
      </c>
      <c r="R303" s="125">
        <v>24.13</v>
      </c>
      <c r="S303">
        <v>33.020000000000003</v>
      </c>
      <c r="T303">
        <v>3.9106039414178637</v>
      </c>
      <c r="U303">
        <v>1.8949659253213631</v>
      </c>
      <c r="V303" s="118" t="s">
        <v>515</v>
      </c>
      <c r="W303" t="s">
        <v>515</v>
      </c>
      <c r="X303" t="s">
        <v>515</v>
      </c>
      <c r="Y303">
        <f t="shared" si="33"/>
        <v>6</v>
      </c>
      <c r="Z303">
        <f t="shared" si="34"/>
        <v>6</v>
      </c>
      <c r="AA303">
        <f t="shared" si="35"/>
        <v>2024</v>
      </c>
      <c r="AB303" s="118" t="b">
        <v>0</v>
      </c>
      <c r="AC303" s="19">
        <v>45449</v>
      </c>
      <c r="AD303" s="19" t="s">
        <v>515</v>
      </c>
      <c r="AE303" t="s">
        <v>515</v>
      </c>
      <c r="AF303" s="19">
        <v>45449</v>
      </c>
      <c r="AG303" t="s">
        <v>515</v>
      </c>
      <c r="AH303" t="s">
        <v>515</v>
      </c>
      <c r="AI303" s="118">
        <v>732.4</v>
      </c>
      <c r="AJ303" s="118">
        <v>398.3</v>
      </c>
      <c r="AK303" s="118">
        <v>405.3</v>
      </c>
      <c r="AL303" s="118">
        <v>263</v>
      </c>
      <c r="AM303" s="118">
        <v>0.19</v>
      </c>
      <c r="AN303" s="118">
        <v>406</v>
      </c>
      <c r="AO303" s="118">
        <v>0.66900000000000004</v>
      </c>
      <c r="AP303" s="118">
        <v>0.70199999999999996</v>
      </c>
      <c r="AQ303" s="118">
        <v>0.94899999999999995</v>
      </c>
      <c r="AR303" s="118">
        <v>114.5</v>
      </c>
      <c r="AS303" s="118">
        <v>9.61</v>
      </c>
      <c r="AT303" s="118">
        <v>118.3</v>
      </c>
      <c r="AU303" s="118">
        <v>-85.606134130000001</v>
      </c>
      <c r="AV303" s="118">
        <v>40.77494488</v>
      </c>
      <c r="AW303" s="118">
        <v>226.1</v>
      </c>
      <c r="AX303" s="118">
        <v>105.1</v>
      </c>
      <c r="AY303" s="118">
        <v>8.64</v>
      </c>
      <c r="AZ303" s="118">
        <v>-110.6</v>
      </c>
      <c r="BA303" s="118">
        <v>12.1</v>
      </c>
      <c r="BB303" s="118">
        <v>0</v>
      </c>
      <c r="BC303" s="118">
        <v>24.096</v>
      </c>
      <c r="BD303" s="118">
        <v>8.57</v>
      </c>
      <c r="BE303" s="118">
        <v>0</v>
      </c>
      <c r="BF303" t="s">
        <v>515</v>
      </c>
      <c r="BG303" t="s">
        <v>515</v>
      </c>
      <c r="BH303" s="118">
        <v>126.583</v>
      </c>
      <c r="BI303" s="118">
        <v>267.96499999999997</v>
      </c>
      <c r="BJ303" s="118">
        <v>394.13499999999999</v>
      </c>
      <c r="BK303" s="118">
        <v>458.09100000000001</v>
      </c>
      <c r="BL303" s="118">
        <v>428.84</v>
      </c>
      <c r="BM303" s="118">
        <v>417.46100000000001</v>
      </c>
      <c r="BN303" s="118">
        <v>437.971</v>
      </c>
      <c r="BO303" s="118">
        <v>447.70100000000002</v>
      </c>
    </row>
    <row r="304" spans="1:67" x14ac:dyDescent="0.25">
      <c r="A304" s="25">
        <v>10303</v>
      </c>
      <c r="B304" t="s">
        <v>328</v>
      </c>
      <c r="C304" t="s">
        <v>328</v>
      </c>
      <c r="D304" s="27" t="s">
        <v>497</v>
      </c>
      <c r="E304" s="27">
        <v>7</v>
      </c>
      <c r="F304" s="118">
        <v>10610</v>
      </c>
      <c r="G304" t="s">
        <v>22</v>
      </c>
      <c r="H304" t="s">
        <v>8</v>
      </c>
      <c r="I304">
        <v>-0.50039999999999996</v>
      </c>
      <c r="J304">
        <v>2.694</v>
      </c>
      <c r="K304">
        <v>-2E-3</v>
      </c>
      <c r="L304" s="29">
        <v>1.9070133963750985E-2</v>
      </c>
      <c r="M304" s="140">
        <f t="shared" si="32"/>
        <v>0.05</v>
      </c>
      <c r="N304" s="140">
        <f t="shared" si="32"/>
        <v>2.694</v>
      </c>
      <c r="O304" s="140">
        <f t="shared" si="32"/>
        <v>0.05</v>
      </c>
      <c r="P304" s="140">
        <f t="shared" si="27"/>
        <v>0.05</v>
      </c>
      <c r="Q304" s="161" t="s">
        <v>515</v>
      </c>
      <c r="R304" s="125">
        <v>50.433333333333337</v>
      </c>
      <c r="S304">
        <v>56.089999999999996</v>
      </c>
      <c r="T304">
        <v>3.9501083564520796</v>
      </c>
      <c r="U304">
        <v>1.255300550907978</v>
      </c>
      <c r="V304" s="118" t="s">
        <v>515</v>
      </c>
      <c r="W304" t="s">
        <v>515</v>
      </c>
      <c r="X304" t="s">
        <v>515</v>
      </c>
      <c r="Y304">
        <f t="shared" si="33"/>
        <v>6</v>
      </c>
      <c r="Z304">
        <f t="shared" si="34"/>
        <v>6</v>
      </c>
      <c r="AA304">
        <f t="shared" si="35"/>
        <v>2024</v>
      </c>
      <c r="AB304" s="118" t="b">
        <v>0</v>
      </c>
      <c r="AC304" s="19">
        <v>45449</v>
      </c>
      <c r="AD304" s="19" t="s">
        <v>515</v>
      </c>
      <c r="AE304" t="s">
        <v>515</v>
      </c>
      <c r="AF304" s="19">
        <v>45449</v>
      </c>
      <c r="AG304" t="s">
        <v>515</v>
      </c>
      <c r="AH304" t="s">
        <v>515</v>
      </c>
      <c r="AI304" s="118" t="s">
        <v>515</v>
      </c>
      <c r="AJ304" s="118" t="s">
        <v>515</v>
      </c>
      <c r="AK304" s="118" t="s">
        <v>515</v>
      </c>
      <c r="AL304" s="118" t="s">
        <v>515</v>
      </c>
      <c r="AM304" s="118" t="s">
        <v>515</v>
      </c>
      <c r="AN304" s="118" t="s">
        <v>515</v>
      </c>
      <c r="AO304" s="118" t="s">
        <v>515</v>
      </c>
      <c r="AP304" s="118" t="s">
        <v>515</v>
      </c>
      <c r="AQ304" s="118" t="s">
        <v>515</v>
      </c>
      <c r="AR304" s="118" t="s">
        <v>515</v>
      </c>
      <c r="AS304" s="118" t="s">
        <v>515</v>
      </c>
      <c r="AT304" s="118" t="s">
        <v>515</v>
      </c>
      <c r="AU304" s="118" t="s">
        <v>515</v>
      </c>
      <c r="AV304" s="118" t="s">
        <v>515</v>
      </c>
      <c r="AW304" s="118" t="s">
        <v>515</v>
      </c>
      <c r="AX304" s="118" t="s">
        <v>515</v>
      </c>
      <c r="AY304" s="118" t="s">
        <v>515</v>
      </c>
      <c r="AZ304" s="118" t="s">
        <v>515</v>
      </c>
      <c r="BA304" s="118" t="s">
        <v>515</v>
      </c>
      <c r="BB304" s="118" t="s">
        <v>515</v>
      </c>
      <c r="BC304" s="118" t="s">
        <v>515</v>
      </c>
      <c r="BD304" s="118" t="s">
        <v>515</v>
      </c>
      <c r="BE304" s="118" t="s">
        <v>515</v>
      </c>
      <c r="BF304" t="s">
        <v>515</v>
      </c>
      <c r="BG304" t="s">
        <v>515</v>
      </c>
      <c r="BH304" s="118">
        <v>158.22399999999999</v>
      </c>
      <c r="BI304" s="118">
        <v>287.31</v>
      </c>
      <c r="BJ304" s="118">
        <v>404.43700000000001</v>
      </c>
      <c r="BK304" s="118">
        <v>429.09800000000001</v>
      </c>
      <c r="BL304" s="118">
        <v>394.36599999999999</v>
      </c>
      <c r="BM304" s="118">
        <v>415.15199999999999</v>
      </c>
      <c r="BN304" s="118">
        <v>459.22199999999998</v>
      </c>
      <c r="BO304" s="118">
        <v>486.03399999999999</v>
      </c>
    </row>
    <row r="305" spans="1:67" x14ac:dyDescent="0.25">
      <c r="A305" s="25">
        <v>10304</v>
      </c>
      <c r="B305" t="s">
        <v>329</v>
      </c>
      <c r="C305" t="s">
        <v>329</v>
      </c>
      <c r="D305" s="27" t="s">
        <v>498</v>
      </c>
      <c r="E305" s="27">
        <v>8</v>
      </c>
      <c r="F305" s="118">
        <v>9370</v>
      </c>
      <c r="G305" t="s">
        <v>22</v>
      </c>
      <c r="H305" t="s">
        <v>8</v>
      </c>
      <c r="I305">
        <v>-0.50519999999999998</v>
      </c>
      <c r="J305">
        <v>2.895</v>
      </c>
      <c r="K305">
        <v>1E-3</v>
      </c>
      <c r="L305" t="s">
        <v>515</v>
      </c>
      <c r="M305" s="140">
        <f t="shared" si="32"/>
        <v>0.05</v>
      </c>
      <c r="N305" s="140">
        <f t="shared" si="32"/>
        <v>2.895</v>
      </c>
      <c r="O305" s="140">
        <f t="shared" si="32"/>
        <v>0.05</v>
      </c>
      <c r="P305" s="140" t="str">
        <f t="shared" si="27"/>
        <v>NULL</v>
      </c>
      <c r="Q305" s="161" t="s">
        <v>515</v>
      </c>
      <c r="R305" s="125">
        <v>33.97</v>
      </c>
      <c r="S305">
        <v>38.229999999999997</v>
      </c>
      <c r="T305">
        <v>3.9303561489349712</v>
      </c>
      <c r="U305">
        <v>1.312159695300279</v>
      </c>
      <c r="V305" s="118" t="s">
        <v>515</v>
      </c>
      <c r="W305" t="s">
        <v>515</v>
      </c>
      <c r="X305" t="s">
        <v>515</v>
      </c>
      <c r="Y305">
        <f t="shared" si="33"/>
        <v>6</v>
      </c>
      <c r="Z305">
        <f t="shared" si="34"/>
        <v>6</v>
      </c>
      <c r="AA305">
        <f t="shared" si="35"/>
        <v>2024</v>
      </c>
      <c r="AB305" s="118" t="b">
        <v>0</v>
      </c>
      <c r="AC305" s="19">
        <v>45449</v>
      </c>
      <c r="AD305" s="19" t="s">
        <v>515</v>
      </c>
      <c r="AE305" t="s">
        <v>515</v>
      </c>
      <c r="AF305" s="19">
        <v>45449</v>
      </c>
      <c r="AG305" t="s">
        <v>515</v>
      </c>
      <c r="AH305" t="s">
        <v>515</v>
      </c>
      <c r="AI305" s="118">
        <v>732.4</v>
      </c>
      <c r="AJ305" s="118">
        <v>404.2</v>
      </c>
      <c r="AK305" s="118">
        <v>411.1</v>
      </c>
      <c r="AL305" s="118">
        <v>267</v>
      </c>
      <c r="AM305" s="118">
        <v>0.2</v>
      </c>
      <c r="AN305" s="118">
        <v>411.7</v>
      </c>
      <c r="AO305" s="118">
        <v>0.68600000000000005</v>
      </c>
      <c r="AP305" s="118">
        <v>0.68899999999999995</v>
      </c>
      <c r="AQ305" s="118">
        <v>0.97299999999999998</v>
      </c>
      <c r="AR305" s="118">
        <v>130.80000000000001</v>
      </c>
      <c r="AS305" s="118">
        <v>10.97</v>
      </c>
      <c r="AT305" s="118">
        <v>135.1</v>
      </c>
      <c r="AU305" s="118">
        <v>-85.596868459999996</v>
      </c>
      <c r="AV305" s="118">
        <v>40.766858499999998</v>
      </c>
      <c r="AW305" s="118">
        <v>237.9</v>
      </c>
      <c r="AX305" s="118">
        <v>74</v>
      </c>
      <c r="AY305" s="118">
        <v>8.75</v>
      </c>
      <c r="AZ305" s="118">
        <v>-117.3</v>
      </c>
      <c r="BA305" s="118">
        <v>12.1</v>
      </c>
      <c r="BB305" s="118">
        <v>0</v>
      </c>
      <c r="BC305" s="118">
        <v>24.132999999999999</v>
      </c>
      <c r="BD305" s="118">
        <v>7.06</v>
      </c>
      <c r="BE305" s="118">
        <v>0</v>
      </c>
      <c r="BF305" t="s">
        <v>515</v>
      </c>
      <c r="BG305" t="s">
        <v>515</v>
      </c>
      <c r="BH305" s="118">
        <v>99.302700000000002</v>
      </c>
      <c r="BI305" s="118">
        <v>219.98699999999999</v>
      </c>
      <c r="BJ305" s="118">
        <v>325.00799999999998</v>
      </c>
      <c r="BK305" s="118">
        <v>370.90199999999999</v>
      </c>
      <c r="BL305" s="118">
        <v>344.541</v>
      </c>
      <c r="BM305" s="118">
        <v>346.40899999999999</v>
      </c>
      <c r="BN305" s="118">
        <v>371.05700000000002</v>
      </c>
      <c r="BO305" s="118">
        <v>408.209</v>
      </c>
    </row>
    <row r="306" spans="1:67" x14ac:dyDescent="0.25">
      <c r="A306" s="25">
        <v>10305</v>
      </c>
      <c r="B306" t="s">
        <v>330</v>
      </c>
      <c r="C306" t="s">
        <v>330</v>
      </c>
      <c r="D306" s="27" t="s">
        <v>499</v>
      </c>
      <c r="E306" s="27">
        <v>9</v>
      </c>
      <c r="F306" s="118">
        <v>10331</v>
      </c>
      <c r="G306" t="s">
        <v>22</v>
      </c>
      <c r="H306" t="s">
        <v>8</v>
      </c>
      <c r="I306">
        <v>-0.50319999999999998</v>
      </c>
      <c r="J306">
        <v>2.073</v>
      </c>
      <c r="K306">
        <v>-3.0000000000000001E-3</v>
      </c>
      <c r="L306" s="29">
        <v>-1.63826998689384E-3</v>
      </c>
      <c r="M306" s="140">
        <f t="shared" ref="M306:O321" si="36">IF(I306&lt;0.1,0.05,I306)</f>
        <v>0.05</v>
      </c>
      <c r="N306" s="140">
        <f t="shared" si="36"/>
        <v>2.073</v>
      </c>
      <c r="O306" s="140">
        <f t="shared" si="36"/>
        <v>0.05</v>
      </c>
      <c r="P306" s="140">
        <f t="shared" si="27"/>
        <v>0.05</v>
      </c>
      <c r="Q306" s="161" t="s">
        <v>515</v>
      </c>
      <c r="R306" s="125">
        <v>41.14</v>
      </c>
      <c r="S306">
        <v>39.876666666666665</v>
      </c>
      <c r="T306">
        <v>3.2639790426999067</v>
      </c>
      <c r="U306">
        <v>0.94543181663606057</v>
      </c>
      <c r="V306" s="118" t="s">
        <v>515</v>
      </c>
      <c r="W306" t="s">
        <v>515</v>
      </c>
      <c r="X306" t="s">
        <v>515</v>
      </c>
      <c r="Y306">
        <f t="shared" si="33"/>
        <v>6</v>
      </c>
      <c r="Z306">
        <f t="shared" si="34"/>
        <v>6</v>
      </c>
      <c r="AA306">
        <f t="shared" si="35"/>
        <v>2024</v>
      </c>
      <c r="AB306" s="118" t="b">
        <v>0</v>
      </c>
      <c r="AC306" s="19">
        <v>45449</v>
      </c>
      <c r="AD306" s="19" t="s">
        <v>515</v>
      </c>
      <c r="AE306" t="s">
        <v>515</v>
      </c>
      <c r="AF306" s="19">
        <v>45449</v>
      </c>
      <c r="AG306" t="s">
        <v>515</v>
      </c>
      <c r="AH306" t="s">
        <v>515</v>
      </c>
      <c r="AI306" s="118">
        <v>732.3</v>
      </c>
      <c r="AJ306" s="118">
        <v>411.5</v>
      </c>
      <c r="AK306" s="118">
        <v>413.5</v>
      </c>
      <c r="AL306" s="118">
        <v>269</v>
      </c>
      <c r="AM306" s="118">
        <v>0.2</v>
      </c>
      <c r="AN306" s="118">
        <v>413.7</v>
      </c>
      <c r="AO306" s="118">
        <v>0.73599999999999999</v>
      </c>
      <c r="AP306" s="118">
        <v>0.74</v>
      </c>
      <c r="AQ306" s="118">
        <v>1.044</v>
      </c>
      <c r="AR306" s="118">
        <v>153.1</v>
      </c>
      <c r="AS306" s="118">
        <v>12.7</v>
      </c>
      <c r="AT306" s="118">
        <v>158.19999999999999</v>
      </c>
      <c r="AU306" s="118">
        <v>-85.594853409999999</v>
      </c>
      <c r="AV306" s="118">
        <v>40.757165809999996</v>
      </c>
      <c r="AW306" s="118">
        <v>225.4</v>
      </c>
      <c r="AX306" s="118">
        <v>84</v>
      </c>
      <c r="AY306" s="118">
        <v>8.8800000000000008</v>
      </c>
      <c r="AZ306" s="118">
        <v>-125</v>
      </c>
      <c r="BA306" s="118">
        <v>12.1</v>
      </c>
      <c r="BB306" s="118">
        <v>0</v>
      </c>
      <c r="BC306" s="118">
        <v>24.744</v>
      </c>
      <c r="BD306" s="118">
        <v>6.64</v>
      </c>
      <c r="BE306" s="118">
        <v>0</v>
      </c>
      <c r="BF306" t="s">
        <v>515</v>
      </c>
      <c r="BG306" t="s">
        <v>515</v>
      </c>
      <c r="BH306" s="118"/>
      <c r="BI306" s="118"/>
      <c r="BJ306" s="118"/>
      <c r="BK306" s="118"/>
      <c r="BL306" s="118"/>
      <c r="BM306" s="118"/>
      <c r="BN306" s="118"/>
      <c r="BO306" s="118"/>
    </row>
    <row r="307" spans="1:67" x14ac:dyDescent="0.25">
      <c r="A307" s="25">
        <v>10306</v>
      </c>
      <c r="B307" t="s">
        <v>331</v>
      </c>
      <c r="C307" t="s">
        <v>331</v>
      </c>
      <c r="D307" s="27" t="s">
        <v>500</v>
      </c>
      <c r="E307" s="27">
        <v>10</v>
      </c>
      <c r="F307" s="118">
        <v>11270</v>
      </c>
      <c r="G307" t="s">
        <v>22</v>
      </c>
      <c r="H307" t="s">
        <v>8</v>
      </c>
      <c r="I307">
        <v>-0.50149999999999995</v>
      </c>
      <c r="J307">
        <v>2.028</v>
      </c>
      <c r="K307">
        <v>-1E-3</v>
      </c>
      <c r="L307" s="29">
        <v>1.0197368421052632E-2</v>
      </c>
      <c r="M307" s="140">
        <f t="shared" si="36"/>
        <v>0.05</v>
      </c>
      <c r="N307" s="140">
        <f t="shared" si="36"/>
        <v>2.028</v>
      </c>
      <c r="O307" s="140">
        <f t="shared" si="36"/>
        <v>0.05</v>
      </c>
      <c r="P307" s="140">
        <f t="shared" si="27"/>
        <v>0.05</v>
      </c>
      <c r="Q307" s="161" t="s">
        <v>515</v>
      </c>
      <c r="R307" s="125">
        <v>43.466666666666669</v>
      </c>
      <c r="S307">
        <v>38.276666666666664</v>
      </c>
      <c r="T307">
        <v>3.2618998629612639</v>
      </c>
      <c r="U307">
        <v>1.4169002244439912</v>
      </c>
      <c r="V307" s="118" t="s">
        <v>515</v>
      </c>
      <c r="W307" t="s">
        <v>515</v>
      </c>
      <c r="X307" t="s">
        <v>515</v>
      </c>
      <c r="Y307">
        <f t="shared" si="33"/>
        <v>6</v>
      </c>
      <c r="Z307">
        <f t="shared" si="34"/>
        <v>6</v>
      </c>
      <c r="AA307">
        <f t="shared" si="35"/>
        <v>2024</v>
      </c>
      <c r="AB307" s="118" t="b">
        <v>0</v>
      </c>
      <c r="AC307" s="19">
        <v>45449</v>
      </c>
      <c r="AD307" s="19" t="s">
        <v>515</v>
      </c>
      <c r="AE307" t="s">
        <v>515</v>
      </c>
      <c r="AF307" s="19">
        <v>45449</v>
      </c>
      <c r="AG307" t="s">
        <v>515</v>
      </c>
      <c r="AH307" t="s">
        <v>515</v>
      </c>
      <c r="AI307" s="118">
        <v>732.3</v>
      </c>
      <c r="AJ307" s="118">
        <v>417.7</v>
      </c>
      <c r="AK307" s="118">
        <v>426.6</v>
      </c>
      <c r="AL307" s="118">
        <v>277</v>
      </c>
      <c r="AM307" s="118">
        <v>0.2</v>
      </c>
      <c r="AN307" s="118">
        <v>427.5</v>
      </c>
      <c r="AO307" s="118">
        <v>0.52400000000000002</v>
      </c>
      <c r="AP307" s="118">
        <v>0.56599999999999995</v>
      </c>
      <c r="AQ307" s="118">
        <v>0.74399999999999999</v>
      </c>
      <c r="AR307" s="118">
        <v>137.1</v>
      </c>
      <c r="AS307" s="118">
        <v>11.55</v>
      </c>
      <c r="AT307" s="118">
        <v>141.69999999999999</v>
      </c>
      <c r="AU307" s="118">
        <v>-85.582874129999993</v>
      </c>
      <c r="AV307" s="118">
        <v>40.755891669999997</v>
      </c>
      <c r="AW307" s="118">
        <v>226.5</v>
      </c>
      <c r="AX307" s="118">
        <v>74.400000000000006</v>
      </c>
      <c r="AY307" s="118">
        <v>8.77</v>
      </c>
      <c r="AZ307" s="118">
        <v>-118.5</v>
      </c>
      <c r="BA307" s="118">
        <v>12.1</v>
      </c>
      <c r="BB307" s="118">
        <v>0</v>
      </c>
      <c r="BC307" s="118">
        <v>23.908000000000001</v>
      </c>
      <c r="BD307" s="118">
        <v>8.9600000000000009</v>
      </c>
      <c r="BE307" s="118">
        <v>0</v>
      </c>
      <c r="BF307" t="s">
        <v>515</v>
      </c>
      <c r="BG307" t="s">
        <v>515</v>
      </c>
      <c r="BH307" s="118">
        <v>173.09</v>
      </c>
      <c r="BI307" s="118">
        <v>366.11700000000002</v>
      </c>
      <c r="BJ307" s="118">
        <v>466.53899999999999</v>
      </c>
      <c r="BK307" s="118">
        <v>521.14599999999996</v>
      </c>
      <c r="BL307" s="118">
        <v>483.63499999999999</v>
      </c>
      <c r="BM307" s="118">
        <v>504.92599999999999</v>
      </c>
      <c r="BN307" s="118">
        <v>526.88499999999999</v>
      </c>
      <c r="BO307" s="118">
        <v>571.72</v>
      </c>
    </row>
    <row r="308" spans="1:67" x14ac:dyDescent="0.25">
      <c r="A308" s="25">
        <v>10307</v>
      </c>
      <c r="B308" t="s">
        <v>332</v>
      </c>
      <c r="C308" t="s">
        <v>332</v>
      </c>
      <c r="D308" s="27" t="s">
        <v>501</v>
      </c>
      <c r="E308" s="27">
        <v>13</v>
      </c>
      <c r="F308" s="118">
        <v>5180</v>
      </c>
      <c r="G308" t="s">
        <v>22</v>
      </c>
      <c r="H308" t="s">
        <v>8</v>
      </c>
      <c r="I308">
        <v>-0.50119999999999998</v>
      </c>
      <c r="J308">
        <v>3.3119999999999998</v>
      </c>
      <c r="K308">
        <v>3.7999999999999999E-2</v>
      </c>
      <c r="L308" t="s">
        <v>515</v>
      </c>
      <c r="M308" s="140">
        <f t="shared" si="36"/>
        <v>0.05</v>
      </c>
      <c r="N308" s="140">
        <f t="shared" si="36"/>
        <v>3.3119999999999998</v>
      </c>
      <c r="O308" s="140">
        <f t="shared" si="36"/>
        <v>0.05</v>
      </c>
      <c r="P308" s="140" t="str">
        <f t="shared" si="27"/>
        <v>NULL</v>
      </c>
      <c r="Q308" s="161" t="s">
        <v>515</v>
      </c>
      <c r="R308" s="125">
        <v>23.453333333333333</v>
      </c>
      <c r="S308">
        <v>6.87</v>
      </c>
      <c r="T308">
        <v>3.8944902984433805</v>
      </c>
      <c r="U308">
        <v>1.4023453716928518</v>
      </c>
      <c r="V308" s="118" t="s">
        <v>515</v>
      </c>
      <c r="W308" t="s">
        <v>515</v>
      </c>
      <c r="X308" t="s">
        <v>515</v>
      </c>
      <c r="Y308">
        <f t="shared" si="33"/>
        <v>6</v>
      </c>
      <c r="Z308">
        <f t="shared" si="34"/>
        <v>6</v>
      </c>
      <c r="AA308">
        <f t="shared" si="35"/>
        <v>2024</v>
      </c>
      <c r="AB308" s="118" t="b">
        <v>0</v>
      </c>
      <c r="AC308" s="19">
        <v>45449</v>
      </c>
      <c r="AD308" s="19" t="s">
        <v>515</v>
      </c>
      <c r="AE308" t="s">
        <v>515</v>
      </c>
      <c r="AF308" s="19">
        <v>45449</v>
      </c>
      <c r="AG308" t="s">
        <v>515</v>
      </c>
      <c r="AH308" t="s">
        <v>515</v>
      </c>
      <c r="AI308" s="118">
        <v>732.7</v>
      </c>
      <c r="AJ308" s="118">
        <v>364.8</v>
      </c>
      <c r="AK308" s="118">
        <v>371.8</v>
      </c>
      <c r="AL308" s="118">
        <v>242</v>
      </c>
      <c r="AM308" s="118">
        <v>0.18</v>
      </c>
      <c r="AN308" s="118">
        <v>372.5</v>
      </c>
      <c r="AO308" s="118">
        <v>0.745</v>
      </c>
      <c r="AP308" s="118">
        <v>0.75900000000000001</v>
      </c>
      <c r="AQ308" s="118">
        <v>1.0569999999999999</v>
      </c>
      <c r="AR308" s="118">
        <v>106.5</v>
      </c>
      <c r="AS308" s="118">
        <v>8.9600000000000009</v>
      </c>
      <c r="AT308" s="118">
        <v>110.1</v>
      </c>
      <c r="AU308" s="118">
        <v>-85.637500149999994</v>
      </c>
      <c r="AV308" s="118">
        <v>40.781062970000001</v>
      </c>
      <c r="AW308" s="118">
        <v>229.5</v>
      </c>
      <c r="AX308" s="118">
        <v>95.3</v>
      </c>
      <c r="AY308" s="118">
        <v>8.51</v>
      </c>
      <c r="AZ308" s="118">
        <v>-103</v>
      </c>
      <c r="BA308" s="118">
        <v>12.1</v>
      </c>
      <c r="BB308" s="118">
        <v>0</v>
      </c>
      <c r="BC308" s="118">
        <v>24.015999999999998</v>
      </c>
      <c r="BD308" s="118">
        <v>13.17</v>
      </c>
      <c r="BE308" s="118">
        <v>0</v>
      </c>
      <c r="BF308" t="s">
        <v>515</v>
      </c>
      <c r="BG308" t="s">
        <v>515</v>
      </c>
      <c r="BH308" s="118">
        <v>247.876</v>
      </c>
      <c r="BI308" s="118">
        <v>417.80700000000002</v>
      </c>
      <c r="BJ308" s="118">
        <v>566.08600000000001</v>
      </c>
      <c r="BK308" s="118">
        <v>646.37099999999998</v>
      </c>
      <c r="BL308" s="118">
        <v>662.11</v>
      </c>
      <c r="BM308" s="118">
        <v>618.92999999999995</v>
      </c>
      <c r="BN308" s="118">
        <v>618.24599999999998</v>
      </c>
      <c r="BO308" s="118">
        <v>536.77800000000002</v>
      </c>
    </row>
    <row r="309" spans="1:67" x14ac:dyDescent="0.25">
      <c r="A309" s="25">
        <v>10308</v>
      </c>
      <c r="B309" t="s">
        <v>333</v>
      </c>
      <c r="C309" t="s">
        <v>333</v>
      </c>
      <c r="D309" s="27" t="s">
        <v>502</v>
      </c>
      <c r="E309" s="27">
        <v>14</v>
      </c>
      <c r="F309" s="118">
        <v>1040</v>
      </c>
      <c r="G309" t="s">
        <v>22</v>
      </c>
      <c r="H309" t="s">
        <v>8</v>
      </c>
      <c r="I309">
        <v>-0.50649999999999995</v>
      </c>
      <c r="J309">
        <v>2.6930000000000001</v>
      </c>
      <c r="K309">
        <v>5.0999999999999997E-2</v>
      </c>
      <c r="L309" s="29">
        <v>2.335526315789474E-2</v>
      </c>
      <c r="M309" s="140">
        <f t="shared" si="36"/>
        <v>0.05</v>
      </c>
      <c r="N309" s="140">
        <f t="shared" si="36"/>
        <v>2.6930000000000001</v>
      </c>
      <c r="O309" s="140">
        <f t="shared" si="36"/>
        <v>0.05</v>
      </c>
      <c r="P309" s="140">
        <f t="shared" si="27"/>
        <v>0.05</v>
      </c>
      <c r="Q309" s="161" t="s">
        <v>515</v>
      </c>
      <c r="R309" s="125">
        <v>8.4266666666666676</v>
      </c>
      <c r="S309">
        <v>11.796666666666667</v>
      </c>
      <c r="T309">
        <v>3.5587027706525447</v>
      </c>
      <c r="U309">
        <v>1.8449761273209551</v>
      </c>
      <c r="V309" s="118" t="s">
        <v>515</v>
      </c>
      <c r="W309" t="s">
        <v>515</v>
      </c>
      <c r="X309" t="s">
        <v>515</v>
      </c>
      <c r="Y309">
        <f t="shared" si="33"/>
        <v>6</v>
      </c>
      <c r="Z309">
        <f t="shared" si="34"/>
        <v>6</v>
      </c>
      <c r="AA309">
        <f t="shared" si="35"/>
        <v>2024</v>
      </c>
      <c r="AB309" s="118" t="b">
        <v>0</v>
      </c>
      <c r="AC309" s="19">
        <v>45449</v>
      </c>
      <c r="AD309" s="19" t="s">
        <v>515</v>
      </c>
      <c r="AE309" t="s">
        <v>515</v>
      </c>
      <c r="AF309" s="19">
        <v>45449</v>
      </c>
      <c r="AG309" t="s">
        <v>515</v>
      </c>
      <c r="AH309" t="s">
        <v>515</v>
      </c>
      <c r="AI309" s="118">
        <v>732.2</v>
      </c>
      <c r="AJ309" s="118">
        <v>357.7</v>
      </c>
      <c r="AK309" s="118">
        <v>366.9</v>
      </c>
      <c r="AL309" s="118">
        <v>238</v>
      </c>
      <c r="AM309" s="118">
        <v>0.17</v>
      </c>
      <c r="AN309" s="118">
        <v>367.8</v>
      </c>
      <c r="AO309" s="118">
        <v>0.57399999999999995</v>
      </c>
      <c r="AP309" s="118">
        <v>0.61699999999999999</v>
      </c>
      <c r="AQ309" s="118">
        <v>0.81399999999999995</v>
      </c>
      <c r="AR309" s="118">
        <v>87.3</v>
      </c>
      <c r="AS309" s="118">
        <v>7.38</v>
      </c>
      <c r="AT309" s="118">
        <v>90.2</v>
      </c>
      <c r="AU309" s="118">
        <v>-85.667890909999997</v>
      </c>
      <c r="AV309" s="118">
        <v>40.8002343</v>
      </c>
      <c r="AW309" s="118">
        <v>228.8</v>
      </c>
      <c r="AX309" s="118">
        <v>139.5</v>
      </c>
      <c r="AY309" s="118">
        <v>8.1999999999999993</v>
      </c>
      <c r="AZ309" s="118">
        <v>-84.6</v>
      </c>
      <c r="BA309" s="118">
        <v>12.1</v>
      </c>
      <c r="BB309" s="118">
        <v>0</v>
      </c>
      <c r="BC309" s="118">
        <v>23.687000000000001</v>
      </c>
      <c r="BD309" s="118">
        <v>13.96</v>
      </c>
      <c r="BE309" s="118">
        <v>0</v>
      </c>
      <c r="BF309" t="s">
        <v>515</v>
      </c>
      <c r="BG309" t="s">
        <v>515</v>
      </c>
      <c r="BH309" s="118">
        <v>305.01799999999997</v>
      </c>
      <c r="BI309" s="118">
        <v>476.42899999999997</v>
      </c>
      <c r="BJ309" s="118">
        <v>628.38199999999995</v>
      </c>
      <c r="BK309" s="118">
        <v>719.01099999999997</v>
      </c>
      <c r="BL309" s="118">
        <v>720.73800000000006</v>
      </c>
      <c r="BM309" s="118">
        <v>702.351</v>
      </c>
      <c r="BN309" s="118">
        <v>666.303</v>
      </c>
      <c r="BO309" s="118">
        <v>559.69500000000005</v>
      </c>
    </row>
    <row r="310" spans="1:67" x14ac:dyDescent="0.25">
      <c r="A310" s="25">
        <v>10309</v>
      </c>
      <c r="B310" t="s">
        <v>334</v>
      </c>
      <c r="C310" t="s">
        <v>334</v>
      </c>
      <c r="D310" s="27" t="s">
        <v>462</v>
      </c>
      <c r="E310" s="27">
        <v>1</v>
      </c>
      <c r="F310" s="118">
        <v>5999</v>
      </c>
      <c r="G310" t="s">
        <v>19</v>
      </c>
      <c r="H310" t="s">
        <v>8</v>
      </c>
      <c r="I310" s="68">
        <v>1.9333333333333331E-3</v>
      </c>
      <c r="J310">
        <v>2.4306666666666668</v>
      </c>
      <c r="K310">
        <v>6.5333333333333327E-2</v>
      </c>
      <c r="L310" t="s">
        <v>515</v>
      </c>
      <c r="M310" s="140">
        <f t="shared" si="36"/>
        <v>0.05</v>
      </c>
      <c r="N310" s="140">
        <f t="shared" si="36"/>
        <v>2.4306666666666668</v>
      </c>
      <c r="O310" s="140">
        <f t="shared" si="36"/>
        <v>0.05</v>
      </c>
      <c r="P310" s="140" t="str">
        <f t="shared" si="27"/>
        <v>NULL</v>
      </c>
      <c r="Q310" s="161" t="s">
        <v>515</v>
      </c>
      <c r="R310" s="125">
        <v>64.905000000000001</v>
      </c>
      <c r="S310">
        <v>39.33</v>
      </c>
      <c r="T310">
        <v>2.9817303931791264</v>
      </c>
      <c r="U310">
        <v>0.96216309596680949</v>
      </c>
      <c r="V310" s="118" t="s">
        <v>515</v>
      </c>
      <c r="W310" t="s">
        <v>515</v>
      </c>
      <c r="X310" t="s">
        <v>515</v>
      </c>
      <c r="Y310">
        <f t="shared" si="33"/>
        <v>6</v>
      </c>
      <c r="Z310">
        <f t="shared" si="34"/>
        <v>12</v>
      </c>
      <c r="AA310">
        <f t="shared" si="35"/>
        <v>2024</v>
      </c>
      <c r="AB310" s="118" t="b">
        <v>0</v>
      </c>
      <c r="AC310" s="19">
        <v>45455</v>
      </c>
      <c r="AD310" s="19" t="s">
        <v>515</v>
      </c>
      <c r="AE310" t="s">
        <v>515</v>
      </c>
      <c r="AF310" s="19">
        <v>45455</v>
      </c>
      <c r="AG310" t="s">
        <v>515</v>
      </c>
      <c r="AH310" t="s">
        <v>515</v>
      </c>
      <c r="AI310" s="118">
        <v>740.9</v>
      </c>
      <c r="AJ310" s="118">
        <v>444.2</v>
      </c>
      <c r="AK310" s="118">
        <v>451.9</v>
      </c>
      <c r="AL310" s="118">
        <v>294</v>
      </c>
      <c r="AM310" s="118">
        <v>0.22</v>
      </c>
      <c r="AN310" s="118">
        <v>452.7</v>
      </c>
      <c r="AO310" s="118">
        <v>0.66700000000000004</v>
      </c>
      <c r="AP310" s="118">
        <v>0.67900000000000005</v>
      </c>
      <c r="AQ310" s="118">
        <v>0.94599999999999995</v>
      </c>
      <c r="AR310" s="118">
        <v>169.5</v>
      </c>
      <c r="AS310" s="118">
        <v>14.22</v>
      </c>
      <c r="AT310" s="118">
        <v>173.1</v>
      </c>
      <c r="AU310" s="118">
        <v>-85.889103570000003</v>
      </c>
      <c r="AV310" s="118">
        <v>40.681706509999998</v>
      </c>
      <c r="AW310" s="118">
        <v>233</v>
      </c>
      <c r="AX310" s="118">
        <v>92.5</v>
      </c>
      <c r="AY310" s="118">
        <v>8.52</v>
      </c>
      <c r="AZ310" s="118">
        <v>-124.6</v>
      </c>
      <c r="BA310" s="118">
        <v>12.1</v>
      </c>
      <c r="BB310" s="118">
        <v>0</v>
      </c>
      <c r="BC310" s="118">
        <v>24.106000000000002</v>
      </c>
      <c r="BD310" s="118">
        <v>11.08</v>
      </c>
      <c r="BE310" s="118">
        <v>0</v>
      </c>
      <c r="BF310" t="s">
        <v>515</v>
      </c>
      <c r="BG310" t="s">
        <v>515</v>
      </c>
      <c r="BH310" s="118">
        <v>200.77699999999999</v>
      </c>
      <c r="BI310" s="118">
        <v>285.57100000000003</v>
      </c>
      <c r="BJ310" s="118">
        <v>411.85500000000002</v>
      </c>
      <c r="BK310" s="118">
        <v>471.57</v>
      </c>
      <c r="BL310" s="118">
        <v>394.774</v>
      </c>
      <c r="BM310" s="118">
        <v>354.14100000000002</v>
      </c>
      <c r="BN310" s="118">
        <v>431.59500000000003</v>
      </c>
      <c r="BO310" s="118">
        <v>431.02199999999999</v>
      </c>
    </row>
    <row r="311" spans="1:67" x14ac:dyDescent="0.25">
      <c r="A311" s="25">
        <v>10310</v>
      </c>
      <c r="B311" t="s">
        <v>335</v>
      </c>
      <c r="C311" t="s">
        <v>335</v>
      </c>
      <c r="D311" s="27" t="s">
        <v>463</v>
      </c>
      <c r="E311" s="27">
        <v>2</v>
      </c>
      <c r="F311" s="118">
        <v>8861</v>
      </c>
      <c r="G311" t="s">
        <v>19</v>
      </c>
      <c r="H311" t="s">
        <v>8</v>
      </c>
      <c r="I311" s="68">
        <v>7.5999999999999998E-2</v>
      </c>
      <c r="J311">
        <v>2.4873333333333334</v>
      </c>
      <c r="K311">
        <v>6.5666666666666665E-2</v>
      </c>
      <c r="L311" t="s">
        <v>515</v>
      </c>
      <c r="M311" s="140">
        <f t="shared" si="36"/>
        <v>0.05</v>
      </c>
      <c r="N311" s="140">
        <f t="shared" si="36"/>
        <v>2.4873333333333334</v>
      </c>
      <c r="O311" s="140">
        <f t="shared" si="36"/>
        <v>0.05</v>
      </c>
      <c r="P311" s="140" t="str">
        <f t="shared" si="27"/>
        <v>NULL</v>
      </c>
      <c r="Q311" s="161" t="s">
        <v>515</v>
      </c>
      <c r="R311" s="125">
        <v>39.716666666666661</v>
      </c>
      <c r="S311">
        <v>22.236666666666668</v>
      </c>
      <c r="T311">
        <v>3.0924467142618632</v>
      </c>
      <c r="U311">
        <v>1.4740314221587432</v>
      </c>
      <c r="V311" s="118" t="s">
        <v>515</v>
      </c>
      <c r="W311" t="s">
        <v>515</v>
      </c>
      <c r="X311" t="s">
        <v>515</v>
      </c>
      <c r="Y311">
        <f t="shared" si="33"/>
        <v>6</v>
      </c>
      <c r="Z311">
        <f t="shared" si="34"/>
        <v>12</v>
      </c>
      <c r="AA311">
        <f t="shared" si="35"/>
        <v>2024</v>
      </c>
      <c r="AB311" s="118" t="b">
        <v>0</v>
      </c>
      <c r="AC311" s="19">
        <v>45455</v>
      </c>
      <c r="AD311" s="19" t="s">
        <v>515</v>
      </c>
      <c r="AE311" t="s">
        <v>515</v>
      </c>
      <c r="AF311" s="19">
        <v>45455</v>
      </c>
      <c r="AG311" t="s">
        <v>515</v>
      </c>
      <c r="AH311" t="s">
        <v>515</v>
      </c>
      <c r="AI311" s="118">
        <v>740.8</v>
      </c>
      <c r="AJ311" s="118">
        <v>468.2</v>
      </c>
      <c r="AK311" s="118">
        <v>478.9</v>
      </c>
      <c r="AL311" s="118">
        <v>311</v>
      </c>
      <c r="AM311" s="118">
        <v>0.23</v>
      </c>
      <c r="AN311" s="118">
        <v>480</v>
      </c>
      <c r="AO311" s="118">
        <v>0.63400000000000001</v>
      </c>
      <c r="AP311" s="118">
        <v>0.63200000000000001</v>
      </c>
      <c r="AQ311" s="118">
        <v>0.9</v>
      </c>
      <c r="AR311" s="118">
        <v>143.69999999999999</v>
      </c>
      <c r="AS311" s="118">
        <v>12.12</v>
      </c>
      <c r="AT311" s="118">
        <v>146.80000000000001</v>
      </c>
      <c r="AU311" s="118">
        <v>-85.876863529999994</v>
      </c>
      <c r="AV311" s="118">
        <v>40.676915960000002</v>
      </c>
      <c r="AW311" s="118">
        <v>225.9</v>
      </c>
      <c r="AX311" s="118">
        <v>76.5</v>
      </c>
      <c r="AY311" s="118">
        <v>8.2899999999999991</v>
      </c>
      <c r="AZ311" s="118">
        <v>-110.6</v>
      </c>
      <c r="BA311" s="118">
        <v>12.1</v>
      </c>
      <c r="BB311" s="118">
        <v>0</v>
      </c>
      <c r="BC311" s="118">
        <v>23.835000000000001</v>
      </c>
      <c r="BD311" s="118">
        <v>9.23</v>
      </c>
      <c r="BE311" s="118">
        <v>0</v>
      </c>
      <c r="BF311" t="s">
        <v>515</v>
      </c>
      <c r="BG311" t="s">
        <v>515</v>
      </c>
      <c r="BH311" s="118">
        <v>206.31299999999999</v>
      </c>
      <c r="BI311" s="118">
        <v>283.89499999999998</v>
      </c>
      <c r="BJ311" s="118">
        <v>416.50799999999998</v>
      </c>
      <c r="BK311" s="118">
        <v>469.23899999999998</v>
      </c>
      <c r="BL311" s="118">
        <v>400.46699999999998</v>
      </c>
      <c r="BM311" s="118">
        <v>360.86500000000001</v>
      </c>
      <c r="BN311" s="118">
        <v>430.38200000000001</v>
      </c>
      <c r="BO311" s="118">
        <v>396.95100000000002</v>
      </c>
    </row>
    <row r="312" spans="1:67" x14ac:dyDescent="0.25">
      <c r="A312" s="25">
        <v>10311</v>
      </c>
      <c r="B312" t="s">
        <v>336</v>
      </c>
      <c r="C312" t="s">
        <v>336</v>
      </c>
      <c r="D312" s="27" t="s">
        <v>464</v>
      </c>
      <c r="E312" s="27">
        <v>3</v>
      </c>
      <c r="F312" s="118">
        <v>9921</v>
      </c>
      <c r="G312" t="s">
        <v>19</v>
      </c>
      <c r="H312" t="s">
        <v>8</v>
      </c>
      <c r="I312" s="68">
        <v>6.6666666666666671E-3</v>
      </c>
      <c r="J312">
        <v>2.4363333333333332</v>
      </c>
      <c r="K312">
        <v>4.4000000000000004E-2</v>
      </c>
      <c r="L312" t="s">
        <v>515</v>
      </c>
      <c r="M312" s="140">
        <f t="shared" si="36"/>
        <v>0.05</v>
      </c>
      <c r="N312" s="140">
        <f t="shared" si="36"/>
        <v>2.4363333333333332</v>
      </c>
      <c r="O312" s="140">
        <f t="shared" si="36"/>
        <v>0.05</v>
      </c>
      <c r="P312" s="140" t="str">
        <f t="shared" si="27"/>
        <v>NULL</v>
      </c>
      <c r="Q312" s="161" t="s">
        <v>515</v>
      </c>
      <c r="R312" s="125">
        <v>87.555000000000007</v>
      </c>
      <c r="S312">
        <v>58.534999999999997</v>
      </c>
      <c r="T312">
        <v>2.9843293678524301</v>
      </c>
      <c r="U312">
        <v>1.39792450520302</v>
      </c>
      <c r="V312" s="118" t="s">
        <v>515</v>
      </c>
      <c r="W312" t="s">
        <v>515</v>
      </c>
      <c r="X312" t="s">
        <v>515</v>
      </c>
      <c r="Y312">
        <f t="shared" si="33"/>
        <v>6</v>
      </c>
      <c r="Z312">
        <f t="shared" si="34"/>
        <v>12</v>
      </c>
      <c r="AA312">
        <f t="shared" si="35"/>
        <v>2024</v>
      </c>
      <c r="AB312" s="118" t="b">
        <v>0</v>
      </c>
      <c r="AC312" s="19">
        <v>45455</v>
      </c>
      <c r="AD312" s="19" t="s">
        <v>515</v>
      </c>
      <c r="AE312" t="s">
        <v>515</v>
      </c>
      <c r="AF312" s="19">
        <v>45455</v>
      </c>
      <c r="AG312" t="s">
        <v>515</v>
      </c>
      <c r="AH312" t="s">
        <v>515</v>
      </c>
      <c r="AI312" s="118">
        <v>740.8</v>
      </c>
      <c r="AJ312" s="118">
        <v>466.8</v>
      </c>
      <c r="AK312" s="118">
        <v>478.2</v>
      </c>
      <c r="AL312" s="118">
        <v>311</v>
      </c>
      <c r="AM312" s="118">
        <v>0.23</v>
      </c>
      <c r="AN312" s="118">
        <v>479.4</v>
      </c>
      <c r="AO312" s="118">
        <v>0.72499999999999998</v>
      </c>
      <c r="AP312" s="118">
        <v>0.67900000000000005</v>
      </c>
      <c r="AQ312" s="118">
        <v>1.028</v>
      </c>
      <c r="AR312" s="118">
        <v>187.5</v>
      </c>
      <c r="AS312" s="118">
        <v>15.84</v>
      </c>
      <c r="AT312" s="118">
        <v>191.4</v>
      </c>
      <c r="AU312" s="118">
        <v>-85.870393300000003</v>
      </c>
      <c r="AV312" s="118">
        <v>40.6708827</v>
      </c>
      <c r="AW312" s="118">
        <v>227.1</v>
      </c>
      <c r="AX312" s="118">
        <v>90.8</v>
      </c>
      <c r="AY312" s="118">
        <v>8.39</v>
      </c>
      <c r="AZ312" s="118">
        <v>-116.4</v>
      </c>
      <c r="BA312" s="118">
        <v>12.1</v>
      </c>
      <c r="BB312" s="118">
        <v>0</v>
      </c>
      <c r="BC312" s="118">
        <v>23.741</v>
      </c>
      <c r="BD312" s="118">
        <v>12.67</v>
      </c>
      <c r="BE312" s="118">
        <v>0</v>
      </c>
      <c r="BF312" t="s">
        <v>515</v>
      </c>
      <c r="BG312" t="s">
        <v>515</v>
      </c>
      <c r="BH312" s="118">
        <v>219.26599999999999</v>
      </c>
      <c r="BI312" s="118">
        <v>300.67200000000003</v>
      </c>
      <c r="BJ312" s="118">
        <v>431.80700000000002</v>
      </c>
      <c r="BK312" s="118">
        <v>469.65100000000001</v>
      </c>
      <c r="BL312" s="118">
        <v>420.69499999999999</v>
      </c>
      <c r="BM312" s="118">
        <v>373.14400000000001</v>
      </c>
      <c r="BN312" s="118">
        <v>500.63499999999999</v>
      </c>
      <c r="BO312" s="118">
        <v>401.79500000000002</v>
      </c>
    </row>
    <row r="313" spans="1:67" x14ac:dyDescent="0.25">
      <c r="A313" s="25">
        <v>10312</v>
      </c>
      <c r="B313" t="s">
        <v>337</v>
      </c>
      <c r="C313" t="s">
        <v>337</v>
      </c>
      <c r="D313" s="27" t="s">
        <v>465</v>
      </c>
      <c r="E313" s="27">
        <v>4</v>
      </c>
      <c r="F313" s="118">
        <v>10891</v>
      </c>
      <c r="G313" t="s">
        <v>19</v>
      </c>
      <c r="H313" t="s">
        <v>8</v>
      </c>
      <c r="I313" s="68">
        <v>2.2166666666666668E-2</v>
      </c>
      <c r="J313">
        <v>3.0116666666666667</v>
      </c>
      <c r="K313">
        <v>2.3333333333333331E-2</v>
      </c>
      <c r="L313" t="s">
        <v>515</v>
      </c>
      <c r="M313" s="140">
        <f t="shared" si="36"/>
        <v>0.05</v>
      </c>
      <c r="N313" s="140">
        <f t="shared" si="36"/>
        <v>3.0116666666666667</v>
      </c>
      <c r="O313" s="140">
        <f t="shared" si="36"/>
        <v>0.05</v>
      </c>
      <c r="P313" s="140" t="str">
        <f t="shared" si="27"/>
        <v>NULL</v>
      </c>
      <c r="Q313" s="161" t="s">
        <v>515</v>
      </c>
      <c r="R313" s="125">
        <v>42.006666666666668</v>
      </c>
      <c r="S313">
        <v>11.333333333333334</v>
      </c>
      <c r="T313">
        <v>2.7015609233969888</v>
      </c>
      <c r="U313">
        <v>1.7623399306264029</v>
      </c>
      <c r="V313" s="118" t="s">
        <v>515</v>
      </c>
      <c r="W313" t="s">
        <v>515</v>
      </c>
      <c r="X313" t="s">
        <v>515</v>
      </c>
      <c r="Y313">
        <f t="shared" si="33"/>
        <v>6</v>
      </c>
      <c r="Z313">
        <f t="shared" si="34"/>
        <v>12</v>
      </c>
      <c r="AA313">
        <f t="shared" si="35"/>
        <v>2024</v>
      </c>
      <c r="AB313" s="118" t="b">
        <v>0</v>
      </c>
      <c r="AC313" s="19">
        <v>45455</v>
      </c>
      <c r="AD313" s="19" t="s">
        <v>515</v>
      </c>
      <c r="AE313" t="s">
        <v>515</v>
      </c>
      <c r="AF313" s="19">
        <v>45455</v>
      </c>
      <c r="AG313" t="s">
        <v>515</v>
      </c>
      <c r="AH313" t="s">
        <v>515</v>
      </c>
      <c r="AI313" s="118">
        <v>740.7</v>
      </c>
      <c r="AJ313" s="118">
        <v>529.20000000000005</v>
      </c>
      <c r="AK313" s="118">
        <v>550.20000000000005</v>
      </c>
      <c r="AL313" s="118">
        <v>358</v>
      </c>
      <c r="AM313" s="118">
        <v>0.27</v>
      </c>
      <c r="AN313" s="118">
        <v>552.29999999999995</v>
      </c>
      <c r="AO313" s="118">
        <v>0.52700000000000002</v>
      </c>
      <c r="AP313" s="118">
        <v>0.97899999999999998</v>
      </c>
      <c r="AQ313" s="118">
        <v>0.747</v>
      </c>
      <c r="AR313" s="118">
        <v>88.6</v>
      </c>
      <c r="AS313" s="118">
        <v>7.59</v>
      </c>
      <c r="AT313" s="118">
        <v>90.5</v>
      </c>
      <c r="AU313" s="118">
        <v>-85.866574819999997</v>
      </c>
      <c r="AV313" s="118">
        <v>40.663138060000001</v>
      </c>
      <c r="AW313" s="118">
        <v>227.1</v>
      </c>
      <c r="AX313" s="118">
        <v>114.7</v>
      </c>
      <c r="AY313" s="118">
        <v>7.82</v>
      </c>
      <c r="AZ313" s="118">
        <v>-82.1</v>
      </c>
      <c r="BA313" s="118">
        <v>12.1</v>
      </c>
      <c r="BB313" s="118">
        <v>0</v>
      </c>
      <c r="BC313" s="118">
        <v>22.986999999999998</v>
      </c>
      <c r="BD313" s="118">
        <v>11.39</v>
      </c>
      <c r="BE313" s="118">
        <v>0</v>
      </c>
      <c r="BF313" t="s">
        <v>515</v>
      </c>
      <c r="BG313" t="s">
        <v>515</v>
      </c>
      <c r="BH313" s="118">
        <v>177.934</v>
      </c>
      <c r="BI313" s="118">
        <v>240.86500000000001</v>
      </c>
      <c r="BJ313" s="118">
        <v>361.12099999999998</v>
      </c>
      <c r="BK313" s="118">
        <v>379.15300000000002</v>
      </c>
      <c r="BL313" s="118">
        <v>350.78300000000002</v>
      </c>
      <c r="BM313" s="118">
        <v>299.18900000000002</v>
      </c>
      <c r="BN313" s="118">
        <v>431.37</v>
      </c>
      <c r="BO313" s="118">
        <v>365.31099999999998</v>
      </c>
    </row>
    <row r="314" spans="1:67" x14ac:dyDescent="0.25">
      <c r="A314" s="25">
        <v>10313</v>
      </c>
      <c r="B314" t="s">
        <v>338</v>
      </c>
      <c r="C314" t="s">
        <v>338</v>
      </c>
      <c r="D314" s="27" t="s">
        <v>466</v>
      </c>
      <c r="E314" s="27">
        <v>5</v>
      </c>
      <c r="F314" s="118">
        <v>12821</v>
      </c>
      <c r="G314" t="s">
        <v>19</v>
      </c>
      <c r="H314" t="s">
        <v>8</v>
      </c>
      <c r="I314">
        <v>1.0200000000000001E-2</v>
      </c>
      <c r="J314">
        <v>2.5129999999999999</v>
      </c>
      <c r="K314">
        <v>3.5999999999999997E-2</v>
      </c>
      <c r="L314" t="s">
        <v>515</v>
      </c>
      <c r="M314" s="140">
        <f t="shared" si="36"/>
        <v>0.05</v>
      </c>
      <c r="N314" s="140">
        <f t="shared" si="36"/>
        <v>2.5129999999999999</v>
      </c>
      <c r="O314" s="140">
        <f t="shared" si="36"/>
        <v>0.05</v>
      </c>
      <c r="P314" s="140" t="str">
        <f t="shared" si="27"/>
        <v>NULL</v>
      </c>
      <c r="Q314" s="161" t="s">
        <v>515</v>
      </c>
      <c r="R314" s="125">
        <v>71.33</v>
      </c>
      <c r="S314">
        <v>4.4799999999999995</v>
      </c>
      <c r="T314">
        <v>2.9791314185058226</v>
      </c>
      <c r="U314">
        <v>1.2346244984016868</v>
      </c>
      <c r="V314" s="118" t="s">
        <v>515</v>
      </c>
      <c r="W314" t="s">
        <v>515</v>
      </c>
      <c r="X314" t="s">
        <v>515</v>
      </c>
      <c r="Y314">
        <f t="shared" si="33"/>
        <v>6</v>
      </c>
      <c r="Z314">
        <f t="shared" si="34"/>
        <v>12</v>
      </c>
      <c r="AA314">
        <f t="shared" si="35"/>
        <v>2024</v>
      </c>
      <c r="AB314" s="118" t="b">
        <v>0</v>
      </c>
      <c r="AC314" s="19">
        <v>45455</v>
      </c>
      <c r="AD314" s="19" t="s">
        <v>515</v>
      </c>
      <c r="AE314" t="s">
        <v>515</v>
      </c>
      <c r="AF314" s="19">
        <v>45455</v>
      </c>
      <c r="AG314" t="s">
        <v>515</v>
      </c>
      <c r="AH314" t="s">
        <v>515</v>
      </c>
      <c r="AI314" s="118">
        <v>740.5</v>
      </c>
      <c r="AJ314" s="118">
        <v>515</v>
      </c>
      <c r="AK314" s="118">
        <v>521.6</v>
      </c>
      <c r="AL314" s="118">
        <v>339</v>
      </c>
      <c r="AM314" s="118">
        <v>0.25</v>
      </c>
      <c r="AN314" s="118">
        <v>522.29999999999995</v>
      </c>
      <c r="AO314" s="118">
        <v>0.78</v>
      </c>
      <c r="AP314" s="118">
        <v>0.80600000000000005</v>
      </c>
      <c r="AQ314" s="118">
        <v>1.1060000000000001</v>
      </c>
      <c r="AR314" s="118">
        <v>173.2</v>
      </c>
      <c r="AS314" s="118">
        <v>14.47</v>
      </c>
      <c r="AT314" s="118">
        <v>176.9</v>
      </c>
      <c r="AU314" s="118">
        <v>-85.847674220000002</v>
      </c>
      <c r="AV314" s="118">
        <v>40.668509559999997</v>
      </c>
      <c r="AW314" s="118">
        <v>224.1</v>
      </c>
      <c r="AX314" s="118">
        <v>75.400000000000006</v>
      </c>
      <c r="AY314" s="118">
        <v>8.17</v>
      </c>
      <c r="AZ314" s="118">
        <v>-103.7</v>
      </c>
      <c r="BA314" s="118">
        <v>12.1</v>
      </c>
      <c r="BB314" s="118">
        <v>0</v>
      </c>
      <c r="BC314" s="118">
        <v>24.338000000000001</v>
      </c>
      <c r="BD314" s="118">
        <v>13.47</v>
      </c>
      <c r="BE314" s="118">
        <v>0</v>
      </c>
      <c r="BF314" t="s">
        <v>515</v>
      </c>
      <c r="BG314" t="s">
        <v>515</v>
      </c>
      <c r="BH314" s="118">
        <v>196.03</v>
      </c>
      <c r="BI314" s="118">
        <v>297.02600000000001</v>
      </c>
      <c r="BJ314" s="118">
        <v>437.03899999999999</v>
      </c>
      <c r="BK314" s="118">
        <v>478.58499999999998</v>
      </c>
      <c r="BL314" s="118">
        <v>442.28300000000002</v>
      </c>
      <c r="BM314" s="118">
        <v>381.73099999999999</v>
      </c>
      <c r="BN314" s="118">
        <v>457.13200000000001</v>
      </c>
      <c r="BO314" s="118">
        <v>400.04199999999997</v>
      </c>
    </row>
    <row r="315" spans="1:67" x14ac:dyDescent="0.25">
      <c r="A315" s="25">
        <v>10314</v>
      </c>
      <c r="B315" t="s">
        <v>339</v>
      </c>
      <c r="C315" t="s">
        <v>339</v>
      </c>
      <c r="D315" s="27" t="s">
        <v>467</v>
      </c>
      <c r="E315" s="27">
        <v>6</v>
      </c>
      <c r="F315" s="118">
        <v>14351</v>
      </c>
      <c r="G315" t="s">
        <v>19</v>
      </c>
      <c r="H315" t="s">
        <v>8</v>
      </c>
      <c r="I315">
        <v>1.6400000000000001E-2</v>
      </c>
      <c r="J315">
        <v>2.335</v>
      </c>
      <c r="K315">
        <v>1.7999999999999999E-2</v>
      </c>
      <c r="L315" t="s">
        <v>515</v>
      </c>
      <c r="M315" s="140">
        <f t="shared" si="36"/>
        <v>0.05</v>
      </c>
      <c r="N315" s="140">
        <f t="shared" si="36"/>
        <v>2.335</v>
      </c>
      <c r="O315" s="140">
        <f t="shared" si="36"/>
        <v>0.05</v>
      </c>
      <c r="P315" s="140" t="str">
        <f t="shared" si="27"/>
        <v>NULL</v>
      </c>
      <c r="Q315" s="161" t="s">
        <v>515</v>
      </c>
      <c r="R315" s="125">
        <v>40.770000000000003</v>
      </c>
      <c r="S315">
        <v>34.32</v>
      </c>
      <c r="T315">
        <v>3.251503964268049</v>
      </c>
      <c r="U315">
        <v>1.2226541522138341</v>
      </c>
      <c r="V315" s="118" t="s">
        <v>515</v>
      </c>
      <c r="W315" t="s">
        <v>515</v>
      </c>
      <c r="X315" t="s">
        <v>515</v>
      </c>
      <c r="Y315">
        <f t="shared" si="33"/>
        <v>6</v>
      </c>
      <c r="Z315">
        <f t="shared" si="34"/>
        <v>12</v>
      </c>
      <c r="AA315">
        <f t="shared" si="35"/>
        <v>2024</v>
      </c>
      <c r="AB315" s="118" t="b">
        <v>0</v>
      </c>
      <c r="AC315" s="19">
        <v>45455</v>
      </c>
      <c r="AD315" s="19" t="s">
        <v>515</v>
      </c>
      <c r="AE315" t="s">
        <v>515</v>
      </c>
      <c r="AF315" s="19">
        <v>45455</v>
      </c>
      <c r="AG315" t="s">
        <v>515</v>
      </c>
      <c r="AH315" t="s">
        <v>515</v>
      </c>
      <c r="AI315" s="118">
        <v>740.3</v>
      </c>
      <c r="AJ315" s="118">
        <v>508</v>
      </c>
      <c r="AK315" s="118">
        <v>506.8</v>
      </c>
      <c r="AL315" s="118">
        <v>329</v>
      </c>
      <c r="AM315" s="118">
        <v>0.24</v>
      </c>
      <c r="AN315" s="118">
        <v>506.6</v>
      </c>
      <c r="AO315" s="118">
        <v>0.68400000000000005</v>
      </c>
      <c r="AP315" s="118">
        <v>0.65400000000000003</v>
      </c>
      <c r="AQ315" s="118">
        <v>0.97</v>
      </c>
      <c r="AR315" s="118">
        <v>215.9</v>
      </c>
      <c r="AS315" s="118">
        <v>17.78</v>
      </c>
      <c r="AT315" s="118">
        <v>220.5</v>
      </c>
      <c r="AU315" s="118">
        <v>-85.831847109999998</v>
      </c>
      <c r="AV315" s="118">
        <v>40.67382929</v>
      </c>
      <c r="AW315" s="118">
        <v>223.8</v>
      </c>
      <c r="AX315" s="118">
        <v>99.8</v>
      </c>
      <c r="AY315" s="118">
        <v>8.33</v>
      </c>
      <c r="AZ315" s="118">
        <v>-113.5</v>
      </c>
      <c r="BA315" s="118">
        <v>12.1</v>
      </c>
      <c r="BB315" s="118">
        <v>0</v>
      </c>
      <c r="BC315" s="118">
        <v>25.13</v>
      </c>
      <c r="BD315" s="118">
        <v>10.82</v>
      </c>
      <c r="BE315" s="118">
        <v>0</v>
      </c>
      <c r="BF315" t="s">
        <v>515</v>
      </c>
      <c r="BG315" t="s">
        <v>515</v>
      </c>
      <c r="BH315" s="118">
        <v>209.33799999999999</v>
      </c>
      <c r="BI315" s="118">
        <v>290.846</v>
      </c>
      <c r="BJ315" s="118">
        <v>426.08</v>
      </c>
      <c r="BK315" s="118">
        <v>453.29199999999997</v>
      </c>
      <c r="BL315" s="118">
        <v>400.59300000000002</v>
      </c>
      <c r="BM315" s="118">
        <v>354.20499999999998</v>
      </c>
      <c r="BN315" s="118">
        <v>405.86099999999999</v>
      </c>
      <c r="BO315" s="118">
        <v>404.54199999999997</v>
      </c>
    </row>
    <row r="316" spans="1:67" x14ac:dyDescent="0.25">
      <c r="A316" s="25">
        <v>10315</v>
      </c>
      <c r="B316" t="s">
        <v>340</v>
      </c>
      <c r="C316" t="s">
        <v>340</v>
      </c>
      <c r="D316" s="27" t="s">
        <v>468</v>
      </c>
      <c r="E316" s="27">
        <v>7</v>
      </c>
      <c r="F316" s="118">
        <v>6411</v>
      </c>
      <c r="G316" t="s">
        <v>19</v>
      </c>
      <c r="H316" t="s">
        <v>8</v>
      </c>
      <c r="I316">
        <v>-6.7999999999999996E-3</v>
      </c>
      <c r="J316">
        <v>1.7130000000000001</v>
      </c>
      <c r="K316">
        <v>0.04</v>
      </c>
      <c r="L316" t="s">
        <v>515</v>
      </c>
      <c r="M316" s="140">
        <f t="shared" si="36"/>
        <v>0.05</v>
      </c>
      <c r="N316" s="140">
        <f t="shared" si="36"/>
        <v>1.7130000000000001</v>
      </c>
      <c r="O316" s="140">
        <f t="shared" si="36"/>
        <v>0.05</v>
      </c>
      <c r="P316" s="140" t="str">
        <f t="shared" si="27"/>
        <v>NULL</v>
      </c>
      <c r="Q316" s="161" t="s">
        <v>515</v>
      </c>
      <c r="R316" s="125">
        <v>61.83</v>
      </c>
      <c r="S316">
        <v>5.3</v>
      </c>
      <c r="T316">
        <v>2.9063601276533193</v>
      </c>
      <c r="U316">
        <v>0.9546816295994015</v>
      </c>
      <c r="V316" s="118" t="s">
        <v>515</v>
      </c>
      <c r="W316" t="s">
        <v>515</v>
      </c>
      <c r="X316" t="s">
        <v>515</v>
      </c>
      <c r="Y316">
        <f t="shared" si="33"/>
        <v>6</v>
      </c>
      <c r="Z316">
        <f t="shared" si="34"/>
        <v>12</v>
      </c>
      <c r="AA316">
        <f t="shared" si="35"/>
        <v>2024</v>
      </c>
      <c r="AB316" s="118" t="b">
        <v>0</v>
      </c>
      <c r="AC316" s="19">
        <v>45455</v>
      </c>
      <c r="AD316" s="19" t="s">
        <v>515</v>
      </c>
      <c r="AE316" t="s">
        <v>515</v>
      </c>
      <c r="AF316" s="19">
        <v>45455</v>
      </c>
      <c r="AG316" t="s">
        <v>515</v>
      </c>
      <c r="AH316" t="s">
        <v>515</v>
      </c>
      <c r="AI316" s="118">
        <v>742</v>
      </c>
      <c r="AJ316" s="118">
        <v>439.3</v>
      </c>
      <c r="AK316" s="118">
        <v>455.3</v>
      </c>
      <c r="AL316" s="118">
        <v>296</v>
      </c>
      <c r="AM316" s="118">
        <v>0.22</v>
      </c>
      <c r="AN316" s="118">
        <v>456.9</v>
      </c>
      <c r="AO316" s="118">
        <v>0.749</v>
      </c>
      <c r="AP316" s="118">
        <v>0.76700000000000002</v>
      </c>
      <c r="AQ316" s="118">
        <v>1.0620000000000001</v>
      </c>
      <c r="AR316" s="118">
        <v>146.1</v>
      </c>
      <c r="AS316" s="118">
        <v>12.48</v>
      </c>
      <c r="AT316" s="118">
        <v>149.1</v>
      </c>
      <c r="AU316" s="118">
        <v>-85.895519590000006</v>
      </c>
      <c r="AV316" s="118">
        <v>40.68853842</v>
      </c>
      <c r="AW316" s="118">
        <v>211.7</v>
      </c>
      <c r="AX316" s="118">
        <v>138.69999999999999</v>
      </c>
      <c r="AY316" s="118">
        <v>8.3000000000000007</v>
      </c>
      <c r="AZ316" s="118">
        <v>-110.7</v>
      </c>
      <c r="BA316" s="118">
        <v>12.1</v>
      </c>
      <c r="BB316" s="118">
        <v>0</v>
      </c>
      <c r="BC316" s="118">
        <v>23.155999999999999</v>
      </c>
      <c r="BD316" s="118">
        <v>10.66</v>
      </c>
      <c r="BE316" s="118">
        <v>0</v>
      </c>
      <c r="BF316" t="s">
        <v>515</v>
      </c>
      <c r="BG316" t="s">
        <v>515</v>
      </c>
      <c r="BH316" s="118">
        <v>196.32599999999999</v>
      </c>
      <c r="BI316" s="118">
        <v>275.49200000000002</v>
      </c>
      <c r="BJ316" s="118">
        <v>406.375</v>
      </c>
      <c r="BK316" s="118">
        <v>470.673</v>
      </c>
      <c r="BL316" s="118">
        <v>385.88400000000001</v>
      </c>
      <c r="BM316" s="118">
        <v>349.34500000000003</v>
      </c>
      <c r="BN316" s="118">
        <v>400.233</v>
      </c>
      <c r="BO316" s="118">
        <v>326.65600000000001</v>
      </c>
    </row>
    <row r="317" spans="1:67" x14ac:dyDescent="0.25">
      <c r="A317" s="25">
        <v>10316</v>
      </c>
      <c r="B317" t="s">
        <v>341</v>
      </c>
      <c r="C317" t="s">
        <v>341</v>
      </c>
      <c r="D317" s="27" t="s">
        <v>469</v>
      </c>
      <c r="E317" s="27">
        <v>8</v>
      </c>
      <c r="F317" s="118">
        <v>5401</v>
      </c>
      <c r="G317" t="s">
        <v>19</v>
      </c>
      <c r="H317" t="s">
        <v>8</v>
      </c>
      <c r="I317" s="68">
        <v>2.463333333333333E-2</v>
      </c>
      <c r="J317">
        <v>2.6583333333333332</v>
      </c>
      <c r="K317">
        <v>6.4000000000000001E-2</v>
      </c>
      <c r="L317" t="s">
        <v>515</v>
      </c>
      <c r="M317" s="140">
        <f t="shared" si="36"/>
        <v>0.05</v>
      </c>
      <c r="N317" s="140">
        <f t="shared" si="36"/>
        <v>2.6583333333333332</v>
      </c>
      <c r="O317" s="140">
        <f t="shared" si="36"/>
        <v>0.05</v>
      </c>
      <c r="P317" s="140" t="str">
        <f t="shared" si="27"/>
        <v>NULL</v>
      </c>
      <c r="Q317" s="161" t="s">
        <v>515</v>
      </c>
      <c r="R317" s="125">
        <v>38.685000000000002</v>
      </c>
      <c r="S317">
        <v>26.08</v>
      </c>
      <c r="T317">
        <v>3.0269525524946106</v>
      </c>
      <c r="U317">
        <v>1.5025970210161192</v>
      </c>
      <c r="V317" s="118" t="s">
        <v>515</v>
      </c>
      <c r="W317" t="s">
        <v>515</v>
      </c>
      <c r="X317" t="s">
        <v>515</v>
      </c>
      <c r="Y317">
        <f t="shared" si="33"/>
        <v>6</v>
      </c>
      <c r="Z317">
        <f t="shared" si="34"/>
        <v>12</v>
      </c>
      <c r="AA317">
        <f t="shared" si="35"/>
        <v>2024</v>
      </c>
      <c r="AB317" s="118" t="b">
        <v>0</v>
      </c>
      <c r="AC317" s="19">
        <v>45455</v>
      </c>
      <c r="AD317" s="19" t="s">
        <v>515</v>
      </c>
      <c r="AE317" t="s">
        <v>515</v>
      </c>
      <c r="AF317" s="19">
        <v>45455</v>
      </c>
      <c r="AG317" t="s">
        <v>515</v>
      </c>
      <c r="AH317" t="s">
        <v>515</v>
      </c>
      <c r="AI317" s="118">
        <v>741.7</v>
      </c>
      <c r="AJ317" s="118">
        <v>441.2</v>
      </c>
      <c r="AK317" s="118">
        <v>460.2</v>
      </c>
      <c r="AL317" s="118">
        <v>299</v>
      </c>
      <c r="AM317" s="118">
        <v>0.22</v>
      </c>
      <c r="AN317" s="118">
        <v>462.1</v>
      </c>
      <c r="AO317" s="118">
        <v>0.65500000000000003</v>
      </c>
      <c r="AP317" s="118">
        <v>0.621</v>
      </c>
      <c r="AQ317" s="118">
        <v>0.92900000000000005</v>
      </c>
      <c r="AR317" s="118">
        <v>130.30000000000001</v>
      </c>
      <c r="AS317" s="118">
        <v>11.2</v>
      </c>
      <c r="AT317" s="118">
        <v>133</v>
      </c>
      <c r="AU317" s="118">
        <v>-85.908480589999996</v>
      </c>
      <c r="AV317" s="118">
        <v>40.691867619999996</v>
      </c>
      <c r="AW317" s="118">
        <v>225.8</v>
      </c>
      <c r="AX317" s="118">
        <v>84.8</v>
      </c>
      <c r="AY317" s="118">
        <v>8.36</v>
      </c>
      <c r="AZ317" s="118">
        <v>-114.2</v>
      </c>
      <c r="BA317" s="118">
        <v>12.1</v>
      </c>
      <c r="BB317" s="118">
        <v>0</v>
      </c>
      <c r="BC317" s="118">
        <v>22.838999999999999</v>
      </c>
      <c r="BD317" s="118">
        <v>9.91</v>
      </c>
      <c r="BE317" s="118">
        <v>0</v>
      </c>
      <c r="BF317" t="s">
        <v>515</v>
      </c>
      <c r="BG317" t="s">
        <v>515</v>
      </c>
      <c r="BH317" s="118">
        <v>189.47800000000001</v>
      </c>
      <c r="BI317" s="118">
        <v>284.76499999999999</v>
      </c>
      <c r="BJ317" s="118">
        <v>404.34199999999998</v>
      </c>
      <c r="BK317" s="118">
        <v>471.09800000000001</v>
      </c>
      <c r="BL317" s="118">
        <v>391.89100000000002</v>
      </c>
      <c r="BM317" s="118">
        <v>352.83</v>
      </c>
      <c r="BN317" s="118">
        <v>422.89600000000002</v>
      </c>
      <c r="BO317" s="118">
        <v>346.33300000000003</v>
      </c>
    </row>
    <row r="318" spans="1:67" x14ac:dyDescent="0.25">
      <c r="A318" s="25">
        <v>10317</v>
      </c>
      <c r="B318" t="s">
        <v>342</v>
      </c>
      <c r="C318" t="s">
        <v>342</v>
      </c>
      <c r="D318" s="27" t="s">
        <v>470</v>
      </c>
      <c r="E318" s="27">
        <v>9</v>
      </c>
      <c r="F318" s="118">
        <v>4381</v>
      </c>
      <c r="G318" t="s">
        <v>19</v>
      </c>
      <c r="H318" t="s">
        <v>8</v>
      </c>
      <c r="I318">
        <v>2.3099999999999999E-2</v>
      </c>
      <c r="J318">
        <v>2.427</v>
      </c>
      <c r="K318">
        <v>0.06</v>
      </c>
      <c r="L318" t="s">
        <v>515</v>
      </c>
      <c r="M318" s="140">
        <f t="shared" si="36"/>
        <v>0.05</v>
      </c>
      <c r="N318" s="140">
        <f t="shared" si="36"/>
        <v>2.427</v>
      </c>
      <c r="O318" s="140">
        <f t="shared" si="36"/>
        <v>0.05</v>
      </c>
      <c r="P318" s="140" t="str">
        <f t="shared" si="27"/>
        <v>NULL</v>
      </c>
      <c r="Q318" s="161" t="s">
        <v>515</v>
      </c>
      <c r="R318" s="125">
        <v>16.743333333333336</v>
      </c>
      <c r="S318">
        <v>8.1</v>
      </c>
      <c r="T318">
        <v>3.3097209969500514</v>
      </c>
      <c r="U318">
        <v>1.7431601713935931</v>
      </c>
      <c r="V318" s="118" t="s">
        <v>515</v>
      </c>
      <c r="W318" t="s">
        <v>515</v>
      </c>
      <c r="X318" t="s">
        <v>515</v>
      </c>
      <c r="Y318">
        <f t="shared" si="33"/>
        <v>6</v>
      </c>
      <c r="Z318">
        <f t="shared" si="34"/>
        <v>12</v>
      </c>
      <c r="AA318">
        <f t="shared" si="35"/>
        <v>2024</v>
      </c>
      <c r="AB318" s="118" t="b">
        <v>0</v>
      </c>
      <c r="AC318" s="19">
        <v>45455</v>
      </c>
      <c r="AD318" s="19" t="s">
        <v>515</v>
      </c>
      <c r="AE318" t="s">
        <v>515</v>
      </c>
      <c r="AF318" s="19">
        <v>45455</v>
      </c>
      <c r="AG318" t="s">
        <v>515</v>
      </c>
      <c r="AH318" t="s">
        <v>515</v>
      </c>
      <c r="AI318" s="118">
        <v>741.3</v>
      </c>
      <c r="AJ318" s="118">
        <v>433.1</v>
      </c>
      <c r="AK318" s="118">
        <v>456.8</v>
      </c>
      <c r="AL318" s="118">
        <v>297</v>
      </c>
      <c r="AM318" s="118">
        <v>0.22</v>
      </c>
      <c r="AN318" s="118">
        <v>459.2</v>
      </c>
      <c r="AO318" s="118">
        <v>0.76100000000000001</v>
      </c>
      <c r="AP318" s="118">
        <v>0.76100000000000001</v>
      </c>
      <c r="AQ318" s="118">
        <v>1.079</v>
      </c>
      <c r="AR318" s="118">
        <v>99.6</v>
      </c>
      <c r="AS318" s="118">
        <v>8.66</v>
      </c>
      <c r="AT318" s="118">
        <v>101.7</v>
      </c>
      <c r="AU318" s="118">
        <v>-85.929715139999999</v>
      </c>
      <c r="AV318" s="118">
        <v>40.704621889999999</v>
      </c>
      <c r="AW318" s="118">
        <v>228.2</v>
      </c>
      <c r="AX318" s="118">
        <v>33.4</v>
      </c>
      <c r="AY318" s="118">
        <v>8.15</v>
      </c>
      <c r="AZ318" s="118">
        <v>-101.9</v>
      </c>
      <c r="BA318" s="118">
        <v>12.1</v>
      </c>
      <c r="BB318" s="118">
        <v>0</v>
      </c>
      <c r="BC318" s="118">
        <v>22.277000000000001</v>
      </c>
      <c r="BD318" s="118">
        <v>6.95</v>
      </c>
      <c r="BE318" s="118">
        <v>0</v>
      </c>
      <c r="BF318" t="s">
        <v>515</v>
      </c>
      <c r="BG318" t="s">
        <v>515</v>
      </c>
      <c r="BH318" s="118">
        <v>197.376</v>
      </c>
      <c r="BI318" s="118">
        <v>270.86399999999998</v>
      </c>
      <c r="BJ318" s="118">
        <v>390.149</v>
      </c>
      <c r="BK318" s="118">
        <v>449.55900000000003</v>
      </c>
      <c r="BL318" s="118">
        <v>384.97300000000001</v>
      </c>
      <c r="BM318" s="118">
        <v>351.07600000000002</v>
      </c>
      <c r="BN318" s="118">
        <v>350.88</v>
      </c>
      <c r="BO318" s="118">
        <v>305.39699999999999</v>
      </c>
    </row>
    <row r="319" spans="1:67" x14ac:dyDescent="0.25">
      <c r="A319" s="25">
        <v>10318</v>
      </c>
      <c r="B319" t="s">
        <v>343</v>
      </c>
      <c r="C319" t="s">
        <v>343</v>
      </c>
      <c r="D319" s="27" t="s">
        <v>471</v>
      </c>
      <c r="E319" s="27">
        <v>10</v>
      </c>
      <c r="F319" s="118">
        <v>2851</v>
      </c>
      <c r="G319" t="s">
        <v>19</v>
      </c>
      <c r="H319" t="s">
        <v>8</v>
      </c>
      <c r="I319">
        <v>6.0000000000000001E-3</v>
      </c>
      <c r="J319">
        <v>2.351</v>
      </c>
      <c r="K319">
        <v>5.8999999999999997E-2</v>
      </c>
      <c r="L319" t="s">
        <v>515</v>
      </c>
      <c r="M319" s="140">
        <f t="shared" si="36"/>
        <v>0.05</v>
      </c>
      <c r="N319" s="140">
        <f t="shared" si="36"/>
        <v>2.351</v>
      </c>
      <c r="O319" s="140">
        <f t="shared" si="36"/>
        <v>0.05</v>
      </c>
      <c r="P319" s="140" t="str">
        <f t="shared" si="27"/>
        <v>NULL</v>
      </c>
      <c r="Q319" s="161" t="s">
        <v>515</v>
      </c>
      <c r="R319" s="125">
        <v>20.553333333333331</v>
      </c>
      <c r="S319">
        <v>27.79666666666667</v>
      </c>
      <c r="T319">
        <v>2.9578198261847324</v>
      </c>
      <c r="U319">
        <v>1.5434050193837994</v>
      </c>
      <c r="V319" s="118" t="s">
        <v>515</v>
      </c>
      <c r="W319" t="s">
        <v>515</v>
      </c>
      <c r="X319" t="s">
        <v>515</v>
      </c>
      <c r="Y319">
        <f t="shared" si="33"/>
        <v>6</v>
      </c>
      <c r="Z319">
        <f t="shared" si="34"/>
        <v>12</v>
      </c>
      <c r="AA319">
        <f t="shared" si="35"/>
        <v>2024</v>
      </c>
      <c r="AB319" s="118" t="b">
        <v>0</v>
      </c>
      <c r="AC319" s="19">
        <v>45455</v>
      </c>
      <c r="AD319" s="19" t="s">
        <v>515</v>
      </c>
      <c r="AE319" t="s">
        <v>515</v>
      </c>
      <c r="AF319" s="19">
        <v>45455</v>
      </c>
      <c r="AG319" t="s">
        <v>515</v>
      </c>
      <c r="AH319" t="s">
        <v>515</v>
      </c>
      <c r="AI319" s="118">
        <v>741.5</v>
      </c>
      <c r="AJ319" s="118">
        <v>443.5</v>
      </c>
      <c r="AK319" s="118">
        <v>463.3</v>
      </c>
      <c r="AL319" s="118">
        <v>301</v>
      </c>
      <c r="AM319" s="118">
        <v>0.22</v>
      </c>
      <c r="AN319" s="118">
        <v>465.2</v>
      </c>
      <c r="AO319" s="118">
        <v>0.59499999999999997</v>
      </c>
      <c r="AP319" s="118">
        <v>0.58299999999999996</v>
      </c>
      <c r="AQ319" s="118">
        <v>0.84399999999999997</v>
      </c>
      <c r="AR319" s="118">
        <v>117.1</v>
      </c>
      <c r="AS319" s="118">
        <v>10.08</v>
      </c>
      <c r="AT319" s="118">
        <v>119.6</v>
      </c>
      <c r="AU319" s="118">
        <v>-85.920466590000004</v>
      </c>
      <c r="AV319" s="118">
        <v>40.693373649999998</v>
      </c>
      <c r="AW319" s="118">
        <v>225.3</v>
      </c>
      <c r="AX319" s="118">
        <v>95.2</v>
      </c>
      <c r="AY319" s="118">
        <v>8.24</v>
      </c>
      <c r="AZ319" s="118">
        <v>-107</v>
      </c>
      <c r="BA319" s="118">
        <v>12.1</v>
      </c>
      <c r="BB319" s="118">
        <v>0</v>
      </c>
      <c r="BC319" s="118">
        <v>22.77</v>
      </c>
      <c r="BD319" s="118">
        <v>7.71</v>
      </c>
      <c r="BE319" s="118">
        <v>0</v>
      </c>
      <c r="BF319" t="s">
        <v>515</v>
      </c>
      <c r="BG319" t="s">
        <v>515</v>
      </c>
      <c r="BH319" s="118">
        <v>207.352</v>
      </c>
      <c r="BI319" s="118">
        <v>285.62700000000001</v>
      </c>
      <c r="BJ319" s="118">
        <v>412.27800000000002</v>
      </c>
      <c r="BK319" s="118">
        <v>472.49900000000002</v>
      </c>
      <c r="BL319" s="118">
        <v>396.11500000000001</v>
      </c>
      <c r="BM319" s="118">
        <v>363.15199999999999</v>
      </c>
      <c r="BN319" s="118">
        <v>387.09</v>
      </c>
      <c r="BO319" s="118">
        <v>366.209</v>
      </c>
    </row>
    <row r="320" spans="1:67" x14ac:dyDescent="0.25">
      <c r="A320" s="25">
        <v>10319</v>
      </c>
      <c r="B320" t="s">
        <v>344</v>
      </c>
      <c r="C320" t="s">
        <v>344</v>
      </c>
      <c r="D320" s="27" t="s">
        <v>472</v>
      </c>
      <c r="E320" s="27">
        <v>11</v>
      </c>
      <c r="F320" s="118">
        <v>1731</v>
      </c>
      <c r="G320" t="s">
        <v>19</v>
      </c>
      <c r="H320" t="s">
        <v>8</v>
      </c>
      <c r="I320">
        <v>-7.1000000000000004E-3</v>
      </c>
      <c r="J320">
        <v>2.38</v>
      </c>
      <c r="K320">
        <v>6.9000000000000006E-2</v>
      </c>
      <c r="L320" t="s">
        <v>515</v>
      </c>
      <c r="M320" s="140">
        <f t="shared" si="36"/>
        <v>0.05</v>
      </c>
      <c r="N320" s="140">
        <f t="shared" si="36"/>
        <v>2.38</v>
      </c>
      <c r="O320" s="140">
        <f t="shared" si="36"/>
        <v>0.05</v>
      </c>
      <c r="P320" s="140" t="str">
        <f t="shared" si="27"/>
        <v>NULL</v>
      </c>
      <c r="Q320" s="161" t="s">
        <v>515</v>
      </c>
      <c r="R320" s="125">
        <v>48.42</v>
      </c>
      <c r="S320">
        <v>37.995000000000005</v>
      </c>
      <c r="T320">
        <v>3.085169585176613</v>
      </c>
      <c r="U320">
        <v>1.566053458477862</v>
      </c>
      <c r="V320" s="118" t="s">
        <v>515</v>
      </c>
      <c r="W320" t="s">
        <v>515</v>
      </c>
      <c r="X320" t="s">
        <v>515</v>
      </c>
      <c r="Y320">
        <f t="shared" si="33"/>
        <v>6</v>
      </c>
      <c r="Z320">
        <f t="shared" si="34"/>
        <v>12</v>
      </c>
      <c r="AA320">
        <f t="shared" si="35"/>
        <v>2024</v>
      </c>
      <c r="AB320" s="118" t="b">
        <v>0</v>
      </c>
      <c r="AC320" s="19">
        <v>45455</v>
      </c>
      <c r="AD320" s="19" t="s">
        <v>515</v>
      </c>
      <c r="AE320" t="s">
        <v>515</v>
      </c>
      <c r="AF320" s="19">
        <v>45455</v>
      </c>
      <c r="AG320" t="s">
        <v>515</v>
      </c>
      <c r="AH320" t="s">
        <v>515</v>
      </c>
      <c r="AI320" s="118">
        <v>741.3</v>
      </c>
      <c r="AJ320" s="118">
        <v>432.8</v>
      </c>
      <c r="AK320" s="118">
        <v>449</v>
      </c>
      <c r="AL320" s="118">
        <v>292</v>
      </c>
      <c r="AM320" s="118">
        <v>0.22</v>
      </c>
      <c r="AN320" s="118">
        <v>450.6</v>
      </c>
      <c r="AO320" s="118">
        <v>0.83299999999999996</v>
      </c>
      <c r="AP320" s="118">
        <v>0.83199999999999996</v>
      </c>
      <c r="AQ320" s="118">
        <v>1.1819999999999999</v>
      </c>
      <c r="AR320" s="118">
        <v>131.80000000000001</v>
      </c>
      <c r="AS320" s="118">
        <v>11.27</v>
      </c>
      <c r="AT320" s="118">
        <v>134.6</v>
      </c>
      <c r="AU320" s="118">
        <v>-85.938395619999994</v>
      </c>
      <c r="AV320" s="118">
        <v>40.71107155</v>
      </c>
      <c r="AW320" s="118">
        <v>226.4</v>
      </c>
      <c r="AX320" s="118">
        <v>87.7</v>
      </c>
      <c r="AY320" s="118">
        <v>8.32</v>
      </c>
      <c r="AZ320" s="118">
        <v>-112.2</v>
      </c>
      <c r="BA320" s="118">
        <v>12.1</v>
      </c>
      <c r="BB320" s="118">
        <v>0</v>
      </c>
      <c r="BC320" s="118">
        <v>23.109000000000002</v>
      </c>
      <c r="BD320" s="118">
        <v>9.1199999999999992</v>
      </c>
      <c r="BE320" s="118">
        <v>0</v>
      </c>
      <c r="BF320" t="s">
        <v>515</v>
      </c>
      <c r="BG320" t="s">
        <v>515</v>
      </c>
      <c r="BH320" s="118">
        <v>195.47399999999999</v>
      </c>
      <c r="BI320" s="118">
        <v>281.11799999999999</v>
      </c>
      <c r="BJ320" s="118">
        <v>399.63200000000001</v>
      </c>
      <c r="BK320" s="118">
        <v>462.21499999999997</v>
      </c>
      <c r="BL320" s="118">
        <v>370.37400000000002</v>
      </c>
      <c r="BM320" s="118">
        <v>341.142</v>
      </c>
      <c r="BN320" s="118">
        <v>400.07100000000003</v>
      </c>
      <c r="BO320" s="118">
        <v>323.428</v>
      </c>
    </row>
    <row r="321" spans="1:67" x14ac:dyDescent="0.25">
      <c r="A321" s="25">
        <v>10320</v>
      </c>
      <c r="B321" t="s">
        <v>345</v>
      </c>
      <c r="C321" t="s">
        <v>345</v>
      </c>
      <c r="D321" s="27" t="s">
        <v>473</v>
      </c>
      <c r="E321" s="27">
        <v>12</v>
      </c>
      <c r="F321" s="118">
        <v>661</v>
      </c>
      <c r="G321" t="s">
        <v>19</v>
      </c>
      <c r="H321" t="s">
        <v>8</v>
      </c>
      <c r="I321">
        <v>-1.1999999999999999E-3</v>
      </c>
      <c r="J321">
        <v>2.2639999999999998</v>
      </c>
      <c r="K321">
        <v>6.8000000000000005E-2</v>
      </c>
      <c r="L321" t="s">
        <v>515</v>
      </c>
      <c r="M321" s="140">
        <f t="shared" si="36"/>
        <v>0.05</v>
      </c>
      <c r="N321" s="140">
        <f t="shared" si="36"/>
        <v>2.2639999999999998</v>
      </c>
      <c r="O321" s="140">
        <f t="shared" si="36"/>
        <v>0.05</v>
      </c>
      <c r="P321" s="140" t="str">
        <f t="shared" si="27"/>
        <v>NULL</v>
      </c>
      <c r="Q321" s="161" t="s">
        <v>515</v>
      </c>
      <c r="R321" s="125">
        <v>37.89</v>
      </c>
      <c r="S321">
        <v>39.58</v>
      </c>
      <c r="T321">
        <v>3.3388295132910524</v>
      </c>
      <c r="U321">
        <v>1.6019644970414202</v>
      </c>
      <c r="V321" s="118" t="s">
        <v>515</v>
      </c>
      <c r="W321" t="s">
        <v>515</v>
      </c>
      <c r="X321" t="s">
        <v>515</v>
      </c>
      <c r="Y321">
        <f t="shared" si="33"/>
        <v>6</v>
      </c>
      <c r="Z321">
        <f t="shared" si="34"/>
        <v>12</v>
      </c>
      <c r="AA321">
        <f t="shared" si="35"/>
        <v>2024</v>
      </c>
      <c r="AB321" s="118" t="b">
        <v>0</v>
      </c>
      <c r="AC321" s="19">
        <v>45455</v>
      </c>
      <c r="AD321" s="19" t="s">
        <v>515</v>
      </c>
      <c r="AE321" t="s">
        <v>515</v>
      </c>
      <c r="AF321" s="19">
        <v>45455</v>
      </c>
      <c r="AG321" t="s">
        <v>515</v>
      </c>
      <c r="AH321" t="s">
        <v>515</v>
      </c>
      <c r="AI321" s="118">
        <v>741.2</v>
      </c>
      <c r="AJ321" s="118">
        <v>429.8</v>
      </c>
      <c r="AK321" s="118">
        <v>443.1</v>
      </c>
      <c r="AL321" s="118">
        <v>288</v>
      </c>
      <c r="AM321" s="118">
        <v>0.21</v>
      </c>
      <c r="AN321" s="118">
        <v>444.5</v>
      </c>
      <c r="AO321" s="118">
        <v>0.74199999999999999</v>
      </c>
      <c r="AP321" s="118">
        <v>0.76500000000000001</v>
      </c>
      <c r="AQ321" s="118">
        <v>1.0529999999999999</v>
      </c>
      <c r="AR321" s="118">
        <v>146.1</v>
      </c>
      <c r="AS321" s="118">
        <v>12.42</v>
      </c>
      <c r="AT321" s="118">
        <v>149.19999999999999</v>
      </c>
      <c r="AU321" s="118">
        <v>-85.95084713</v>
      </c>
      <c r="AV321" s="118">
        <v>40.711626320000001</v>
      </c>
      <c r="AW321" s="118">
        <v>226.7</v>
      </c>
      <c r="AX321" s="118">
        <v>99</v>
      </c>
      <c r="AY321" s="118">
        <v>8.42</v>
      </c>
      <c r="AZ321" s="118">
        <v>-117.9</v>
      </c>
      <c r="BA321" s="118">
        <v>12.1</v>
      </c>
      <c r="BB321" s="118">
        <v>0</v>
      </c>
      <c r="BC321" s="118">
        <v>23.42</v>
      </c>
      <c r="BD321" s="118">
        <v>9</v>
      </c>
      <c r="BE321" s="118">
        <v>0</v>
      </c>
      <c r="BF321" t="s">
        <v>515</v>
      </c>
      <c r="BG321" t="s">
        <v>515</v>
      </c>
      <c r="BH321" s="118">
        <v>197.63499999999999</v>
      </c>
      <c r="BI321" s="118">
        <v>275.97500000000002</v>
      </c>
      <c r="BJ321" s="118">
        <v>396.01499999999999</v>
      </c>
      <c r="BK321" s="118">
        <v>461.95100000000002</v>
      </c>
      <c r="BL321" s="118">
        <v>376.846</v>
      </c>
      <c r="BM321" s="118">
        <v>342.74</v>
      </c>
      <c r="BN321" s="118">
        <v>399.78</v>
      </c>
      <c r="BO321" s="118">
        <v>319.15899999999999</v>
      </c>
    </row>
    <row r="322" spans="1:67" x14ac:dyDescent="0.25">
      <c r="A322" s="25">
        <v>10321</v>
      </c>
      <c r="B322" t="s">
        <v>346</v>
      </c>
      <c r="C322" t="s">
        <v>346</v>
      </c>
      <c r="D322" s="27" t="s">
        <v>474</v>
      </c>
      <c r="E322" s="27">
        <v>13</v>
      </c>
      <c r="F322" s="118">
        <v>13553</v>
      </c>
      <c r="G322" t="s">
        <v>19</v>
      </c>
      <c r="H322" t="s">
        <v>8</v>
      </c>
      <c r="I322">
        <v>4.3E-3</v>
      </c>
      <c r="J322">
        <v>2.3530000000000002</v>
      </c>
      <c r="K322">
        <v>2.5000000000000001E-2</v>
      </c>
      <c r="L322" t="s">
        <v>515</v>
      </c>
      <c r="M322" s="140">
        <f t="shared" ref="M322:O337" si="37">IF(I322&lt;0.1,0.05,I322)</f>
        <v>0.05</v>
      </c>
      <c r="N322" s="140">
        <f t="shared" si="37"/>
        <v>2.3530000000000002</v>
      </c>
      <c r="O322" s="140">
        <f t="shared" si="37"/>
        <v>0.05</v>
      </c>
      <c r="P322" s="140" t="str">
        <f t="shared" ref="P322:P385" si="38">IF(L322&lt;0.1,0.05,L322)</f>
        <v>NULL</v>
      </c>
      <c r="Q322" s="161" t="s">
        <v>515</v>
      </c>
      <c r="R322" s="125" t="s">
        <v>515</v>
      </c>
      <c r="S322" t="s">
        <v>515</v>
      </c>
      <c r="T322">
        <v>3.0602194283128976</v>
      </c>
      <c r="U322">
        <v>1.5717665782493371</v>
      </c>
      <c r="V322" s="118" t="s">
        <v>515</v>
      </c>
      <c r="W322" t="s">
        <v>515</v>
      </c>
      <c r="X322" t="s">
        <v>515</v>
      </c>
      <c r="Y322">
        <f t="shared" si="33"/>
        <v>6</v>
      </c>
      <c r="Z322">
        <f t="shared" si="34"/>
        <v>12</v>
      </c>
      <c r="AA322">
        <f t="shared" si="35"/>
        <v>2024</v>
      </c>
      <c r="AB322" s="118" t="b">
        <v>0</v>
      </c>
      <c r="AC322" s="19">
        <v>45455</v>
      </c>
      <c r="AD322" s="19" t="s">
        <v>515</v>
      </c>
      <c r="AE322" t="s">
        <v>515</v>
      </c>
      <c r="AF322" s="19">
        <v>45455</v>
      </c>
      <c r="AG322" t="s">
        <v>515</v>
      </c>
      <c r="AH322" t="s">
        <v>515</v>
      </c>
      <c r="AI322" s="118" t="s">
        <v>515</v>
      </c>
      <c r="AJ322" s="118" t="s">
        <v>515</v>
      </c>
      <c r="AK322" s="118" t="s">
        <v>515</v>
      </c>
      <c r="AL322" s="118" t="s">
        <v>515</v>
      </c>
      <c r="AM322" s="118" t="s">
        <v>515</v>
      </c>
      <c r="AN322" s="118" t="s">
        <v>515</v>
      </c>
      <c r="AO322" s="118" t="s">
        <v>515</v>
      </c>
      <c r="AP322" s="118" t="s">
        <v>515</v>
      </c>
      <c r="AQ322" s="118" t="s">
        <v>515</v>
      </c>
      <c r="AR322" s="118" t="s">
        <v>515</v>
      </c>
      <c r="AS322" s="118" t="s">
        <v>515</v>
      </c>
      <c r="AT322" s="118" t="s">
        <v>515</v>
      </c>
      <c r="AU322" s="118" t="s">
        <v>515</v>
      </c>
      <c r="AV322" s="118" t="s">
        <v>515</v>
      </c>
      <c r="AW322" s="118" t="s">
        <v>515</v>
      </c>
      <c r="AX322" s="118" t="s">
        <v>515</v>
      </c>
      <c r="AY322" s="118" t="s">
        <v>515</v>
      </c>
      <c r="AZ322" s="118" t="s">
        <v>515</v>
      </c>
      <c r="BA322" s="118" t="s">
        <v>515</v>
      </c>
      <c r="BB322" s="118" t="s">
        <v>515</v>
      </c>
      <c r="BC322" s="118" t="s">
        <v>515</v>
      </c>
      <c r="BD322" s="118" t="s">
        <v>515</v>
      </c>
      <c r="BE322" s="118" t="s">
        <v>515</v>
      </c>
      <c r="BF322" t="s">
        <v>515</v>
      </c>
      <c r="BG322" t="s">
        <v>515</v>
      </c>
      <c r="BH322" s="118">
        <v>202.89500000000001</v>
      </c>
      <c r="BI322" s="118">
        <v>291.48599999999999</v>
      </c>
      <c r="BJ322" s="118">
        <v>432.08300000000003</v>
      </c>
      <c r="BK322" s="118">
        <v>478.09100000000001</v>
      </c>
      <c r="BL322" s="118">
        <v>427.91500000000002</v>
      </c>
      <c r="BM322" s="118">
        <v>365.62400000000002</v>
      </c>
      <c r="BN322" s="118">
        <v>439.44499999999999</v>
      </c>
      <c r="BO322" s="118">
        <v>397.91800000000001</v>
      </c>
    </row>
    <row r="323" spans="1:67" x14ac:dyDescent="0.25">
      <c r="A323" s="25">
        <v>10322</v>
      </c>
      <c r="B323" t="s">
        <v>347</v>
      </c>
      <c r="C323" t="s">
        <v>347</v>
      </c>
      <c r="D323" s="27" t="s">
        <v>503</v>
      </c>
      <c r="E323" s="27">
        <v>1</v>
      </c>
      <c r="F323" s="118">
        <v>6865</v>
      </c>
      <c r="G323" t="s">
        <v>20</v>
      </c>
      <c r="H323" t="s">
        <v>8</v>
      </c>
      <c r="I323">
        <v>2.5999999999999999E-3</v>
      </c>
      <c r="J323">
        <v>2.2789999999999999</v>
      </c>
      <c r="K323">
        <v>0.154</v>
      </c>
      <c r="L323" s="108">
        <v>1.1842105263157895E-2</v>
      </c>
      <c r="M323" s="140">
        <f t="shared" si="37"/>
        <v>0.05</v>
      </c>
      <c r="N323" s="140">
        <f t="shared" si="37"/>
        <v>2.2789999999999999</v>
      </c>
      <c r="O323" s="140">
        <f t="shared" si="37"/>
        <v>0.154</v>
      </c>
      <c r="P323" s="140">
        <f t="shared" si="38"/>
        <v>0.05</v>
      </c>
      <c r="Q323" s="165">
        <v>0.15</v>
      </c>
      <c r="R323" s="125">
        <v>33.06666666666667</v>
      </c>
      <c r="S323">
        <v>45.78</v>
      </c>
      <c r="T323" s="27">
        <v>2.4728177331931072</v>
      </c>
      <c r="U323" s="27">
        <v>1.4402379736275062</v>
      </c>
      <c r="V323" s="27" t="s">
        <v>515</v>
      </c>
      <c r="W323" t="s">
        <v>515</v>
      </c>
      <c r="X323" t="s">
        <v>515</v>
      </c>
      <c r="Y323">
        <f t="shared" si="33"/>
        <v>6</v>
      </c>
      <c r="Z323">
        <f t="shared" si="34"/>
        <v>13</v>
      </c>
      <c r="AA323">
        <f t="shared" si="35"/>
        <v>2024</v>
      </c>
      <c r="AB323" s="118" t="b">
        <v>0</v>
      </c>
      <c r="AC323" s="19">
        <v>45456</v>
      </c>
      <c r="AD323" s="19" t="s">
        <v>515</v>
      </c>
      <c r="AE323" t="s">
        <v>515</v>
      </c>
      <c r="AF323" s="19">
        <v>45456</v>
      </c>
      <c r="AG323" t="s">
        <v>515</v>
      </c>
      <c r="AH323" t="s">
        <v>515</v>
      </c>
      <c r="AI323" s="118">
        <v>740.5</v>
      </c>
      <c r="AJ323" s="118">
        <v>604.29999999999995</v>
      </c>
      <c r="AK323" s="118">
        <v>609</v>
      </c>
      <c r="AL323" s="118">
        <v>396</v>
      </c>
      <c r="AM323" s="118">
        <v>0.28999999999999998</v>
      </c>
      <c r="AN323" s="118">
        <v>609.5</v>
      </c>
      <c r="AO323" s="118">
        <v>0.49199999999999999</v>
      </c>
      <c r="AP323" s="118">
        <v>0.50600000000000001</v>
      </c>
      <c r="AQ323" s="118">
        <v>0.69799999999999995</v>
      </c>
      <c r="AR323" s="118">
        <v>196.9</v>
      </c>
      <c r="AS323" s="118">
        <v>16.37</v>
      </c>
      <c r="AT323" s="118">
        <v>201.7</v>
      </c>
      <c r="AU323" s="118">
        <v>-86.807147639999997</v>
      </c>
      <c r="AV323" s="118">
        <v>40.835024840000003</v>
      </c>
      <c r="AW323" s="118">
        <v>195.6</v>
      </c>
      <c r="AX323" s="118">
        <v>125</v>
      </c>
      <c r="AY323" s="118">
        <v>8.08</v>
      </c>
      <c r="AZ323" s="118">
        <v>-83.3</v>
      </c>
      <c r="BA323" s="118">
        <v>11.9</v>
      </c>
      <c r="BB323" s="118">
        <v>0</v>
      </c>
      <c r="BC323" s="118">
        <v>24.594000000000001</v>
      </c>
      <c r="BD323" s="118">
        <v>9.24</v>
      </c>
      <c r="BE323" s="118">
        <v>0</v>
      </c>
      <c r="BF323" t="s">
        <v>515</v>
      </c>
      <c r="BG323" t="s">
        <v>515</v>
      </c>
      <c r="BH323" s="190">
        <v>168.483</v>
      </c>
      <c r="BI323" s="190">
        <v>272.15499999999997</v>
      </c>
      <c r="BJ323" s="190">
        <v>377.65499999999997</v>
      </c>
      <c r="BK323" s="190">
        <v>455.666</v>
      </c>
      <c r="BL323" s="190">
        <v>398.94900000000001</v>
      </c>
      <c r="BM323" s="190">
        <v>332.40899999999999</v>
      </c>
      <c r="BN323" s="190">
        <v>398.71</v>
      </c>
      <c r="BO323" s="190">
        <v>470.53699999999998</v>
      </c>
    </row>
    <row r="324" spans="1:67" x14ac:dyDescent="0.25">
      <c r="A324" s="25">
        <v>10323</v>
      </c>
      <c r="B324" t="s">
        <v>348</v>
      </c>
      <c r="C324" t="s">
        <v>348</v>
      </c>
      <c r="D324" s="27" t="s">
        <v>504</v>
      </c>
      <c r="E324" s="27">
        <v>5</v>
      </c>
      <c r="F324" s="118">
        <v>6425</v>
      </c>
      <c r="G324" t="s">
        <v>20</v>
      </c>
      <c r="H324" t="s">
        <v>8</v>
      </c>
      <c r="I324">
        <v>-1.4E-3</v>
      </c>
      <c r="J324">
        <v>2.58</v>
      </c>
      <c r="K324">
        <v>0.252</v>
      </c>
      <c r="L324" s="108">
        <v>5.2631578947368429E-3</v>
      </c>
      <c r="M324" s="140">
        <f t="shared" si="37"/>
        <v>0.05</v>
      </c>
      <c r="N324" s="140">
        <f t="shared" si="37"/>
        <v>2.58</v>
      </c>
      <c r="O324" s="140">
        <f t="shared" si="37"/>
        <v>0.252</v>
      </c>
      <c r="P324" s="140">
        <f t="shared" si="38"/>
        <v>0.05</v>
      </c>
      <c r="Q324" s="161">
        <v>0.20767000509777853</v>
      </c>
      <c r="R324" s="125">
        <v>48.196666666666665</v>
      </c>
      <c r="S324">
        <v>15.299999999999999</v>
      </c>
      <c r="T324" s="27">
        <v>2.7038872259525926</v>
      </c>
      <c r="U324" s="27">
        <v>1.6492898049215483</v>
      </c>
      <c r="V324" s="27" t="s">
        <v>515</v>
      </c>
      <c r="W324" t="s">
        <v>515</v>
      </c>
      <c r="X324" t="s">
        <v>515</v>
      </c>
      <c r="Y324">
        <f t="shared" si="33"/>
        <v>6</v>
      </c>
      <c r="Z324">
        <f t="shared" si="34"/>
        <v>13</v>
      </c>
      <c r="AA324">
        <f t="shared" si="35"/>
        <v>2024</v>
      </c>
      <c r="AB324" s="118" t="b">
        <v>0</v>
      </c>
      <c r="AC324" s="19">
        <v>45456</v>
      </c>
      <c r="AD324" s="19" t="s">
        <v>515</v>
      </c>
      <c r="AE324" t="s">
        <v>515</v>
      </c>
      <c r="AF324" s="19">
        <v>45456</v>
      </c>
      <c r="AG324" t="s">
        <v>515</v>
      </c>
      <c r="AH324" t="s">
        <v>515</v>
      </c>
      <c r="AI324" s="118">
        <v>740.8</v>
      </c>
      <c r="AJ324" s="118">
        <v>592.20000000000005</v>
      </c>
      <c r="AK324" s="118">
        <v>613</v>
      </c>
      <c r="AL324" s="118">
        <v>398</v>
      </c>
      <c r="AM324" s="118">
        <v>0.3</v>
      </c>
      <c r="AN324" s="118">
        <v>615.1</v>
      </c>
      <c r="AO324" s="118">
        <v>0.59</v>
      </c>
      <c r="AP324" s="118">
        <v>0.60599999999999998</v>
      </c>
      <c r="AQ324" s="118">
        <v>0.83699999999999997</v>
      </c>
      <c r="AR324" s="118">
        <v>159</v>
      </c>
      <c r="AS324" s="118">
        <v>13.56</v>
      </c>
      <c r="AT324" s="118">
        <v>162.9</v>
      </c>
      <c r="AU324" s="118">
        <v>-86.795836289999997</v>
      </c>
      <c r="AV324" s="118">
        <v>40.823874850000003</v>
      </c>
      <c r="AW324" s="118">
        <v>199</v>
      </c>
      <c r="AX324" s="118">
        <v>127.5</v>
      </c>
      <c r="AY324" s="118">
        <v>8.09</v>
      </c>
      <c r="AZ324" s="118">
        <v>-83.8</v>
      </c>
      <c r="BA324" s="118">
        <v>11.9</v>
      </c>
      <c r="BB324" s="118">
        <v>0</v>
      </c>
      <c r="BC324" s="118">
        <v>23.225000000000001</v>
      </c>
      <c r="BD324" s="118">
        <v>5.31</v>
      </c>
      <c r="BE324" s="118">
        <v>0</v>
      </c>
      <c r="BF324" t="s">
        <v>515</v>
      </c>
      <c r="BG324" t="s">
        <v>515</v>
      </c>
      <c r="BH324" s="190">
        <v>287.95499999999998</v>
      </c>
      <c r="BI324" s="190">
        <v>418.98399999999998</v>
      </c>
      <c r="BJ324" s="190">
        <v>510.88900000000001</v>
      </c>
      <c r="BK324" s="190">
        <v>576.97199999999998</v>
      </c>
      <c r="BL324" s="190">
        <v>517.68700000000001</v>
      </c>
      <c r="BM324" s="190">
        <v>492.89699999999999</v>
      </c>
      <c r="BN324" s="190">
        <v>501.60700000000003</v>
      </c>
      <c r="BO324" s="190">
        <v>642.83000000000004</v>
      </c>
    </row>
    <row r="325" spans="1:67" x14ac:dyDescent="0.25">
      <c r="A325" s="25">
        <v>10324</v>
      </c>
      <c r="B325" t="s">
        <v>349</v>
      </c>
      <c r="C325" t="s">
        <v>349</v>
      </c>
      <c r="D325" s="27" t="s">
        <v>483</v>
      </c>
      <c r="E325" s="27">
        <v>6</v>
      </c>
      <c r="F325" s="118">
        <v>8245</v>
      </c>
      <c r="G325" t="s">
        <v>20</v>
      </c>
      <c r="H325" t="s">
        <v>8</v>
      </c>
      <c r="I325">
        <v>-3.0000000000000001E-3</v>
      </c>
      <c r="J325">
        <v>3.7290000000000001</v>
      </c>
      <c r="K325">
        <v>0.25600000000000001</v>
      </c>
      <c r="L325" s="108">
        <v>-3.27653997378768E-3</v>
      </c>
      <c r="M325" s="140">
        <f t="shared" si="37"/>
        <v>0.05</v>
      </c>
      <c r="N325" s="140">
        <f t="shared" si="37"/>
        <v>3.7290000000000001</v>
      </c>
      <c r="O325" s="140">
        <f t="shared" si="37"/>
        <v>0.25600000000000001</v>
      </c>
      <c r="P325" s="140">
        <f t="shared" si="38"/>
        <v>0.05</v>
      </c>
      <c r="Q325" s="161">
        <v>0.15314518702982555</v>
      </c>
      <c r="R325" s="125">
        <v>0.69</v>
      </c>
      <c r="S325">
        <v>1.61</v>
      </c>
      <c r="T325" s="27">
        <v>2.668493649381118</v>
      </c>
      <c r="U325" s="27">
        <v>1.716485036408919</v>
      </c>
      <c r="V325" s="27" t="s">
        <v>515</v>
      </c>
      <c r="W325" t="s">
        <v>515</v>
      </c>
      <c r="X325" t="s">
        <v>515</v>
      </c>
      <c r="Y325">
        <f t="shared" si="33"/>
        <v>6</v>
      </c>
      <c r="Z325">
        <f t="shared" si="34"/>
        <v>13</v>
      </c>
      <c r="AA325">
        <f t="shared" si="35"/>
        <v>2024</v>
      </c>
      <c r="AB325" s="118" t="b">
        <v>0</v>
      </c>
      <c r="AC325" s="19">
        <v>45456</v>
      </c>
      <c r="AD325" s="19" t="s">
        <v>515</v>
      </c>
      <c r="AE325" t="s">
        <v>515</v>
      </c>
      <c r="AF325" s="19">
        <v>45456</v>
      </c>
      <c r="AG325" t="s">
        <v>515</v>
      </c>
      <c r="AH325" t="s">
        <v>515</v>
      </c>
      <c r="AI325" s="118">
        <v>740.9</v>
      </c>
      <c r="AJ325" s="118">
        <v>643.1</v>
      </c>
      <c r="AK325" s="118">
        <v>667.2</v>
      </c>
      <c r="AL325" s="118">
        <v>434</v>
      </c>
      <c r="AM325" s="118">
        <v>0.32</v>
      </c>
      <c r="AN325" s="118">
        <v>669.6</v>
      </c>
      <c r="AO325" s="118">
        <v>0.52800000000000002</v>
      </c>
      <c r="AP325" s="118">
        <v>0.52800000000000002</v>
      </c>
      <c r="AQ325" s="118">
        <v>0.749</v>
      </c>
      <c r="AR325" s="118">
        <v>102.6</v>
      </c>
      <c r="AS325" s="118">
        <v>8.76</v>
      </c>
      <c r="AT325" s="118">
        <v>105.1</v>
      </c>
      <c r="AU325" s="118">
        <v>-86.781764559999999</v>
      </c>
      <c r="AV325" s="118">
        <v>40.834882550000003</v>
      </c>
      <c r="AW325" s="118">
        <v>199.9</v>
      </c>
      <c r="AX325" s="118">
        <v>136.6</v>
      </c>
      <c r="AY325" s="118">
        <v>8.02</v>
      </c>
      <c r="AZ325" s="118">
        <v>-79.099999999999994</v>
      </c>
      <c r="BA325" s="118">
        <v>11.9</v>
      </c>
      <c r="BB325" s="118">
        <v>0</v>
      </c>
      <c r="BC325" s="118">
        <v>23.111999999999998</v>
      </c>
      <c r="BD325" s="118">
        <v>3.24</v>
      </c>
      <c r="BE325" s="118">
        <v>0</v>
      </c>
      <c r="BF325" t="s">
        <v>515</v>
      </c>
      <c r="BG325" t="s">
        <v>515</v>
      </c>
      <c r="BH325" s="190">
        <v>294.44600000000003</v>
      </c>
      <c r="BI325" s="190">
        <v>410.02800000000002</v>
      </c>
      <c r="BJ325" s="190">
        <v>463.17099999999999</v>
      </c>
      <c r="BK325" s="190">
        <v>504.30900000000003</v>
      </c>
      <c r="BL325" s="190">
        <v>482.34399999999999</v>
      </c>
      <c r="BM325" s="190">
        <v>489.68</v>
      </c>
      <c r="BN325" s="190">
        <v>444.24599999999998</v>
      </c>
      <c r="BO325" s="190">
        <v>636.678</v>
      </c>
    </row>
    <row r="326" spans="1:67" x14ac:dyDescent="0.25">
      <c r="A326" s="25">
        <v>10325</v>
      </c>
      <c r="B326" t="s">
        <v>350</v>
      </c>
      <c r="C326" t="s">
        <v>350</v>
      </c>
      <c r="D326" s="27" t="s">
        <v>484</v>
      </c>
      <c r="E326" s="27">
        <v>8</v>
      </c>
      <c r="F326" s="118">
        <v>5065</v>
      </c>
      <c r="G326" t="s">
        <v>20</v>
      </c>
      <c r="H326" t="s">
        <v>8</v>
      </c>
      <c r="I326">
        <v>1.9400000000000001E-2</v>
      </c>
      <c r="J326">
        <v>4.3680000000000003</v>
      </c>
      <c r="K326">
        <v>0.11799999999999999</v>
      </c>
      <c r="L326" s="108">
        <v>-1.146788990825688E-2</v>
      </c>
      <c r="M326" s="140">
        <f t="shared" si="37"/>
        <v>0.05</v>
      </c>
      <c r="N326" s="140">
        <f t="shared" si="37"/>
        <v>4.3680000000000003</v>
      </c>
      <c r="O326" s="140">
        <f t="shared" si="37"/>
        <v>0.11799999999999999</v>
      </c>
      <c r="P326" s="140">
        <f t="shared" si="38"/>
        <v>0.05</v>
      </c>
      <c r="Q326" s="161">
        <v>5.4058683499071079E-2</v>
      </c>
      <c r="R326" s="125">
        <v>4.1033333333333326</v>
      </c>
      <c r="S326">
        <v>2.3266666666666667</v>
      </c>
      <c r="T326" s="27">
        <v>2.1183763449559097</v>
      </c>
      <c r="U326" s="27">
        <v>2.4439289088172416</v>
      </c>
      <c r="V326" s="27" t="s">
        <v>515</v>
      </c>
      <c r="W326" t="s">
        <v>515</v>
      </c>
      <c r="X326" t="s">
        <v>515</v>
      </c>
      <c r="Y326">
        <f t="shared" si="33"/>
        <v>6</v>
      </c>
      <c r="Z326">
        <f t="shared" si="34"/>
        <v>13</v>
      </c>
      <c r="AA326">
        <f t="shared" si="35"/>
        <v>2024</v>
      </c>
      <c r="AB326" s="118" t="b">
        <v>0</v>
      </c>
      <c r="AC326" s="19">
        <v>45456</v>
      </c>
      <c r="AD326" s="19" t="s">
        <v>515</v>
      </c>
      <c r="AE326" t="s">
        <v>515</v>
      </c>
      <c r="AF326" s="19">
        <v>45456</v>
      </c>
      <c r="AG326" t="s">
        <v>515</v>
      </c>
      <c r="AH326" t="s">
        <v>515</v>
      </c>
      <c r="AI326" s="118">
        <v>741.1</v>
      </c>
      <c r="AJ326" s="118">
        <v>622</v>
      </c>
      <c r="AK326" s="118">
        <v>645.4</v>
      </c>
      <c r="AL326" s="118">
        <v>420</v>
      </c>
      <c r="AM326" s="118">
        <v>0.31</v>
      </c>
      <c r="AN326" s="118">
        <v>647.79999999999995</v>
      </c>
      <c r="AO326" s="118">
        <v>0.51600000000000001</v>
      </c>
      <c r="AP326" s="118">
        <v>0.497</v>
      </c>
      <c r="AQ326" s="118">
        <v>0.73199999999999998</v>
      </c>
      <c r="AR326" s="118">
        <v>99.4</v>
      </c>
      <c r="AS326" s="118">
        <v>8.5</v>
      </c>
      <c r="AT326" s="118">
        <v>101.9</v>
      </c>
      <c r="AU326" s="118">
        <v>-86.794299730000006</v>
      </c>
      <c r="AV326" s="118">
        <v>40.81108966</v>
      </c>
      <c r="AW326" s="118">
        <v>201.3</v>
      </c>
      <c r="AX326" s="118">
        <v>141</v>
      </c>
      <c r="AY326" s="118">
        <v>7.92</v>
      </c>
      <c r="AZ326" s="118">
        <v>-73.599999999999994</v>
      </c>
      <c r="BA326" s="118">
        <v>12</v>
      </c>
      <c r="BB326" s="118">
        <v>0</v>
      </c>
      <c r="BC326" s="118">
        <v>23.1</v>
      </c>
      <c r="BD326" s="118">
        <v>4.9800000000000004</v>
      </c>
      <c r="BE326" s="118">
        <v>0</v>
      </c>
      <c r="BF326" t="s">
        <v>515</v>
      </c>
      <c r="BG326" t="s">
        <v>515</v>
      </c>
      <c r="BH326" s="190">
        <v>289.01299999999998</v>
      </c>
      <c r="BI326" s="190">
        <v>420.99700000000001</v>
      </c>
      <c r="BJ326" s="190">
        <v>483.27800000000002</v>
      </c>
      <c r="BK326" s="190">
        <v>535.97900000000004</v>
      </c>
      <c r="BL326" s="190">
        <v>510.08800000000002</v>
      </c>
      <c r="BM326" s="190">
        <v>510.20499999999998</v>
      </c>
      <c r="BN326" s="190">
        <v>451.40600000000001</v>
      </c>
      <c r="BO326" s="190">
        <v>552.40700000000004</v>
      </c>
    </row>
    <row r="327" spans="1:67" x14ac:dyDescent="0.25">
      <c r="A327" s="25">
        <v>10326</v>
      </c>
      <c r="B327" t="s">
        <v>351</v>
      </c>
      <c r="C327" t="s">
        <v>351</v>
      </c>
      <c r="D327" s="27" t="s">
        <v>485</v>
      </c>
      <c r="E327" s="27">
        <v>9</v>
      </c>
      <c r="F327" s="118">
        <v>3385</v>
      </c>
      <c r="G327" t="s">
        <v>20</v>
      </c>
      <c r="H327" t="s">
        <v>8</v>
      </c>
      <c r="I327">
        <v>1.6899999999999998E-2</v>
      </c>
      <c r="J327">
        <v>2.7010000000000001</v>
      </c>
      <c r="K327">
        <v>0.22</v>
      </c>
      <c r="L327" s="108">
        <v>1.6382699868938397E-2</v>
      </c>
      <c r="M327" s="140">
        <f t="shared" si="37"/>
        <v>0.05</v>
      </c>
      <c r="N327" s="140">
        <f t="shared" si="37"/>
        <v>2.7010000000000001</v>
      </c>
      <c r="O327" s="140">
        <f t="shared" si="37"/>
        <v>0.22</v>
      </c>
      <c r="P327" s="140">
        <f t="shared" si="38"/>
        <v>0.05</v>
      </c>
      <c r="Q327" s="161">
        <v>5.0012078729207099E-2</v>
      </c>
      <c r="R327" s="125">
        <v>26.650000000000002</v>
      </c>
      <c r="S327">
        <v>32.946666666666665</v>
      </c>
      <c r="T327" s="27">
        <v>2.786809319634334</v>
      </c>
      <c r="U327" s="27">
        <v>1.1530943868211143</v>
      </c>
      <c r="V327" s="27" t="s">
        <v>515</v>
      </c>
      <c r="W327" t="s">
        <v>515</v>
      </c>
      <c r="X327" t="s">
        <v>515</v>
      </c>
      <c r="Y327">
        <f t="shared" si="33"/>
        <v>6</v>
      </c>
      <c r="Z327">
        <f t="shared" si="34"/>
        <v>13</v>
      </c>
      <c r="AA327">
        <f t="shared" si="35"/>
        <v>2024</v>
      </c>
      <c r="AB327" s="118" t="b">
        <v>0</v>
      </c>
      <c r="AC327" s="19">
        <v>45456</v>
      </c>
      <c r="AD327" s="19" t="s">
        <v>515</v>
      </c>
      <c r="AE327" t="s">
        <v>515</v>
      </c>
      <c r="AF327" s="19">
        <v>45456</v>
      </c>
      <c r="AG327" t="s">
        <v>515</v>
      </c>
      <c r="AH327" t="s">
        <v>515</v>
      </c>
      <c r="AI327" s="118">
        <v>740.7</v>
      </c>
      <c r="AJ327" s="118">
        <v>609.9</v>
      </c>
      <c r="AK327" s="118">
        <v>632.9</v>
      </c>
      <c r="AL327" s="118">
        <v>411</v>
      </c>
      <c r="AM327" s="118">
        <v>0.31</v>
      </c>
      <c r="AN327" s="118">
        <v>635.20000000000005</v>
      </c>
      <c r="AO327" s="118">
        <v>0.56799999999999995</v>
      </c>
      <c r="AP327" s="118">
        <v>0.55400000000000005</v>
      </c>
      <c r="AQ327" s="118">
        <v>0.80600000000000005</v>
      </c>
      <c r="AR327" s="118">
        <v>153.30000000000001</v>
      </c>
      <c r="AS327" s="118">
        <v>13.11</v>
      </c>
      <c r="AT327" s="118">
        <v>157.1</v>
      </c>
      <c r="AU327" s="118">
        <v>-86.774830640000005</v>
      </c>
      <c r="AV327" s="118">
        <v>40.804242270000003</v>
      </c>
      <c r="AW327" s="118">
        <v>200.9</v>
      </c>
      <c r="AX327" s="118">
        <v>123.3</v>
      </c>
      <c r="AY327" s="118">
        <v>8.11</v>
      </c>
      <c r="AZ327" s="118">
        <v>-84.4</v>
      </c>
      <c r="BA327" s="118">
        <v>11.9</v>
      </c>
      <c r="BB327" s="118">
        <v>0</v>
      </c>
      <c r="BC327" s="118">
        <v>23.096</v>
      </c>
      <c r="BD327" s="118">
        <v>5.92</v>
      </c>
      <c r="BE327" s="118">
        <v>0</v>
      </c>
      <c r="BF327" t="s">
        <v>515</v>
      </c>
      <c r="BG327" t="s">
        <v>515</v>
      </c>
      <c r="BH327" s="190">
        <v>299.28899999999999</v>
      </c>
      <c r="BI327" s="190">
        <v>402.33</v>
      </c>
      <c r="BJ327" s="190">
        <v>487.93700000000001</v>
      </c>
      <c r="BK327" s="190">
        <v>538.04200000000003</v>
      </c>
      <c r="BL327" s="190">
        <v>532.86699999999996</v>
      </c>
      <c r="BM327" s="190">
        <v>490.98200000000003</v>
      </c>
      <c r="BN327" s="190">
        <v>551.95899999999995</v>
      </c>
      <c r="BO327" s="190">
        <v>725.90899999999999</v>
      </c>
    </row>
    <row r="328" spans="1:67" x14ac:dyDescent="0.25">
      <c r="A328" s="25">
        <v>10327</v>
      </c>
      <c r="B328" t="s">
        <v>352</v>
      </c>
      <c r="C328" t="s">
        <v>352</v>
      </c>
      <c r="D328" s="27" t="s">
        <v>486</v>
      </c>
      <c r="E328" s="27">
        <v>10</v>
      </c>
      <c r="F328" s="118">
        <v>2205</v>
      </c>
      <c r="G328" t="s">
        <v>20</v>
      </c>
      <c r="H328" t="s">
        <v>8</v>
      </c>
      <c r="I328">
        <v>4.7899999999999998E-2</v>
      </c>
      <c r="J328">
        <v>2.5390000000000001</v>
      </c>
      <c r="K328">
        <v>0.16500000000000001</v>
      </c>
      <c r="L328" s="108">
        <v>-8.1913499344692005E-3</v>
      </c>
      <c r="M328" s="140">
        <f t="shared" si="37"/>
        <v>0.05</v>
      </c>
      <c r="N328" s="140">
        <f t="shared" si="37"/>
        <v>2.5390000000000001</v>
      </c>
      <c r="O328" s="140">
        <f t="shared" si="37"/>
        <v>0.16500000000000001</v>
      </c>
      <c r="P328" s="140">
        <f t="shared" si="38"/>
        <v>0.05</v>
      </c>
      <c r="Q328" s="161">
        <v>0.12300938510614215</v>
      </c>
      <c r="R328" s="125">
        <v>17.513333333333332</v>
      </c>
      <c r="S328">
        <v>18.7</v>
      </c>
      <c r="T328" s="27">
        <v>2.5117506674217296</v>
      </c>
      <c r="U328" s="27">
        <v>1.4763579328954921</v>
      </c>
      <c r="V328" s="27" t="s">
        <v>515</v>
      </c>
      <c r="W328" t="s">
        <v>515</v>
      </c>
      <c r="X328" t="s">
        <v>515</v>
      </c>
      <c r="Y328">
        <f t="shared" si="33"/>
        <v>6</v>
      </c>
      <c r="Z328">
        <f t="shared" si="34"/>
        <v>13</v>
      </c>
      <c r="AA328">
        <f t="shared" si="35"/>
        <v>2024</v>
      </c>
      <c r="AB328" s="118" t="b">
        <v>0</v>
      </c>
      <c r="AC328" s="19">
        <v>45456</v>
      </c>
      <c r="AD328" s="19" t="s">
        <v>515</v>
      </c>
      <c r="AE328" t="s">
        <v>515</v>
      </c>
      <c r="AF328" s="19">
        <v>45456</v>
      </c>
      <c r="AG328" t="s">
        <v>515</v>
      </c>
      <c r="AH328" t="s">
        <v>515</v>
      </c>
      <c r="AI328" s="118">
        <v>740.5</v>
      </c>
      <c r="AJ328" s="118">
        <v>622.79999999999995</v>
      </c>
      <c r="AK328" s="118">
        <v>649</v>
      </c>
      <c r="AL328" s="118">
        <v>422</v>
      </c>
      <c r="AM328" s="118">
        <v>0.32</v>
      </c>
      <c r="AN328" s="118">
        <v>651.5</v>
      </c>
      <c r="AO328" s="118">
        <v>0.48599999999999999</v>
      </c>
      <c r="AP328" s="118">
        <v>0.48899999999999999</v>
      </c>
      <c r="AQ328" s="118">
        <v>0.68899999999999995</v>
      </c>
      <c r="AR328" s="118">
        <v>135.30000000000001</v>
      </c>
      <c r="AS328" s="118">
        <v>11.61</v>
      </c>
      <c r="AT328" s="118">
        <v>138.6</v>
      </c>
      <c r="AU328" s="118">
        <v>-86.774344880000001</v>
      </c>
      <c r="AV328" s="118">
        <v>40.794689409999997</v>
      </c>
      <c r="AW328" s="118">
        <v>201.1</v>
      </c>
      <c r="AX328" s="118">
        <v>129.5</v>
      </c>
      <c r="AY328" s="118">
        <v>8.16</v>
      </c>
      <c r="AZ328" s="118">
        <v>-87.7</v>
      </c>
      <c r="BA328" s="118">
        <v>12</v>
      </c>
      <c r="BB328" s="118">
        <v>0</v>
      </c>
      <c r="BC328" s="118">
        <v>22.89</v>
      </c>
      <c r="BD328" s="118">
        <v>4.8099999999999996</v>
      </c>
      <c r="BE328" s="118">
        <v>0</v>
      </c>
      <c r="BF328" t="s">
        <v>515</v>
      </c>
      <c r="BG328" t="s">
        <v>515</v>
      </c>
      <c r="BH328" s="190">
        <v>326.209</v>
      </c>
      <c r="BI328" s="190">
        <v>407.52699999999999</v>
      </c>
      <c r="BJ328" s="190">
        <v>462.06799999999998</v>
      </c>
      <c r="BK328" s="190">
        <v>526.91200000000003</v>
      </c>
      <c r="BL328" s="190">
        <v>516.46799999999996</v>
      </c>
      <c r="BM328" s="190">
        <v>488.22199999999998</v>
      </c>
      <c r="BN328" s="190">
        <v>490.06799999999998</v>
      </c>
      <c r="BO328" s="190">
        <v>581.46299999999997</v>
      </c>
    </row>
    <row r="329" spans="1:67" x14ac:dyDescent="0.25">
      <c r="A329" s="25">
        <v>10328</v>
      </c>
      <c r="B329" t="s">
        <v>353</v>
      </c>
      <c r="C329" t="s">
        <v>353</v>
      </c>
      <c r="D329" s="27" t="s">
        <v>487</v>
      </c>
      <c r="E329" s="27">
        <v>11</v>
      </c>
      <c r="F329" s="118">
        <v>1385</v>
      </c>
      <c r="G329" t="s">
        <v>20</v>
      </c>
      <c r="H329" t="s">
        <v>8</v>
      </c>
      <c r="I329">
        <v>2.0999999999999999E-3</v>
      </c>
      <c r="J329">
        <v>2.6720000000000002</v>
      </c>
      <c r="K329">
        <v>0.188</v>
      </c>
      <c r="L329" s="108">
        <v>-4.9148099606815196E-3</v>
      </c>
      <c r="M329" s="140">
        <f t="shared" si="37"/>
        <v>0.05</v>
      </c>
      <c r="N329" s="140">
        <f t="shared" si="37"/>
        <v>2.6720000000000002</v>
      </c>
      <c r="O329" s="140">
        <f t="shared" si="37"/>
        <v>0.188</v>
      </c>
      <c r="P329" s="140">
        <f t="shared" si="38"/>
        <v>0.05</v>
      </c>
      <c r="Q329" s="161">
        <v>0.44766430882449798</v>
      </c>
      <c r="R329" s="125">
        <v>44.85</v>
      </c>
      <c r="S329">
        <v>42.493333333333332</v>
      </c>
      <c r="T329" s="27">
        <v>2.9870358385243909</v>
      </c>
      <c r="U329" s="27">
        <v>1.8765025095905556</v>
      </c>
      <c r="V329" s="27" t="s">
        <v>515</v>
      </c>
      <c r="W329" t="s">
        <v>515</v>
      </c>
      <c r="X329" t="s">
        <v>515</v>
      </c>
      <c r="Y329">
        <f t="shared" si="33"/>
        <v>6</v>
      </c>
      <c r="Z329">
        <f t="shared" si="34"/>
        <v>13</v>
      </c>
      <c r="AA329">
        <f t="shared" si="35"/>
        <v>2024</v>
      </c>
      <c r="AB329" s="118" t="b">
        <v>0</v>
      </c>
      <c r="AC329" s="19">
        <v>45456</v>
      </c>
      <c r="AD329" s="19" t="s">
        <v>515</v>
      </c>
      <c r="AE329" t="s">
        <v>515</v>
      </c>
      <c r="AF329" s="19">
        <v>45456</v>
      </c>
      <c r="AG329" t="s">
        <v>515</v>
      </c>
      <c r="AH329" t="s">
        <v>515</v>
      </c>
      <c r="AI329" s="118">
        <v>741.3</v>
      </c>
      <c r="AJ329" s="118">
        <v>596.29999999999995</v>
      </c>
      <c r="AK329" s="118">
        <v>621</v>
      </c>
      <c r="AL329" s="118">
        <v>404</v>
      </c>
      <c r="AM329" s="118">
        <v>0.3</v>
      </c>
      <c r="AN329" s="118">
        <v>623.5</v>
      </c>
      <c r="AO329" s="118">
        <v>0.51900000000000002</v>
      </c>
      <c r="AP329" s="118">
        <v>0.496</v>
      </c>
      <c r="AQ329" s="118">
        <v>0.73599999999999999</v>
      </c>
      <c r="AR329" s="118">
        <v>177.8</v>
      </c>
      <c r="AS329" s="118">
        <v>15.25</v>
      </c>
      <c r="AT329" s="118">
        <v>182.2</v>
      </c>
      <c r="AU329" s="118">
        <v>-86.772130180000005</v>
      </c>
      <c r="AV329" s="118">
        <v>40.78862204</v>
      </c>
      <c r="AW329" s="118">
        <v>203.2</v>
      </c>
      <c r="AX329" s="118">
        <v>108.2</v>
      </c>
      <c r="AY329" s="118">
        <v>8.19</v>
      </c>
      <c r="AZ329" s="118">
        <v>-89.2</v>
      </c>
      <c r="BA329" s="118">
        <v>11.9</v>
      </c>
      <c r="BB329" s="118">
        <v>0</v>
      </c>
      <c r="BC329" s="118">
        <v>22.92</v>
      </c>
      <c r="BD329" s="118">
        <v>6.1</v>
      </c>
      <c r="BE329" s="118">
        <v>0</v>
      </c>
      <c r="BF329" t="s">
        <v>515</v>
      </c>
      <c r="BG329" t="s">
        <v>515</v>
      </c>
      <c r="BH329" s="190">
        <v>361.13</v>
      </c>
      <c r="BI329" s="190">
        <v>468.84300000000002</v>
      </c>
      <c r="BJ329" s="190">
        <v>553.65200000000004</v>
      </c>
      <c r="BK329" s="190">
        <v>620.76900000000001</v>
      </c>
      <c r="BL329" s="190">
        <v>611.28800000000001</v>
      </c>
      <c r="BM329" s="190">
        <v>560.35699999999997</v>
      </c>
      <c r="BN329" s="190">
        <v>597.79399999999998</v>
      </c>
      <c r="BO329" s="190">
        <v>679.19799999999998</v>
      </c>
    </row>
    <row r="330" spans="1:67" x14ac:dyDescent="0.25">
      <c r="A330" s="25">
        <v>10329</v>
      </c>
      <c r="B330" t="s">
        <v>354</v>
      </c>
      <c r="C330" t="s">
        <v>354</v>
      </c>
      <c r="D330" s="27" t="s">
        <v>488</v>
      </c>
      <c r="E330" s="27">
        <v>12</v>
      </c>
      <c r="F330" s="118">
        <v>275</v>
      </c>
      <c r="G330" t="s">
        <v>20</v>
      </c>
      <c r="H330" t="s">
        <v>8</v>
      </c>
      <c r="I330">
        <v>-9.7000000000000003E-3</v>
      </c>
      <c r="J330">
        <v>2.7610000000000001</v>
      </c>
      <c r="K330">
        <v>0.23899999999999999</v>
      </c>
      <c r="L330" s="108">
        <v>-3.27653997378768E-3</v>
      </c>
      <c r="M330" s="140">
        <f t="shared" si="37"/>
        <v>0.05</v>
      </c>
      <c r="N330" s="140">
        <f t="shared" si="37"/>
        <v>2.7610000000000001</v>
      </c>
      <c r="O330" s="140">
        <f t="shared" si="37"/>
        <v>0.23899999999999999</v>
      </c>
      <c r="P330" s="140">
        <f t="shared" si="38"/>
        <v>0.05</v>
      </c>
      <c r="Q330" s="161">
        <v>0.80374419829372346</v>
      </c>
      <c r="R330" s="125">
        <v>40.43333333333333</v>
      </c>
      <c r="S330">
        <v>21.553333333333331</v>
      </c>
      <c r="T330" s="27">
        <v>2.8348434592670495</v>
      </c>
      <c r="U330" s="27">
        <v>1.7076063872033806</v>
      </c>
      <c r="V330" s="27" t="s">
        <v>515</v>
      </c>
      <c r="W330" t="s">
        <v>515</v>
      </c>
      <c r="X330" t="s">
        <v>515</v>
      </c>
      <c r="Y330">
        <f t="shared" si="33"/>
        <v>6</v>
      </c>
      <c r="Z330">
        <f t="shared" si="34"/>
        <v>13</v>
      </c>
      <c r="AA330">
        <f t="shared" si="35"/>
        <v>2024</v>
      </c>
      <c r="AB330" s="118" t="b">
        <v>0</v>
      </c>
      <c r="AC330" s="19">
        <v>45456</v>
      </c>
      <c r="AD330" s="19" t="s">
        <v>515</v>
      </c>
      <c r="AE330" t="s">
        <v>515</v>
      </c>
      <c r="AF330" s="19">
        <v>45456</v>
      </c>
      <c r="AG330" t="s">
        <v>515</v>
      </c>
      <c r="AH330" t="s">
        <v>515</v>
      </c>
      <c r="AI330" s="118">
        <v>740.8</v>
      </c>
      <c r="AJ330" s="118">
        <v>607.6</v>
      </c>
      <c r="AK330" s="118">
        <v>635.70000000000005</v>
      </c>
      <c r="AL330" s="118">
        <v>413</v>
      </c>
      <c r="AM330" s="118">
        <v>0.31</v>
      </c>
      <c r="AN330" s="118">
        <v>638.5</v>
      </c>
      <c r="AO330" s="118">
        <v>0.49399999999999999</v>
      </c>
      <c r="AP330" s="118">
        <v>0.50600000000000001</v>
      </c>
      <c r="AQ330" s="118">
        <v>0.70099999999999996</v>
      </c>
      <c r="AR330" s="118">
        <v>150.69999999999999</v>
      </c>
      <c r="AS330" s="118">
        <v>12.99</v>
      </c>
      <c r="AT330" s="118">
        <v>154.4</v>
      </c>
      <c r="AU330" s="118">
        <v>-86.762205379999997</v>
      </c>
      <c r="AV330" s="118">
        <v>40.782380209999999</v>
      </c>
      <c r="AW330" s="118">
        <v>202.9</v>
      </c>
      <c r="AX330" s="118">
        <v>116.5</v>
      </c>
      <c r="AY330" s="118">
        <v>8.2200000000000006</v>
      </c>
      <c r="AZ330" s="118">
        <v>-91.3</v>
      </c>
      <c r="BA330" s="118">
        <v>11.9</v>
      </c>
      <c r="BB330" s="118">
        <v>0</v>
      </c>
      <c r="BC330" s="118">
        <v>22.684999999999999</v>
      </c>
      <c r="BD330" s="118">
        <v>4.6900000000000004</v>
      </c>
      <c r="BE330" s="118">
        <v>0</v>
      </c>
      <c r="BF330" t="s">
        <v>515</v>
      </c>
      <c r="BG330" t="s">
        <v>515</v>
      </c>
      <c r="BH330" s="190">
        <v>321.22500000000002</v>
      </c>
      <c r="BI330" s="190">
        <v>424.97500000000002</v>
      </c>
      <c r="BJ330" s="190">
        <v>502.17099999999999</v>
      </c>
      <c r="BK330" s="190">
        <v>554.06799999999998</v>
      </c>
      <c r="BL330" s="190">
        <v>538.553</v>
      </c>
      <c r="BM330" s="190">
        <v>506.01499999999999</v>
      </c>
      <c r="BN330" s="190">
        <v>546.38599999999997</v>
      </c>
      <c r="BO330" s="190">
        <v>627.28499999999997</v>
      </c>
    </row>
    <row r="331" spans="1:67" x14ac:dyDescent="0.25">
      <c r="A331" s="25">
        <v>10330</v>
      </c>
      <c r="B331" t="s">
        <v>355</v>
      </c>
      <c r="C331" t="s">
        <v>355</v>
      </c>
      <c r="D331" s="27" t="s">
        <v>489</v>
      </c>
      <c r="E331" s="27">
        <v>14</v>
      </c>
      <c r="F331" s="118">
        <v>4225</v>
      </c>
      <c r="G331" t="s">
        <v>20</v>
      </c>
      <c r="H331" t="s">
        <v>8</v>
      </c>
      <c r="I331">
        <v>1.9900000000000001E-2</v>
      </c>
      <c r="J331">
        <v>2.6760000000000002</v>
      </c>
      <c r="K331">
        <v>0.17599999999999999</v>
      </c>
      <c r="L331" s="108">
        <v>1.6382699868938385E-3</v>
      </c>
      <c r="M331" s="140">
        <f t="shared" si="37"/>
        <v>0.05</v>
      </c>
      <c r="N331" s="140">
        <f t="shared" si="37"/>
        <v>2.6760000000000002</v>
      </c>
      <c r="O331" s="140">
        <f t="shared" si="37"/>
        <v>0.17599999999999999</v>
      </c>
      <c r="P331" s="140">
        <f t="shared" si="38"/>
        <v>0.05</v>
      </c>
      <c r="Q331" s="161">
        <v>0.20173514905278223</v>
      </c>
      <c r="R331" s="125">
        <v>8.5166666666666675</v>
      </c>
      <c r="S331">
        <v>4.7133333333333338</v>
      </c>
      <c r="T331" s="27">
        <v>2.3019173206051291</v>
      </c>
      <c r="U331" s="27">
        <v>1.4049251642872962</v>
      </c>
      <c r="V331" s="27" t="s">
        <v>515</v>
      </c>
      <c r="W331" t="s">
        <v>515</v>
      </c>
      <c r="X331" t="s">
        <v>515</v>
      </c>
      <c r="Y331">
        <f t="shared" si="33"/>
        <v>6</v>
      </c>
      <c r="Z331">
        <f t="shared" si="34"/>
        <v>13</v>
      </c>
      <c r="AA331">
        <f t="shared" si="35"/>
        <v>2024</v>
      </c>
      <c r="AB331" s="118" t="b">
        <v>0</v>
      </c>
      <c r="AC331" s="19">
        <v>45456</v>
      </c>
      <c r="AD331" s="19" t="s">
        <v>515</v>
      </c>
      <c r="AE331" t="s">
        <v>515</v>
      </c>
      <c r="AF331" s="19">
        <v>45456</v>
      </c>
      <c r="AG331" t="s">
        <v>515</v>
      </c>
      <c r="AH331" t="s">
        <v>515</v>
      </c>
      <c r="AI331" s="118">
        <v>740.9</v>
      </c>
      <c r="AJ331" s="118">
        <v>636.6</v>
      </c>
      <c r="AK331" s="118">
        <v>662.5</v>
      </c>
      <c r="AL331" s="118">
        <v>431</v>
      </c>
      <c r="AM331" s="118">
        <v>0.32</v>
      </c>
      <c r="AN331" s="118">
        <v>665.1</v>
      </c>
      <c r="AO331" s="118">
        <v>0.47199999999999998</v>
      </c>
      <c r="AP331" s="118">
        <v>0.497</v>
      </c>
      <c r="AQ331" s="118">
        <v>0.67</v>
      </c>
      <c r="AR331" s="118">
        <v>106.7</v>
      </c>
      <c r="AS331" s="118">
        <v>9.15</v>
      </c>
      <c r="AT331" s="118">
        <v>109.3</v>
      </c>
      <c r="AU331" s="118">
        <v>-86.785247049999995</v>
      </c>
      <c r="AV331" s="118">
        <v>40.807313710000003</v>
      </c>
      <c r="AW331" s="118">
        <v>200.8</v>
      </c>
      <c r="AX331" s="118">
        <v>120.5</v>
      </c>
      <c r="AY331" s="118">
        <v>8</v>
      </c>
      <c r="AZ331" s="118">
        <v>-78.2</v>
      </c>
      <c r="BA331" s="118">
        <v>11.9</v>
      </c>
      <c r="BB331" s="118">
        <v>0</v>
      </c>
      <c r="BC331" s="118">
        <v>22.951000000000001</v>
      </c>
      <c r="BD331" s="118">
        <v>4.4000000000000004</v>
      </c>
      <c r="BE331" s="118">
        <v>0</v>
      </c>
      <c r="BF331" t="s">
        <v>515</v>
      </c>
      <c r="BG331" t="s">
        <v>515</v>
      </c>
      <c r="BH331" s="190">
        <v>369.02300000000002</v>
      </c>
      <c r="BI331" s="190">
        <v>524.81399999999996</v>
      </c>
      <c r="BJ331" s="190">
        <v>584.74300000000005</v>
      </c>
      <c r="BK331" s="190">
        <v>632.80700000000002</v>
      </c>
      <c r="BL331" s="190">
        <v>609.99300000000005</v>
      </c>
      <c r="BM331" s="190">
        <v>620.36</v>
      </c>
      <c r="BN331" s="190">
        <v>557.12</v>
      </c>
      <c r="BO331" s="190">
        <v>700.74800000000005</v>
      </c>
    </row>
    <row r="332" spans="1:67" x14ac:dyDescent="0.25">
      <c r="A332" s="25">
        <v>10331</v>
      </c>
      <c r="B332" t="s">
        <v>356</v>
      </c>
      <c r="C332" t="s">
        <v>356</v>
      </c>
      <c r="D332" s="27" t="s">
        <v>490</v>
      </c>
      <c r="E332" s="27">
        <v>15</v>
      </c>
      <c r="F332" s="118">
        <v>2905</v>
      </c>
      <c r="G332" t="s">
        <v>20</v>
      </c>
      <c r="H332" t="s">
        <v>8</v>
      </c>
      <c r="I332">
        <v>-0.01</v>
      </c>
      <c r="J332">
        <v>2.508</v>
      </c>
      <c r="K332">
        <v>0.193</v>
      </c>
      <c r="L332" s="108">
        <v>-4.9148099606815196E-3</v>
      </c>
      <c r="M332" s="140">
        <f t="shared" si="37"/>
        <v>0.05</v>
      </c>
      <c r="N332" s="140">
        <f t="shared" si="37"/>
        <v>2.508</v>
      </c>
      <c r="O332" s="140">
        <f t="shared" si="37"/>
        <v>0.193</v>
      </c>
      <c r="P332" s="140">
        <f t="shared" si="38"/>
        <v>0.05</v>
      </c>
      <c r="Q332" s="161">
        <v>7.0698538434283517E-2</v>
      </c>
      <c r="R332" s="125">
        <v>20.923333333333332</v>
      </c>
      <c r="S332">
        <v>7.1533333333333333</v>
      </c>
      <c r="T332" s="27">
        <v>2.550683601650352</v>
      </c>
      <c r="U332" s="27">
        <v>1.5808838485425134</v>
      </c>
      <c r="V332" s="27" t="s">
        <v>515</v>
      </c>
      <c r="W332" t="s">
        <v>515</v>
      </c>
      <c r="X332" t="s">
        <v>515</v>
      </c>
      <c r="Y332">
        <f t="shared" ref="Y332:Y363" si="39">MONTH(AC332)</f>
        <v>6</v>
      </c>
      <c r="Z332">
        <f t="shared" ref="Z332:Z363" si="40">DAY(AC332)</f>
        <v>13</v>
      </c>
      <c r="AA332">
        <f t="shared" ref="AA332:AA363" si="41">YEAR(AC332)</f>
        <v>2024</v>
      </c>
      <c r="AB332" s="118" t="b">
        <v>0</v>
      </c>
      <c r="AC332" s="19">
        <v>45456</v>
      </c>
      <c r="AD332" s="19" t="s">
        <v>515</v>
      </c>
      <c r="AE332" t="s">
        <v>515</v>
      </c>
      <c r="AF332" s="19">
        <v>45456</v>
      </c>
      <c r="AG332" t="s">
        <v>515</v>
      </c>
      <c r="AH332" t="s">
        <v>515</v>
      </c>
      <c r="AI332" s="190" t="s">
        <v>515</v>
      </c>
      <c r="AJ332" s="190" t="s">
        <v>515</v>
      </c>
      <c r="AK332" s="190" t="s">
        <v>515</v>
      </c>
      <c r="AL332" s="190" t="s">
        <v>515</v>
      </c>
      <c r="AM332" s="190" t="s">
        <v>515</v>
      </c>
      <c r="AN332" s="190" t="s">
        <v>515</v>
      </c>
      <c r="AO332" s="190" t="s">
        <v>515</v>
      </c>
      <c r="AP332" s="190" t="s">
        <v>515</v>
      </c>
      <c r="AQ332" s="190" t="s">
        <v>515</v>
      </c>
      <c r="AR332" s="190" t="s">
        <v>515</v>
      </c>
      <c r="AS332" s="190" t="s">
        <v>515</v>
      </c>
      <c r="AT332" s="190" t="s">
        <v>515</v>
      </c>
      <c r="AU332" s="190" t="s">
        <v>515</v>
      </c>
      <c r="AV332" s="190" t="s">
        <v>515</v>
      </c>
      <c r="AW332" s="190" t="s">
        <v>515</v>
      </c>
      <c r="AX332" s="190" t="s">
        <v>515</v>
      </c>
      <c r="AY332" s="190" t="s">
        <v>515</v>
      </c>
      <c r="AZ332" s="190" t="s">
        <v>515</v>
      </c>
      <c r="BA332" s="190" t="s">
        <v>515</v>
      </c>
      <c r="BB332" s="190" t="s">
        <v>515</v>
      </c>
      <c r="BC332" s="190" t="s">
        <v>515</v>
      </c>
      <c r="BD332" s="190" t="s">
        <v>515</v>
      </c>
      <c r="BE332" s="190" t="s">
        <v>515</v>
      </c>
      <c r="BF332" t="s">
        <v>515</v>
      </c>
      <c r="BG332" t="s">
        <v>515</v>
      </c>
      <c r="BH332" s="190">
        <v>344.40199999999999</v>
      </c>
      <c r="BI332" s="190">
        <v>468.19400000000002</v>
      </c>
      <c r="BJ332" s="190">
        <v>526.04499999999996</v>
      </c>
      <c r="BK332" s="190">
        <v>578.63099999999997</v>
      </c>
      <c r="BL332" s="190">
        <v>561.01400000000001</v>
      </c>
      <c r="BM332" s="190">
        <v>553.74199999999996</v>
      </c>
      <c r="BN332" s="190">
        <v>534.45699999999999</v>
      </c>
      <c r="BO332" s="190">
        <v>651.33399999999995</v>
      </c>
    </row>
    <row r="333" spans="1:67" x14ac:dyDescent="0.25">
      <c r="A333" s="25">
        <v>10332</v>
      </c>
      <c r="B333" t="s">
        <v>357</v>
      </c>
      <c r="C333" t="s">
        <v>357</v>
      </c>
      <c r="D333" s="27" t="s">
        <v>491</v>
      </c>
      <c r="E333" s="27">
        <v>1</v>
      </c>
      <c r="F333" s="118">
        <v>5210</v>
      </c>
      <c r="G333" t="s">
        <v>22</v>
      </c>
      <c r="H333" t="s">
        <v>8</v>
      </c>
      <c r="I333">
        <v>-0.50549999999999995</v>
      </c>
      <c r="J333">
        <v>2.69</v>
      </c>
      <c r="K333">
        <v>0</v>
      </c>
      <c r="L333" t="s">
        <v>515</v>
      </c>
      <c r="M333" s="140">
        <f t="shared" si="37"/>
        <v>0.05</v>
      </c>
      <c r="N333" s="140">
        <f t="shared" si="37"/>
        <v>2.69</v>
      </c>
      <c r="O333" s="140">
        <f t="shared" si="37"/>
        <v>0.05</v>
      </c>
      <c r="P333" s="140" t="str">
        <f t="shared" si="38"/>
        <v>NULL</v>
      </c>
      <c r="Q333" s="161" t="s">
        <v>515</v>
      </c>
      <c r="R333" s="125">
        <v>21.396666666666665</v>
      </c>
      <c r="S333">
        <v>34.28</v>
      </c>
      <c r="T333">
        <v>4.0348349308017797</v>
      </c>
      <c r="U333">
        <v>1.2316319118547236</v>
      </c>
      <c r="V333" s="118" t="s">
        <v>515</v>
      </c>
      <c r="W333" t="s">
        <v>515</v>
      </c>
      <c r="X333" t="s">
        <v>515</v>
      </c>
      <c r="Y333">
        <f t="shared" si="39"/>
        <v>6</v>
      </c>
      <c r="Z333">
        <f t="shared" si="40"/>
        <v>17</v>
      </c>
      <c r="AA333">
        <f t="shared" si="41"/>
        <v>2024</v>
      </c>
      <c r="AB333" s="118" t="b">
        <v>0</v>
      </c>
      <c r="AC333" s="19">
        <v>45460</v>
      </c>
      <c r="AD333" s="19" t="s">
        <v>515</v>
      </c>
      <c r="AE333" t="s">
        <v>515</v>
      </c>
      <c r="AF333" s="19">
        <v>45460</v>
      </c>
      <c r="AG333" t="s">
        <v>515</v>
      </c>
      <c r="AH333" t="s">
        <v>515</v>
      </c>
      <c r="AI333" s="118">
        <v>742</v>
      </c>
      <c r="AJ333" s="118">
        <v>390.1</v>
      </c>
      <c r="AK333" s="118">
        <v>388.4</v>
      </c>
      <c r="AL333" s="118">
        <v>252</v>
      </c>
      <c r="AM333" s="118">
        <v>0.19</v>
      </c>
      <c r="AN333" s="118">
        <v>388.2</v>
      </c>
      <c r="AO333" s="118">
        <v>0.55100000000000005</v>
      </c>
      <c r="AP333" s="118">
        <v>0.54500000000000004</v>
      </c>
      <c r="AQ333" s="118">
        <v>0.78200000000000003</v>
      </c>
      <c r="AR333" s="118">
        <v>150.19999999999999</v>
      </c>
      <c r="AS333" s="118">
        <v>12.35</v>
      </c>
      <c r="AT333" s="118">
        <v>153.5</v>
      </c>
      <c r="AU333" s="118">
        <v>-85.645051519999996</v>
      </c>
      <c r="AV333" s="118">
        <v>40.772296269999998</v>
      </c>
      <c r="AW333" s="118">
        <v>231.6</v>
      </c>
      <c r="AX333" s="118">
        <v>110.9</v>
      </c>
      <c r="AY333" s="118">
        <v>8.7100000000000009</v>
      </c>
      <c r="AZ333" s="118">
        <v>-123.2</v>
      </c>
      <c r="BA333" s="118">
        <v>11.9</v>
      </c>
      <c r="BB333" s="118">
        <v>0</v>
      </c>
      <c r="BC333" s="118">
        <v>25.224</v>
      </c>
      <c r="BD333" s="118">
        <v>4.1500000000000004</v>
      </c>
      <c r="BE333" s="118">
        <v>0</v>
      </c>
      <c r="BF333" t="s">
        <v>515</v>
      </c>
      <c r="BG333" t="s">
        <v>515</v>
      </c>
      <c r="BH333" s="118">
        <v>112.55800000000001</v>
      </c>
      <c r="BI333" s="118">
        <v>180.52799999999999</v>
      </c>
      <c r="BJ333" s="118">
        <v>283.322</v>
      </c>
      <c r="BK333" s="118">
        <v>318.19299999999998</v>
      </c>
      <c r="BL333" s="118">
        <v>252.18600000000001</v>
      </c>
      <c r="BM333" s="118">
        <v>256.13600000000002</v>
      </c>
      <c r="BN333" s="118">
        <v>313.32600000000002</v>
      </c>
      <c r="BO333" s="118">
        <v>344.08199999999999</v>
      </c>
    </row>
    <row r="334" spans="1:67" x14ac:dyDescent="0.25">
      <c r="A334" s="25">
        <v>10333</v>
      </c>
      <c r="B334" t="s">
        <v>358</v>
      </c>
      <c r="C334" t="s">
        <v>358</v>
      </c>
      <c r="D334" s="27" t="s">
        <v>492</v>
      </c>
      <c r="E334" s="27">
        <v>2</v>
      </c>
      <c r="F334" s="118">
        <v>5430</v>
      </c>
      <c r="G334" t="s">
        <v>22</v>
      </c>
      <c r="H334" t="s">
        <v>8</v>
      </c>
      <c r="I334">
        <v>-0.50839999999999996</v>
      </c>
      <c r="J334">
        <v>2.5840000000000001</v>
      </c>
      <c r="K334">
        <v>3.0000000000000001E-3</v>
      </c>
      <c r="L334" s="109">
        <v>0</v>
      </c>
      <c r="M334" s="140">
        <f t="shared" si="37"/>
        <v>0.05</v>
      </c>
      <c r="N334" s="140">
        <f t="shared" si="37"/>
        <v>2.5840000000000001</v>
      </c>
      <c r="O334" s="140">
        <f t="shared" si="37"/>
        <v>0.05</v>
      </c>
      <c r="P334" s="140">
        <f t="shared" si="38"/>
        <v>0.05</v>
      </c>
      <c r="Q334" s="161" t="s">
        <v>515</v>
      </c>
      <c r="R334" s="125">
        <v>22.366666666666664</v>
      </c>
      <c r="S334">
        <v>39.643333333333338</v>
      </c>
      <c r="T334">
        <v>3.8877329642927911</v>
      </c>
      <c r="U334">
        <v>1.7955984492960622</v>
      </c>
      <c r="V334" s="118" t="s">
        <v>515</v>
      </c>
      <c r="W334" t="s">
        <v>515</v>
      </c>
      <c r="X334" t="s">
        <v>515</v>
      </c>
      <c r="Y334">
        <f t="shared" si="39"/>
        <v>6</v>
      </c>
      <c r="Z334">
        <f t="shared" si="40"/>
        <v>17</v>
      </c>
      <c r="AA334">
        <f t="shared" si="41"/>
        <v>2024</v>
      </c>
      <c r="AB334" s="118" t="b">
        <v>0</v>
      </c>
      <c r="AC334" s="19">
        <v>45460</v>
      </c>
      <c r="AD334" s="19" t="s">
        <v>515</v>
      </c>
      <c r="AE334" t="s">
        <v>515</v>
      </c>
      <c r="AF334" s="19">
        <v>45460</v>
      </c>
      <c r="AG334" t="s">
        <v>515</v>
      </c>
      <c r="AH334" t="s">
        <v>515</v>
      </c>
      <c r="AI334" s="118">
        <v>742.1</v>
      </c>
      <c r="AJ334" s="118">
        <v>390.7</v>
      </c>
      <c r="AK334" s="118">
        <v>390.8</v>
      </c>
      <c r="AL334" s="118">
        <v>254</v>
      </c>
      <c r="AM334" s="118">
        <v>0.19</v>
      </c>
      <c r="AN334" s="118">
        <v>390.8</v>
      </c>
      <c r="AO334" s="118">
        <v>0.49099999999999999</v>
      </c>
      <c r="AP334" s="118">
        <v>0.499</v>
      </c>
      <c r="AQ334" s="118">
        <v>0.69699999999999995</v>
      </c>
      <c r="AR334" s="118">
        <v>144.69999999999999</v>
      </c>
      <c r="AS334" s="118">
        <v>11.95</v>
      </c>
      <c r="AT334" s="118">
        <v>147.9</v>
      </c>
      <c r="AU334" s="118">
        <v>-85.647150420000003</v>
      </c>
      <c r="AV334" s="118">
        <v>40.770774430000003</v>
      </c>
      <c r="AW334" s="118">
        <v>231.3</v>
      </c>
      <c r="AX334" s="118">
        <v>127.8</v>
      </c>
      <c r="AY334" s="118">
        <v>8.65</v>
      </c>
      <c r="AZ334" s="118">
        <v>-119.6</v>
      </c>
      <c r="BA334" s="118">
        <v>12</v>
      </c>
      <c r="BB334" s="118">
        <v>0</v>
      </c>
      <c r="BC334" s="118">
        <v>24.984000000000002</v>
      </c>
      <c r="BD334" s="118">
        <v>3.64</v>
      </c>
      <c r="BE334" s="118">
        <v>0</v>
      </c>
      <c r="BF334" t="s">
        <v>515</v>
      </c>
      <c r="BG334" t="s">
        <v>515</v>
      </c>
      <c r="BH334" s="118">
        <v>110.89</v>
      </c>
      <c r="BI334" s="118">
        <v>184.827</v>
      </c>
      <c r="BJ334" s="118">
        <v>287.98</v>
      </c>
      <c r="BK334" s="118">
        <v>324.04399999999998</v>
      </c>
      <c r="BL334" s="118">
        <v>260.47500000000002</v>
      </c>
      <c r="BM334" s="118">
        <v>269.303</v>
      </c>
      <c r="BN334" s="118">
        <v>320.33</v>
      </c>
      <c r="BO334" s="118">
        <v>374.83100000000002</v>
      </c>
    </row>
    <row r="335" spans="1:67" x14ac:dyDescent="0.25">
      <c r="A335" s="25">
        <v>10334</v>
      </c>
      <c r="B335" t="s">
        <v>359</v>
      </c>
      <c r="C335" t="s">
        <v>359</v>
      </c>
      <c r="D335" s="27" t="s">
        <v>493</v>
      </c>
      <c r="E335" s="27">
        <v>3</v>
      </c>
      <c r="F335" s="118">
        <v>4180</v>
      </c>
      <c r="G335" t="s">
        <v>22</v>
      </c>
      <c r="H335" t="s">
        <v>8</v>
      </c>
      <c r="I335">
        <v>-0.49759999999999999</v>
      </c>
      <c r="J335">
        <v>2.7090000000000001</v>
      </c>
      <c r="K335">
        <v>3.0000000000000001E-3</v>
      </c>
      <c r="L335" s="109">
        <v>1.348684210526316E-2</v>
      </c>
      <c r="M335" s="140">
        <f t="shared" si="37"/>
        <v>0.05</v>
      </c>
      <c r="N335" s="140">
        <f t="shared" si="37"/>
        <v>2.7090000000000001</v>
      </c>
      <c r="O335" s="140">
        <f t="shared" si="37"/>
        <v>0.05</v>
      </c>
      <c r="P335" s="140">
        <f t="shared" si="38"/>
        <v>0.05</v>
      </c>
      <c r="Q335" s="161" t="s">
        <v>515</v>
      </c>
      <c r="R335" s="125">
        <v>24.166666666666668</v>
      </c>
      <c r="S335">
        <v>42.086666666666666</v>
      </c>
      <c r="T335">
        <v>4.0156025182193327</v>
      </c>
      <c r="U335">
        <v>1.8400791675168335</v>
      </c>
      <c r="V335" s="118" t="s">
        <v>515</v>
      </c>
      <c r="W335" t="s">
        <v>515</v>
      </c>
      <c r="X335" t="s">
        <v>515</v>
      </c>
      <c r="Y335">
        <f t="shared" si="39"/>
        <v>6</v>
      </c>
      <c r="Z335">
        <f t="shared" si="40"/>
        <v>17</v>
      </c>
      <c r="AA335">
        <f t="shared" si="41"/>
        <v>2024</v>
      </c>
      <c r="AB335" s="118" t="b">
        <v>0</v>
      </c>
      <c r="AC335" s="19">
        <v>45460</v>
      </c>
      <c r="AD335" s="19" t="s">
        <v>515</v>
      </c>
      <c r="AE335" t="s">
        <v>515</v>
      </c>
      <c r="AF335" s="19">
        <v>45460</v>
      </c>
      <c r="AG335" t="s">
        <v>515</v>
      </c>
      <c r="AH335" t="s">
        <v>515</v>
      </c>
      <c r="AI335" s="118">
        <v>742</v>
      </c>
      <c r="AJ335" s="118">
        <v>397.8</v>
      </c>
      <c r="AK335" s="118">
        <v>396</v>
      </c>
      <c r="AL335" s="118">
        <v>257</v>
      </c>
      <c r="AM335" s="118">
        <v>0.19</v>
      </c>
      <c r="AN335" s="118">
        <v>395.8</v>
      </c>
      <c r="AO335" s="118">
        <v>0.50600000000000001</v>
      </c>
      <c r="AP335" s="118">
        <v>0.51800000000000002</v>
      </c>
      <c r="AQ335" s="118">
        <v>0.71799999999999997</v>
      </c>
      <c r="AR335" s="118">
        <v>139.4</v>
      </c>
      <c r="AS335" s="118">
        <v>11.45</v>
      </c>
      <c r="AT335" s="118">
        <v>142.4</v>
      </c>
      <c r="AU335" s="118">
        <v>-85.646588960000003</v>
      </c>
      <c r="AV335" s="118">
        <v>40.781075420000001</v>
      </c>
      <c r="AW335" s="118">
        <v>227</v>
      </c>
      <c r="AX335" s="118">
        <v>125.5</v>
      </c>
      <c r="AY335" s="118">
        <v>8.64</v>
      </c>
      <c r="AZ335" s="118">
        <v>-119.2</v>
      </c>
      <c r="BA335" s="118">
        <v>12</v>
      </c>
      <c r="BB335" s="118">
        <v>0</v>
      </c>
      <c r="BC335" s="118">
        <v>25.23</v>
      </c>
      <c r="BD335" s="118">
        <v>3.54</v>
      </c>
      <c r="BE335" s="118">
        <v>0</v>
      </c>
      <c r="BF335" t="s">
        <v>515</v>
      </c>
      <c r="BG335" t="s">
        <v>515</v>
      </c>
      <c r="BH335" s="118">
        <v>123.29300000000001</v>
      </c>
      <c r="BI335" s="118">
        <v>196.36099999999999</v>
      </c>
      <c r="BJ335" s="118">
        <v>290.76400000000001</v>
      </c>
      <c r="BK335" s="118">
        <v>322.27499999999998</v>
      </c>
      <c r="BL335" s="118">
        <v>260.733</v>
      </c>
      <c r="BM335" s="118">
        <v>268.637</v>
      </c>
      <c r="BN335" s="118">
        <v>301.08100000000002</v>
      </c>
      <c r="BO335" s="118">
        <v>325.85399999999998</v>
      </c>
    </row>
    <row r="336" spans="1:67" x14ac:dyDescent="0.25">
      <c r="A336" s="25">
        <v>10335</v>
      </c>
      <c r="B336" t="s">
        <v>360</v>
      </c>
      <c r="C336" t="s">
        <v>360</v>
      </c>
      <c r="D336" s="27" t="s">
        <v>494</v>
      </c>
      <c r="E336" s="27">
        <v>4</v>
      </c>
      <c r="F336" s="118">
        <v>4980</v>
      </c>
      <c r="G336" t="s">
        <v>22</v>
      </c>
      <c r="H336" t="s">
        <v>8</v>
      </c>
      <c r="I336">
        <v>-0.50060000000000004</v>
      </c>
      <c r="J336">
        <v>2.4249999999999998</v>
      </c>
      <c r="K336">
        <v>3.0000000000000001E-3</v>
      </c>
      <c r="L336" t="s">
        <v>515</v>
      </c>
      <c r="M336" s="140">
        <f t="shared" si="37"/>
        <v>0.05</v>
      </c>
      <c r="N336" s="140">
        <f t="shared" si="37"/>
        <v>2.4249999999999998</v>
      </c>
      <c r="O336" s="140">
        <f t="shared" si="37"/>
        <v>0.05</v>
      </c>
      <c r="P336" s="140" t="str">
        <f t="shared" si="38"/>
        <v>NULL</v>
      </c>
      <c r="Q336" s="161" t="s">
        <v>515</v>
      </c>
      <c r="R336" s="125">
        <v>54.156666666666666</v>
      </c>
      <c r="S336">
        <v>88.8</v>
      </c>
      <c r="T336">
        <v>4.013003543546029</v>
      </c>
      <c r="U336">
        <v>1.7688692103652319</v>
      </c>
      <c r="V336" s="118" t="s">
        <v>515</v>
      </c>
      <c r="W336" t="s">
        <v>515</v>
      </c>
      <c r="X336" t="s">
        <v>515</v>
      </c>
      <c r="Y336">
        <f t="shared" si="39"/>
        <v>6</v>
      </c>
      <c r="Z336">
        <f t="shared" si="40"/>
        <v>17</v>
      </c>
      <c r="AA336">
        <f t="shared" si="41"/>
        <v>2024</v>
      </c>
      <c r="AB336" s="118" t="b">
        <v>0</v>
      </c>
      <c r="AC336" s="19">
        <v>45460</v>
      </c>
      <c r="AD336" s="19" t="s">
        <v>515</v>
      </c>
      <c r="AE336" t="s">
        <v>515</v>
      </c>
      <c r="AF336" s="19">
        <v>45460</v>
      </c>
      <c r="AG336" t="s">
        <v>515</v>
      </c>
      <c r="AH336" t="s">
        <v>515</v>
      </c>
      <c r="AI336" s="118">
        <v>742</v>
      </c>
      <c r="AJ336" s="118">
        <v>410.5</v>
      </c>
      <c r="AK336" s="118">
        <v>402</v>
      </c>
      <c r="AL336" s="118">
        <v>261</v>
      </c>
      <c r="AM336" s="118">
        <v>0.19</v>
      </c>
      <c r="AN336" s="118">
        <v>401.1</v>
      </c>
      <c r="AO336" s="118">
        <v>0.48599999999999999</v>
      </c>
      <c r="AP336" s="118">
        <v>0.47</v>
      </c>
      <c r="AQ336" s="118">
        <v>0.68899999999999995</v>
      </c>
      <c r="AR336" s="118">
        <v>155</v>
      </c>
      <c r="AS336" s="118">
        <v>12.54</v>
      </c>
      <c r="AT336" s="118">
        <v>158.4</v>
      </c>
      <c r="AU336" s="118">
        <v>-85.638733939999995</v>
      </c>
      <c r="AV336" s="118">
        <v>40.783930470000001</v>
      </c>
      <c r="AW336" s="118">
        <v>230.5</v>
      </c>
      <c r="AX336" s="118">
        <v>77.599999999999994</v>
      </c>
      <c r="AY336" s="118">
        <v>8.6300000000000008</v>
      </c>
      <c r="AZ336" s="118">
        <v>-119</v>
      </c>
      <c r="BA336" s="118">
        <v>11.9</v>
      </c>
      <c r="BB336" s="118">
        <v>0</v>
      </c>
      <c r="BC336" s="118">
        <v>26.113</v>
      </c>
      <c r="BD336" s="118">
        <v>6.27</v>
      </c>
      <c r="BE336" s="118">
        <v>0</v>
      </c>
      <c r="BF336" t="s">
        <v>515</v>
      </c>
      <c r="BG336" t="s">
        <v>515</v>
      </c>
      <c r="BH336" s="118">
        <v>168.18600000000001</v>
      </c>
      <c r="BI336" s="118">
        <v>248.94800000000001</v>
      </c>
      <c r="BJ336" s="118">
        <v>360.66199999999998</v>
      </c>
      <c r="BK336" s="118">
        <v>400.16300000000001</v>
      </c>
      <c r="BL336" s="118">
        <v>335.245</v>
      </c>
      <c r="BM336" s="118">
        <v>339.67500000000001</v>
      </c>
      <c r="BN336" s="118">
        <v>384.82799999999997</v>
      </c>
      <c r="BO336" s="118">
        <v>427.875</v>
      </c>
    </row>
    <row r="337" spans="1:67" x14ac:dyDescent="0.25">
      <c r="A337" s="25">
        <v>10336</v>
      </c>
      <c r="B337" t="s">
        <v>361</v>
      </c>
      <c r="C337" t="s">
        <v>361</v>
      </c>
      <c r="D337" s="27" t="s">
        <v>495</v>
      </c>
      <c r="E337" s="27">
        <v>5</v>
      </c>
      <c r="F337" s="118">
        <v>6340</v>
      </c>
      <c r="G337" t="s">
        <v>22</v>
      </c>
      <c r="H337" t="s">
        <v>8</v>
      </c>
      <c r="I337">
        <v>-0.49890000000000001</v>
      </c>
      <c r="J337">
        <v>2.64</v>
      </c>
      <c r="K337">
        <v>1E-3</v>
      </c>
      <c r="L337" s="109">
        <v>5.2631578947368429E-3</v>
      </c>
      <c r="M337" s="140">
        <f t="shared" si="37"/>
        <v>0.05</v>
      </c>
      <c r="N337" s="140">
        <f t="shared" si="37"/>
        <v>2.64</v>
      </c>
      <c r="O337" s="140">
        <f t="shared" si="37"/>
        <v>0.05</v>
      </c>
      <c r="P337" s="140">
        <f t="shared" si="38"/>
        <v>0.05</v>
      </c>
      <c r="Q337" s="161">
        <v>0.13574505906711387</v>
      </c>
      <c r="R337" s="125">
        <v>18.95</v>
      </c>
      <c r="S337">
        <v>37.286666666666669</v>
      </c>
      <c r="T337">
        <v>4.0208004675659392</v>
      </c>
      <c r="U337">
        <v>1.7758065700877372</v>
      </c>
      <c r="V337" s="118" t="s">
        <v>515</v>
      </c>
      <c r="W337" t="s">
        <v>515</v>
      </c>
      <c r="X337" t="s">
        <v>515</v>
      </c>
      <c r="Y337">
        <f t="shared" si="39"/>
        <v>6</v>
      </c>
      <c r="Z337">
        <f t="shared" si="40"/>
        <v>17</v>
      </c>
      <c r="AA337">
        <f t="shared" si="41"/>
        <v>2024</v>
      </c>
      <c r="AB337" s="118" t="b">
        <v>0</v>
      </c>
      <c r="AC337" s="19">
        <v>45460</v>
      </c>
      <c r="AD337" s="19" t="s">
        <v>515</v>
      </c>
      <c r="AE337" t="s">
        <v>515</v>
      </c>
      <c r="AF337" s="19">
        <v>45460</v>
      </c>
      <c r="AG337" t="s">
        <v>515</v>
      </c>
      <c r="AH337" t="s">
        <v>515</v>
      </c>
      <c r="AI337" s="118">
        <v>741.8</v>
      </c>
      <c r="AJ337" s="118">
        <v>419.5</v>
      </c>
      <c r="AK337" s="118">
        <v>408.2</v>
      </c>
      <c r="AL337" s="118">
        <v>265</v>
      </c>
      <c r="AM337" s="118">
        <v>0.19</v>
      </c>
      <c r="AN337" s="118">
        <v>407</v>
      </c>
      <c r="AO337" s="118">
        <v>0.55000000000000004</v>
      </c>
      <c r="AP337" s="118">
        <v>0.56399999999999995</v>
      </c>
      <c r="AQ337" s="118">
        <v>0.78</v>
      </c>
      <c r="AR337" s="118">
        <v>161.19999999999999</v>
      </c>
      <c r="AS337" s="118">
        <v>12.96</v>
      </c>
      <c r="AT337" s="118">
        <v>164.8</v>
      </c>
      <c r="AU337" s="118">
        <v>-85.624036320000002</v>
      </c>
      <c r="AV337" s="118">
        <v>40.774560219999998</v>
      </c>
      <c r="AW337" s="118">
        <v>230.3</v>
      </c>
      <c r="AX337" s="118">
        <v>104.8</v>
      </c>
      <c r="AY337" s="118">
        <v>8.58</v>
      </c>
      <c r="AZ337" s="118">
        <v>-115.9</v>
      </c>
      <c r="BA337" s="118">
        <v>11.9</v>
      </c>
      <c r="BB337" s="118">
        <v>0</v>
      </c>
      <c r="BC337" s="118">
        <v>26.452999999999999</v>
      </c>
      <c r="BD337" s="118">
        <v>5.19</v>
      </c>
      <c r="BE337" s="118">
        <v>0</v>
      </c>
      <c r="BF337" t="s">
        <v>515</v>
      </c>
      <c r="BG337" t="s">
        <v>515</v>
      </c>
      <c r="BH337" s="118">
        <v>138.16200000000001</v>
      </c>
      <c r="BI337" s="118">
        <v>227.06399999999999</v>
      </c>
      <c r="BJ337" s="118">
        <v>348.70499999999998</v>
      </c>
      <c r="BK337" s="118">
        <v>388.99700000000001</v>
      </c>
      <c r="BL337" s="118">
        <v>317.06599999999997</v>
      </c>
      <c r="BM337" s="118">
        <v>301.03500000000003</v>
      </c>
      <c r="BN337" s="118">
        <v>362.44900000000001</v>
      </c>
      <c r="BO337" s="118">
        <v>369.137</v>
      </c>
    </row>
    <row r="338" spans="1:67" x14ac:dyDescent="0.25">
      <c r="A338" s="25">
        <v>10337</v>
      </c>
      <c r="B338" t="s">
        <v>362</v>
      </c>
      <c r="C338" t="s">
        <v>362</v>
      </c>
      <c r="D338" s="27" t="s">
        <v>496</v>
      </c>
      <c r="E338" s="27">
        <v>6</v>
      </c>
      <c r="F338" s="118">
        <v>7900</v>
      </c>
      <c r="G338" t="s">
        <v>22</v>
      </c>
      <c r="H338" t="s">
        <v>8</v>
      </c>
      <c r="I338">
        <v>-0.50249999999999995</v>
      </c>
      <c r="J338">
        <v>2.3239999999999998</v>
      </c>
      <c r="K338">
        <v>3.0000000000000001E-3</v>
      </c>
      <c r="L338" t="s">
        <v>515</v>
      </c>
      <c r="M338" s="140">
        <f t="shared" ref="M338:O353" si="42">IF(I338&lt;0.1,0.05,I338)</f>
        <v>0.05</v>
      </c>
      <c r="N338" s="140">
        <f t="shared" si="42"/>
        <v>2.3239999999999998</v>
      </c>
      <c r="O338" s="140">
        <f t="shared" si="42"/>
        <v>0.05</v>
      </c>
      <c r="P338" s="140" t="str">
        <f t="shared" si="38"/>
        <v>NULL</v>
      </c>
      <c r="Q338" s="161">
        <v>0.14968364274386892</v>
      </c>
      <c r="R338" s="125">
        <v>27.733333333333334</v>
      </c>
      <c r="S338">
        <v>50.906666666666666</v>
      </c>
      <c r="T338">
        <v>3.8570650631478074</v>
      </c>
      <c r="U338">
        <v>1.6295098959396044</v>
      </c>
      <c r="V338" s="118" t="s">
        <v>515</v>
      </c>
      <c r="W338" t="s">
        <v>515</v>
      </c>
      <c r="X338" t="s">
        <v>515</v>
      </c>
      <c r="Y338">
        <f t="shared" si="39"/>
        <v>6</v>
      </c>
      <c r="Z338">
        <f t="shared" si="40"/>
        <v>17</v>
      </c>
      <c r="AA338">
        <f t="shared" si="41"/>
        <v>2024</v>
      </c>
      <c r="AB338" s="118" t="b">
        <v>0</v>
      </c>
      <c r="AC338" s="19">
        <v>45460</v>
      </c>
      <c r="AD338" s="19" t="s">
        <v>515</v>
      </c>
      <c r="AE338" t="s">
        <v>515</v>
      </c>
      <c r="AF338" s="19">
        <v>45460</v>
      </c>
      <c r="AG338" t="s">
        <v>515</v>
      </c>
      <c r="AH338" t="s">
        <v>515</v>
      </c>
      <c r="AI338" s="118">
        <v>741.7</v>
      </c>
      <c r="AJ338" s="118">
        <v>422.8</v>
      </c>
      <c r="AK338" s="118">
        <v>415.9</v>
      </c>
      <c r="AL338" s="118">
        <v>270</v>
      </c>
      <c r="AM338" s="118">
        <v>0.2</v>
      </c>
      <c r="AN338" s="118">
        <v>415.1</v>
      </c>
      <c r="AO338" s="118">
        <v>0.53400000000000003</v>
      </c>
      <c r="AP338" s="118">
        <v>0.54700000000000004</v>
      </c>
      <c r="AQ338" s="118">
        <v>0.75700000000000001</v>
      </c>
      <c r="AR338" s="118">
        <v>151.6</v>
      </c>
      <c r="AS338" s="118">
        <v>12.31</v>
      </c>
      <c r="AT338" s="118">
        <v>154.9</v>
      </c>
      <c r="AU338" s="118">
        <v>-85.606134130000001</v>
      </c>
      <c r="AV338" s="118">
        <v>40.77494488</v>
      </c>
      <c r="AW338" s="118">
        <v>232.3</v>
      </c>
      <c r="AX338" s="118">
        <v>47.8</v>
      </c>
      <c r="AY338" s="118">
        <v>8.5299999999999994</v>
      </c>
      <c r="AZ338" s="118">
        <v>-112.8</v>
      </c>
      <c r="BA338" s="118">
        <v>11.9</v>
      </c>
      <c r="BB338" s="118">
        <v>0</v>
      </c>
      <c r="BC338" s="118">
        <v>25.875</v>
      </c>
      <c r="BD338" s="118">
        <v>5.54</v>
      </c>
      <c r="BE338" s="118">
        <v>0</v>
      </c>
      <c r="BF338" t="s">
        <v>515</v>
      </c>
      <c r="BG338" t="s">
        <v>515</v>
      </c>
      <c r="BH338" s="118">
        <v>139.14400000000001</v>
      </c>
      <c r="BI338" s="118">
        <v>233.828</v>
      </c>
      <c r="BJ338" s="118">
        <v>362.209</v>
      </c>
      <c r="BK338" s="118">
        <v>399.42399999999998</v>
      </c>
      <c r="BL338" s="118">
        <v>315.661</v>
      </c>
      <c r="BM338" s="118">
        <v>304.00400000000002</v>
      </c>
      <c r="BN338" s="118">
        <v>358.58300000000003</v>
      </c>
      <c r="BO338" s="118">
        <v>351.25400000000002</v>
      </c>
    </row>
    <row r="339" spans="1:67" x14ac:dyDescent="0.25">
      <c r="A339" s="25">
        <v>10338</v>
      </c>
      <c r="B339" t="s">
        <v>363</v>
      </c>
      <c r="C339" t="s">
        <v>363</v>
      </c>
      <c r="D339" s="27" t="s">
        <v>497</v>
      </c>
      <c r="E339" s="27">
        <v>7</v>
      </c>
      <c r="F339" s="118">
        <v>10610</v>
      </c>
      <c r="G339" t="s">
        <v>22</v>
      </c>
      <c r="H339" t="s">
        <v>8</v>
      </c>
      <c r="I339">
        <v>-0.50439999999999996</v>
      </c>
      <c r="J339">
        <v>2.6219999999999999</v>
      </c>
      <c r="K339">
        <v>1E-3</v>
      </c>
      <c r="L339" t="s">
        <v>515</v>
      </c>
      <c r="M339" s="140">
        <f t="shared" si="42"/>
        <v>0.05</v>
      </c>
      <c r="N339" s="140">
        <f t="shared" si="42"/>
        <v>2.6219999999999999</v>
      </c>
      <c r="O339" s="140">
        <f t="shared" si="42"/>
        <v>0.05</v>
      </c>
      <c r="P339" s="140" t="str">
        <f t="shared" si="38"/>
        <v>NULL</v>
      </c>
      <c r="Q339" s="161">
        <v>0.15423945029774655</v>
      </c>
      <c r="R339" s="125">
        <v>52.906666666666666</v>
      </c>
      <c r="S339">
        <v>80.483333333333334</v>
      </c>
      <c r="T339">
        <v>4.1107249912622477</v>
      </c>
      <c r="U339">
        <v>1.7747863701285453</v>
      </c>
      <c r="V339" s="118" t="s">
        <v>515</v>
      </c>
      <c r="W339" t="s">
        <v>515</v>
      </c>
      <c r="X339" t="s">
        <v>515</v>
      </c>
      <c r="Y339">
        <f t="shared" si="39"/>
        <v>6</v>
      </c>
      <c r="Z339">
        <f t="shared" si="40"/>
        <v>17</v>
      </c>
      <c r="AA339">
        <f t="shared" si="41"/>
        <v>2024</v>
      </c>
      <c r="AB339" s="118" t="b">
        <v>0</v>
      </c>
      <c r="AC339" s="19">
        <v>45460</v>
      </c>
      <c r="AD339" s="19" t="s">
        <v>515</v>
      </c>
      <c r="AE339" t="s">
        <v>515</v>
      </c>
      <c r="AF339" s="19">
        <v>45460</v>
      </c>
      <c r="AG339" t="s">
        <v>515</v>
      </c>
      <c r="AH339" t="s">
        <v>515</v>
      </c>
      <c r="AI339" s="118">
        <v>741.3</v>
      </c>
      <c r="AJ339" s="118">
        <v>418.4</v>
      </c>
      <c r="AK339" s="118">
        <v>408.6</v>
      </c>
      <c r="AL339" s="118">
        <v>266</v>
      </c>
      <c r="AM339" s="118">
        <v>0.19</v>
      </c>
      <c r="AN339" s="118">
        <v>407.6</v>
      </c>
      <c r="AO339" s="118">
        <v>0.51400000000000001</v>
      </c>
      <c r="AP339" s="118">
        <v>0.52900000000000003</v>
      </c>
      <c r="AQ339" s="118">
        <v>0.72799999999999998</v>
      </c>
      <c r="AR339" s="118">
        <v>167.3</v>
      </c>
      <c r="AS339" s="118">
        <v>13.5</v>
      </c>
      <c r="AT339" s="118">
        <v>171</v>
      </c>
      <c r="AU339" s="118">
        <v>-85.580525960000003</v>
      </c>
      <c r="AV339" s="118">
        <v>40.775568530000001</v>
      </c>
      <c r="AW339" s="118">
        <v>231.3</v>
      </c>
      <c r="AX339" s="118">
        <v>109.8</v>
      </c>
      <c r="AY339" s="118">
        <v>8.6199999999999992</v>
      </c>
      <c r="AZ339" s="118">
        <v>-118.5</v>
      </c>
      <c r="BA339" s="118">
        <v>11.9</v>
      </c>
      <c r="BB339" s="118">
        <v>0</v>
      </c>
      <c r="BC339" s="118">
        <v>26.251000000000001</v>
      </c>
      <c r="BD339" s="118">
        <v>6.63</v>
      </c>
      <c r="BE339" s="118">
        <v>0</v>
      </c>
      <c r="BF339" t="s">
        <v>515</v>
      </c>
      <c r="BG339" t="s">
        <v>515</v>
      </c>
      <c r="BH339" s="118">
        <v>140.69200000000001</v>
      </c>
      <c r="BI339" s="118">
        <v>223.869</v>
      </c>
      <c r="BJ339" s="118">
        <v>350.80599999999998</v>
      </c>
      <c r="BK339" s="118">
        <v>382.93099999999998</v>
      </c>
      <c r="BL339" s="118">
        <v>310.10300000000001</v>
      </c>
      <c r="BM339" s="118">
        <v>299.54500000000002</v>
      </c>
      <c r="BN339" s="118">
        <v>363.40199999999999</v>
      </c>
      <c r="BO339" s="118">
        <v>377.55200000000002</v>
      </c>
    </row>
    <row r="340" spans="1:67" x14ac:dyDescent="0.25">
      <c r="A340" s="25">
        <v>10339</v>
      </c>
      <c r="B340" t="s">
        <v>364</v>
      </c>
      <c r="C340" t="s">
        <v>364</v>
      </c>
      <c r="D340" s="27" t="s">
        <v>498</v>
      </c>
      <c r="E340" s="27">
        <v>8</v>
      </c>
      <c r="F340" s="118">
        <v>9370</v>
      </c>
      <c r="G340" t="s">
        <v>22</v>
      </c>
      <c r="H340" t="s">
        <v>8</v>
      </c>
      <c r="I340">
        <v>-0.50609999999999999</v>
      </c>
      <c r="J340">
        <v>2.7610000000000001</v>
      </c>
      <c r="K340">
        <v>1E-3</v>
      </c>
      <c r="L340" s="109">
        <v>-1.63826998689384E-3</v>
      </c>
      <c r="M340" s="140">
        <f t="shared" si="42"/>
        <v>0.05</v>
      </c>
      <c r="N340" s="140">
        <f t="shared" si="42"/>
        <v>2.7610000000000001</v>
      </c>
      <c r="O340" s="140">
        <f t="shared" si="42"/>
        <v>0.05</v>
      </c>
      <c r="P340" s="140">
        <f t="shared" si="38"/>
        <v>0.05</v>
      </c>
      <c r="Q340" s="161">
        <v>0.14422491778307095</v>
      </c>
      <c r="R340" s="125">
        <v>39.9</v>
      </c>
      <c r="S340">
        <v>56.639999999999993</v>
      </c>
      <c r="T340">
        <v>4.0467902142989765</v>
      </c>
      <c r="U340">
        <v>1.7974348092226076</v>
      </c>
      <c r="V340" s="118" t="s">
        <v>515</v>
      </c>
      <c r="W340" t="s">
        <v>515</v>
      </c>
      <c r="X340" t="s">
        <v>515</v>
      </c>
      <c r="Y340">
        <f t="shared" si="39"/>
        <v>6</v>
      </c>
      <c r="Z340">
        <f t="shared" si="40"/>
        <v>17</v>
      </c>
      <c r="AA340">
        <f t="shared" si="41"/>
        <v>2024</v>
      </c>
      <c r="AB340" s="118" t="b">
        <v>0</v>
      </c>
      <c r="AC340" s="19">
        <v>45460</v>
      </c>
      <c r="AD340" s="19" t="s">
        <v>515</v>
      </c>
      <c r="AE340" t="s">
        <v>515</v>
      </c>
      <c r="AF340" s="19">
        <v>45460</v>
      </c>
      <c r="AG340" t="s">
        <v>515</v>
      </c>
      <c r="AH340" t="s">
        <v>515</v>
      </c>
      <c r="AI340" s="118">
        <v>741.3</v>
      </c>
      <c r="AJ340" s="118">
        <v>426</v>
      </c>
      <c r="AK340" s="118">
        <v>424.6</v>
      </c>
      <c r="AL340" s="118">
        <v>276</v>
      </c>
      <c r="AM340" s="118">
        <v>0.2</v>
      </c>
      <c r="AN340" s="118">
        <v>424.5</v>
      </c>
      <c r="AO340" s="118">
        <v>0.54400000000000004</v>
      </c>
      <c r="AP340" s="118">
        <v>0.53100000000000003</v>
      </c>
      <c r="AQ340" s="118">
        <v>0.77100000000000002</v>
      </c>
      <c r="AR340" s="118">
        <v>142.4</v>
      </c>
      <c r="AS340" s="118">
        <v>11.72</v>
      </c>
      <c r="AT340" s="118">
        <v>145.5</v>
      </c>
      <c r="AU340" s="118">
        <v>-85.596868459999996</v>
      </c>
      <c r="AV340" s="118">
        <v>40.766858499999998</v>
      </c>
      <c r="AW340" s="118">
        <v>232.7</v>
      </c>
      <c r="AX340" s="118">
        <v>113.9</v>
      </c>
      <c r="AY340" s="118">
        <v>8.5</v>
      </c>
      <c r="AZ340" s="118">
        <v>-111.1</v>
      </c>
      <c r="BA340" s="118">
        <v>11.9</v>
      </c>
      <c r="BB340" s="118">
        <v>0</v>
      </c>
      <c r="BC340" s="118">
        <v>25.175999999999998</v>
      </c>
      <c r="BD340" s="118">
        <v>6.09</v>
      </c>
      <c r="BE340" s="118">
        <v>0</v>
      </c>
      <c r="BF340" t="s">
        <v>515</v>
      </c>
      <c r="BG340" t="s">
        <v>515</v>
      </c>
      <c r="BH340" s="118">
        <v>160.17699999999999</v>
      </c>
      <c r="BI340" s="118">
        <v>252.11500000000001</v>
      </c>
      <c r="BJ340" s="118">
        <v>385.44799999999998</v>
      </c>
      <c r="BK340" s="118">
        <v>426.904</v>
      </c>
      <c r="BL340" s="118">
        <v>353.09300000000002</v>
      </c>
      <c r="BM340" s="118">
        <v>340.12200000000001</v>
      </c>
      <c r="BN340" s="118">
        <v>384.98700000000002</v>
      </c>
      <c r="BO340" s="118">
        <v>358.10899999999998</v>
      </c>
    </row>
    <row r="341" spans="1:67" x14ac:dyDescent="0.25">
      <c r="A341" s="25">
        <v>10340</v>
      </c>
      <c r="B341" t="s">
        <v>365</v>
      </c>
      <c r="C341" t="s">
        <v>365</v>
      </c>
      <c r="D341" s="27" t="s">
        <v>499</v>
      </c>
      <c r="E341" s="27">
        <v>9</v>
      </c>
      <c r="F341" s="118">
        <v>10331</v>
      </c>
      <c r="G341" t="s">
        <v>22</v>
      </c>
      <c r="H341" t="s">
        <v>8</v>
      </c>
      <c r="I341">
        <v>-0.5101</v>
      </c>
      <c r="J341">
        <v>2.7090000000000001</v>
      </c>
      <c r="K341">
        <v>2E-3</v>
      </c>
      <c r="L341" t="s">
        <v>515</v>
      </c>
      <c r="M341" s="140">
        <f t="shared" si="42"/>
        <v>0.05</v>
      </c>
      <c r="N341" s="140">
        <f t="shared" si="42"/>
        <v>2.7090000000000001</v>
      </c>
      <c r="O341" s="140">
        <f t="shared" si="42"/>
        <v>0.05</v>
      </c>
      <c r="P341" s="140" t="str">
        <f t="shared" si="38"/>
        <v>NULL</v>
      </c>
      <c r="Q341" s="161">
        <v>0.20272207257542854</v>
      </c>
      <c r="R341" s="125">
        <v>37.856666666666669</v>
      </c>
      <c r="S341">
        <v>40.183333333333337</v>
      </c>
      <c r="T341">
        <v>4.1881744365266975</v>
      </c>
      <c r="U341">
        <v>1.8376306876147726</v>
      </c>
      <c r="V341" s="118" t="s">
        <v>515</v>
      </c>
      <c r="W341" t="s">
        <v>515</v>
      </c>
      <c r="X341" t="s">
        <v>515</v>
      </c>
      <c r="Y341">
        <f t="shared" si="39"/>
        <v>6</v>
      </c>
      <c r="Z341">
        <f t="shared" si="40"/>
        <v>17</v>
      </c>
      <c r="AA341">
        <f t="shared" si="41"/>
        <v>2024</v>
      </c>
      <c r="AB341" s="118" t="b">
        <v>0</v>
      </c>
      <c r="AC341" s="19">
        <v>45460</v>
      </c>
      <c r="AD341" s="19" t="s">
        <v>515</v>
      </c>
      <c r="AE341" t="s">
        <v>515</v>
      </c>
      <c r="AF341" s="19">
        <v>45460</v>
      </c>
      <c r="AG341" t="s">
        <v>515</v>
      </c>
      <c r="AH341" t="s">
        <v>515</v>
      </c>
      <c r="AI341" s="118">
        <v>741.2</v>
      </c>
      <c r="AJ341" s="118">
        <v>431.2</v>
      </c>
      <c r="AK341" s="118">
        <v>429</v>
      </c>
      <c r="AL341" s="118">
        <v>279</v>
      </c>
      <c r="AM341" s="118">
        <v>0.2</v>
      </c>
      <c r="AN341" s="118">
        <v>428.8</v>
      </c>
      <c r="AO341" s="118">
        <v>0.504</v>
      </c>
      <c r="AP341" s="118">
        <v>0.497</v>
      </c>
      <c r="AQ341" s="118">
        <v>0.71499999999999997</v>
      </c>
      <c r="AR341" s="118">
        <v>154.5</v>
      </c>
      <c r="AS341" s="118">
        <v>12.69</v>
      </c>
      <c r="AT341" s="118">
        <v>157.9</v>
      </c>
      <c r="AU341" s="118">
        <v>-85.594853409999999</v>
      </c>
      <c r="AV341" s="118">
        <v>40.757165809999996</v>
      </c>
      <c r="AW341" s="118">
        <v>231</v>
      </c>
      <c r="AX341" s="118">
        <v>113.6</v>
      </c>
      <c r="AY341" s="118">
        <v>8.5500000000000007</v>
      </c>
      <c r="AZ341" s="118">
        <v>-113.7</v>
      </c>
      <c r="BA341" s="118">
        <v>11.9</v>
      </c>
      <c r="BB341" s="118">
        <v>0</v>
      </c>
      <c r="BC341" s="118">
        <v>25.268999999999998</v>
      </c>
      <c r="BD341" s="118">
        <v>6.22</v>
      </c>
      <c r="BE341" s="118">
        <v>0</v>
      </c>
      <c r="BF341" t="s">
        <v>515</v>
      </c>
      <c r="BG341" t="s">
        <v>515</v>
      </c>
      <c r="BH341" s="118">
        <v>116.95</v>
      </c>
      <c r="BI341" s="118">
        <v>221.41800000000001</v>
      </c>
      <c r="BJ341" s="118">
        <v>362.25599999999997</v>
      </c>
      <c r="BK341" s="118">
        <v>400.464</v>
      </c>
      <c r="BL341" s="118">
        <v>317.30900000000003</v>
      </c>
      <c r="BM341" s="118">
        <v>286.166</v>
      </c>
      <c r="BN341" s="118">
        <v>377.68900000000002</v>
      </c>
      <c r="BO341" s="118">
        <v>350.67599999999999</v>
      </c>
    </row>
    <row r="342" spans="1:67" x14ac:dyDescent="0.25">
      <c r="A342" s="25">
        <v>10341</v>
      </c>
      <c r="B342" t="s">
        <v>366</v>
      </c>
      <c r="C342" t="s">
        <v>366</v>
      </c>
      <c r="D342" s="27" t="s">
        <v>500</v>
      </c>
      <c r="E342" s="27">
        <v>10</v>
      </c>
      <c r="F342" s="118">
        <v>11270</v>
      </c>
      <c r="G342" t="s">
        <v>22</v>
      </c>
      <c r="H342" t="s">
        <v>8</v>
      </c>
      <c r="I342">
        <v>-0.50129999999999997</v>
      </c>
      <c r="J342">
        <v>2.77</v>
      </c>
      <c r="K342">
        <v>2E-3</v>
      </c>
      <c r="L342" t="s">
        <v>515</v>
      </c>
      <c r="M342" s="140">
        <f t="shared" si="42"/>
        <v>0.05</v>
      </c>
      <c r="N342" s="140">
        <f t="shared" si="42"/>
        <v>2.77</v>
      </c>
      <c r="O342" s="140">
        <f t="shared" si="42"/>
        <v>0.05</v>
      </c>
      <c r="P342" s="140" t="str">
        <f t="shared" si="38"/>
        <v>NULL</v>
      </c>
      <c r="Q342" s="161">
        <v>0.22173503371726239</v>
      </c>
      <c r="R342" s="125">
        <v>28.836666666666662</v>
      </c>
      <c r="S342">
        <v>40.206666666666663</v>
      </c>
      <c r="T342">
        <v>4.0285973915858513</v>
      </c>
      <c r="U342">
        <v>1.8559942868802288</v>
      </c>
      <c r="V342" s="118" t="s">
        <v>515</v>
      </c>
      <c r="W342" t="s">
        <v>515</v>
      </c>
      <c r="X342" t="s">
        <v>515</v>
      </c>
      <c r="Y342">
        <f t="shared" si="39"/>
        <v>6</v>
      </c>
      <c r="Z342">
        <f t="shared" si="40"/>
        <v>17</v>
      </c>
      <c r="AA342">
        <f t="shared" si="41"/>
        <v>2024</v>
      </c>
      <c r="AB342" s="118" t="b">
        <v>0</v>
      </c>
      <c r="AC342" s="19">
        <v>45460</v>
      </c>
      <c r="AD342" s="19" t="s">
        <v>515</v>
      </c>
      <c r="AE342" t="s">
        <v>515</v>
      </c>
      <c r="AF342" s="19">
        <v>45460</v>
      </c>
      <c r="AG342" t="s">
        <v>515</v>
      </c>
      <c r="AH342" t="s">
        <v>515</v>
      </c>
      <c r="AI342" s="118">
        <v>741.1</v>
      </c>
      <c r="AJ342" s="118">
        <v>455.5</v>
      </c>
      <c r="AK342" s="118">
        <v>442.9</v>
      </c>
      <c r="AL342" s="118">
        <v>288</v>
      </c>
      <c r="AM342" s="118">
        <v>0.21</v>
      </c>
      <c r="AN342" s="118">
        <v>441.6</v>
      </c>
      <c r="AO342" s="118">
        <v>0.59299999999999997</v>
      </c>
      <c r="AP342" s="118">
        <v>0.60799999999999998</v>
      </c>
      <c r="AQ342" s="118">
        <v>0.84099999999999997</v>
      </c>
      <c r="AR342" s="118">
        <v>156.4</v>
      </c>
      <c r="AS342" s="118">
        <v>12.56</v>
      </c>
      <c r="AT342" s="118">
        <v>159.80000000000001</v>
      </c>
      <c r="AU342" s="118">
        <v>-85.582874129999993</v>
      </c>
      <c r="AV342" s="118">
        <v>40.755891669999997</v>
      </c>
      <c r="AW342" s="118">
        <v>232.7</v>
      </c>
      <c r="AX342" s="118">
        <v>104.9</v>
      </c>
      <c r="AY342" s="118">
        <v>8.5</v>
      </c>
      <c r="AZ342" s="118">
        <v>-111.5</v>
      </c>
      <c r="BA342" s="118">
        <v>11.9</v>
      </c>
      <c r="BB342" s="118">
        <v>0</v>
      </c>
      <c r="BC342" s="118">
        <v>26.495000000000001</v>
      </c>
      <c r="BD342" s="118">
        <v>5.2</v>
      </c>
      <c r="BE342" s="118">
        <v>0</v>
      </c>
      <c r="BF342" t="s">
        <v>515</v>
      </c>
      <c r="BG342" t="s">
        <v>515</v>
      </c>
      <c r="BH342" s="118">
        <v>174.18899999999999</v>
      </c>
      <c r="BI342" s="118">
        <v>271.92700000000002</v>
      </c>
      <c r="BJ342" s="118">
        <v>411.334</v>
      </c>
      <c r="BK342" s="118">
        <v>462.46600000000001</v>
      </c>
      <c r="BL342" s="118">
        <v>395.29</v>
      </c>
      <c r="BM342" s="118">
        <v>371.87400000000002</v>
      </c>
      <c r="BN342" s="118">
        <v>454.53899999999999</v>
      </c>
      <c r="BO342" s="118">
        <v>438.97800000000001</v>
      </c>
    </row>
    <row r="343" spans="1:67" x14ac:dyDescent="0.25">
      <c r="A343" s="25">
        <v>10342</v>
      </c>
      <c r="B343" t="s">
        <v>367</v>
      </c>
      <c r="C343" t="s">
        <v>367</v>
      </c>
      <c r="D343" s="27" t="s">
        <v>501</v>
      </c>
      <c r="E343" s="27">
        <v>13</v>
      </c>
      <c r="F343" s="118">
        <v>5180</v>
      </c>
      <c r="G343" t="s">
        <v>22</v>
      </c>
      <c r="H343" t="s">
        <v>8</v>
      </c>
      <c r="I343">
        <v>-0.50209999999999999</v>
      </c>
      <c r="J343">
        <v>2.5950000000000002</v>
      </c>
      <c r="K343">
        <v>1E-3</v>
      </c>
      <c r="L343" t="s">
        <v>515</v>
      </c>
      <c r="M343" s="140">
        <f t="shared" si="42"/>
        <v>0.05</v>
      </c>
      <c r="N343" s="140">
        <f t="shared" si="42"/>
        <v>2.5950000000000002</v>
      </c>
      <c r="O343" s="140">
        <f t="shared" si="42"/>
        <v>0.05</v>
      </c>
      <c r="P343" s="140" t="str">
        <f t="shared" si="38"/>
        <v>NULL</v>
      </c>
      <c r="Q343" s="161">
        <v>0.19989054292111763</v>
      </c>
      <c r="R343" s="125">
        <v>29.03</v>
      </c>
      <c r="S343">
        <v>50.213333333333338</v>
      </c>
      <c r="T343">
        <v>4.0701809863587091</v>
      </c>
      <c r="U343">
        <v>1.8025358090185679</v>
      </c>
      <c r="V343" s="118" t="s">
        <v>515</v>
      </c>
      <c r="W343" t="s">
        <v>515</v>
      </c>
      <c r="X343" t="s">
        <v>515</v>
      </c>
      <c r="Y343">
        <f t="shared" si="39"/>
        <v>6</v>
      </c>
      <c r="Z343">
        <f t="shared" si="40"/>
        <v>17</v>
      </c>
      <c r="AA343">
        <f t="shared" si="41"/>
        <v>2024</v>
      </c>
      <c r="AB343" s="118" t="b">
        <v>0</v>
      </c>
      <c r="AC343" s="19">
        <v>45460</v>
      </c>
      <c r="AD343" s="19" t="s">
        <v>515</v>
      </c>
      <c r="AE343" t="s">
        <v>515</v>
      </c>
      <c r="AF343" s="19">
        <v>45460</v>
      </c>
      <c r="AG343" t="s">
        <v>515</v>
      </c>
      <c r="AH343" t="s">
        <v>515</v>
      </c>
      <c r="AI343" s="118">
        <v>742</v>
      </c>
      <c r="AJ343" s="118">
        <v>412.8</v>
      </c>
      <c r="AK343" s="118">
        <v>408.3</v>
      </c>
      <c r="AL343" s="118">
        <v>265</v>
      </c>
      <c r="AM343" s="118">
        <v>0.19</v>
      </c>
      <c r="AN343" s="118">
        <v>407.8</v>
      </c>
      <c r="AO343" s="118">
        <v>0.53800000000000003</v>
      </c>
      <c r="AP343" s="118">
        <v>0.53900000000000003</v>
      </c>
      <c r="AQ343" s="118">
        <v>0.76300000000000001</v>
      </c>
      <c r="AR343" s="118">
        <v>143.4</v>
      </c>
      <c r="AS343" s="118">
        <v>11.72</v>
      </c>
      <c r="AT343" s="118">
        <v>146.6</v>
      </c>
      <c r="AU343" s="118">
        <v>-85.637500149999994</v>
      </c>
      <c r="AV343" s="118">
        <v>40.781062970000001</v>
      </c>
      <c r="AW343" s="118">
        <v>230.6</v>
      </c>
      <c r="AX343" s="118">
        <v>100.9</v>
      </c>
      <c r="AY343" s="118">
        <v>8.58</v>
      </c>
      <c r="AZ343" s="118">
        <v>-115.8</v>
      </c>
      <c r="BA343" s="118">
        <v>12</v>
      </c>
      <c r="BB343" s="118">
        <v>0</v>
      </c>
      <c r="BC343" s="118">
        <v>25.582000000000001</v>
      </c>
      <c r="BD343" s="118">
        <v>5.86</v>
      </c>
      <c r="BE343" s="118">
        <v>0</v>
      </c>
      <c r="BF343" t="s">
        <v>515</v>
      </c>
      <c r="BG343" t="s">
        <v>515</v>
      </c>
      <c r="BH343" s="118">
        <v>162.97399999999999</v>
      </c>
      <c r="BI343" s="118">
        <v>238.49799999999999</v>
      </c>
      <c r="BJ343" s="118">
        <v>346.79199999999997</v>
      </c>
      <c r="BK343" s="118">
        <v>391.70800000000003</v>
      </c>
      <c r="BL343" s="118">
        <v>322.06700000000001</v>
      </c>
      <c r="BM343" s="118">
        <v>325.572</v>
      </c>
      <c r="BN343" s="118">
        <v>357.91800000000001</v>
      </c>
      <c r="BO343" s="118">
        <v>380.07600000000002</v>
      </c>
    </row>
    <row r="344" spans="1:67" x14ac:dyDescent="0.25">
      <c r="A344" s="25">
        <v>10343</v>
      </c>
      <c r="B344" t="s">
        <v>368</v>
      </c>
      <c r="C344" t="s">
        <v>368</v>
      </c>
      <c r="D344" s="27" t="s">
        <v>502</v>
      </c>
      <c r="E344" s="27">
        <v>14</v>
      </c>
      <c r="F344" s="118">
        <v>1040</v>
      </c>
      <c r="G344" t="s">
        <v>22</v>
      </c>
      <c r="H344" t="s">
        <v>8</v>
      </c>
      <c r="I344">
        <v>-0.68030000000000002</v>
      </c>
      <c r="J344">
        <v>2.6680000000000001</v>
      </c>
      <c r="K344">
        <v>1E-3</v>
      </c>
      <c r="L344" s="109">
        <v>7.434210526315789E-2</v>
      </c>
      <c r="M344" s="140">
        <f t="shared" si="42"/>
        <v>0.05</v>
      </c>
      <c r="N344" s="140">
        <f t="shared" si="42"/>
        <v>2.6680000000000001</v>
      </c>
      <c r="O344" s="140">
        <f t="shared" si="42"/>
        <v>0.05</v>
      </c>
      <c r="P344" s="140">
        <f t="shared" si="38"/>
        <v>0.05</v>
      </c>
      <c r="Q344" s="161">
        <v>0.16155635043878247</v>
      </c>
      <c r="R344" s="125">
        <v>22.33</v>
      </c>
      <c r="S344">
        <v>36.4</v>
      </c>
      <c r="T344">
        <v>4.0426318548216909</v>
      </c>
      <c r="U344">
        <v>1.784784329728627</v>
      </c>
      <c r="V344" s="118" t="s">
        <v>515</v>
      </c>
      <c r="W344" t="s">
        <v>515</v>
      </c>
      <c r="X344" t="s">
        <v>515</v>
      </c>
      <c r="Y344">
        <f t="shared" si="39"/>
        <v>6</v>
      </c>
      <c r="Z344">
        <f t="shared" si="40"/>
        <v>17</v>
      </c>
      <c r="AA344">
        <f t="shared" si="41"/>
        <v>2024</v>
      </c>
      <c r="AB344" s="118" t="b">
        <v>0</v>
      </c>
      <c r="AC344" s="19">
        <v>45460</v>
      </c>
      <c r="AD344" s="19" t="s">
        <v>515</v>
      </c>
      <c r="AE344" t="s">
        <v>515</v>
      </c>
      <c r="AF344" s="19">
        <v>45460</v>
      </c>
      <c r="AG344" t="s">
        <v>515</v>
      </c>
      <c r="AH344" t="s">
        <v>515</v>
      </c>
      <c r="AI344" s="118">
        <v>740.6</v>
      </c>
      <c r="AJ344" s="118">
        <v>399.4</v>
      </c>
      <c r="AK344" s="118">
        <v>382.4</v>
      </c>
      <c r="AL344" s="118">
        <v>249</v>
      </c>
      <c r="AM344" s="118">
        <v>0.18</v>
      </c>
      <c r="AN344" s="118">
        <v>380.5</v>
      </c>
      <c r="AO344" s="118">
        <v>0.50700000000000001</v>
      </c>
      <c r="AP344" s="118">
        <v>0.495</v>
      </c>
      <c r="AQ344" s="118">
        <v>0.71899999999999997</v>
      </c>
      <c r="AR344" s="118">
        <v>173.6</v>
      </c>
      <c r="AS344" s="118">
        <v>13.74</v>
      </c>
      <c r="AT344" s="118">
        <v>177.5</v>
      </c>
      <c r="AU344" s="118">
        <v>-85.667890909999997</v>
      </c>
      <c r="AV344" s="118">
        <v>40.8002343</v>
      </c>
      <c r="AW344" s="118">
        <v>231.3</v>
      </c>
      <c r="AX344" s="118">
        <v>94.8</v>
      </c>
      <c r="AY344" s="118">
        <v>8.86</v>
      </c>
      <c r="AZ344" s="118">
        <v>-133.19999999999999</v>
      </c>
      <c r="BA344" s="118">
        <v>11.9</v>
      </c>
      <c r="BB344" s="118">
        <v>0</v>
      </c>
      <c r="BC344" s="118">
        <v>27.334</v>
      </c>
      <c r="BD344" s="118">
        <v>5.73</v>
      </c>
      <c r="BE344" s="118">
        <v>0</v>
      </c>
      <c r="BF344" t="s">
        <v>515</v>
      </c>
      <c r="BG344" t="s">
        <v>515</v>
      </c>
      <c r="BH344" s="118">
        <v>178.905</v>
      </c>
      <c r="BI344" s="118">
        <v>255.88300000000001</v>
      </c>
      <c r="BJ344" s="118">
        <v>382.01100000000002</v>
      </c>
      <c r="BK344" s="118">
        <v>433.83699999999999</v>
      </c>
      <c r="BL344" s="118">
        <v>372.70100000000002</v>
      </c>
      <c r="BM344" s="118">
        <v>364.00700000000001</v>
      </c>
      <c r="BN344" s="118">
        <v>436.33800000000002</v>
      </c>
      <c r="BO344" s="118">
        <v>460.01</v>
      </c>
    </row>
    <row r="345" spans="1:67" x14ac:dyDescent="0.25">
      <c r="A345" s="25">
        <v>10344</v>
      </c>
      <c r="B345" s="69" t="s">
        <v>369</v>
      </c>
      <c r="C345" s="37" t="s">
        <v>369</v>
      </c>
      <c r="D345" s="38" t="s">
        <v>504</v>
      </c>
      <c r="E345" s="38">
        <v>5</v>
      </c>
      <c r="F345" s="118">
        <v>6425</v>
      </c>
      <c r="G345" s="37" t="s">
        <v>20</v>
      </c>
      <c r="H345" s="37" t="s">
        <v>8</v>
      </c>
      <c r="I345">
        <v>1.72E-2</v>
      </c>
      <c r="J345">
        <v>2.165</v>
      </c>
      <c r="K345">
        <v>-3.5999999999999997E-2</v>
      </c>
      <c r="L345" s="108" t="s">
        <v>515</v>
      </c>
      <c r="M345" s="140">
        <f t="shared" si="42"/>
        <v>0.05</v>
      </c>
      <c r="N345" s="140">
        <f t="shared" si="42"/>
        <v>2.165</v>
      </c>
      <c r="O345" s="140">
        <f t="shared" si="42"/>
        <v>0.05</v>
      </c>
      <c r="P345" s="140" t="str">
        <f t="shared" si="38"/>
        <v>NULL</v>
      </c>
      <c r="Q345" s="165">
        <v>0.15</v>
      </c>
      <c r="R345" s="125">
        <v>43.443333333333328</v>
      </c>
      <c r="S345">
        <v>51.446666666666665</v>
      </c>
      <c r="T345" s="27">
        <v>2.4212442359032442</v>
      </c>
      <c r="U345" s="27">
        <v>1.5296298281287231</v>
      </c>
      <c r="V345" s="27" t="s">
        <v>515</v>
      </c>
      <c r="W345" t="s">
        <v>515</v>
      </c>
      <c r="X345" t="s">
        <v>515</v>
      </c>
      <c r="Y345">
        <f t="shared" si="39"/>
        <v>6</v>
      </c>
      <c r="Z345">
        <f t="shared" si="40"/>
        <v>19</v>
      </c>
      <c r="AA345">
        <f t="shared" si="41"/>
        <v>2024</v>
      </c>
      <c r="AB345" s="118" t="b">
        <v>0</v>
      </c>
      <c r="AC345" s="19">
        <v>45462</v>
      </c>
      <c r="AD345" s="19" t="s">
        <v>515</v>
      </c>
      <c r="AE345" t="s">
        <v>515</v>
      </c>
      <c r="AF345" s="19">
        <v>45462</v>
      </c>
      <c r="AG345" t="s">
        <v>515</v>
      </c>
      <c r="AH345" t="s">
        <v>515</v>
      </c>
      <c r="AI345" s="190" t="s">
        <v>515</v>
      </c>
      <c r="AJ345" s="190" t="s">
        <v>515</v>
      </c>
      <c r="AK345" s="190" t="s">
        <v>515</v>
      </c>
      <c r="AL345" s="190" t="s">
        <v>515</v>
      </c>
      <c r="AM345" s="190" t="s">
        <v>515</v>
      </c>
      <c r="AN345" s="190" t="s">
        <v>515</v>
      </c>
      <c r="AO345" s="190" t="s">
        <v>515</v>
      </c>
      <c r="AP345" s="190" t="s">
        <v>515</v>
      </c>
      <c r="AQ345" s="190" t="s">
        <v>515</v>
      </c>
      <c r="AR345" s="190" t="s">
        <v>515</v>
      </c>
      <c r="AS345" s="190" t="s">
        <v>515</v>
      </c>
      <c r="AT345" s="190" t="s">
        <v>515</v>
      </c>
      <c r="AU345" s="190" t="s">
        <v>515</v>
      </c>
      <c r="AV345" s="190" t="s">
        <v>515</v>
      </c>
      <c r="AW345" s="190" t="s">
        <v>515</v>
      </c>
      <c r="AX345" s="190" t="s">
        <v>515</v>
      </c>
      <c r="AY345" s="190" t="s">
        <v>515</v>
      </c>
      <c r="AZ345" s="190" t="s">
        <v>515</v>
      </c>
      <c r="BA345" s="190" t="s">
        <v>515</v>
      </c>
      <c r="BB345" s="190" t="s">
        <v>515</v>
      </c>
      <c r="BC345" s="190" t="s">
        <v>515</v>
      </c>
      <c r="BD345" s="190" t="s">
        <v>515</v>
      </c>
      <c r="BE345" s="190" t="s">
        <v>515</v>
      </c>
      <c r="BF345" t="s">
        <v>515</v>
      </c>
      <c r="BG345" t="s">
        <v>515</v>
      </c>
      <c r="BH345" s="190">
        <v>322.27100000000002</v>
      </c>
      <c r="BI345" s="190">
        <v>355.54300000000001</v>
      </c>
      <c r="BJ345" s="190">
        <v>453.83699999999999</v>
      </c>
      <c r="BK345" s="190">
        <v>487.54500000000002</v>
      </c>
      <c r="BL345" s="190">
        <v>449.93200000000002</v>
      </c>
      <c r="BM345" s="190">
        <v>371.03699999999998</v>
      </c>
      <c r="BN345" s="190">
        <v>452.99900000000002</v>
      </c>
      <c r="BO345" s="190">
        <v>613.93600000000004</v>
      </c>
    </row>
    <row r="346" spans="1:67" x14ac:dyDescent="0.25">
      <c r="A346" s="25">
        <v>10345</v>
      </c>
      <c r="B346" s="69" t="s">
        <v>370</v>
      </c>
      <c r="C346" s="37" t="s">
        <v>370</v>
      </c>
      <c r="D346" s="38" t="s">
        <v>483</v>
      </c>
      <c r="E346" s="38">
        <v>6</v>
      </c>
      <c r="F346" s="118">
        <v>8245</v>
      </c>
      <c r="G346" s="37" t="s">
        <v>20</v>
      </c>
      <c r="H346" s="37" t="s">
        <v>8</v>
      </c>
      <c r="I346">
        <v>1.3299999999999999E-2</v>
      </c>
      <c r="J346">
        <v>1.6659999999999999</v>
      </c>
      <c r="K346">
        <v>-0.04</v>
      </c>
      <c r="L346" t="s">
        <v>515</v>
      </c>
      <c r="M346" s="140">
        <f t="shared" si="42"/>
        <v>0.05</v>
      </c>
      <c r="N346" s="140">
        <f t="shared" si="42"/>
        <v>1.6659999999999999</v>
      </c>
      <c r="O346" s="140">
        <f t="shared" si="42"/>
        <v>0.05</v>
      </c>
      <c r="P346" s="140" t="str">
        <f t="shared" si="38"/>
        <v>NULL</v>
      </c>
      <c r="Q346" s="161">
        <v>0.15971973526009681</v>
      </c>
      <c r="R346" s="125">
        <v>1.2</v>
      </c>
      <c r="S346">
        <v>2.4</v>
      </c>
      <c r="T346" s="27">
        <v>3.023609200981582</v>
      </c>
      <c r="U346" s="27">
        <v>1.5035992429579399</v>
      </c>
      <c r="V346" s="27" t="s">
        <v>515</v>
      </c>
      <c r="W346" t="s">
        <v>515</v>
      </c>
      <c r="X346" t="s">
        <v>515</v>
      </c>
      <c r="Y346">
        <f t="shared" si="39"/>
        <v>6</v>
      </c>
      <c r="Z346">
        <f t="shared" si="40"/>
        <v>19</v>
      </c>
      <c r="AA346">
        <f t="shared" si="41"/>
        <v>2024</v>
      </c>
      <c r="AB346" s="118" t="b">
        <v>0</v>
      </c>
      <c r="AC346" s="19">
        <v>45462</v>
      </c>
      <c r="AD346" s="19" t="s">
        <v>515</v>
      </c>
      <c r="AE346" t="s">
        <v>515</v>
      </c>
      <c r="AF346" s="19">
        <v>45462</v>
      </c>
      <c r="AG346" t="s">
        <v>515</v>
      </c>
      <c r="AH346" t="s">
        <v>515</v>
      </c>
      <c r="AI346" s="190" t="s">
        <v>515</v>
      </c>
      <c r="AJ346" s="190" t="s">
        <v>515</v>
      </c>
      <c r="AK346" s="190" t="s">
        <v>515</v>
      </c>
      <c r="AL346" s="190" t="s">
        <v>515</v>
      </c>
      <c r="AM346" s="190" t="s">
        <v>515</v>
      </c>
      <c r="AN346" s="190" t="s">
        <v>515</v>
      </c>
      <c r="AO346" s="190" t="s">
        <v>515</v>
      </c>
      <c r="AP346" s="190" t="s">
        <v>515</v>
      </c>
      <c r="AQ346" s="190" t="s">
        <v>515</v>
      </c>
      <c r="AR346" s="190" t="s">
        <v>515</v>
      </c>
      <c r="AS346" s="190" t="s">
        <v>515</v>
      </c>
      <c r="AT346" s="190" t="s">
        <v>515</v>
      </c>
      <c r="AU346" s="190" t="s">
        <v>515</v>
      </c>
      <c r="AV346" s="190" t="s">
        <v>515</v>
      </c>
      <c r="AW346" s="190" t="s">
        <v>515</v>
      </c>
      <c r="AX346" s="190" t="s">
        <v>515</v>
      </c>
      <c r="AY346" s="190" t="s">
        <v>515</v>
      </c>
      <c r="AZ346" s="190" t="s">
        <v>515</v>
      </c>
      <c r="BA346" s="190" t="s">
        <v>515</v>
      </c>
      <c r="BB346" s="190" t="s">
        <v>515</v>
      </c>
      <c r="BC346" s="190" t="s">
        <v>515</v>
      </c>
      <c r="BD346" s="190" t="s">
        <v>515</v>
      </c>
      <c r="BE346" s="190" t="s">
        <v>515</v>
      </c>
      <c r="BF346" t="s">
        <v>515</v>
      </c>
      <c r="BG346" t="s">
        <v>515</v>
      </c>
      <c r="BH346" s="190">
        <v>286.17399999999998</v>
      </c>
      <c r="BI346" s="190">
        <v>308.53800000000001</v>
      </c>
      <c r="BJ346" s="190">
        <v>371.97399999999999</v>
      </c>
      <c r="BK346" s="190">
        <v>403.58100000000002</v>
      </c>
      <c r="BL346" s="190">
        <v>375.58300000000003</v>
      </c>
      <c r="BM346" s="190">
        <v>327.52</v>
      </c>
      <c r="BN346" s="190">
        <v>369.08</v>
      </c>
      <c r="BO346" s="190">
        <v>592.63099999999997</v>
      </c>
    </row>
    <row r="347" spans="1:67" x14ac:dyDescent="0.25">
      <c r="A347" s="25">
        <v>10346</v>
      </c>
      <c r="B347" t="s">
        <v>371</v>
      </c>
      <c r="C347" t="s">
        <v>371</v>
      </c>
      <c r="D347" s="27" t="s">
        <v>484</v>
      </c>
      <c r="E347" s="27">
        <v>8</v>
      </c>
      <c r="F347" s="118">
        <v>5065</v>
      </c>
      <c r="G347" t="s">
        <v>20</v>
      </c>
      <c r="H347" t="s">
        <v>8</v>
      </c>
      <c r="I347">
        <v>3.4700000000000002E-2</v>
      </c>
      <c r="J347">
        <v>3.7410000000000001</v>
      </c>
      <c r="K347">
        <v>0.18</v>
      </c>
      <c r="L347" s="108">
        <v>3.3096926713947999E-3</v>
      </c>
      <c r="M347" s="140">
        <f t="shared" si="42"/>
        <v>0.05</v>
      </c>
      <c r="N347" s="140">
        <f t="shared" si="42"/>
        <v>3.7410000000000001</v>
      </c>
      <c r="O347" s="140">
        <f t="shared" si="42"/>
        <v>0.18</v>
      </c>
      <c r="P347" s="140">
        <f t="shared" si="38"/>
        <v>0.05</v>
      </c>
      <c r="Q347" s="165">
        <v>0.15</v>
      </c>
      <c r="R347" s="125">
        <v>8.6766666666666676</v>
      </c>
      <c r="S347">
        <v>8.7033333333333331</v>
      </c>
      <c r="T347" s="27">
        <v>273.70289620580854</v>
      </c>
      <c r="U347" s="27">
        <v>1.9477334907168073</v>
      </c>
      <c r="V347" s="27" t="s">
        <v>515</v>
      </c>
      <c r="W347" t="s">
        <v>515</v>
      </c>
      <c r="X347" t="s">
        <v>515</v>
      </c>
      <c r="Y347">
        <f t="shared" si="39"/>
        <v>6</v>
      </c>
      <c r="Z347">
        <f t="shared" si="40"/>
        <v>19</v>
      </c>
      <c r="AA347">
        <f t="shared" si="41"/>
        <v>2024</v>
      </c>
      <c r="AB347" s="118" t="b">
        <v>0</v>
      </c>
      <c r="AC347" s="19">
        <v>45462</v>
      </c>
      <c r="AD347" s="19" t="s">
        <v>515</v>
      </c>
      <c r="AE347" t="s">
        <v>515</v>
      </c>
      <c r="AF347" s="19">
        <v>45462</v>
      </c>
      <c r="AG347" t="s">
        <v>515</v>
      </c>
      <c r="AH347" t="s">
        <v>515</v>
      </c>
      <c r="AI347" s="190" t="s">
        <v>515</v>
      </c>
      <c r="AJ347" s="190" t="s">
        <v>515</v>
      </c>
      <c r="AK347" s="190" t="s">
        <v>515</v>
      </c>
      <c r="AL347" s="190" t="s">
        <v>515</v>
      </c>
      <c r="AM347" s="190" t="s">
        <v>515</v>
      </c>
      <c r="AN347" s="190" t="s">
        <v>515</v>
      </c>
      <c r="AO347" s="190" t="s">
        <v>515</v>
      </c>
      <c r="AP347" s="190" t="s">
        <v>515</v>
      </c>
      <c r="AQ347" s="190" t="s">
        <v>515</v>
      </c>
      <c r="AR347" s="190" t="s">
        <v>515</v>
      </c>
      <c r="AS347" s="190" t="s">
        <v>515</v>
      </c>
      <c r="AT347" s="190" t="s">
        <v>515</v>
      </c>
      <c r="AU347" s="190" t="s">
        <v>515</v>
      </c>
      <c r="AV347" s="190" t="s">
        <v>515</v>
      </c>
      <c r="AW347" s="190" t="s">
        <v>515</v>
      </c>
      <c r="AX347" s="190" t="s">
        <v>515</v>
      </c>
      <c r="AY347" s="190" t="s">
        <v>515</v>
      </c>
      <c r="AZ347" s="190" t="s">
        <v>515</v>
      </c>
      <c r="BA347" s="190" t="s">
        <v>515</v>
      </c>
      <c r="BB347" s="190" t="s">
        <v>515</v>
      </c>
      <c r="BC347" s="190" t="s">
        <v>515</v>
      </c>
      <c r="BD347" s="190" t="s">
        <v>515</v>
      </c>
      <c r="BE347" s="190" t="s">
        <v>515</v>
      </c>
      <c r="BF347" t="s">
        <v>515</v>
      </c>
      <c r="BG347" t="s">
        <v>515</v>
      </c>
      <c r="BH347" s="190">
        <v>340.17399999999998</v>
      </c>
      <c r="BI347" s="190">
        <v>355.04300000000001</v>
      </c>
      <c r="BJ347" s="190">
        <v>423.65199999999999</v>
      </c>
      <c r="BK347" s="190">
        <v>453.06400000000002</v>
      </c>
      <c r="BL347" s="190">
        <v>434.43400000000003</v>
      </c>
      <c r="BM347" s="190">
        <v>373.113</v>
      </c>
      <c r="BN347" s="190">
        <v>412.786</v>
      </c>
      <c r="BO347" s="190">
        <v>605.15899999999999</v>
      </c>
    </row>
    <row r="348" spans="1:67" x14ac:dyDescent="0.25">
      <c r="A348" s="25">
        <v>10347</v>
      </c>
      <c r="B348" t="s">
        <v>372</v>
      </c>
      <c r="C348" t="s">
        <v>372</v>
      </c>
      <c r="D348" s="27" t="s">
        <v>485</v>
      </c>
      <c r="E348" s="27">
        <v>9</v>
      </c>
      <c r="F348" s="118">
        <v>3385</v>
      </c>
      <c r="G348" t="s">
        <v>20</v>
      </c>
      <c r="H348" t="s">
        <v>8</v>
      </c>
      <c r="I348">
        <v>1.3899999999999999E-2</v>
      </c>
      <c r="J348">
        <v>4.3650000000000002</v>
      </c>
      <c r="K348">
        <v>0.26900000000000002</v>
      </c>
      <c r="L348" s="108">
        <v>1.7494089834515367E-2</v>
      </c>
      <c r="M348" s="140">
        <f t="shared" si="42"/>
        <v>0.05</v>
      </c>
      <c r="N348" s="140">
        <f t="shared" si="42"/>
        <v>4.3650000000000002</v>
      </c>
      <c r="O348" s="140">
        <f t="shared" si="42"/>
        <v>0.26900000000000002</v>
      </c>
      <c r="P348" s="140">
        <f t="shared" si="38"/>
        <v>0.05</v>
      </c>
      <c r="Q348" s="161">
        <v>0.10903253941265602</v>
      </c>
      <c r="R348" s="125">
        <v>53.930000000000007</v>
      </c>
      <c r="S348">
        <v>45.326666666666661</v>
      </c>
      <c r="T348" s="27">
        <v>3.9445163552031932</v>
      </c>
      <c r="U348" s="27">
        <v>2.43141808493671</v>
      </c>
      <c r="V348" s="27" t="s">
        <v>515</v>
      </c>
      <c r="W348" t="s">
        <v>515</v>
      </c>
      <c r="X348" t="s">
        <v>515</v>
      </c>
      <c r="Y348">
        <f t="shared" si="39"/>
        <v>6</v>
      </c>
      <c r="Z348">
        <f t="shared" si="40"/>
        <v>19</v>
      </c>
      <c r="AA348">
        <f t="shared" si="41"/>
        <v>2024</v>
      </c>
      <c r="AB348" s="118" t="b">
        <v>0</v>
      </c>
      <c r="AC348" s="19">
        <v>45462</v>
      </c>
      <c r="AD348" s="19" t="s">
        <v>515</v>
      </c>
      <c r="AE348" t="s">
        <v>515</v>
      </c>
      <c r="AF348" s="19">
        <v>45462</v>
      </c>
      <c r="AG348" t="s">
        <v>515</v>
      </c>
      <c r="AH348" t="s">
        <v>515</v>
      </c>
      <c r="AI348" s="190" t="s">
        <v>515</v>
      </c>
      <c r="AJ348" s="190" t="s">
        <v>515</v>
      </c>
      <c r="AK348" s="190" t="s">
        <v>515</v>
      </c>
      <c r="AL348" s="190" t="s">
        <v>515</v>
      </c>
      <c r="AM348" s="190" t="s">
        <v>515</v>
      </c>
      <c r="AN348" s="190" t="s">
        <v>515</v>
      </c>
      <c r="AO348" s="190" t="s">
        <v>515</v>
      </c>
      <c r="AP348" s="190" t="s">
        <v>515</v>
      </c>
      <c r="AQ348" s="190" t="s">
        <v>515</v>
      </c>
      <c r="AR348" s="190" t="s">
        <v>515</v>
      </c>
      <c r="AS348" s="190" t="s">
        <v>515</v>
      </c>
      <c r="AT348" s="190" t="s">
        <v>515</v>
      </c>
      <c r="AU348" s="190" t="s">
        <v>515</v>
      </c>
      <c r="AV348" s="190" t="s">
        <v>515</v>
      </c>
      <c r="AW348" s="190" t="s">
        <v>515</v>
      </c>
      <c r="AX348" s="190" t="s">
        <v>515</v>
      </c>
      <c r="AY348" s="190" t="s">
        <v>515</v>
      </c>
      <c r="AZ348" s="190" t="s">
        <v>515</v>
      </c>
      <c r="BA348" s="190" t="s">
        <v>515</v>
      </c>
      <c r="BB348" s="190" t="s">
        <v>515</v>
      </c>
      <c r="BC348" s="190" t="s">
        <v>515</v>
      </c>
      <c r="BD348" s="190" t="s">
        <v>515</v>
      </c>
      <c r="BE348" s="190" t="s">
        <v>515</v>
      </c>
      <c r="BF348" t="s">
        <v>515</v>
      </c>
      <c r="BG348" t="s">
        <v>515</v>
      </c>
      <c r="BH348" s="190">
        <v>221.56700000000001</v>
      </c>
      <c r="BI348" s="190">
        <v>246.489</v>
      </c>
      <c r="BJ348" s="190">
        <v>342.25099999999998</v>
      </c>
      <c r="BK348" s="190">
        <v>364.71600000000001</v>
      </c>
      <c r="BL348" s="190">
        <v>362.69600000000003</v>
      </c>
      <c r="BM348" s="190">
        <v>296.84800000000001</v>
      </c>
      <c r="BN348" s="190">
        <v>420.71600000000001</v>
      </c>
      <c r="BO348" s="190">
        <v>673.75099999999998</v>
      </c>
    </row>
    <row r="349" spans="1:67" x14ac:dyDescent="0.25">
      <c r="A349" s="25">
        <v>10348</v>
      </c>
      <c r="B349" t="s">
        <v>373</v>
      </c>
      <c r="C349" t="s">
        <v>373</v>
      </c>
      <c r="D349" s="27" t="s">
        <v>486</v>
      </c>
      <c r="E349" s="27">
        <v>10</v>
      </c>
      <c r="F349" s="118">
        <v>2205</v>
      </c>
      <c r="G349" t="s">
        <v>20</v>
      </c>
      <c r="H349" t="s">
        <v>8</v>
      </c>
      <c r="I349">
        <v>9.9000000000000008E-3</v>
      </c>
      <c r="J349">
        <v>3.8980000000000001</v>
      </c>
      <c r="K349">
        <v>0.16</v>
      </c>
      <c r="L349" s="108">
        <v>1.4342001576044129E-2</v>
      </c>
      <c r="M349" s="140">
        <f t="shared" si="42"/>
        <v>0.05</v>
      </c>
      <c r="N349" s="140">
        <f t="shared" si="42"/>
        <v>3.8980000000000001</v>
      </c>
      <c r="O349" s="140">
        <f t="shared" si="42"/>
        <v>0.16</v>
      </c>
      <c r="P349" s="140">
        <f t="shared" si="38"/>
        <v>0.05</v>
      </c>
      <c r="Q349" s="165">
        <v>0.15</v>
      </c>
      <c r="R349" s="125">
        <v>24.013333333333335</v>
      </c>
      <c r="S349">
        <v>23.296666666666667</v>
      </c>
      <c r="T349" s="27">
        <v>2.9460804142059707</v>
      </c>
      <c r="U349" s="27">
        <v>2.3858141140173532</v>
      </c>
      <c r="V349" s="27" t="s">
        <v>515</v>
      </c>
      <c r="W349" t="s">
        <v>515</v>
      </c>
      <c r="X349" t="s">
        <v>515</v>
      </c>
      <c r="Y349">
        <f t="shared" si="39"/>
        <v>6</v>
      </c>
      <c r="Z349">
        <f t="shared" si="40"/>
        <v>19</v>
      </c>
      <c r="AA349">
        <f t="shared" si="41"/>
        <v>2024</v>
      </c>
      <c r="AB349" s="118" t="b">
        <v>0</v>
      </c>
      <c r="AC349" s="19">
        <v>45462</v>
      </c>
      <c r="AD349" s="19" t="s">
        <v>515</v>
      </c>
      <c r="AE349" t="s">
        <v>515</v>
      </c>
      <c r="AF349" s="19">
        <v>45462</v>
      </c>
      <c r="AG349" t="s">
        <v>515</v>
      </c>
      <c r="AH349" t="s">
        <v>515</v>
      </c>
      <c r="AI349" s="190" t="s">
        <v>515</v>
      </c>
      <c r="AJ349" s="190" t="s">
        <v>515</v>
      </c>
      <c r="AK349" s="190" t="s">
        <v>515</v>
      </c>
      <c r="AL349" s="190" t="s">
        <v>515</v>
      </c>
      <c r="AM349" s="190" t="s">
        <v>515</v>
      </c>
      <c r="AN349" s="190" t="s">
        <v>515</v>
      </c>
      <c r="AO349" s="190" t="s">
        <v>515</v>
      </c>
      <c r="AP349" s="190" t="s">
        <v>515</v>
      </c>
      <c r="AQ349" s="190" t="s">
        <v>515</v>
      </c>
      <c r="AR349" s="190" t="s">
        <v>515</v>
      </c>
      <c r="AS349" s="190" t="s">
        <v>515</v>
      </c>
      <c r="AT349" s="190" t="s">
        <v>515</v>
      </c>
      <c r="AU349" s="190" t="s">
        <v>515</v>
      </c>
      <c r="AV349" s="190" t="s">
        <v>515</v>
      </c>
      <c r="AW349" s="190" t="s">
        <v>515</v>
      </c>
      <c r="AX349" s="190" t="s">
        <v>515</v>
      </c>
      <c r="AY349" s="190" t="s">
        <v>515</v>
      </c>
      <c r="AZ349" s="190" t="s">
        <v>515</v>
      </c>
      <c r="BA349" s="190" t="s">
        <v>515</v>
      </c>
      <c r="BB349" s="190" t="s">
        <v>515</v>
      </c>
      <c r="BC349" s="190" t="s">
        <v>515</v>
      </c>
      <c r="BD349" s="190" t="s">
        <v>515</v>
      </c>
      <c r="BE349" s="190" t="s">
        <v>515</v>
      </c>
      <c r="BF349" t="s">
        <v>515</v>
      </c>
      <c r="BG349" t="s">
        <v>515</v>
      </c>
      <c r="BH349" s="190">
        <v>319.88900000000001</v>
      </c>
      <c r="BI349" s="190">
        <v>337.9</v>
      </c>
      <c r="BJ349" s="190">
        <v>416.94499999999999</v>
      </c>
      <c r="BK349" s="190">
        <v>439.49700000000001</v>
      </c>
      <c r="BL349" s="190">
        <v>414.428</v>
      </c>
      <c r="BM349" s="190">
        <v>342.34699999999998</v>
      </c>
      <c r="BN349" s="190">
        <v>426.29500000000002</v>
      </c>
      <c r="BO349" s="190">
        <v>507.589</v>
      </c>
    </row>
    <row r="350" spans="1:67" x14ac:dyDescent="0.25">
      <c r="A350" s="25">
        <v>10349</v>
      </c>
      <c r="B350" t="s">
        <v>374</v>
      </c>
      <c r="C350" t="s">
        <v>374</v>
      </c>
      <c r="D350" s="27" t="s">
        <v>487</v>
      </c>
      <c r="E350" s="27">
        <v>11</v>
      </c>
      <c r="F350" s="118">
        <v>1385</v>
      </c>
      <c r="G350" t="s">
        <v>20</v>
      </c>
      <c r="H350" t="s">
        <v>8</v>
      </c>
      <c r="I350">
        <v>1.9300000000000001E-2</v>
      </c>
      <c r="J350">
        <v>4.9690000000000003</v>
      </c>
      <c r="K350">
        <v>0.19900000000000001</v>
      </c>
      <c r="L350" t="s">
        <v>515</v>
      </c>
      <c r="M350" s="140">
        <f t="shared" si="42"/>
        <v>0.05</v>
      </c>
      <c r="N350" s="140">
        <f t="shared" si="42"/>
        <v>4.9690000000000003</v>
      </c>
      <c r="O350" s="140">
        <f t="shared" si="42"/>
        <v>0.19900000000000001</v>
      </c>
      <c r="P350" s="140" t="str">
        <f t="shared" si="38"/>
        <v>NULL</v>
      </c>
      <c r="Q350" s="161">
        <v>0.17163431638319676</v>
      </c>
      <c r="R350" s="125">
        <v>56.913333333333334</v>
      </c>
      <c r="S350">
        <v>43.74</v>
      </c>
      <c r="T350" s="27">
        <v>3.0077663619448263</v>
      </c>
      <c r="U350" s="27">
        <v>2.6487432029904578</v>
      </c>
      <c r="V350" s="27" t="s">
        <v>515</v>
      </c>
      <c r="W350" t="s">
        <v>515</v>
      </c>
      <c r="X350" t="s">
        <v>515</v>
      </c>
      <c r="Y350">
        <f t="shared" si="39"/>
        <v>6</v>
      </c>
      <c r="Z350">
        <f t="shared" si="40"/>
        <v>19</v>
      </c>
      <c r="AA350">
        <f t="shared" si="41"/>
        <v>2024</v>
      </c>
      <c r="AB350" s="118" t="b">
        <v>0</v>
      </c>
      <c r="AC350" s="19">
        <v>45462</v>
      </c>
      <c r="AD350" s="19" t="s">
        <v>515</v>
      </c>
      <c r="AE350" t="s">
        <v>515</v>
      </c>
      <c r="AF350" s="19">
        <v>45462</v>
      </c>
      <c r="AG350" t="s">
        <v>515</v>
      </c>
      <c r="AH350" t="s">
        <v>515</v>
      </c>
      <c r="AI350" s="190">
        <v>749.4</v>
      </c>
      <c r="AJ350" s="190">
        <v>727.8</v>
      </c>
      <c r="AK350" s="190">
        <v>704.9</v>
      </c>
      <c r="AL350" s="190">
        <v>458</v>
      </c>
      <c r="AM350" s="190">
        <v>0.34</v>
      </c>
      <c r="AN350" s="190">
        <v>702.5</v>
      </c>
      <c r="AO350" s="190">
        <v>0.42</v>
      </c>
      <c r="AP350" s="190">
        <v>0.42899999999999999</v>
      </c>
      <c r="AQ350" s="190">
        <v>0.59499999999999997</v>
      </c>
      <c r="AR350" s="190">
        <v>160</v>
      </c>
      <c r="AS350" s="190">
        <v>12.79</v>
      </c>
      <c r="AT350" s="190">
        <v>162.4</v>
      </c>
      <c r="AU350" s="190">
        <v>-86.772130180000005</v>
      </c>
      <c r="AV350" s="190">
        <v>40.78862204</v>
      </c>
      <c r="AW350" s="190">
        <v>196.7</v>
      </c>
      <c r="AX350" s="190">
        <v>173.4</v>
      </c>
      <c r="AY350" s="190">
        <v>8.07</v>
      </c>
      <c r="AZ350" s="190">
        <v>-84.5</v>
      </c>
      <c r="BA350" s="190">
        <v>11.9</v>
      </c>
      <c r="BB350" s="190">
        <v>0</v>
      </c>
      <c r="BC350" s="190">
        <v>26.696999999999999</v>
      </c>
      <c r="BD350" s="190">
        <v>4.4800000000000004</v>
      </c>
      <c r="BE350" s="190">
        <v>0</v>
      </c>
      <c r="BF350" t="s">
        <v>515</v>
      </c>
      <c r="BG350" t="s">
        <v>515</v>
      </c>
      <c r="BH350" s="190">
        <v>340.09699999999998</v>
      </c>
      <c r="BI350" s="190">
        <v>359.08</v>
      </c>
      <c r="BJ350" s="190">
        <v>442.93299999999999</v>
      </c>
      <c r="BK350" s="190">
        <v>454.95100000000002</v>
      </c>
      <c r="BL350" s="190">
        <v>439.089</v>
      </c>
      <c r="BM350" s="190">
        <v>366.67399999999998</v>
      </c>
      <c r="BN350" s="190">
        <v>462.30200000000002</v>
      </c>
      <c r="BO350" s="190">
        <v>573.62099999999998</v>
      </c>
    </row>
    <row r="351" spans="1:67" x14ac:dyDescent="0.25">
      <c r="A351" s="25">
        <v>10350</v>
      </c>
      <c r="B351" t="s">
        <v>375</v>
      </c>
      <c r="C351" t="s">
        <v>375</v>
      </c>
      <c r="D351" s="27" t="s">
        <v>488</v>
      </c>
      <c r="E351" s="27">
        <v>12</v>
      </c>
      <c r="F351" s="118">
        <v>275</v>
      </c>
      <c r="G351" t="s">
        <v>20</v>
      </c>
      <c r="H351" t="s">
        <v>8</v>
      </c>
      <c r="I351">
        <v>1.7000000000000001E-2</v>
      </c>
      <c r="J351">
        <v>4.9409999999999998</v>
      </c>
      <c r="K351">
        <v>0.17</v>
      </c>
      <c r="L351" t="s">
        <v>515</v>
      </c>
      <c r="M351" s="140">
        <f t="shared" si="42"/>
        <v>0.05</v>
      </c>
      <c r="N351" s="140">
        <f t="shared" si="42"/>
        <v>4.9409999999999998</v>
      </c>
      <c r="O351" s="140">
        <f t="shared" si="42"/>
        <v>0.17</v>
      </c>
      <c r="P351" s="140" t="str">
        <f t="shared" si="38"/>
        <v>NULL</v>
      </c>
      <c r="Q351" s="165">
        <v>0.15</v>
      </c>
      <c r="R351" s="125">
        <v>37.576666666666668</v>
      </c>
      <c r="S351">
        <v>33.163333333333334</v>
      </c>
      <c r="T351" s="27">
        <v>3.2802969015451828</v>
      </c>
      <c r="U351" s="27">
        <v>2.8910899688052698</v>
      </c>
      <c r="V351" s="27" t="s">
        <v>515</v>
      </c>
      <c r="W351" t="s">
        <v>515</v>
      </c>
      <c r="X351" t="s">
        <v>515</v>
      </c>
      <c r="Y351">
        <f t="shared" si="39"/>
        <v>6</v>
      </c>
      <c r="Z351">
        <f t="shared" si="40"/>
        <v>19</v>
      </c>
      <c r="AA351">
        <f t="shared" si="41"/>
        <v>2024</v>
      </c>
      <c r="AB351" s="118" t="b">
        <v>0</v>
      </c>
      <c r="AC351" s="19">
        <v>45462</v>
      </c>
      <c r="AD351" s="19" t="s">
        <v>515</v>
      </c>
      <c r="AE351" t="s">
        <v>515</v>
      </c>
      <c r="AF351" s="19">
        <v>45462</v>
      </c>
      <c r="AG351" t="s">
        <v>515</v>
      </c>
      <c r="AH351" t="s">
        <v>515</v>
      </c>
      <c r="AI351" s="190" t="s">
        <v>515</v>
      </c>
      <c r="AJ351" s="190" t="s">
        <v>515</v>
      </c>
      <c r="AK351" s="190" t="s">
        <v>515</v>
      </c>
      <c r="AL351" s="190" t="s">
        <v>515</v>
      </c>
      <c r="AM351" s="190" t="s">
        <v>515</v>
      </c>
      <c r="AN351" s="190" t="s">
        <v>515</v>
      </c>
      <c r="AO351" s="190" t="s">
        <v>515</v>
      </c>
      <c r="AP351" s="190" t="s">
        <v>515</v>
      </c>
      <c r="AQ351" s="190" t="s">
        <v>515</v>
      </c>
      <c r="AR351" s="190" t="s">
        <v>515</v>
      </c>
      <c r="AS351" s="190" t="s">
        <v>515</v>
      </c>
      <c r="AT351" s="190" t="s">
        <v>515</v>
      </c>
      <c r="AU351" s="190" t="s">
        <v>515</v>
      </c>
      <c r="AV351" s="190" t="s">
        <v>515</v>
      </c>
      <c r="AW351" s="190" t="s">
        <v>515</v>
      </c>
      <c r="AX351" s="190" t="s">
        <v>515</v>
      </c>
      <c r="AY351" s="190" t="s">
        <v>515</v>
      </c>
      <c r="AZ351" s="190" t="s">
        <v>515</v>
      </c>
      <c r="BA351" s="190" t="s">
        <v>515</v>
      </c>
      <c r="BB351" s="190" t="s">
        <v>515</v>
      </c>
      <c r="BC351" s="190" t="s">
        <v>515</v>
      </c>
      <c r="BD351" s="190" t="s">
        <v>515</v>
      </c>
      <c r="BE351" s="190" t="s">
        <v>515</v>
      </c>
      <c r="BF351" t="s">
        <v>515</v>
      </c>
      <c r="BG351" t="s">
        <v>515</v>
      </c>
      <c r="BH351" s="190">
        <v>323.005</v>
      </c>
      <c r="BI351" s="190">
        <v>328.56900000000002</v>
      </c>
      <c r="BJ351" s="190">
        <v>407.60199999999998</v>
      </c>
      <c r="BK351" s="190">
        <v>419.44900000000001</v>
      </c>
      <c r="BL351" s="190">
        <v>400.233</v>
      </c>
      <c r="BM351" s="190">
        <v>341.28699999999998</v>
      </c>
      <c r="BN351" s="190">
        <v>410.142</v>
      </c>
      <c r="BO351" s="190">
        <v>550.86599999999999</v>
      </c>
    </row>
    <row r="352" spans="1:67" x14ac:dyDescent="0.25">
      <c r="A352" s="25">
        <v>10351</v>
      </c>
      <c r="B352" t="s">
        <v>376</v>
      </c>
      <c r="C352" t="s">
        <v>376</v>
      </c>
      <c r="D352" s="27" t="s">
        <v>489</v>
      </c>
      <c r="E352" s="27">
        <v>14</v>
      </c>
      <c r="F352" s="118">
        <v>4225</v>
      </c>
      <c r="G352" t="s">
        <v>20</v>
      </c>
      <c r="H352" t="s">
        <v>8</v>
      </c>
      <c r="I352">
        <v>6.4000000000000003E-3</v>
      </c>
      <c r="J352">
        <v>3.512</v>
      </c>
      <c r="K352">
        <v>0.16300000000000001</v>
      </c>
      <c r="L352" t="s">
        <v>515</v>
      </c>
      <c r="M352" s="140">
        <f t="shared" si="42"/>
        <v>0.05</v>
      </c>
      <c r="N352" s="140">
        <f t="shared" si="42"/>
        <v>3.512</v>
      </c>
      <c r="O352" s="140">
        <f t="shared" si="42"/>
        <v>0.16300000000000001</v>
      </c>
      <c r="P352" s="140" t="str">
        <f t="shared" si="38"/>
        <v>NULL</v>
      </c>
      <c r="Q352" s="165">
        <v>0.15</v>
      </c>
      <c r="R352" s="125">
        <v>7.6566666666666663</v>
      </c>
      <c r="S352">
        <v>9.3433333333333319</v>
      </c>
      <c r="T352" s="27">
        <v>2.593661516058571</v>
      </c>
      <c r="U352" s="27">
        <v>2.0619452054971434</v>
      </c>
      <c r="V352" s="27" t="s">
        <v>515</v>
      </c>
      <c r="W352" t="s">
        <v>515</v>
      </c>
      <c r="X352" t="s">
        <v>515</v>
      </c>
      <c r="Y352">
        <f t="shared" si="39"/>
        <v>6</v>
      </c>
      <c r="Z352">
        <f t="shared" si="40"/>
        <v>19</v>
      </c>
      <c r="AA352">
        <f t="shared" si="41"/>
        <v>2024</v>
      </c>
      <c r="AB352" s="118" t="b">
        <v>0</v>
      </c>
      <c r="AC352" s="19">
        <v>45462</v>
      </c>
      <c r="AD352" s="19" t="s">
        <v>515</v>
      </c>
      <c r="AE352" t="s">
        <v>515</v>
      </c>
      <c r="AF352" s="19">
        <v>45462</v>
      </c>
      <c r="AG352" t="s">
        <v>515</v>
      </c>
      <c r="AH352" t="s">
        <v>515</v>
      </c>
      <c r="AI352" s="190" t="s">
        <v>515</v>
      </c>
      <c r="AJ352" s="190" t="s">
        <v>515</v>
      </c>
      <c r="AK352" s="190" t="s">
        <v>515</v>
      </c>
      <c r="AL352" s="190" t="s">
        <v>515</v>
      </c>
      <c r="AM352" s="190" t="s">
        <v>515</v>
      </c>
      <c r="AN352" s="190" t="s">
        <v>515</v>
      </c>
      <c r="AO352" s="190" t="s">
        <v>515</v>
      </c>
      <c r="AP352" s="190" t="s">
        <v>515</v>
      </c>
      <c r="AQ352" s="190" t="s">
        <v>515</v>
      </c>
      <c r="AR352" s="190" t="s">
        <v>515</v>
      </c>
      <c r="AS352" s="190" t="s">
        <v>515</v>
      </c>
      <c r="AT352" s="190" t="s">
        <v>515</v>
      </c>
      <c r="AU352" s="190" t="s">
        <v>515</v>
      </c>
      <c r="AV352" s="190" t="s">
        <v>515</v>
      </c>
      <c r="AW352" s="190" t="s">
        <v>515</v>
      </c>
      <c r="AX352" s="190" t="s">
        <v>515</v>
      </c>
      <c r="AY352" s="190" t="s">
        <v>515</v>
      </c>
      <c r="AZ352" s="190" t="s">
        <v>515</v>
      </c>
      <c r="BA352" s="190" t="s">
        <v>515</v>
      </c>
      <c r="BB352" s="190" t="s">
        <v>515</v>
      </c>
      <c r="BC352" s="190" t="s">
        <v>515</v>
      </c>
      <c r="BD352" s="190" t="s">
        <v>515</v>
      </c>
      <c r="BE352" s="190" t="s">
        <v>515</v>
      </c>
      <c r="BF352" t="s">
        <v>515</v>
      </c>
      <c r="BG352" t="s">
        <v>515</v>
      </c>
      <c r="BH352" s="190">
        <v>477.18599999999998</v>
      </c>
      <c r="BI352" s="190">
        <v>598.553</v>
      </c>
      <c r="BJ352" s="190">
        <v>675.47500000000002</v>
      </c>
      <c r="BK352" s="190">
        <v>704.99599999999998</v>
      </c>
      <c r="BL352" s="190">
        <v>683.63900000000001</v>
      </c>
      <c r="BM352" s="190">
        <v>670.85799999999995</v>
      </c>
      <c r="BN352" s="190">
        <v>682.29</v>
      </c>
      <c r="BO352" s="190">
        <v>905.94</v>
      </c>
    </row>
    <row r="353" spans="1:67" x14ac:dyDescent="0.25">
      <c r="A353" s="25">
        <v>10352</v>
      </c>
      <c r="B353" t="s">
        <v>377</v>
      </c>
      <c r="C353" t="s">
        <v>377</v>
      </c>
      <c r="D353" s="27" t="s">
        <v>490</v>
      </c>
      <c r="E353" s="27">
        <v>15</v>
      </c>
      <c r="F353" s="118">
        <v>2905</v>
      </c>
      <c r="G353" t="s">
        <v>20</v>
      </c>
      <c r="H353" t="s">
        <v>8</v>
      </c>
      <c r="I353">
        <v>1.6199999999999999E-2</v>
      </c>
      <c r="J353">
        <v>3.94</v>
      </c>
      <c r="K353">
        <v>0.17399999999999999</v>
      </c>
      <c r="L353" s="108">
        <v>2.2222222222222223E-2</v>
      </c>
      <c r="M353" s="140">
        <f t="shared" si="42"/>
        <v>0.05</v>
      </c>
      <c r="N353" s="140">
        <f t="shared" si="42"/>
        <v>3.94</v>
      </c>
      <c r="O353" s="140">
        <f t="shared" si="42"/>
        <v>0.17399999999999999</v>
      </c>
      <c r="P353" s="140">
        <f t="shared" si="38"/>
        <v>0.05</v>
      </c>
      <c r="Q353" s="161">
        <v>6.9118739914141705E-2</v>
      </c>
      <c r="R353" s="125">
        <v>24.076666666666668</v>
      </c>
      <c r="S353">
        <v>17.256666666666664</v>
      </c>
      <c r="T353" s="27">
        <v>2.7220896367607796</v>
      </c>
      <c r="U353" s="27">
        <v>1.4878652003658219</v>
      </c>
      <c r="V353" s="27" t="s">
        <v>515</v>
      </c>
      <c r="W353" t="s">
        <v>515</v>
      </c>
      <c r="X353" t="s">
        <v>515</v>
      </c>
      <c r="Y353">
        <f t="shared" si="39"/>
        <v>6</v>
      </c>
      <c r="Z353">
        <f t="shared" si="40"/>
        <v>19</v>
      </c>
      <c r="AA353">
        <f t="shared" si="41"/>
        <v>2024</v>
      </c>
      <c r="AB353" s="118" t="b">
        <v>0</v>
      </c>
      <c r="AC353" s="19">
        <v>45462</v>
      </c>
      <c r="AD353" s="19" t="s">
        <v>515</v>
      </c>
      <c r="AE353" t="s">
        <v>515</v>
      </c>
      <c r="AF353" s="19">
        <v>45462</v>
      </c>
      <c r="AG353" t="s">
        <v>515</v>
      </c>
      <c r="AH353" t="s">
        <v>515</v>
      </c>
      <c r="AI353" s="190" t="s">
        <v>515</v>
      </c>
      <c r="AJ353" s="190" t="s">
        <v>515</v>
      </c>
      <c r="AK353" s="190" t="s">
        <v>515</v>
      </c>
      <c r="AL353" s="190" t="s">
        <v>515</v>
      </c>
      <c r="AM353" s="190" t="s">
        <v>515</v>
      </c>
      <c r="AN353" s="190" t="s">
        <v>515</v>
      </c>
      <c r="AO353" s="190" t="s">
        <v>515</v>
      </c>
      <c r="AP353" s="190" t="s">
        <v>515</v>
      </c>
      <c r="AQ353" s="190" t="s">
        <v>515</v>
      </c>
      <c r="AR353" s="190" t="s">
        <v>515</v>
      </c>
      <c r="AS353" s="190" t="s">
        <v>515</v>
      </c>
      <c r="AT353" s="190" t="s">
        <v>515</v>
      </c>
      <c r="AU353" s="190" t="s">
        <v>515</v>
      </c>
      <c r="AV353" s="190" t="s">
        <v>515</v>
      </c>
      <c r="AW353" s="190" t="s">
        <v>515</v>
      </c>
      <c r="AX353" s="190" t="s">
        <v>515</v>
      </c>
      <c r="AY353" s="190" t="s">
        <v>515</v>
      </c>
      <c r="AZ353" s="190" t="s">
        <v>515</v>
      </c>
      <c r="BA353" s="190" t="s">
        <v>515</v>
      </c>
      <c r="BB353" s="190" t="s">
        <v>515</v>
      </c>
      <c r="BC353" s="190" t="s">
        <v>515</v>
      </c>
      <c r="BD353" s="190" t="s">
        <v>515</v>
      </c>
      <c r="BE353" s="190" t="s">
        <v>515</v>
      </c>
      <c r="BF353" t="s">
        <v>515</v>
      </c>
      <c r="BG353" t="s">
        <v>515</v>
      </c>
      <c r="BH353" s="190">
        <v>338.35199999999998</v>
      </c>
      <c r="BI353" s="190">
        <v>330.27100000000002</v>
      </c>
      <c r="BJ353" s="190">
        <v>409.71300000000002</v>
      </c>
      <c r="BK353" s="190">
        <v>427.154</v>
      </c>
      <c r="BL353" s="190">
        <v>400.78699999999998</v>
      </c>
      <c r="BM353" s="190">
        <v>320.90199999999999</v>
      </c>
      <c r="BN353" s="190">
        <v>410.96</v>
      </c>
      <c r="BO353" s="190">
        <v>566.68299999999999</v>
      </c>
    </row>
    <row r="354" spans="1:67" x14ac:dyDescent="0.25">
      <c r="A354" s="25">
        <v>10353</v>
      </c>
      <c r="B354" t="s">
        <v>378</v>
      </c>
      <c r="C354" t="s">
        <v>378</v>
      </c>
      <c r="D354" s="27" t="s">
        <v>462</v>
      </c>
      <c r="E354" s="27">
        <v>1</v>
      </c>
      <c r="F354" s="118">
        <v>5999</v>
      </c>
      <c r="G354" t="s">
        <v>19</v>
      </c>
      <c r="H354" t="s">
        <v>8</v>
      </c>
      <c r="I354">
        <v>2.0999999999999999E-3</v>
      </c>
      <c r="J354">
        <v>1.645</v>
      </c>
      <c r="K354">
        <v>-4.0000000000000001E-3</v>
      </c>
      <c r="L354" s="26">
        <v>7.7093908629441626E-2</v>
      </c>
      <c r="M354" s="140">
        <f t="shared" ref="M354:O369" si="43">IF(I354&lt;0.1,0.05,I354)</f>
        <v>0.05</v>
      </c>
      <c r="N354" s="140">
        <f t="shared" si="43"/>
        <v>1.645</v>
      </c>
      <c r="O354" s="140">
        <f t="shared" si="43"/>
        <v>0.05</v>
      </c>
      <c r="P354" s="140">
        <f t="shared" si="38"/>
        <v>0.05</v>
      </c>
      <c r="Q354" s="161">
        <v>1.0502766978045142</v>
      </c>
      <c r="R354" s="125">
        <v>14.796666666666667</v>
      </c>
      <c r="S354">
        <v>25.053333333333331</v>
      </c>
      <c r="T354">
        <v>2.7166349765021502</v>
      </c>
      <c r="U354">
        <v>1.233876351764946</v>
      </c>
      <c r="V354" s="118" t="s">
        <v>515</v>
      </c>
      <c r="W354" t="s">
        <v>515</v>
      </c>
      <c r="X354" t="s">
        <v>515</v>
      </c>
      <c r="Y354">
        <f t="shared" si="39"/>
        <v>6</v>
      </c>
      <c r="Z354">
        <f t="shared" si="40"/>
        <v>24</v>
      </c>
      <c r="AA354">
        <f t="shared" si="41"/>
        <v>2024</v>
      </c>
      <c r="AB354" s="118" t="b">
        <v>0</v>
      </c>
      <c r="AC354" s="19">
        <v>45467</v>
      </c>
      <c r="AD354" s="19" t="s">
        <v>515</v>
      </c>
      <c r="AE354" t="s">
        <v>515</v>
      </c>
      <c r="AF354" s="19">
        <v>45467</v>
      </c>
      <c r="AG354" t="s">
        <v>515</v>
      </c>
      <c r="AH354" t="s">
        <v>515</v>
      </c>
      <c r="AI354" s="118">
        <v>741</v>
      </c>
      <c r="AJ354" s="118">
        <v>448.6</v>
      </c>
      <c r="AK354" s="118">
        <v>422.4</v>
      </c>
      <c r="AL354" s="118">
        <v>275</v>
      </c>
      <c r="AM354" s="118">
        <v>0.2</v>
      </c>
      <c r="AN354" s="118">
        <v>419.6</v>
      </c>
      <c r="AO354" s="118">
        <v>0.52700000000000002</v>
      </c>
      <c r="AP354" s="118">
        <v>0.53600000000000003</v>
      </c>
      <c r="AQ354" s="118">
        <v>0.747</v>
      </c>
      <c r="AR354" s="118">
        <v>124.4</v>
      </c>
      <c r="AS354" s="118">
        <v>9.69</v>
      </c>
      <c r="AT354" s="118">
        <v>127.4</v>
      </c>
      <c r="AU354" s="118">
        <v>-85.88874079</v>
      </c>
      <c r="AV354" s="118">
        <v>40.681483559999997</v>
      </c>
      <c r="AW354" s="118">
        <v>224.2</v>
      </c>
      <c r="AX354" s="118">
        <v>118</v>
      </c>
      <c r="AY354" s="118">
        <v>8.4600000000000009</v>
      </c>
      <c r="AZ354" s="118">
        <v>-108.5</v>
      </c>
      <c r="BA354" s="118">
        <v>11.9</v>
      </c>
      <c r="BB354" s="118">
        <v>0</v>
      </c>
      <c r="BC354" s="118">
        <v>28.245000000000001</v>
      </c>
      <c r="BD354" s="118">
        <v>4.21</v>
      </c>
      <c r="BE354" s="118">
        <v>0</v>
      </c>
      <c r="BF354" t="s">
        <v>515</v>
      </c>
      <c r="BG354" t="s">
        <v>515</v>
      </c>
      <c r="BH354" s="118">
        <v>363.755</v>
      </c>
      <c r="BI354" s="118">
        <v>588.27499999999998</v>
      </c>
      <c r="BJ354" s="118">
        <v>659.43</v>
      </c>
      <c r="BK354" s="118">
        <v>710.71100000000001</v>
      </c>
      <c r="BL354" s="118">
        <v>636.56799999999998</v>
      </c>
      <c r="BM354" s="118">
        <v>651.62099999999998</v>
      </c>
      <c r="BN354" s="118">
        <v>610.67499999999995</v>
      </c>
      <c r="BO354" s="118">
        <v>701.59299999999996</v>
      </c>
    </row>
    <row r="355" spans="1:67" x14ac:dyDescent="0.25">
      <c r="A355" s="25">
        <v>10354</v>
      </c>
      <c r="B355" t="s">
        <v>379</v>
      </c>
      <c r="C355" t="s">
        <v>379</v>
      </c>
      <c r="D355" s="27" t="s">
        <v>463</v>
      </c>
      <c r="E355" s="27">
        <v>2</v>
      </c>
      <c r="F355" s="118">
        <v>8861</v>
      </c>
      <c r="G355" t="s">
        <v>19</v>
      </c>
      <c r="H355" t="s">
        <v>8</v>
      </c>
      <c r="I355">
        <v>-2E-3</v>
      </c>
      <c r="J355">
        <v>1.724</v>
      </c>
      <c r="K355">
        <v>-5.0000000000000001E-3</v>
      </c>
      <c r="L355" t="s">
        <v>515</v>
      </c>
      <c r="M355" s="140">
        <f t="shared" si="43"/>
        <v>0.05</v>
      </c>
      <c r="N355" s="140">
        <f t="shared" si="43"/>
        <v>1.724</v>
      </c>
      <c r="O355" s="140">
        <f t="shared" si="43"/>
        <v>0.05</v>
      </c>
      <c r="P355" s="140" t="str">
        <f t="shared" si="38"/>
        <v>NULL</v>
      </c>
      <c r="Q355" s="161">
        <v>0.3084440650235159</v>
      </c>
      <c r="R355" s="125">
        <v>19.43</v>
      </c>
      <c r="S355">
        <v>29.52</v>
      </c>
      <c r="T355">
        <v>2.885048535332229</v>
      </c>
      <c r="U355">
        <v>1.3285509079779638</v>
      </c>
      <c r="V355" s="118" t="s">
        <v>515</v>
      </c>
      <c r="W355" t="s">
        <v>515</v>
      </c>
      <c r="X355" t="s">
        <v>515</v>
      </c>
      <c r="Y355">
        <f t="shared" si="39"/>
        <v>6</v>
      </c>
      <c r="Z355">
        <f t="shared" si="40"/>
        <v>24</v>
      </c>
      <c r="AA355">
        <f t="shared" si="41"/>
        <v>2024</v>
      </c>
      <c r="AB355" s="118" t="b">
        <v>0</v>
      </c>
      <c r="AC355" s="19">
        <v>45467</v>
      </c>
      <c r="AD355" s="19" t="s">
        <v>515</v>
      </c>
      <c r="AE355" t="s">
        <v>515</v>
      </c>
      <c r="AF355" s="19">
        <v>45467</v>
      </c>
      <c r="AG355" t="s">
        <v>515</v>
      </c>
      <c r="AH355" t="s">
        <v>515</v>
      </c>
      <c r="AI355" s="118">
        <v>741</v>
      </c>
      <c r="AJ355" s="118">
        <v>448.7</v>
      </c>
      <c r="AK355" s="118">
        <v>426.4</v>
      </c>
      <c r="AL355" s="118">
        <v>277</v>
      </c>
      <c r="AM355" s="118">
        <v>0.2</v>
      </c>
      <c r="AN355" s="118">
        <v>423.9</v>
      </c>
      <c r="AO355" s="118">
        <v>0.53300000000000003</v>
      </c>
      <c r="AP355" s="118">
        <v>0.56699999999999995</v>
      </c>
      <c r="AQ355" s="118">
        <v>0.755</v>
      </c>
      <c r="AR355" s="118">
        <v>128.9</v>
      </c>
      <c r="AS355" s="118">
        <v>10.130000000000001</v>
      </c>
      <c r="AT355" s="118">
        <v>132</v>
      </c>
      <c r="AU355" s="118">
        <v>-85.877136289999996</v>
      </c>
      <c r="AV355" s="118">
        <v>40.676955960000001</v>
      </c>
      <c r="AW355" s="118">
        <v>222.9</v>
      </c>
      <c r="AX355" s="118">
        <v>112.6</v>
      </c>
      <c r="AY355" s="118">
        <v>8.4700000000000006</v>
      </c>
      <c r="AZ355" s="118">
        <v>-109.3</v>
      </c>
      <c r="BA355" s="118">
        <v>12</v>
      </c>
      <c r="BB355" s="118">
        <v>0</v>
      </c>
      <c r="BC355" s="118">
        <v>27.745999999999999</v>
      </c>
      <c r="BD355" s="118">
        <v>5.64</v>
      </c>
      <c r="BE355" s="118">
        <v>0</v>
      </c>
      <c r="BF355" t="s">
        <v>515</v>
      </c>
      <c r="BG355" t="s">
        <v>515</v>
      </c>
      <c r="BH355" s="118">
        <v>346.37099999999998</v>
      </c>
      <c r="BI355" s="118">
        <v>590.43100000000004</v>
      </c>
      <c r="BJ355" s="118">
        <v>651.89499999999998</v>
      </c>
      <c r="BK355" s="118">
        <v>712.74</v>
      </c>
      <c r="BL355" s="118">
        <v>612.32500000000005</v>
      </c>
      <c r="BM355" s="118">
        <v>647.29600000000005</v>
      </c>
      <c r="BN355" s="118">
        <v>600.03599999999994</v>
      </c>
      <c r="BO355" s="118">
        <v>839.17700000000002</v>
      </c>
    </row>
    <row r="356" spans="1:67" x14ac:dyDescent="0.25">
      <c r="A356" s="25">
        <v>10355</v>
      </c>
      <c r="B356" t="s">
        <v>380</v>
      </c>
      <c r="C356" t="s">
        <v>380</v>
      </c>
      <c r="D356" s="27" t="s">
        <v>464</v>
      </c>
      <c r="E356" s="27">
        <v>3</v>
      </c>
      <c r="F356" s="118">
        <v>9921</v>
      </c>
      <c r="G356" t="s">
        <v>19</v>
      </c>
      <c r="H356" t="s">
        <v>8</v>
      </c>
      <c r="I356">
        <v>-3.8E-3</v>
      </c>
      <c r="J356">
        <v>1.7</v>
      </c>
      <c r="K356">
        <v>-4.0000000000000001E-3</v>
      </c>
      <c r="L356" s="26">
        <v>-6.9796954314720805E-3</v>
      </c>
      <c r="M356" s="140">
        <f t="shared" si="43"/>
        <v>0.05</v>
      </c>
      <c r="N356" s="140">
        <f t="shared" si="43"/>
        <v>1.7</v>
      </c>
      <c r="O356" s="140">
        <f t="shared" si="43"/>
        <v>0.05</v>
      </c>
      <c r="P356" s="140">
        <f t="shared" si="38"/>
        <v>0.05</v>
      </c>
      <c r="Q356" s="161">
        <v>0.60303791707909904</v>
      </c>
      <c r="R356" s="125">
        <v>31.136666666666667</v>
      </c>
      <c r="S356">
        <v>41.246666666666663</v>
      </c>
      <c r="T356">
        <v>2.785767702812028</v>
      </c>
      <c r="U356">
        <v>1.315900428483983</v>
      </c>
      <c r="V356" s="118" t="s">
        <v>515</v>
      </c>
      <c r="W356" t="s">
        <v>515</v>
      </c>
      <c r="X356" t="s">
        <v>515</v>
      </c>
      <c r="Y356">
        <f t="shared" si="39"/>
        <v>6</v>
      </c>
      <c r="Z356">
        <f t="shared" si="40"/>
        <v>24</v>
      </c>
      <c r="AA356">
        <f t="shared" si="41"/>
        <v>2024</v>
      </c>
      <c r="AB356" s="118" t="b">
        <v>0</v>
      </c>
      <c r="AC356" s="19">
        <v>45467</v>
      </c>
      <c r="AD356" s="19" t="s">
        <v>515</v>
      </c>
      <c r="AE356" t="s">
        <v>515</v>
      </c>
      <c r="AF356" s="19">
        <v>45467</v>
      </c>
      <c r="AG356" t="s">
        <v>515</v>
      </c>
      <c r="AH356" t="s">
        <v>515</v>
      </c>
      <c r="AI356" s="118">
        <v>741.1</v>
      </c>
      <c r="AJ356" s="118">
        <v>464.9</v>
      </c>
      <c r="AK356" s="118">
        <v>440.6</v>
      </c>
      <c r="AL356" s="118">
        <v>286</v>
      </c>
      <c r="AM356" s="118">
        <v>0.21</v>
      </c>
      <c r="AN356" s="118">
        <v>437.9</v>
      </c>
      <c r="AO356" s="118">
        <v>0.59299999999999997</v>
      </c>
      <c r="AP356" s="118">
        <v>0.59399999999999997</v>
      </c>
      <c r="AQ356" s="118">
        <v>0.84</v>
      </c>
      <c r="AR356" s="118">
        <v>143</v>
      </c>
      <c r="AS356" s="118">
        <v>11.2</v>
      </c>
      <c r="AT356" s="118">
        <v>146.4</v>
      </c>
      <c r="AU356" s="118">
        <v>-85.870131319999999</v>
      </c>
      <c r="AV356" s="118">
        <v>40.670490749999999</v>
      </c>
      <c r="AW356" s="118">
        <v>224.9</v>
      </c>
      <c r="AX356" s="118">
        <v>112.6</v>
      </c>
      <c r="AY356" s="118">
        <v>8.5399999999999991</v>
      </c>
      <c r="AZ356" s="118">
        <v>-113.1</v>
      </c>
      <c r="BA356" s="118">
        <v>12</v>
      </c>
      <c r="BB356" s="118">
        <v>0</v>
      </c>
      <c r="BC356" s="118">
        <v>27.893999999999998</v>
      </c>
      <c r="BD356" s="118">
        <v>5.2</v>
      </c>
      <c r="BE356" s="118">
        <v>0</v>
      </c>
      <c r="BF356" t="s">
        <v>515</v>
      </c>
      <c r="BG356" t="s">
        <v>515</v>
      </c>
      <c r="BH356" s="118">
        <v>158.31200000000001</v>
      </c>
      <c r="BI356" s="118">
        <v>192.28700000000001</v>
      </c>
      <c r="BJ356" s="118">
        <v>306.947</v>
      </c>
      <c r="BK356" s="118">
        <v>372.69600000000003</v>
      </c>
      <c r="BL356" s="118">
        <v>294.52100000000002</v>
      </c>
      <c r="BM356" s="118">
        <v>224.48099999999999</v>
      </c>
      <c r="BN356" s="118">
        <v>265.28100000000001</v>
      </c>
      <c r="BO356" s="118">
        <v>314.197</v>
      </c>
    </row>
    <row r="357" spans="1:67" x14ac:dyDescent="0.25">
      <c r="A357" s="25">
        <v>10356</v>
      </c>
      <c r="B357" t="s">
        <v>381</v>
      </c>
      <c r="C357" t="s">
        <v>381</v>
      </c>
      <c r="D357" s="27" t="s">
        <v>465</v>
      </c>
      <c r="E357" s="27">
        <v>4</v>
      </c>
      <c r="F357" s="118">
        <v>10891</v>
      </c>
      <c r="G357" t="s">
        <v>19</v>
      </c>
      <c r="H357" t="s">
        <v>8</v>
      </c>
      <c r="I357">
        <v>-2.3999999999999998E-3</v>
      </c>
      <c r="J357">
        <v>1.7050000000000001</v>
      </c>
      <c r="K357">
        <v>-3.0000000000000001E-3</v>
      </c>
      <c r="L357" t="s">
        <v>515</v>
      </c>
      <c r="M357" s="140">
        <f t="shared" si="43"/>
        <v>0.05</v>
      </c>
      <c r="N357" s="140">
        <f t="shared" si="43"/>
        <v>1.7050000000000001</v>
      </c>
      <c r="O357" s="140">
        <f t="shared" si="43"/>
        <v>0.05</v>
      </c>
      <c r="P357" s="140" t="str">
        <f t="shared" si="38"/>
        <v>NULL</v>
      </c>
      <c r="Q357" s="161">
        <v>1.4350066717602503</v>
      </c>
      <c r="R357" s="125">
        <v>27.819999999999997</v>
      </c>
      <c r="S357">
        <v>37.33</v>
      </c>
      <c r="T357">
        <v>2.7488622624511163</v>
      </c>
      <c r="U357">
        <v>1.3338559477657621</v>
      </c>
      <c r="V357" s="118" t="s">
        <v>515</v>
      </c>
      <c r="W357" t="s">
        <v>515</v>
      </c>
      <c r="X357" t="s">
        <v>515</v>
      </c>
      <c r="Y357">
        <f t="shared" si="39"/>
        <v>6</v>
      </c>
      <c r="Z357">
        <f t="shared" si="40"/>
        <v>24</v>
      </c>
      <c r="AA357">
        <f t="shared" si="41"/>
        <v>2024</v>
      </c>
      <c r="AB357" s="118" t="b">
        <v>0</v>
      </c>
      <c r="AC357" s="19">
        <v>45467</v>
      </c>
      <c r="AD357" s="19" t="s">
        <v>515</v>
      </c>
      <c r="AE357" t="s">
        <v>515</v>
      </c>
      <c r="AF357" s="19">
        <v>45467</v>
      </c>
      <c r="AG357" t="s">
        <v>515</v>
      </c>
      <c r="AH357" t="s">
        <v>515</v>
      </c>
      <c r="AI357" s="118">
        <v>741</v>
      </c>
      <c r="AJ357" s="118">
        <v>479.3</v>
      </c>
      <c r="AK357" s="118">
        <v>454.6</v>
      </c>
      <c r="AL357" s="118">
        <v>296</v>
      </c>
      <c r="AM357" s="118">
        <v>0.22</v>
      </c>
      <c r="AN357" s="118">
        <v>452</v>
      </c>
      <c r="AO357" s="118">
        <v>0.53900000000000003</v>
      </c>
      <c r="AP357" s="118">
        <v>0.54300000000000004</v>
      </c>
      <c r="AQ357" s="118">
        <v>0.76300000000000001</v>
      </c>
      <c r="AR357" s="118">
        <v>133.5</v>
      </c>
      <c r="AS357" s="118">
        <v>10.46</v>
      </c>
      <c r="AT357" s="118">
        <v>136.6</v>
      </c>
      <c r="AU357" s="118">
        <v>-85.866598379999999</v>
      </c>
      <c r="AV357" s="118">
        <v>40.66285852</v>
      </c>
      <c r="AW357" s="118">
        <v>221.9</v>
      </c>
      <c r="AX357" s="118">
        <v>123.9</v>
      </c>
      <c r="AY357" s="118">
        <v>8.42</v>
      </c>
      <c r="AZ357" s="118">
        <v>-105.8</v>
      </c>
      <c r="BA357" s="118">
        <v>12</v>
      </c>
      <c r="BB357" s="118">
        <v>0</v>
      </c>
      <c r="BC357" s="118">
        <v>27.846</v>
      </c>
      <c r="BD357" s="118">
        <v>6.06</v>
      </c>
      <c r="BE357" s="118">
        <v>0</v>
      </c>
      <c r="BF357" t="s">
        <v>515</v>
      </c>
      <c r="BG357" t="s">
        <v>515</v>
      </c>
      <c r="BH357" s="118">
        <v>897.49599999999998</v>
      </c>
      <c r="BI357" s="118">
        <v>1262.9000000000001</v>
      </c>
      <c r="BJ357" s="118">
        <v>1370.59</v>
      </c>
      <c r="BK357" s="118">
        <v>1424.22</v>
      </c>
      <c r="BL357" s="118">
        <v>1360.43</v>
      </c>
      <c r="BM357" s="118">
        <v>1423.7</v>
      </c>
      <c r="BN357" s="118">
        <v>1329.66</v>
      </c>
      <c r="BO357" s="118">
        <v>1357.05</v>
      </c>
    </row>
    <row r="358" spans="1:67" x14ac:dyDescent="0.25">
      <c r="A358" s="25">
        <v>10357</v>
      </c>
      <c r="B358" t="s">
        <v>382</v>
      </c>
      <c r="C358" t="s">
        <v>382</v>
      </c>
      <c r="D358" s="27" t="s">
        <v>466</v>
      </c>
      <c r="E358" s="27">
        <v>5</v>
      </c>
      <c r="F358" s="118">
        <v>12821</v>
      </c>
      <c r="G358" t="s">
        <v>19</v>
      </c>
      <c r="H358" t="s">
        <v>8</v>
      </c>
      <c r="I358">
        <v>6.6E-3</v>
      </c>
      <c r="J358">
        <v>1.6120000000000001</v>
      </c>
      <c r="K358">
        <v>0</v>
      </c>
      <c r="L358" t="s">
        <v>515</v>
      </c>
      <c r="M358" s="140">
        <f t="shared" si="43"/>
        <v>0.05</v>
      </c>
      <c r="N358" s="140">
        <f t="shared" si="43"/>
        <v>1.6120000000000001</v>
      </c>
      <c r="O358" s="140">
        <f t="shared" si="43"/>
        <v>0.05</v>
      </c>
      <c r="P358" s="140" t="str">
        <f t="shared" si="38"/>
        <v>NULL</v>
      </c>
      <c r="Q358" s="161">
        <v>0.7706619758508324</v>
      </c>
      <c r="R358" s="125">
        <v>28.053333333333331</v>
      </c>
      <c r="S358">
        <v>40.293333333333329</v>
      </c>
      <c r="T358">
        <v>2.6116363997006813</v>
      </c>
      <c r="U358">
        <v>1.2606055906957763</v>
      </c>
      <c r="V358" s="118" t="s">
        <v>515</v>
      </c>
      <c r="W358" t="s">
        <v>515</v>
      </c>
      <c r="X358" t="s">
        <v>515</v>
      </c>
      <c r="Y358">
        <f t="shared" si="39"/>
        <v>6</v>
      </c>
      <c r="Z358">
        <f t="shared" si="40"/>
        <v>24</v>
      </c>
      <c r="AA358">
        <f t="shared" si="41"/>
        <v>2024</v>
      </c>
      <c r="AB358" s="118" t="b">
        <v>0</v>
      </c>
      <c r="AC358" s="19">
        <v>45467</v>
      </c>
      <c r="AD358" s="19" t="s">
        <v>515</v>
      </c>
      <c r="AE358" t="s">
        <v>515</v>
      </c>
      <c r="AF358" s="19">
        <v>45467</v>
      </c>
      <c r="AG358" t="s">
        <v>515</v>
      </c>
      <c r="AH358" t="s">
        <v>515</v>
      </c>
      <c r="AI358" s="118">
        <v>740.9</v>
      </c>
      <c r="AJ358" s="118">
        <v>528.5</v>
      </c>
      <c r="AK358" s="118">
        <v>493</v>
      </c>
      <c r="AL358" s="118">
        <v>320</v>
      </c>
      <c r="AM358" s="118">
        <v>0.24</v>
      </c>
      <c r="AN358" s="118">
        <v>489.1</v>
      </c>
      <c r="AO358" s="118">
        <v>0.54100000000000004</v>
      </c>
      <c r="AP358" s="118">
        <v>0.54600000000000004</v>
      </c>
      <c r="AQ358" s="118">
        <v>0.76600000000000001</v>
      </c>
      <c r="AR358" s="118">
        <v>164.9</v>
      </c>
      <c r="AS358" s="118">
        <v>12.72</v>
      </c>
      <c r="AT358" s="118">
        <v>168.8</v>
      </c>
      <c r="AU358" s="118">
        <v>-85.847566670000006</v>
      </c>
      <c r="AV358" s="118">
        <v>40.668957339999999</v>
      </c>
      <c r="AW358" s="118">
        <v>224.1</v>
      </c>
      <c r="AX358" s="118">
        <v>121.9</v>
      </c>
      <c r="AY358" s="118">
        <v>8.42</v>
      </c>
      <c r="AZ358" s="118">
        <v>-106.4</v>
      </c>
      <c r="BA358" s="118">
        <v>12</v>
      </c>
      <c r="BB358" s="118">
        <v>0</v>
      </c>
      <c r="BC358" s="118">
        <v>28.765999999999998</v>
      </c>
      <c r="BD358" s="118">
        <v>5.45</v>
      </c>
      <c r="BE358" s="118">
        <v>0</v>
      </c>
      <c r="BF358" t="s">
        <v>515</v>
      </c>
      <c r="BG358" t="s">
        <v>515</v>
      </c>
      <c r="BH358" s="118">
        <v>296.01299999999998</v>
      </c>
      <c r="BI358" s="118">
        <v>443.95100000000002</v>
      </c>
      <c r="BJ358" s="118">
        <v>527.00300000000004</v>
      </c>
      <c r="BK358" s="118">
        <v>594.56299999999999</v>
      </c>
      <c r="BL358" s="118">
        <v>516.14099999999996</v>
      </c>
      <c r="BM358" s="118">
        <v>506.52499999999998</v>
      </c>
      <c r="BN358" s="118">
        <v>495.303</v>
      </c>
      <c r="BO358" s="118">
        <v>580.08699999999999</v>
      </c>
    </row>
    <row r="359" spans="1:67" x14ac:dyDescent="0.25">
      <c r="A359" s="25">
        <v>10358</v>
      </c>
      <c r="B359" t="s">
        <v>383</v>
      </c>
      <c r="C359" t="s">
        <v>383</v>
      </c>
      <c r="D359" s="27" t="s">
        <v>467</v>
      </c>
      <c r="E359" s="27">
        <v>6</v>
      </c>
      <c r="F359" s="118">
        <v>14351</v>
      </c>
      <c r="G359" t="s">
        <v>19</v>
      </c>
      <c r="H359" t="s">
        <v>8</v>
      </c>
      <c r="I359">
        <v>-3.5000000000000001E-3</v>
      </c>
      <c r="J359">
        <v>1.5620000000000001</v>
      </c>
      <c r="K359">
        <v>6.0000000000000001E-3</v>
      </c>
      <c r="L359" s="26">
        <v>0.10406091370558378</v>
      </c>
      <c r="M359" s="140">
        <f t="shared" si="43"/>
        <v>0.05</v>
      </c>
      <c r="N359" s="140">
        <f t="shared" si="43"/>
        <v>1.5620000000000001</v>
      </c>
      <c r="O359" s="140">
        <f t="shared" si="43"/>
        <v>0.05</v>
      </c>
      <c r="P359" s="140">
        <f t="shared" si="38"/>
        <v>0.10406091370558378</v>
      </c>
      <c r="Q359" s="161">
        <v>4.1553525432513334</v>
      </c>
      <c r="R359" s="125">
        <v>40.466666666666669</v>
      </c>
      <c r="S359">
        <v>48.516666666666673</v>
      </c>
      <c r="T359">
        <v>2.4115153498562978</v>
      </c>
      <c r="U359">
        <v>1.1687875943684962</v>
      </c>
      <c r="V359" s="118" t="s">
        <v>515</v>
      </c>
      <c r="W359" t="s">
        <v>515</v>
      </c>
      <c r="X359" t="s">
        <v>515</v>
      </c>
      <c r="Y359">
        <f t="shared" si="39"/>
        <v>6</v>
      </c>
      <c r="Z359">
        <f t="shared" si="40"/>
        <v>24</v>
      </c>
      <c r="AA359">
        <f t="shared" si="41"/>
        <v>2024</v>
      </c>
      <c r="AB359" s="118" t="b">
        <v>0</v>
      </c>
      <c r="AC359" s="19">
        <v>45467</v>
      </c>
      <c r="AD359" s="19" t="s">
        <v>515</v>
      </c>
      <c r="AE359" t="s">
        <v>515</v>
      </c>
      <c r="AF359" s="19">
        <v>45467</v>
      </c>
      <c r="AG359" t="s">
        <v>515</v>
      </c>
      <c r="AH359" t="s">
        <v>515</v>
      </c>
      <c r="AI359" s="118">
        <v>740.8</v>
      </c>
      <c r="AJ359" s="118">
        <v>526.6</v>
      </c>
      <c r="AK359" s="118">
        <v>487.1</v>
      </c>
      <c r="AL359" s="118">
        <v>317</v>
      </c>
      <c r="AM359" s="118">
        <v>0.23</v>
      </c>
      <c r="AN359" s="118">
        <v>482.8</v>
      </c>
      <c r="AO359" s="118">
        <v>0.53900000000000003</v>
      </c>
      <c r="AP359" s="118">
        <v>0.53600000000000003</v>
      </c>
      <c r="AQ359" s="118">
        <v>0.76400000000000001</v>
      </c>
      <c r="AR359" s="118">
        <v>216</v>
      </c>
      <c r="AS359" s="118">
        <v>16.52</v>
      </c>
      <c r="AT359" s="118">
        <v>221.1</v>
      </c>
      <c r="AU359" s="118">
        <v>-85.83173601</v>
      </c>
      <c r="AV359" s="118">
        <v>40.673867250000001</v>
      </c>
      <c r="AW359" s="118">
        <v>223.4</v>
      </c>
      <c r="AX359" s="118">
        <v>106.5</v>
      </c>
      <c r="AY359" s="118">
        <v>8.6999999999999993</v>
      </c>
      <c r="AZ359" s="118">
        <v>-123.7</v>
      </c>
      <c r="BA359" s="118">
        <v>12</v>
      </c>
      <c r="BB359" s="118">
        <v>0</v>
      </c>
      <c r="BC359" s="118">
        <v>29.248999999999999</v>
      </c>
      <c r="BD359" s="118">
        <v>8.2100000000000009</v>
      </c>
      <c r="BE359" s="118">
        <v>0</v>
      </c>
      <c r="BF359" t="s">
        <v>515</v>
      </c>
      <c r="BG359" t="s">
        <v>515</v>
      </c>
      <c r="BH359" s="118">
        <v>554.95100000000002</v>
      </c>
      <c r="BI359" s="118">
        <v>685.24900000000002</v>
      </c>
      <c r="BJ359" s="118">
        <v>798.05899999999997</v>
      </c>
      <c r="BK359" s="118">
        <v>865.11699999999996</v>
      </c>
      <c r="BL359" s="118">
        <v>814.11500000000001</v>
      </c>
      <c r="BM359" s="118">
        <v>808.21400000000006</v>
      </c>
      <c r="BN359" s="118">
        <v>905.56100000000004</v>
      </c>
      <c r="BO359" s="118">
        <v>1492.22</v>
      </c>
    </row>
    <row r="360" spans="1:67" x14ac:dyDescent="0.25">
      <c r="A360" s="25">
        <v>10359</v>
      </c>
      <c r="B360" t="s">
        <v>384</v>
      </c>
      <c r="C360" t="s">
        <v>384</v>
      </c>
      <c r="D360" s="27" t="s">
        <v>468</v>
      </c>
      <c r="E360" s="27">
        <v>7</v>
      </c>
      <c r="F360" s="118">
        <v>6411</v>
      </c>
      <c r="G360" t="s">
        <v>19</v>
      </c>
      <c r="H360" t="s">
        <v>8</v>
      </c>
      <c r="I360">
        <v>2.53E-2</v>
      </c>
      <c r="J360">
        <v>1.6759999999999999</v>
      </c>
      <c r="K360">
        <v>-5.0000000000000001E-3</v>
      </c>
      <c r="L360" s="26">
        <v>5.6472081218274114E-2</v>
      </c>
      <c r="M360" s="140">
        <f t="shared" si="43"/>
        <v>0.05</v>
      </c>
      <c r="N360" s="140">
        <f t="shared" si="43"/>
        <v>1.6759999999999999</v>
      </c>
      <c r="O360" s="140">
        <f t="shared" si="43"/>
        <v>0.05</v>
      </c>
      <c r="P360" s="140">
        <f t="shared" si="38"/>
        <v>0.05</v>
      </c>
      <c r="Q360" s="161">
        <v>0.35886266345629142</v>
      </c>
      <c r="R360" s="125">
        <v>19.733333333333334</v>
      </c>
      <c r="S360">
        <v>28.553333333333331</v>
      </c>
      <c r="T360">
        <v>2.6693336374480232</v>
      </c>
      <c r="U360">
        <v>1.2561167108753315</v>
      </c>
      <c r="V360" s="118" t="s">
        <v>515</v>
      </c>
      <c r="W360" t="s">
        <v>515</v>
      </c>
      <c r="X360" t="s">
        <v>515</v>
      </c>
      <c r="Y360">
        <f t="shared" si="39"/>
        <v>6</v>
      </c>
      <c r="Z360">
        <f t="shared" si="40"/>
        <v>24</v>
      </c>
      <c r="AA360">
        <f t="shared" si="41"/>
        <v>2024</v>
      </c>
      <c r="AB360" s="118" t="b">
        <v>0</v>
      </c>
      <c r="AC360" s="19">
        <v>45467</v>
      </c>
      <c r="AD360" s="19" t="s">
        <v>515</v>
      </c>
      <c r="AE360" t="s">
        <v>515</v>
      </c>
      <c r="AF360" s="19">
        <v>45467</v>
      </c>
      <c r="AG360" t="s">
        <v>515</v>
      </c>
      <c r="AH360" t="s">
        <v>515</v>
      </c>
      <c r="AI360" s="118">
        <v>740.8</v>
      </c>
      <c r="AJ360" s="118">
        <v>433.7</v>
      </c>
      <c r="AK360" s="118">
        <v>417.9</v>
      </c>
      <c r="AL360" s="118">
        <v>272</v>
      </c>
      <c r="AM360" s="118">
        <v>0.2</v>
      </c>
      <c r="AN360" s="118">
        <v>416.2</v>
      </c>
      <c r="AO360" s="118">
        <v>0.48099999999999998</v>
      </c>
      <c r="AP360" s="118">
        <v>0.48899999999999999</v>
      </c>
      <c r="AQ360" s="118">
        <v>0.68200000000000005</v>
      </c>
      <c r="AR360" s="118">
        <v>106.6</v>
      </c>
      <c r="AS360" s="118">
        <v>8.49</v>
      </c>
      <c r="AT360" s="118">
        <v>109.1</v>
      </c>
      <c r="AU360" s="118">
        <v>-85.896697639999999</v>
      </c>
      <c r="AV360" s="118">
        <v>40.688448100000002</v>
      </c>
      <c r="AW360" s="118">
        <v>224.3</v>
      </c>
      <c r="AX360" s="118">
        <v>154.30000000000001</v>
      </c>
      <c r="AY360" s="118">
        <v>8.3000000000000007</v>
      </c>
      <c r="AZ360" s="118">
        <v>-98.4</v>
      </c>
      <c r="BA360" s="118">
        <v>11.9</v>
      </c>
      <c r="BB360" s="118">
        <v>0</v>
      </c>
      <c r="BC360" s="118">
        <v>26.972999999999999</v>
      </c>
      <c r="BD360" s="118">
        <v>5.37</v>
      </c>
      <c r="BE360" s="118">
        <v>0</v>
      </c>
      <c r="BF360" t="s">
        <v>515</v>
      </c>
      <c r="BG360" t="s">
        <v>515</v>
      </c>
      <c r="BH360" s="118">
        <v>383.12799999999999</v>
      </c>
      <c r="BI360" s="118">
        <v>581.30700000000002</v>
      </c>
      <c r="BJ360" s="118">
        <v>680.50699999999995</v>
      </c>
      <c r="BK360" s="118">
        <v>731.94200000000001</v>
      </c>
      <c r="BL360" s="118">
        <v>650.08699999999999</v>
      </c>
      <c r="BM360" s="118">
        <v>648.74599999999998</v>
      </c>
      <c r="BN360" s="118">
        <v>602.45799999999997</v>
      </c>
      <c r="BO360" s="118">
        <v>583.976</v>
      </c>
    </row>
    <row r="361" spans="1:67" x14ac:dyDescent="0.25">
      <c r="A361" s="25">
        <v>10360</v>
      </c>
      <c r="B361" t="s">
        <v>385</v>
      </c>
      <c r="C361" t="s">
        <v>385</v>
      </c>
      <c r="D361" s="27" t="s">
        <v>469</v>
      </c>
      <c r="E361" s="27">
        <v>8</v>
      </c>
      <c r="F361" s="118">
        <v>5401</v>
      </c>
      <c r="G361" t="s">
        <v>19</v>
      </c>
      <c r="H361" t="s">
        <v>8</v>
      </c>
      <c r="I361">
        <v>2.4299999999999999E-2</v>
      </c>
      <c r="J361">
        <v>1.6930000000000001</v>
      </c>
      <c r="K361">
        <v>-5.0000000000000001E-3</v>
      </c>
      <c r="L361" s="26">
        <v>5.8058375634517774E-2</v>
      </c>
      <c r="M361" s="140">
        <f t="shared" si="43"/>
        <v>0.05</v>
      </c>
      <c r="N361" s="140">
        <f t="shared" si="43"/>
        <v>1.6930000000000001</v>
      </c>
      <c r="O361" s="140">
        <f t="shared" si="43"/>
        <v>0.05</v>
      </c>
      <c r="P361" s="140">
        <f t="shared" si="38"/>
        <v>0.05</v>
      </c>
      <c r="Q361" s="161">
        <v>0.42640239094176918</v>
      </c>
      <c r="R361" s="125">
        <v>14.82</v>
      </c>
      <c r="S361">
        <v>17.809999999999999</v>
      </c>
      <c r="T361">
        <v>2.7790103686614387</v>
      </c>
      <c r="U361">
        <v>1.3736437461742503</v>
      </c>
      <c r="V361" s="118" t="s">
        <v>515</v>
      </c>
      <c r="W361" t="s">
        <v>515</v>
      </c>
      <c r="X361" t="s">
        <v>515</v>
      </c>
      <c r="Y361">
        <f t="shared" si="39"/>
        <v>6</v>
      </c>
      <c r="Z361">
        <f t="shared" si="40"/>
        <v>24</v>
      </c>
      <c r="AA361">
        <f t="shared" si="41"/>
        <v>2024</v>
      </c>
      <c r="AB361" s="118" t="b">
        <v>0</v>
      </c>
      <c r="AC361" s="19">
        <v>45467</v>
      </c>
      <c r="AD361" s="19" t="s">
        <v>515</v>
      </c>
      <c r="AE361" t="s">
        <v>515</v>
      </c>
      <c r="AF361" s="19">
        <v>45467</v>
      </c>
      <c r="AG361" t="s">
        <v>515</v>
      </c>
      <c r="AH361" t="s">
        <v>515</v>
      </c>
      <c r="AI361" s="118">
        <v>740.8</v>
      </c>
      <c r="AJ361" s="118">
        <v>431.7</v>
      </c>
      <c r="AK361" s="118">
        <v>417.4</v>
      </c>
      <c r="AL361" s="118">
        <v>271</v>
      </c>
      <c r="AM361" s="118">
        <v>0.2</v>
      </c>
      <c r="AN361" s="118">
        <v>415.8</v>
      </c>
      <c r="AO361" s="118">
        <v>0.66900000000000004</v>
      </c>
      <c r="AP361" s="118">
        <v>0.66400000000000003</v>
      </c>
      <c r="AQ361" s="118">
        <v>0.94799999999999995</v>
      </c>
      <c r="AR361" s="118">
        <v>105</v>
      </c>
      <c r="AS361" s="118">
        <v>8.39</v>
      </c>
      <c r="AT361" s="118">
        <v>107.5</v>
      </c>
      <c r="AU361" s="118">
        <v>-85.908454610000007</v>
      </c>
      <c r="AV361" s="118">
        <v>40.691704379999997</v>
      </c>
      <c r="AW361" s="118">
        <v>224.7</v>
      </c>
      <c r="AX361" s="118">
        <v>139</v>
      </c>
      <c r="AY361" s="118">
        <v>8.2899999999999991</v>
      </c>
      <c r="AZ361" s="118">
        <v>-97.9</v>
      </c>
      <c r="BA361" s="118">
        <v>12</v>
      </c>
      <c r="BB361" s="118">
        <v>0</v>
      </c>
      <c r="BC361" s="118">
        <v>26.802</v>
      </c>
      <c r="BD361" s="118">
        <v>5.59</v>
      </c>
      <c r="BE361" s="118">
        <v>0</v>
      </c>
      <c r="BF361" t="s">
        <v>515</v>
      </c>
      <c r="BG361" t="s">
        <v>515</v>
      </c>
      <c r="BH361" s="118">
        <v>299.73200000000003</v>
      </c>
      <c r="BI361" s="118">
        <v>432.55900000000003</v>
      </c>
      <c r="BJ361" s="118">
        <v>524.59799999999996</v>
      </c>
      <c r="BK361" s="118">
        <v>587.97299999999996</v>
      </c>
      <c r="BL361" s="118">
        <v>492.13099999999997</v>
      </c>
      <c r="BM361" s="118">
        <v>465.03800000000001</v>
      </c>
      <c r="BN361" s="118">
        <v>441.54</v>
      </c>
      <c r="BO361" s="118">
        <v>444.85199999999998</v>
      </c>
    </row>
    <row r="362" spans="1:67" x14ac:dyDescent="0.25">
      <c r="A362" s="25">
        <v>10361</v>
      </c>
      <c r="B362" t="s">
        <v>386</v>
      </c>
      <c r="C362" t="s">
        <v>386</v>
      </c>
      <c r="D362" s="27" t="s">
        <v>470</v>
      </c>
      <c r="E362" s="27">
        <v>9</v>
      </c>
      <c r="F362" s="118">
        <v>4381</v>
      </c>
      <c r="G362" t="s">
        <v>19</v>
      </c>
      <c r="H362" t="s">
        <v>8</v>
      </c>
      <c r="I362">
        <v>2.1999999999999999E-2</v>
      </c>
      <c r="J362">
        <v>1.7330000000000001</v>
      </c>
      <c r="K362">
        <v>-5.0000000000000001E-3</v>
      </c>
      <c r="L362" s="26">
        <v>4.5368020304568532E-2</v>
      </c>
      <c r="M362" s="140">
        <f t="shared" si="43"/>
        <v>0.05</v>
      </c>
      <c r="N362" s="140">
        <f t="shared" si="43"/>
        <v>1.7330000000000001</v>
      </c>
      <c r="O362" s="140">
        <f t="shared" si="43"/>
        <v>0.05</v>
      </c>
      <c r="P362" s="140">
        <f t="shared" si="38"/>
        <v>0.05</v>
      </c>
      <c r="Q362" s="161">
        <v>0.56276013323861318</v>
      </c>
      <c r="R362" s="125">
        <v>13.233333333333334</v>
      </c>
      <c r="S362">
        <v>21.39</v>
      </c>
      <c r="T362">
        <v>2.9552208515114291</v>
      </c>
      <c r="U362">
        <v>1.4409769434809223</v>
      </c>
      <c r="V362" s="118" t="s">
        <v>515</v>
      </c>
      <c r="W362" t="s">
        <v>515</v>
      </c>
      <c r="X362" t="s">
        <v>515</v>
      </c>
      <c r="Y362">
        <f t="shared" si="39"/>
        <v>6</v>
      </c>
      <c r="Z362">
        <f t="shared" si="40"/>
        <v>24</v>
      </c>
      <c r="AA362">
        <f t="shared" si="41"/>
        <v>2024</v>
      </c>
      <c r="AB362" s="118" t="b">
        <v>0</v>
      </c>
      <c r="AC362" s="19">
        <v>45467</v>
      </c>
      <c r="AD362" s="19" t="s">
        <v>515</v>
      </c>
      <c r="AE362" t="s">
        <v>515</v>
      </c>
      <c r="AF362" s="19">
        <v>45467</v>
      </c>
      <c r="AG362" t="s">
        <v>515</v>
      </c>
      <c r="AH362" t="s">
        <v>515</v>
      </c>
      <c r="AI362" s="118">
        <v>740.9</v>
      </c>
      <c r="AJ362" s="118">
        <v>430.7</v>
      </c>
      <c r="AK362" s="118">
        <v>417.4</v>
      </c>
      <c r="AL362" s="118">
        <v>271</v>
      </c>
      <c r="AM362" s="118">
        <v>0.2</v>
      </c>
      <c r="AN362" s="118">
        <v>416</v>
      </c>
      <c r="AO362" s="118">
        <v>0.48299999999999998</v>
      </c>
      <c r="AP362" s="118">
        <v>0.495</v>
      </c>
      <c r="AQ362" s="118">
        <v>0.68500000000000005</v>
      </c>
      <c r="AR362" s="118">
        <v>104.3</v>
      </c>
      <c r="AS362" s="118">
        <v>8.35</v>
      </c>
      <c r="AT362" s="118">
        <v>106.7</v>
      </c>
      <c r="AU362" s="118">
        <v>-85.929649389999994</v>
      </c>
      <c r="AV362" s="118">
        <v>40.704138399999998</v>
      </c>
      <c r="AW362" s="118">
        <v>225.5</v>
      </c>
      <c r="AX362" s="118">
        <v>145.19999999999999</v>
      </c>
      <c r="AY362" s="118">
        <v>8.31</v>
      </c>
      <c r="AZ362" s="118">
        <v>-99.2</v>
      </c>
      <c r="BA362" s="118">
        <v>12</v>
      </c>
      <c r="BB362" s="118">
        <v>0</v>
      </c>
      <c r="BC362" s="118">
        <v>26.667999999999999</v>
      </c>
      <c r="BD362" s="118">
        <v>5.28</v>
      </c>
      <c r="BE362" s="118">
        <v>0</v>
      </c>
      <c r="BF362" t="s">
        <v>515</v>
      </c>
      <c r="BG362" t="s">
        <v>515</v>
      </c>
      <c r="BH362" s="118">
        <v>234.00399999999999</v>
      </c>
      <c r="BI362" s="118">
        <v>369.00200000000001</v>
      </c>
      <c r="BJ362" s="118">
        <v>480.536</v>
      </c>
      <c r="BK362" s="118">
        <v>545.774</v>
      </c>
      <c r="BL362" s="118">
        <v>432.93</v>
      </c>
      <c r="BM362" s="118">
        <v>396.48899999999998</v>
      </c>
      <c r="BN362" s="118">
        <v>373.22500000000002</v>
      </c>
      <c r="BO362" s="118">
        <v>342.74299999999999</v>
      </c>
    </row>
    <row r="363" spans="1:67" x14ac:dyDescent="0.25">
      <c r="A363" s="25">
        <v>10362</v>
      </c>
      <c r="B363" t="s">
        <v>387</v>
      </c>
      <c r="C363" t="s">
        <v>387</v>
      </c>
      <c r="D363" s="27" t="s">
        <v>471</v>
      </c>
      <c r="E363" s="27">
        <v>10</v>
      </c>
      <c r="F363" s="118">
        <v>2851</v>
      </c>
      <c r="G363" t="s">
        <v>19</v>
      </c>
      <c r="H363" t="s">
        <v>8</v>
      </c>
      <c r="I363">
        <v>2.0199999999999999E-2</v>
      </c>
      <c r="J363">
        <v>1.722</v>
      </c>
      <c r="K363">
        <v>-6.0000000000000001E-3</v>
      </c>
      <c r="L363" t="s">
        <v>515</v>
      </c>
      <c r="M363" s="140">
        <f t="shared" si="43"/>
        <v>0.05</v>
      </c>
      <c r="N363" s="140">
        <f t="shared" si="43"/>
        <v>1.722</v>
      </c>
      <c r="O363" s="140">
        <f t="shared" si="43"/>
        <v>0.05</v>
      </c>
      <c r="P363" s="140" t="str">
        <f t="shared" si="38"/>
        <v>NULL</v>
      </c>
      <c r="Q363" s="161" t="s">
        <v>515</v>
      </c>
      <c r="R363" s="125">
        <v>14.886666666666665</v>
      </c>
      <c r="S363">
        <v>14.156666666666666</v>
      </c>
      <c r="T363">
        <v>2.7675748800989028</v>
      </c>
      <c r="U363">
        <v>1.3936396653744136</v>
      </c>
      <c r="V363" s="118" t="s">
        <v>515</v>
      </c>
      <c r="W363" t="s">
        <v>515</v>
      </c>
      <c r="X363" t="s">
        <v>515</v>
      </c>
      <c r="Y363">
        <f t="shared" si="39"/>
        <v>6</v>
      </c>
      <c r="Z363">
        <f t="shared" si="40"/>
        <v>24</v>
      </c>
      <c r="AA363">
        <f t="shared" si="41"/>
        <v>2024</v>
      </c>
      <c r="AB363" s="118" t="b">
        <v>0</v>
      </c>
      <c r="AC363" s="19">
        <v>45467</v>
      </c>
      <c r="AD363" s="19" t="s">
        <v>515</v>
      </c>
      <c r="AE363" t="s">
        <v>515</v>
      </c>
      <c r="AF363" s="19">
        <v>45467</v>
      </c>
      <c r="AG363" t="s">
        <v>515</v>
      </c>
      <c r="AH363" t="s">
        <v>515</v>
      </c>
      <c r="AI363" s="118">
        <v>740.8</v>
      </c>
      <c r="AJ363" s="118">
        <v>429.4</v>
      </c>
      <c r="AK363" s="118">
        <v>415.7</v>
      </c>
      <c r="AL363" s="118">
        <v>270</v>
      </c>
      <c r="AM363" s="118">
        <v>0.2</v>
      </c>
      <c r="AN363" s="118">
        <v>414.3</v>
      </c>
      <c r="AO363" s="118">
        <v>0.70899999999999996</v>
      </c>
      <c r="AP363" s="118">
        <v>0.72299999999999998</v>
      </c>
      <c r="AQ363" s="118">
        <v>1.006</v>
      </c>
      <c r="AR363" s="118">
        <v>106.5</v>
      </c>
      <c r="AS363" s="118">
        <v>8.52</v>
      </c>
      <c r="AT363" s="118">
        <v>109</v>
      </c>
      <c r="AU363" s="118">
        <v>-85.920312339999995</v>
      </c>
      <c r="AV363" s="118">
        <v>40.693279609999998</v>
      </c>
      <c r="AW363" s="118">
        <v>220.3</v>
      </c>
      <c r="AX363" s="118">
        <v>126.5</v>
      </c>
      <c r="AY363" s="118">
        <v>8.32</v>
      </c>
      <c r="AZ363" s="118">
        <v>-99.8</v>
      </c>
      <c r="BA363" s="118">
        <v>11.9</v>
      </c>
      <c r="BB363" s="118">
        <v>0</v>
      </c>
      <c r="BC363" s="118">
        <v>26.725000000000001</v>
      </c>
      <c r="BD363" s="118">
        <v>5.0999999999999996</v>
      </c>
      <c r="BE363" s="118">
        <v>0</v>
      </c>
      <c r="BF363" t="s">
        <v>515</v>
      </c>
      <c r="BG363" t="s">
        <v>515</v>
      </c>
      <c r="BH363" s="118">
        <v>205.709</v>
      </c>
      <c r="BI363" s="118">
        <v>241.68700000000001</v>
      </c>
      <c r="BJ363" s="118">
        <v>368.87200000000001</v>
      </c>
      <c r="BK363" s="118">
        <v>449.577</v>
      </c>
      <c r="BL363" s="118">
        <v>348.036</v>
      </c>
      <c r="BM363" s="118">
        <v>276.52100000000002</v>
      </c>
      <c r="BN363" s="118">
        <v>320.03699999999998</v>
      </c>
      <c r="BO363" s="118">
        <v>337.43700000000001</v>
      </c>
    </row>
    <row r="364" spans="1:67" x14ac:dyDescent="0.25">
      <c r="A364" s="25">
        <v>10363</v>
      </c>
      <c r="B364" t="s">
        <v>388</v>
      </c>
      <c r="C364" t="s">
        <v>388</v>
      </c>
      <c r="D364" s="27" t="s">
        <v>472</v>
      </c>
      <c r="E364" s="27">
        <v>11</v>
      </c>
      <c r="F364" s="118">
        <v>1731</v>
      </c>
      <c r="G364" t="s">
        <v>19</v>
      </c>
      <c r="H364" t="s">
        <v>8</v>
      </c>
      <c r="I364">
        <v>2.0799999999999999E-2</v>
      </c>
      <c r="J364">
        <v>1.7370000000000001</v>
      </c>
      <c r="K364">
        <v>-4.0000000000000001E-3</v>
      </c>
      <c r="L364" t="s">
        <v>515</v>
      </c>
      <c r="M364" s="140">
        <f t="shared" si="43"/>
        <v>0.05</v>
      </c>
      <c r="N364" s="140">
        <f t="shared" si="43"/>
        <v>1.7370000000000001</v>
      </c>
      <c r="O364" s="140">
        <f t="shared" si="43"/>
        <v>0.05</v>
      </c>
      <c r="P364" s="140" t="str">
        <f t="shared" si="38"/>
        <v>NULL</v>
      </c>
      <c r="Q364" s="161">
        <v>0.39820835685073785</v>
      </c>
      <c r="R364" s="125">
        <v>13.329999999999998</v>
      </c>
      <c r="S364">
        <v>18.546666666666667</v>
      </c>
      <c r="T364">
        <v>2.7535404168630624</v>
      </c>
      <c r="U364">
        <v>1.2916196694552133</v>
      </c>
      <c r="V364" s="118" t="s">
        <v>515</v>
      </c>
      <c r="W364" t="s">
        <v>515</v>
      </c>
      <c r="X364" t="s">
        <v>515</v>
      </c>
      <c r="Y364">
        <f t="shared" ref="Y364:Y395" si="44">MONTH(AC364)</f>
        <v>6</v>
      </c>
      <c r="Z364">
        <f t="shared" ref="Z364:Z395" si="45">DAY(AC364)</f>
        <v>24</v>
      </c>
      <c r="AA364">
        <f t="shared" ref="AA364:AA395" si="46">YEAR(AC364)</f>
        <v>2024</v>
      </c>
      <c r="AB364" s="118" t="b">
        <v>0</v>
      </c>
      <c r="AC364" s="19">
        <v>45467</v>
      </c>
      <c r="AD364" s="19" t="s">
        <v>515</v>
      </c>
      <c r="AE364" t="s">
        <v>515</v>
      </c>
      <c r="AF364" s="19">
        <v>45467</v>
      </c>
      <c r="AG364" t="s">
        <v>515</v>
      </c>
      <c r="AH364" t="s">
        <v>515</v>
      </c>
      <c r="AI364" s="118">
        <v>740.9</v>
      </c>
      <c r="AJ364" s="118">
        <v>427.6</v>
      </c>
      <c r="AK364" s="118">
        <v>413.3</v>
      </c>
      <c r="AL364" s="118">
        <v>269</v>
      </c>
      <c r="AM364" s="118">
        <v>0.2</v>
      </c>
      <c r="AN364" s="118">
        <v>411.7</v>
      </c>
      <c r="AO364" s="118">
        <v>0.64</v>
      </c>
      <c r="AP364" s="118">
        <v>0.65300000000000002</v>
      </c>
      <c r="AQ364" s="118">
        <v>0.90700000000000003</v>
      </c>
      <c r="AR364" s="118">
        <v>105.5</v>
      </c>
      <c r="AS364" s="118">
        <v>8.43</v>
      </c>
      <c r="AT364" s="118">
        <v>108</v>
      </c>
      <c r="AU364" s="118">
        <v>-85.938016349999998</v>
      </c>
      <c r="AV364" s="118">
        <v>40.710970340000003</v>
      </c>
      <c r="AW364" s="118">
        <v>225.8</v>
      </c>
      <c r="AX364" s="118">
        <v>115.9</v>
      </c>
      <c r="AY364" s="118">
        <v>8.35</v>
      </c>
      <c r="AZ364" s="118">
        <v>-101.3</v>
      </c>
      <c r="BA364" s="118">
        <v>12</v>
      </c>
      <c r="BB364" s="118">
        <v>0</v>
      </c>
      <c r="BC364" s="118">
        <v>26.814</v>
      </c>
      <c r="BD364" s="118">
        <v>5.0599999999999996</v>
      </c>
      <c r="BE364" s="118">
        <v>0</v>
      </c>
      <c r="BF364" t="s">
        <v>515</v>
      </c>
      <c r="BG364" t="s">
        <v>515</v>
      </c>
      <c r="BH364" s="118">
        <v>378.37799999999999</v>
      </c>
      <c r="BI364" s="118">
        <v>562.26700000000005</v>
      </c>
      <c r="BJ364" s="118">
        <v>644.58699999999999</v>
      </c>
      <c r="BK364" s="118">
        <v>716.58600000000001</v>
      </c>
      <c r="BL364" s="118">
        <v>604.79100000000005</v>
      </c>
      <c r="BM364" s="118">
        <v>591.08600000000001</v>
      </c>
      <c r="BN364" s="118">
        <v>533.14</v>
      </c>
      <c r="BO364" s="118">
        <v>519.88599999999997</v>
      </c>
    </row>
    <row r="365" spans="1:67" x14ac:dyDescent="0.25">
      <c r="A365" s="25">
        <v>10364</v>
      </c>
      <c r="B365" t="s">
        <v>389</v>
      </c>
      <c r="C365" t="s">
        <v>389</v>
      </c>
      <c r="D365" s="27" t="s">
        <v>473</v>
      </c>
      <c r="E365" s="27">
        <v>12</v>
      </c>
      <c r="F365" s="118">
        <v>661</v>
      </c>
      <c r="G365" t="s">
        <v>19</v>
      </c>
      <c r="H365" t="s">
        <v>8</v>
      </c>
      <c r="I365">
        <v>6.6E-3</v>
      </c>
      <c r="J365">
        <v>1.77</v>
      </c>
      <c r="K365">
        <v>-6.0000000000000001E-3</v>
      </c>
      <c r="L365" t="s">
        <v>515</v>
      </c>
      <c r="M365" s="140">
        <f t="shared" si="43"/>
        <v>0.05</v>
      </c>
      <c r="N365" s="140">
        <f t="shared" si="43"/>
        <v>1.77</v>
      </c>
      <c r="O365" s="140">
        <f t="shared" si="43"/>
        <v>0.05</v>
      </c>
      <c r="P365" s="140" t="str">
        <f t="shared" si="38"/>
        <v>NULL</v>
      </c>
      <c r="Q365" s="161">
        <v>1.1541632770311205</v>
      </c>
      <c r="R365" s="125">
        <v>9.5400000000000009</v>
      </c>
      <c r="S365">
        <v>13.6</v>
      </c>
      <c r="T365">
        <v>2.7597779560789917</v>
      </c>
      <c r="U365">
        <v>0.9421671767666463</v>
      </c>
      <c r="V365" s="118" t="s">
        <v>515</v>
      </c>
      <c r="W365" t="s">
        <v>515</v>
      </c>
      <c r="X365" t="s">
        <v>515</v>
      </c>
      <c r="Y365">
        <f t="shared" si="44"/>
        <v>6</v>
      </c>
      <c r="Z365">
        <f t="shared" si="45"/>
        <v>24</v>
      </c>
      <c r="AA365">
        <f t="shared" si="46"/>
        <v>2024</v>
      </c>
      <c r="AB365" s="118" t="b">
        <v>0</v>
      </c>
      <c r="AC365" s="19">
        <v>45467</v>
      </c>
      <c r="AD365" s="19" t="s">
        <v>515</v>
      </c>
      <c r="AE365" t="s">
        <v>515</v>
      </c>
      <c r="AF365" s="19">
        <v>45467</v>
      </c>
      <c r="AG365" t="s">
        <v>515</v>
      </c>
      <c r="AH365" t="s">
        <v>515</v>
      </c>
      <c r="AI365" s="118">
        <v>740.9</v>
      </c>
      <c r="AJ365" s="118">
        <v>424.1</v>
      </c>
      <c r="AK365" s="118">
        <v>411.1</v>
      </c>
      <c r="AL365" s="118">
        <v>267</v>
      </c>
      <c r="AM365" s="118">
        <v>0.2</v>
      </c>
      <c r="AN365" s="118">
        <v>409.8</v>
      </c>
      <c r="AO365" s="118">
        <v>0.58399999999999996</v>
      </c>
      <c r="AP365" s="118">
        <v>0.58599999999999997</v>
      </c>
      <c r="AQ365" s="118">
        <v>0.82799999999999996</v>
      </c>
      <c r="AR365" s="118">
        <v>108.2</v>
      </c>
      <c r="AS365" s="118">
        <v>8.67</v>
      </c>
      <c r="AT365" s="118">
        <v>110.7</v>
      </c>
      <c r="AU365" s="118">
        <v>-85.950999049999993</v>
      </c>
      <c r="AV365" s="118">
        <v>40.711466199999997</v>
      </c>
      <c r="AW365" s="118">
        <v>223.7</v>
      </c>
      <c r="AX365" s="118">
        <v>93.4</v>
      </c>
      <c r="AY365" s="118">
        <v>8.3699999999999992</v>
      </c>
      <c r="AZ365" s="118">
        <v>-102.5</v>
      </c>
      <c r="BA365" s="118">
        <v>11.9</v>
      </c>
      <c r="BB365" s="118">
        <v>0</v>
      </c>
      <c r="BC365" s="118">
        <v>26.652000000000001</v>
      </c>
      <c r="BD365" s="118">
        <v>5.91</v>
      </c>
      <c r="BE365" s="118">
        <v>0</v>
      </c>
      <c r="BF365" t="s">
        <v>515</v>
      </c>
      <c r="BG365" t="s">
        <v>515</v>
      </c>
      <c r="BH365" s="118">
        <v>142.65299999999999</v>
      </c>
      <c r="BI365" s="118">
        <v>180.482</v>
      </c>
      <c r="BJ365" s="118">
        <v>233.959</v>
      </c>
      <c r="BK365" s="118">
        <v>253.744</v>
      </c>
      <c r="BL365" s="118">
        <v>234.37899999999999</v>
      </c>
      <c r="BM365" s="118">
        <v>203.79499999999999</v>
      </c>
      <c r="BN365" s="118">
        <v>222.08699999999999</v>
      </c>
      <c r="BO365" s="118">
        <v>319.69900000000001</v>
      </c>
    </row>
    <row r="366" spans="1:67" x14ac:dyDescent="0.25">
      <c r="A366" s="25">
        <v>10365</v>
      </c>
      <c r="B366" t="s">
        <v>390</v>
      </c>
      <c r="C366" t="s">
        <v>390</v>
      </c>
      <c r="D366" s="27" t="s">
        <v>474</v>
      </c>
      <c r="E366" s="27">
        <v>13</v>
      </c>
      <c r="F366" s="118">
        <v>13553</v>
      </c>
      <c r="G366" t="s">
        <v>19</v>
      </c>
      <c r="H366" t="s">
        <v>8</v>
      </c>
      <c r="I366">
        <v>1.09E-2</v>
      </c>
      <c r="J366">
        <v>1.5229999999999999</v>
      </c>
      <c r="K366">
        <v>-2E-3</v>
      </c>
      <c r="L366" t="s">
        <v>515</v>
      </c>
      <c r="M366" s="140">
        <f t="shared" si="43"/>
        <v>0.05</v>
      </c>
      <c r="N366" s="140">
        <f t="shared" si="43"/>
        <v>1.5229999999999999</v>
      </c>
      <c r="O366" s="140">
        <f t="shared" si="43"/>
        <v>0.05</v>
      </c>
      <c r="P366" s="140" t="str">
        <f t="shared" si="38"/>
        <v>NULL</v>
      </c>
      <c r="Q366" s="161">
        <v>0.29678288592751328</v>
      </c>
      <c r="R366" s="125">
        <v>20.063333333333333</v>
      </c>
      <c r="S366">
        <v>22.850000000000005</v>
      </c>
      <c r="T366">
        <v>2.7956438065705824</v>
      </c>
      <c r="U366">
        <v>0.91972277766442223</v>
      </c>
      <c r="V366" s="118" t="s">
        <v>515</v>
      </c>
      <c r="W366" t="s">
        <v>515</v>
      </c>
      <c r="X366" t="s">
        <v>515</v>
      </c>
      <c r="Y366">
        <f t="shared" si="44"/>
        <v>6</v>
      </c>
      <c r="Z366">
        <f t="shared" si="45"/>
        <v>24</v>
      </c>
      <c r="AA366">
        <f t="shared" si="46"/>
        <v>2024</v>
      </c>
      <c r="AB366" s="118" t="b">
        <v>0</v>
      </c>
      <c r="AC366" s="19">
        <v>45467</v>
      </c>
      <c r="AD366" s="19" t="s">
        <v>515</v>
      </c>
      <c r="AE366" t="s">
        <v>515</v>
      </c>
      <c r="AF366" s="19">
        <v>45467</v>
      </c>
      <c r="AG366" t="s">
        <v>515</v>
      </c>
      <c r="AH366" t="s">
        <v>515</v>
      </c>
      <c r="AI366" s="118">
        <v>740.8</v>
      </c>
      <c r="AJ366" s="118">
        <v>530.9</v>
      </c>
      <c r="AK366" s="118">
        <v>495.5</v>
      </c>
      <c r="AL366" s="118">
        <v>322</v>
      </c>
      <c r="AM366" s="118">
        <v>0.24</v>
      </c>
      <c r="AN366" s="118">
        <v>491.7</v>
      </c>
      <c r="AO366" s="118">
        <v>0.56299999999999994</v>
      </c>
      <c r="AP366" s="118">
        <v>0.56499999999999995</v>
      </c>
      <c r="AQ366" s="118">
        <v>0.79800000000000004</v>
      </c>
      <c r="AR366" s="118">
        <v>155.5</v>
      </c>
      <c r="AS366" s="118">
        <v>12</v>
      </c>
      <c r="AT366" s="118">
        <v>159.19999999999999</v>
      </c>
      <c r="AU366" s="118">
        <v>-85.84132262</v>
      </c>
      <c r="AV366" s="118">
        <v>40.673133649999997</v>
      </c>
      <c r="AW366" s="118">
        <v>225.1</v>
      </c>
      <c r="AX366" s="118">
        <v>118.7</v>
      </c>
      <c r="AY366" s="118">
        <v>8.3699999999999992</v>
      </c>
      <c r="AZ366" s="118">
        <v>-103.2</v>
      </c>
      <c r="BA366" s="118">
        <v>11.9</v>
      </c>
      <c r="BB366" s="118">
        <v>0</v>
      </c>
      <c r="BC366" s="118">
        <v>28.74</v>
      </c>
      <c r="BD366" s="118">
        <v>5.88</v>
      </c>
      <c r="BE366" s="118">
        <v>0</v>
      </c>
      <c r="BF366" t="s">
        <v>515</v>
      </c>
      <c r="BG366" t="s">
        <v>515</v>
      </c>
      <c r="BH366" s="118">
        <v>216.41300000000001</v>
      </c>
      <c r="BI366" s="118">
        <v>276.666</v>
      </c>
      <c r="BJ366" s="118">
        <v>388.48</v>
      </c>
      <c r="BK366" s="118">
        <v>459.548</v>
      </c>
      <c r="BL366" s="118">
        <v>381.96800000000002</v>
      </c>
      <c r="BM366" s="118">
        <v>316.642</v>
      </c>
      <c r="BN366" s="118">
        <v>350.31400000000002</v>
      </c>
      <c r="BO366" s="118">
        <v>438.08800000000002</v>
      </c>
    </row>
    <row r="367" spans="1:67" x14ac:dyDescent="0.25">
      <c r="A367" s="25">
        <v>10366</v>
      </c>
      <c r="B367" t="s">
        <v>391</v>
      </c>
      <c r="C367" t="s">
        <v>391</v>
      </c>
      <c r="D367" s="27" t="s">
        <v>491</v>
      </c>
      <c r="E367" s="27">
        <v>1</v>
      </c>
      <c r="F367" s="118">
        <v>5210</v>
      </c>
      <c r="G367" t="s">
        <v>22</v>
      </c>
      <c r="H367" t="s">
        <v>8</v>
      </c>
      <c r="I367">
        <v>1.77E-2</v>
      </c>
      <c r="J367">
        <v>2.1379999999999999</v>
      </c>
      <c r="K367">
        <v>-3.3000000000000002E-2</v>
      </c>
      <c r="L367" s="109">
        <v>6.9078947368421068E-3</v>
      </c>
      <c r="M367" s="140">
        <f t="shared" si="43"/>
        <v>0.05</v>
      </c>
      <c r="N367" s="140">
        <f t="shared" si="43"/>
        <v>2.1379999999999999</v>
      </c>
      <c r="O367" s="140">
        <f t="shared" si="43"/>
        <v>0.05</v>
      </c>
      <c r="P367" s="140">
        <f t="shared" si="38"/>
        <v>0.05</v>
      </c>
      <c r="Q367" s="161">
        <v>0.34058794311516605</v>
      </c>
      <c r="R367" s="125">
        <v>14.056666666666667</v>
      </c>
      <c r="S367">
        <v>16.13</v>
      </c>
      <c r="T367">
        <v>4.1471106366884989</v>
      </c>
      <c r="U367">
        <v>1.7403036115078554</v>
      </c>
      <c r="V367" s="118" t="s">
        <v>515</v>
      </c>
      <c r="W367" t="s">
        <v>515</v>
      </c>
      <c r="X367" t="s">
        <v>515</v>
      </c>
      <c r="Y367">
        <f t="shared" si="44"/>
        <v>6</v>
      </c>
      <c r="Z367">
        <f t="shared" si="45"/>
        <v>27</v>
      </c>
      <c r="AA367">
        <f t="shared" si="46"/>
        <v>2024</v>
      </c>
      <c r="AB367" s="118" t="b">
        <v>0</v>
      </c>
      <c r="AC367" s="19">
        <v>45470</v>
      </c>
      <c r="AD367" s="19" t="s">
        <v>515</v>
      </c>
      <c r="AE367" t="s">
        <v>515</v>
      </c>
      <c r="AF367" s="19">
        <v>45470</v>
      </c>
      <c r="AG367" t="s">
        <v>515</v>
      </c>
      <c r="AH367" t="s">
        <v>515</v>
      </c>
      <c r="AI367" s="118">
        <v>740.5</v>
      </c>
      <c r="AJ367" s="118">
        <v>390.3</v>
      </c>
      <c r="AK367" s="118">
        <v>390.4</v>
      </c>
      <c r="AL367" s="118">
        <v>254</v>
      </c>
      <c r="AM367" s="118">
        <v>0.19</v>
      </c>
      <c r="AN367" s="118">
        <v>390.4</v>
      </c>
      <c r="AO367" s="118">
        <v>0.53900000000000003</v>
      </c>
      <c r="AP367" s="118">
        <v>0.55000000000000004</v>
      </c>
      <c r="AQ367" s="118">
        <v>0.76500000000000001</v>
      </c>
      <c r="AR367" s="118">
        <v>101.4</v>
      </c>
      <c r="AS367" s="118">
        <v>8.3699999999999992</v>
      </c>
      <c r="AT367" s="118">
        <v>103.7</v>
      </c>
      <c r="AU367" s="118">
        <v>-85.645051519999996</v>
      </c>
      <c r="AV367" s="118">
        <v>40.772296269999998</v>
      </c>
      <c r="AW367" s="118">
        <v>230.2</v>
      </c>
      <c r="AX367" s="118">
        <v>161.9</v>
      </c>
      <c r="AY367" s="118">
        <v>8.32</v>
      </c>
      <c r="AZ367" s="118">
        <v>-103</v>
      </c>
      <c r="BA367" s="118">
        <v>11.9</v>
      </c>
      <c r="BB367" s="118">
        <v>0</v>
      </c>
      <c r="BC367" s="118">
        <v>24.99</v>
      </c>
      <c r="BD367" s="118">
        <v>5.27</v>
      </c>
      <c r="BE367" s="118">
        <v>0</v>
      </c>
      <c r="BF367" t="s">
        <v>515</v>
      </c>
      <c r="BG367" t="s">
        <v>515</v>
      </c>
      <c r="BH367" s="118">
        <v>378.14299999999997</v>
      </c>
      <c r="BI367" s="118">
        <v>495.435</v>
      </c>
      <c r="BJ367" s="118">
        <v>570.93899999999996</v>
      </c>
      <c r="BK367" s="118">
        <v>647.37</v>
      </c>
      <c r="BL367" s="118">
        <v>637.03300000000002</v>
      </c>
      <c r="BM367" s="118">
        <v>584.69600000000003</v>
      </c>
      <c r="BN367" s="118">
        <v>598.87300000000005</v>
      </c>
      <c r="BO367" s="118">
        <v>628.92200000000003</v>
      </c>
    </row>
    <row r="368" spans="1:67" x14ac:dyDescent="0.25">
      <c r="A368" s="25">
        <v>10367</v>
      </c>
      <c r="B368" t="s">
        <v>392</v>
      </c>
      <c r="C368" t="s">
        <v>392</v>
      </c>
      <c r="D368" s="27" t="s">
        <v>492</v>
      </c>
      <c r="E368" s="27">
        <v>2</v>
      </c>
      <c r="F368" s="118">
        <v>5430</v>
      </c>
      <c r="G368" t="s">
        <v>22</v>
      </c>
      <c r="H368" t="s">
        <v>8</v>
      </c>
      <c r="I368">
        <v>2.41E-2</v>
      </c>
      <c r="J368">
        <v>2.052</v>
      </c>
      <c r="K368">
        <v>-2.1000000000000001E-2</v>
      </c>
      <c r="L368" s="109">
        <v>-8.1913499344692005E-3</v>
      </c>
      <c r="M368" s="140">
        <f t="shared" si="43"/>
        <v>0.05</v>
      </c>
      <c r="N368" s="140">
        <f t="shared" si="43"/>
        <v>2.052</v>
      </c>
      <c r="O368" s="140">
        <f t="shared" si="43"/>
        <v>0.05</v>
      </c>
      <c r="P368" s="140">
        <f t="shared" si="38"/>
        <v>0.05</v>
      </c>
      <c r="Q368" s="161">
        <v>0.42691706430212684</v>
      </c>
      <c r="R368" s="125">
        <v>5.4066666666666663</v>
      </c>
      <c r="S368">
        <v>5.8</v>
      </c>
      <c r="T368">
        <v>4.0135233384806899</v>
      </c>
      <c r="U368">
        <v>1.710921852683126</v>
      </c>
      <c r="V368" s="118" t="s">
        <v>515</v>
      </c>
      <c r="W368" t="s">
        <v>515</v>
      </c>
      <c r="X368" t="s">
        <v>515</v>
      </c>
      <c r="Y368">
        <f t="shared" si="44"/>
        <v>6</v>
      </c>
      <c r="Z368">
        <f t="shared" si="45"/>
        <v>27</v>
      </c>
      <c r="AA368">
        <f t="shared" si="46"/>
        <v>2024</v>
      </c>
      <c r="AB368" s="118" t="b">
        <v>0</v>
      </c>
      <c r="AC368" s="19">
        <v>45470</v>
      </c>
      <c r="AD368" s="19" t="s">
        <v>515</v>
      </c>
      <c r="AE368" t="s">
        <v>515</v>
      </c>
      <c r="AF368" s="19">
        <v>45470</v>
      </c>
      <c r="AG368" t="s">
        <v>515</v>
      </c>
      <c r="AH368" t="s">
        <v>515</v>
      </c>
      <c r="AI368" s="118">
        <v>740.5</v>
      </c>
      <c r="AJ368" s="118">
        <v>392.3</v>
      </c>
      <c r="AK368" s="118">
        <v>392.1</v>
      </c>
      <c r="AL368" s="118">
        <v>255</v>
      </c>
      <c r="AM368" s="118">
        <v>0.19</v>
      </c>
      <c r="AN368" s="118">
        <v>392.1</v>
      </c>
      <c r="AO368" s="118">
        <v>0.53700000000000003</v>
      </c>
      <c r="AP368" s="118">
        <v>0.56000000000000005</v>
      </c>
      <c r="AQ368" s="118">
        <v>0.76200000000000001</v>
      </c>
      <c r="AR368" s="118">
        <v>96.8</v>
      </c>
      <c r="AS368" s="118">
        <v>7.99</v>
      </c>
      <c r="AT368" s="118">
        <v>99.1</v>
      </c>
      <c r="AU368" s="118">
        <v>-85.647150420000003</v>
      </c>
      <c r="AV368" s="118">
        <v>40.770774430000003</v>
      </c>
      <c r="AW368" s="118">
        <v>229.6</v>
      </c>
      <c r="AX368" s="118">
        <v>135.4</v>
      </c>
      <c r="AY368" s="118">
        <v>8.26</v>
      </c>
      <c r="AZ368" s="118">
        <v>-99.1</v>
      </c>
      <c r="BA368" s="118">
        <v>11.9</v>
      </c>
      <c r="BB368" s="118">
        <v>0</v>
      </c>
      <c r="BC368" s="118">
        <v>25.027999999999999</v>
      </c>
      <c r="BD368" s="118">
        <v>6.03</v>
      </c>
      <c r="BE368" s="118">
        <v>0</v>
      </c>
      <c r="BF368" t="s">
        <v>515</v>
      </c>
      <c r="BG368" t="s">
        <v>515</v>
      </c>
      <c r="BH368" s="118">
        <v>222.42500000000001</v>
      </c>
      <c r="BI368" s="118">
        <v>267.39999999999998</v>
      </c>
      <c r="BJ368" s="118">
        <v>362.113</v>
      </c>
      <c r="BK368" s="118">
        <v>434.00700000000001</v>
      </c>
      <c r="BL368" s="118">
        <v>408.74299999999999</v>
      </c>
      <c r="BM368" s="118">
        <v>334.34500000000003</v>
      </c>
      <c r="BN368" s="118">
        <v>381.07600000000002</v>
      </c>
      <c r="BO368" s="118">
        <v>410.90699999999998</v>
      </c>
    </row>
    <row r="369" spans="1:67" x14ac:dyDescent="0.25">
      <c r="A369" s="25">
        <v>10368</v>
      </c>
      <c r="B369" t="s">
        <v>393</v>
      </c>
      <c r="C369" t="s">
        <v>393</v>
      </c>
      <c r="D369" s="27" t="s">
        <v>493</v>
      </c>
      <c r="E369" s="27">
        <v>3</v>
      </c>
      <c r="F369" s="118">
        <v>4180</v>
      </c>
      <c r="G369" t="s">
        <v>22</v>
      </c>
      <c r="H369" t="s">
        <v>8</v>
      </c>
      <c r="I369">
        <v>1.5100000000000001E-2</v>
      </c>
      <c r="J369">
        <v>2.0339999999999998</v>
      </c>
      <c r="K369">
        <v>-3.3000000000000002E-2</v>
      </c>
      <c r="L369" s="109">
        <v>0</v>
      </c>
      <c r="M369" s="140">
        <f t="shared" si="43"/>
        <v>0.05</v>
      </c>
      <c r="N369" s="140">
        <f t="shared" si="43"/>
        <v>2.0339999999999998</v>
      </c>
      <c r="O369" s="140">
        <f t="shared" si="43"/>
        <v>0.05</v>
      </c>
      <c r="P369" s="140">
        <f t="shared" si="38"/>
        <v>0.05</v>
      </c>
      <c r="Q369" s="161" t="s">
        <v>515</v>
      </c>
      <c r="R369" s="125">
        <v>3.59</v>
      </c>
      <c r="S369">
        <v>2.8699999999999997</v>
      </c>
      <c r="T369">
        <v>3.8669411669063614</v>
      </c>
      <c r="U369">
        <v>1.6178796164048155</v>
      </c>
      <c r="V369" s="118" t="s">
        <v>515</v>
      </c>
      <c r="W369" t="s">
        <v>515</v>
      </c>
      <c r="X369" t="s">
        <v>515</v>
      </c>
      <c r="Y369">
        <f t="shared" si="44"/>
        <v>6</v>
      </c>
      <c r="Z369">
        <f t="shared" si="45"/>
        <v>27</v>
      </c>
      <c r="AA369">
        <f t="shared" si="46"/>
        <v>2024</v>
      </c>
      <c r="AB369" s="118" t="b">
        <v>0</v>
      </c>
      <c r="AC369" s="19">
        <v>45470</v>
      </c>
      <c r="AD369" s="19" t="s">
        <v>515</v>
      </c>
      <c r="AE369" t="s">
        <v>515</v>
      </c>
      <c r="AF369" s="19">
        <v>45470</v>
      </c>
      <c r="AG369" t="s">
        <v>515</v>
      </c>
      <c r="AH369" t="s">
        <v>515</v>
      </c>
      <c r="AI369" s="118">
        <v>740.6</v>
      </c>
      <c r="AJ369" s="118">
        <v>396.9</v>
      </c>
      <c r="AK369" s="118">
        <v>395.1</v>
      </c>
      <c r="AL369" s="118">
        <v>257</v>
      </c>
      <c r="AM369" s="118">
        <v>0.19</v>
      </c>
      <c r="AN369" s="118">
        <v>394.9</v>
      </c>
      <c r="AO369" s="118">
        <v>0.53900000000000003</v>
      </c>
      <c r="AP369" s="118">
        <v>0.54600000000000004</v>
      </c>
      <c r="AQ369" s="118">
        <v>0.76400000000000001</v>
      </c>
      <c r="AR369" s="118">
        <v>100.9</v>
      </c>
      <c r="AS369" s="118">
        <v>8.3000000000000007</v>
      </c>
      <c r="AT369" s="118">
        <v>103.3</v>
      </c>
      <c r="AU369" s="118">
        <v>-85.646588960000003</v>
      </c>
      <c r="AV369" s="118">
        <v>40.781075420000001</v>
      </c>
      <c r="AW369" s="118">
        <v>232.2</v>
      </c>
      <c r="AX369" s="118">
        <v>89.5</v>
      </c>
      <c r="AY369" s="118">
        <v>8.33</v>
      </c>
      <c r="AZ369" s="118">
        <v>-103.4</v>
      </c>
      <c r="BA369" s="118">
        <v>11.9</v>
      </c>
      <c r="BB369" s="118">
        <v>0</v>
      </c>
      <c r="BC369" s="118">
        <v>25.233000000000001</v>
      </c>
      <c r="BD369" s="118">
        <v>4.87</v>
      </c>
      <c r="BE369" s="118">
        <v>0</v>
      </c>
      <c r="BF369" t="s">
        <v>515</v>
      </c>
      <c r="BG369" t="s">
        <v>515</v>
      </c>
      <c r="BH369" s="118">
        <v>310.99200000000002</v>
      </c>
      <c r="BI369" s="118">
        <v>450.45100000000002</v>
      </c>
      <c r="BJ369" s="118">
        <v>509.71499999999997</v>
      </c>
      <c r="BK369" s="118">
        <v>578.029</v>
      </c>
      <c r="BL369" s="118">
        <v>555.98800000000006</v>
      </c>
      <c r="BM369" s="118">
        <v>522.04899999999998</v>
      </c>
      <c r="BN369" s="118">
        <v>513.70699999999999</v>
      </c>
      <c r="BO369" s="118">
        <v>498.637</v>
      </c>
    </row>
    <row r="370" spans="1:67" x14ac:dyDescent="0.25">
      <c r="A370" s="25">
        <v>10369</v>
      </c>
      <c r="B370" t="s">
        <v>394</v>
      </c>
      <c r="C370" t="s">
        <v>394</v>
      </c>
      <c r="D370" s="27" t="s">
        <v>494</v>
      </c>
      <c r="E370" s="27">
        <v>4</v>
      </c>
      <c r="F370" s="118">
        <v>4980</v>
      </c>
      <c r="G370" t="s">
        <v>22</v>
      </c>
      <c r="H370" t="s">
        <v>8</v>
      </c>
      <c r="I370">
        <v>1.9099999999999999E-2</v>
      </c>
      <c r="J370">
        <v>1.9239999999999999</v>
      </c>
      <c r="K370">
        <v>-3.4000000000000002E-2</v>
      </c>
      <c r="L370" t="s">
        <v>515</v>
      </c>
      <c r="M370" s="140">
        <f t="shared" ref="M370:O385" si="47">IF(I370&lt;0.1,0.05,I370)</f>
        <v>0.05</v>
      </c>
      <c r="N370" s="140">
        <f t="shared" si="47"/>
        <v>1.9239999999999999</v>
      </c>
      <c r="O370" s="140">
        <f t="shared" si="47"/>
        <v>0.05</v>
      </c>
      <c r="P370" s="140" t="str">
        <f t="shared" si="38"/>
        <v>NULL</v>
      </c>
      <c r="Q370" s="161">
        <v>0.40175155267877694</v>
      </c>
      <c r="R370" s="125">
        <v>6.06</v>
      </c>
      <c r="S370">
        <v>11.106666666666664</v>
      </c>
      <c r="T370">
        <v>3.5436287175473833</v>
      </c>
      <c r="U370">
        <v>1.4324072638237095</v>
      </c>
      <c r="V370" s="118" t="s">
        <v>515</v>
      </c>
      <c r="W370" t="s">
        <v>515</v>
      </c>
      <c r="X370" t="s">
        <v>515</v>
      </c>
      <c r="Y370">
        <f t="shared" si="44"/>
        <v>6</v>
      </c>
      <c r="Z370">
        <f t="shared" si="45"/>
        <v>27</v>
      </c>
      <c r="AA370">
        <f t="shared" si="46"/>
        <v>2024</v>
      </c>
      <c r="AB370" s="118" t="b">
        <v>0</v>
      </c>
      <c r="AC370" s="19">
        <v>45470</v>
      </c>
      <c r="AD370" s="19" t="s">
        <v>515</v>
      </c>
      <c r="AE370" t="s">
        <v>515</v>
      </c>
      <c r="AF370" s="19">
        <v>45470</v>
      </c>
      <c r="AG370" t="s">
        <v>515</v>
      </c>
      <c r="AH370" t="s">
        <v>515</v>
      </c>
      <c r="AI370" s="118">
        <v>740.5</v>
      </c>
      <c r="AJ370" s="118">
        <v>399</v>
      </c>
      <c r="AK370" s="118">
        <v>395.5</v>
      </c>
      <c r="AL370" s="118">
        <v>257</v>
      </c>
      <c r="AM370" s="118">
        <v>0.19</v>
      </c>
      <c r="AN370" s="118">
        <v>395.1</v>
      </c>
      <c r="AO370" s="118">
        <v>0.57499999999999996</v>
      </c>
      <c r="AP370" s="118">
        <v>0.58499999999999996</v>
      </c>
      <c r="AQ370" s="118">
        <v>0.81599999999999995</v>
      </c>
      <c r="AR370" s="118">
        <v>97.3</v>
      </c>
      <c r="AS370" s="118">
        <v>7.97</v>
      </c>
      <c r="AT370" s="118">
        <v>99.6</v>
      </c>
      <c r="AU370" s="118">
        <v>-85.638733939999995</v>
      </c>
      <c r="AV370" s="118">
        <v>40.783930470000001</v>
      </c>
      <c r="AW370" s="118">
        <v>229.3</v>
      </c>
      <c r="AX370" s="118">
        <v>153.5</v>
      </c>
      <c r="AY370" s="118">
        <v>8.3000000000000007</v>
      </c>
      <c r="AZ370" s="118">
        <v>-102</v>
      </c>
      <c r="BA370" s="118">
        <v>11.9</v>
      </c>
      <c r="BB370" s="118">
        <v>0</v>
      </c>
      <c r="BC370" s="118">
        <v>25.463000000000001</v>
      </c>
      <c r="BD370" s="118">
        <v>7.1</v>
      </c>
      <c r="BE370" s="118">
        <v>0</v>
      </c>
      <c r="BF370" t="s">
        <v>515</v>
      </c>
      <c r="BG370" t="s">
        <v>515</v>
      </c>
      <c r="BH370" s="118">
        <v>172.39500000000001</v>
      </c>
      <c r="BI370" s="118">
        <v>227.81399999999999</v>
      </c>
      <c r="BJ370" s="118">
        <v>328.64699999999999</v>
      </c>
      <c r="BK370" s="118">
        <v>408.79700000000003</v>
      </c>
      <c r="BL370" s="118">
        <v>365.41399999999999</v>
      </c>
      <c r="BM370" s="118">
        <v>293.91899999999998</v>
      </c>
      <c r="BN370" s="118">
        <v>310.36099999999999</v>
      </c>
      <c r="BO370" s="118">
        <v>329.39</v>
      </c>
    </row>
    <row r="371" spans="1:67" x14ac:dyDescent="0.25">
      <c r="A371" s="25">
        <v>10370</v>
      </c>
      <c r="B371" t="s">
        <v>395</v>
      </c>
      <c r="C371" t="s">
        <v>395</v>
      </c>
      <c r="D371" s="27" t="s">
        <v>495</v>
      </c>
      <c r="E371" s="27">
        <v>5</v>
      </c>
      <c r="F371" s="118">
        <v>6340</v>
      </c>
      <c r="G371" t="s">
        <v>22</v>
      </c>
      <c r="H371" t="s">
        <v>8</v>
      </c>
      <c r="I371">
        <v>5.4000000000000003E-3</v>
      </c>
      <c r="J371">
        <v>1.93</v>
      </c>
      <c r="K371">
        <v>-3.5999999999999997E-2</v>
      </c>
      <c r="L371" s="109">
        <v>3.6184210526315794E-3</v>
      </c>
      <c r="M371" s="140">
        <f t="shared" si="47"/>
        <v>0.05</v>
      </c>
      <c r="N371" s="140">
        <f t="shared" si="47"/>
        <v>1.93</v>
      </c>
      <c r="O371" s="140">
        <f t="shared" si="47"/>
        <v>0.05</v>
      </c>
      <c r="P371" s="140">
        <f t="shared" si="38"/>
        <v>0.05</v>
      </c>
      <c r="Q371" s="161">
        <v>0.62165368181414871</v>
      </c>
      <c r="R371" s="125">
        <v>4.8866666666666667</v>
      </c>
      <c r="S371">
        <v>2.8466666666666662</v>
      </c>
      <c r="T371">
        <v>3.351824386657571</v>
      </c>
      <c r="U371">
        <v>1.3558922668843094</v>
      </c>
      <c r="V371" s="118" t="s">
        <v>515</v>
      </c>
      <c r="W371" t="s">
        <v>515</v>
      </c>
      <c r="X371" t="s">
        <v>515</v>
      </c>
      <c r="Y371">
        <f t="shared" si="44"/>
        <v>6</v>
      </c>
      <c r="Z371">
        <f t="shared" si="45"/>
        <v>27</v>
      </c>
      <c r="AA371">
        <f t="shared" si="46"/>
        <v>2024</v>
      </c>
      <c r="AB371" s="118" t="b">
        <v>0</v>
      </c>
      <c r="AC371" s="19">
        <v>45470</v>
      </c>
      <c r="AD371" s="19" t="s">
        <v>515</v>
      </c>
      <c r="AE371" t="s">
        <v>515</v>
      </c>
      <c r="AF371" s="19">
        <v>45470</v>
      </c>
      <c r="AG371" t="s">
        <v>515</v>
      </c>
      <c r="AH371" t="s">
        <v>515</v>
      </c>
      <c r="AI371" s="118">
        <v>740.5</v>
      </c>
      <c r="AJ371" s="118">
        <v>408.8</v>
      </c>
      <c r="AK371" s="118">
        <v>402.8</v>
      </c>
      <c r="AL371" s="118">
        <v>262</v>
      </c>
      <c r="AM371" s="118">
        <v>0.19</v>
      </c>
      <c r="AN371" s="118">
        <v>402.2</v>
      </c>
      <c r="AO371" s="118">
        <v>0.53400000000000003</v>
      </c>
      <c r="AP371" s="118">
        <v>0.56399999999999995</v>
      </c>
      <c r="AQ371" s="118">
        <v>0.75700000000000001</v>
      </c>
      <c r="AR371" s="118">
        <v>98.9</v>
      </c>
      <c r="AS371" s="118">
        <v>8.0500000000000007</v>
      </c>
      <c r="AT371" s="118">
        <v>101.2</v>
      </c>
      <c r="AU371" s="118">
        <v>-85.624036320000002</v>
      </c>
      <c r="AV371" s="118">
        <v>40.774560219999998</v>
      </c>
      <c r="AW371" s="118">
        <v>224.8</v>
      </c>
      <c r="AX371" s="118">
        <v>157.30000000000001</v>
      </c>
      <c r="AY371" s="118">
        <v>8.3000000000000007</v>
      </c>
      <c r="AZ371" s="118">
        <v>-101.8</v>
      </c>
      <c r="BA371" s="118">
        <v>11.9</v>
      </c>
      <c r="BB371" s="118">
        <v>0</v>
      </c>
      <c r="BC371" s="118">
        <v>25.774999999999999</v>
      </c>
      <c r="BD371" s="118">
        <v>4.34</v>
      </c>
      <c r="BE371" s="118">
        <v>0</v>
      </c>
      <c r="BF371" t="s">
        <v>515</v>
      </c>
      <c r="BG371" t="s">
        <v>515</v>
      </c>
      <c r="BH371" s="118">
        <v>260.02699999999999</v>
      </c>
      <c r="BI371" s="118">
        <v>335.44099999999997</v>
      </c>
      <c r="BJ371" s="118">
        <v>419.22899999999998</v>
      </c>
      <c r="BK371" s="118">
        <v>477.94200000000001</v>
      </c>
      <c r="BL371" s="118">
        <v>456.51499999999999</v>
      </c>
      <c r="BM371" s="118">
        <v>417.459</v>
      </c>
      <c r="BN371" s="118">
        <v>422.34399999999999</v>
      </c>
      <c r="BO371" s="118">
        <v>507.00900000000001</v>
      </c>
    </row>
    <row r="372" spans="1:67" x14ac:dyDescent="0.25">
      <c r="A372" s="25">
        <v>10371</v>
      </c>
      <c r="B372" t="s">
        <v>396</v>
      </c>
      <c r="C372" t="s">
        <v>396</v>
      </c>
      <c r="D372" s="27" t="s">
        <v>496</v>
      </c>
      <c r="E372" s="27">
        <v>6</v>
      </c>
      <c r="F372" s="118">
        <v>7900</v>
      </c>
      <c r="G372" t="s">
        <v>22</v>
      </c>
      <c r="H372" t="s">
        <v>8</v>
      </c>
      <c r="I372">
        <v>2.3599999999999999E-2</v>
      </c>
      <c r="J372">
        <v>1.8080000000000001</v>
      </c>
      <c r="K372">
        <v>-3.5999999999999997E-2</v>
      </c>
      <c r="L372" s="109">
        <v>-4.9148099606815196E-3</v>
      </c>
      <c r="M372" s="140">
        <f t="shared" si="47"/>
        <v>0.05</v>
      </c>
      <c r="N372" s="140">
        <f t="shared" si="47"/>
        <v>1.8080000000000001</v>
      </c>
      <c r="O372" s="140">
        <f t="shared" si="47"/>
        <v>0.05</v>
      </c>
      <c r="P372" s="140">
        <f t="shared" si="38"/>
        <v>0.05</v>
      </c>
      <c r="Q372" s="161">
        <v>0.40816819826437972</v>
      </c>
      <c r="R372" s="125">
        <v>6.9300000000000006</v>
      </c>
      <c r="S372">
        <v>7.7133333333333338</v>
      </c>
      <c r="T372">
        <v>3.3362305386177491</v>
      </c>
      <c r="U372">
        <v>1.4071063048357479</v>
      </c>
      <c r="V372" s="118" t="s">
        <v>515</v>
      </c>
      <c r="W372" t="s">
        <v>515</v>
      </c>
      <c r="X372" t="s">
        <v>515</v>
      </c>
      <c r="Y372">
        <f t="shared" si="44"/>
        <v>6</v>
      </c>
      <c r="Z372">
        <f t="shared" si="45"/>
        <v>27</v>
      </c>
      <c r="AA372">
        <f t="shared" si="46"/>
        <v>2024</v>
      </c>
      <c r="AB372" s="118" t="b">
        <v>0</v>
      </c>
      <c r="AC372" s="19">
        <v>45470</v>
      </c>
      <c r="AD372" s="19" t="s">
        <v>515</v>
      </c>
      <c r="AE372" t="s">
        <v>515</v>
      </c>
      <c r="AF372" s="19">
        <v>45470</v>
      </c>
      <c r="AG372" t="s">
        <v>515</v>
      </c>
      <c r="AH372" t="s">
        <v>515</v>
      </c>
      <c r="AI372" s="118">
        <v>740.5</v>
      </c>
      <c r="AJ372" s="118">
        <v>420.3</v>
      </c>
      <c r="AK372" s="118">
        <v>409</v>
      </c>
      <c r="AL372" s="118">
        <v>266</v>
      </c>
      <c r="AM372" s="118">
        <v>0.19</v>
      </c>
      <c r="AN372" s="118">
        <v>407.8</v>
      </c>
      <c r="AO372" s="118">
        <v>0.51200000000000001</v>
      </c>
      <c r="AP372" s="118">
        <v>0.53800000000000003</v>
      </c>
      <c r="AQ372" s="118">
        <v>0.72599999999999998</v>
      </c>
      <c r="AR372" s="118">
        <v>104.9</v>
      </c>
      <c r="AS372" s="118">
        <v>8.44</v>
      </c>
      <c r="AT372" s="118">
        <v>107.4</v>
      </c>
      <c r="AU372" s="118">
        <v>-85.606134130000001</v>
      </c>
      <c r="AV372" s="118">
        <v>40.77494488</v>
      </c>
      <c r="AW372" s="118">
        <v>232.5</v>
      </c>
      <c r="AX372" s="118">
        <v>154.30000000000001</v>
      </c>
      <c r="AY372" s="118">
        <v>8.3000000000000007</v>
      </c>
      <c r="AZ372" s="118">
        <v>-102.2</v>
      </c>
      <c r="BA372" s="118">
        <v>11.9</v>
      </c>
      <c r="BB372" s="118">
        <v>0</v>
      </c>
      <c r="BC372" s="118">
        <v>26.446999999999999</v>
      </c>
      <c r="BD372" s="118">
        <v>4.49</v>
      </c>
      <c r="BE372" s="118">
        <v>0</v>
      </c>
      <c r="BF372" t="s">
        <v>515</v>
      </c>
      <c r="BG372" t="s">
        <v>515</v>
      </c>
      <c r="BH372" s="118">
        <v>427.84</v>
      </c>
      <c r="BI372" s="118">
        <v>516.65700000000004</v>
      </c>
      <c r="BJ372" s="118">
        <v>604.37400000000002</v>
      </c>
      <c r="BK372" s="118">
        <v>687.221</v>
      </c>
      <c r="BL372" s="118">
        <v>671.86900000000003</v>
      </c>
      <c r="BM372" s="118">
        <v>624.60299999999995</v>
      </c>
      <c r="BN372" s="118">
        <v>639.971</v>
      </c>
      <c r="BO372" s="118">
        <v>688.755</v>
      </c>
    </row>
    <row r="373" spans="1:67" x14ac:dyDescent="0.25">
      <c r="A373" s="25">
        <v>10372</v>
      </c>
      <c r="B373" t="s">
        <v>397</v>
      </c>
      <c r="C373" t="s">
        <v>397</v>
      </c>
      <c r="D373" s="27" t="s">
        <v>497</v>
      </c>
      <c r="E373" s="27">
        <v>7</v>
      </c>
      <c r="F373" s="118">
        <v>10610</v>
      </c>
      <c r="G373" t="s">
        <v>22</v>
      </c>
      <c r="H373" t="s">
        <v>8</v>
      </c>
      <c r="I373">
        <v>2.3699999999999999E-2</v>
      </c>
      <c r="J373">
        <v>1.617</v>
      </c>
      <c r="K373">
        <v>-3.7999999999999999E-2</v>
      </c>
      <c r="L373" s="109">
        <v>1.0197368421052632E-2</v>
      </c>
      <c r="M373" s="140">
        <f t="shared" si="47"/>
        <v>0.05</v>
      </c>
      <c r="N373" s="140">
        <f t="shared" si="47"/>
        <v>1.617</v>
      </c>
      <c r="O373" s="140">
        <f t="shared" si="47"/>
        <v>0.05</v>
      </c>
      <c r="P373" s="140">
        <f t="shared" si="38"/>
        <v>0.05</v>
      </c>
      <c r="Q373" s="161">
        <v>0.52657273403023397</v>
      </c>
      <c r="R373" s="125">
        <v>9.6333333333333346</v>
      </c>
      <c r="S373">
        <v>8.2266666666666666</v>
      </c>
      <c r="T373">
        <v>3.0659371725941655</v>
      </c>
      <c r="U373">
        <v>1.3354882677004691</v>
      </c>
      <c r="V373" s="118" t="s">
        <v>515</v>
      </c>
      <c r="W373" t="s">
        <v>515</v>
      </c>
      <c r="X373" t="s">
        <v>515</v>
      </c>
      <c r="Y373">
        <f t="shared" si="44"/>
        <v>6</v>
      </c>
      <c r="Z373">
        <f t="shared" si="45"/>
        <v>27</v>
      </c>
      <c r="AA373">
        <f t="shared" si="46"/>
        <v>2024</v>
      </c>
      <c r="AB373" s="118" t="b">
        <v>0</v>
      </c>
      <c r="AC373" s="19">
        <v>45470</v>
      </c>
      <c r="AD373" s="19" t="s">
        <v>515</v>
      </c>
      <c r="AE373" t="s">
        <v>515</v>
      </c>
      <c r="AF373" s="19">
        <v>45470</v>
      </c>
      <c r="AG373" t="s">
        <v>515</v>
      </c>
      <c r="AH373" t="s">
        <v>515</v>
      </c>
      <c r="AI373" s="118">
        <v>740.3</v>
      </c>
      <c r="AJ373" s="118">
        <v>416.6</v>
      </c>
      <c r="AK373" s="118">
        <v>406.1</v>
      </c>
      <c r="AL373" s="118">
        <v>264</v>
      </c>
      <c r="AM373" s="118">
        <v>0.19</v>
      </c>
      <c r="AN373" s="118">
        <v>405</v>
      </c>
      <c r="AO373" s="118">
        <v>0.56299999999999994</v>
      </c>
      <c r="AP373" s="118">
        <v>0.55500000000000005</v>
      </c>
      <c r="AQ373" s="118">
        <v>0.79900000000000004</v>
      </c>
      <c r="AR373" s="118">
        <v>102.5</v>
      </c>
      <c r="AS373" s="118">
        <v>8.26</v>
      </c>
      <c r="AT373" s="118">
        <v>104.9</v>
      </c>
      <c r="AU373" s="118">
        <v>-85.580525960000003</v>
      </c>
      <c r="AV373" s="118">
        <v>40.775568530000001</v>
      </c>
      <c r="AW373" s="118">
        <v>231.7</v>
      </c>
      <c r="AX373" s="118">
        <v>103.8</v>
      </c>
      <c r="AY373" s="118">
        <v>8.2799999999999994</v>
      </c>
      <c r="AZ373" s="118">
        <v>-100.7</v>
      </c>
      <c r="BA373" s="118">
        <v>11.9</v>
      </c>
      <c r="BB373" s="118">
        <v>0</v>
      </c>
      <c r="BC373" s="118">
        <v>26.349</v>
      </c>
      <c r="BD373" s="118">
        <v>5.58</v>
      </c>
      <c r="BE373" s="118">
        <v>0</v>
      </c>
      <c r="BF373" t="s">
        <v>515</v>
      </c>
      <c r="BG373" t="s">
        <v>515</v>
      </c>
      <c r="BH373" s="118">
        <v>407.791</v>
      </c>
      <c r="BI373" s="118">
        <v>521.04600000000005</v>
      </c>
      <c r="BJ373" s="118">
        <v>625.76</v>
      </c>
      <c r="BK373" s="118">
        <v>710.45699999999999</v>
      </c>
      <c r="BL373" s="118">
        <v>682.43499999999995</v>
      </c>
      <c r="BM373" s="118">
        <v>642.71199999999999</v>
      </c>
      <c r="BN373" s="118">
        <v>649.68299999999999</v>
      </c>
      <c r="BO373" s="118">
        <v>669.66700000000003</v>
      </c>
    </row>
    <row r="374" spans="1:67" x14ac:dyDescent="0.25">
      <c r="A374" s="25">
        <v>10373</v>
      </c>
      <c r="B374" t="s">
        <v>398</v>
      </c>
      <c r="C374" t="s">
        <v>398</v>
      </c>
      <c r="D374" s="27" t="s">
        <v>498</v>
      </c>
      <c r="E374" s="27">
        <v>8</v>
      </c>
      <c r="F374" s="118">
        <v>9370</v>
      </c>
      <c r="G374" t="s">
        <v>22</v>
      </c>
      <c r="H374" t="s">
        <v>8</v>
      </c>
      <c r="I374">
        <v>2.06E-2</v>
      </c>
      <c r="J374">
        <v>1.7430000000000001</v>
      </c>
      <c r="K374">
        <v>-0.04</v>
      </c>
      <c r="L374" s="109">
        <v>-6.55307994757536E-3</v>
      </c>
      <c r="M374" s="140">
        <f t="shared" si="47"/>
        <v>0.05</v>
      </c>
      <c r="N374" s="140">
        <f t="shared" si="47"/>
        <v>1.7430000000000001</v>
      </c>
      <c r="O374" s="140">
        <f t="shared" si="47"/>
        <v>0.05</v>
      </c>
      <c r="P374" s="140">
        <f t="shared" si="38"/>
        <v>0.05</v>
      </c>
      <c r="Q374" s="161">
        <v>0.50390770545922192</v>
      </c>
      <c r="R374" s="125">
        <v>17.106666666666669</v>
      </c>
      <c r="S374">
        <v>16.183333333333334</v>
      </c>
      <c r="T374">
        <v>3.68969109418705</v>
      </c>
      <c r="U374">
        <v>1.5968634972454603</v>
      </c>
      <c r="V374" s="118" t="s">
        <v>515</v>
      </c>
      <c r="W374" t="s">
        <v>515</v>
      </c>
      <c r="X374" t="s">
        <v>515</v>
      </c>
      <c r="Y374">
        <f t="shared" si="44"/>
        <v>6</v>
      </c>
      <c r="Z374">
        <f t="shared" si="45"/>
        <v>27</v>
      </c>
      <c r="AA374">
        <f t="shared" si="46"/>
        <v>2024</v>
      </c>
      <c r="AB374" s="118" t="b">
        <v>0</v>
      </c>
      <c r="AC374" s="19">
        <v>45470</v>
      </c>
      <c r="AD374" s="19" t="s">
        <v>515</v>
      </c>
      <c r="AE374" t="s">
        <v>515</v>
      </c>
      <c r="AF374" s="19">
        <v>45470</v>
      </c>
      <c r="AG374" t="s">
        <v>515</v>
      </c>
      <c r="AH374" t="s">
        <v>515</v>
      </c>
      <c r="AI374" s="118">
        <v>740.3</v>
      </c>
      <c r="AJ374" s="118">
        <v>423.1</v>
      </c>
      <c r="AK374" s="118">
        <v>414.1</v>
      </c>
      <c r="AL374" s="118">
        <v>269</v>
      </c>
      <c r="AM374" s="118">
        <v>0.2</v>
      </c>
      <c r="AN374" s="118">
        <v>413.2</v>
      </c>
      <c r="AO374" s="118">
        <v>0.54800000000000004</v>
      </c>
      <c r="AP374" s="118">
        <v>0.52300000000000002</v>
      </c>
      <c r="AQ374" s="118">
        <v>0.77700000000000002</v>
      </c>
      <c r="AR374" s="118">
        <v>102.2</v>
      </c>
      <c r="AS374" s="118">
        <v>8.26</v>
      </c>
      <c r="AT374" s="118">
        <v>104.5</v>
      </c>
      <c r="AU374" s="118">
        <v>-85.596868459999996</v>
      </c>
      <c r="AV374" s="118">
        <v>40.766858499999998</v>
      </c>
      <c r="AW374" s="118">
        <v>232.5</v>
      </c>
      <c r="AX374" s="118">
        <v>141.1</v>
      </c>
      <c r="AY374" s="118">
        <v>8.26</v>
      </c>
      <c r="AZ374" s="118">
        <v>-99.5</v>
      </c>
      <c r="BA374" s="118">
        <v>12</v>
      </c>
      <c r="BB374" s="118">
        <v>0</v>
      </c>
      <c r="BC374" s="118">
        <v>26.135999999999999</v>
      </c>
      <c r="BD374" s="118">
        <v>3.81</v>
      </c>
      <c r="BE374" s="118">
        <v>0</v>
      </c>
      <c r="BF374" t="s">
        <v>515</v>
      </c>
      <c r="BG374" t="s">
        <v>515</v>
      </c>
      <c r="BH374" s="118">
        <v>413.11099999999999</v>
      </c>
      <c r="BI374" s="118">
        <v>510.07499999999999</v>
      </c>
      <c r="BJ374" s="118">
        <v>591.62300000000005</v>
      </c>
      <c r="BK374" s="118">
        <v>662.22500000000002</v>
      </c>
      <c r="BL374" s="118">
        <v>645.88199999999995</v>
      </c>
      <c r="BM374" s="118">
        <v>610.37800000000004</v>
      </c>
      <c r="BN374" s="118">
        <v>610.98599999999999</v>
      </c>
      <c r="BO374" s="118">
        <v>674.41099999999994</v>
      </c>
    </row>
    <row r="375" spans="1:67" x14ac:dyDescent="0.25">
      <c r="A375" s="25">
        <v>10374</v>
      </c>
      <c r="B375" t="s">
        <v>399</v>
      </c>
      <c r="C375" t="s">
        <v>399</v>
      </c>
      <c r="D375" s="27" t="s">
        <v>499</v>
      </c>
      <c r="E375" s="27">
        <v>9</v>
      </c>
      <c r="F375" s="118">
        <v>10331</v>
      </c>
      <c r="G375" t="s">
        <v>22</v>
      </c>
      <c r="H375" t="s">
        <v>8</v>
      </c>
      <c r="I375">
        <v>1.2500000000000001E-2</v>
      </c>
      <c r="J375">
        <v>1.7909999999999999</v>
      </c>
      <c r="K375">
        <v>-3.9E-2</v>
      </c>
      <c r="L375" s="109">
        <v>6.9078947368421068E-3</v>
      </c>
      <c r="M375" s="140">
        <f t="shared" si="47"/>
        <v>0.05</v>
      </c>
      <c r="N375" s="140">
        <f t="shared" si="47"/>
        <v>1.7909999999999999</v>
      </c>
      <c r="O375" s="140">
        <f t="shared" si="47"/>
        <v>0.05</v>
      </c>
      <c r="P375" s="140">
        <f t="shared" si="38"/>
        <v>0.05</v>
      </c>
      <c r="Q375" s="161">
        <v>0.79845920158930817</v>
      </c>
      <c r="R375" s="125">
        <v>15.343333333333334</v>
      </c>
      <c r="S375">
        <v>21.166666666666668</v>
      </c>
      <c r="T375">
        <v>3.4999659430358809</v>
      </c>
      <c r="U375">
        <v>1.5332030197918793</v>
      </c>
      <c r="V375" s="118" t="s">
        <v>515</v>
      </c>
      <c r="W375" t="s">
        <v>515</v>
      </c>
      <c r="X375" t="s">
        <v>515</v>
      </c>
      <c r="Y375">
        <f t="shared" si="44"/>
        <v>6</v>
      </c>
      <c r="Z375">
        <f t="shared" si="45"/>
        <v>27</v>
      </c>
      <c r="AA375">
        <f t="shared" si="46"/>
        <v>2024</v>
      </c>
      <c r="AB375" s="118" t="b">
        <v>0</v>
      </c>
      <c r="AC375" s="19">
        <v>45470</v>
      </c>
      <c r="AD375" s="19" t="s">
        <v>515</v>
      </c>
      <c r="AE375" t="s">
        <v>515</v>
      </c>
      <c r="AF375" s="19">
        <v>45470</v>
      </c>
      <c r="AG375" t="s">
        <v>515</v>
      </c>
      <c r="AH375" t="s">
        <v>515</v>
      </c>
      <c r="AI375" s="118">
        <v>740.4</v>
      </c>
      <c r="AJ375" s="118">
        <v>432.2</v>
      </c>
      <c r="AK375" s="118">
        <v>422.3</v>
      </c>
      <c r="AL375" s="118">
        <v>274</v>
      </c>
      <c r="AM375" s="118">
        <v>0.2</v>
      </c>
      <c r="AN375" s="118">
        <v>421.2</v>
      </c>
      <c r="AO375" s="118">
        <v>0.53200000000000003</v>
      </c>
      <c r="AP375" s="118">
        <v>0.54400000000000004</v>
      </c>
      <c r="AQ375" s="118">
        <v>0.754</v>
      </c>
      <c r="AR375" s="118">
        <v>105.1</v>
      </c>
      <c r="AS375" s="118">
        <v>8.48</v>
      </c>
      <c r="AT375" s="118">
        <v>107.5</v>
      </c>
      <c r="AU375" s="118">
        <v>-85.594853409999999</v>
      </c>
      <c r="AV375" s="118">
        <v>40.757165809999996</v>
      </c>
      <c r="AW375" s="118">
        <v>234.4</v>
      </c>
      <c r="AX375" s="118">
        <v>134</v>
      </c>
      <c r="AY375" s="118">
        <v>8.26</v>
      </c>
      <c r="AZ375" s="118">
        <v>-99.8</v>
      </c>
      <c r="BA375" s="118">
        <v>11.9</v>
      </c>
      <c r="BB375" s="118">
        <v>0</v>
      </c>
      <c r="BC375" s="118">
        <v>26.227</v>
      </c>
      <c r="BD375" s="118">
        <v>4.24</v>
      </c>
      <c r="BE375" s="118">
        <v>0</v>
      </c>
      <c r="BF375" t="s">
        <v>515</v>
      </c>
      <c r="BG375" t="s">
        <v>515</v>
      </c>
      <c r="BH375" s="118">
        <v>289.83199999999999</v>
      </c>
      <c r="BI375" s="118">
        <v>357.12299999999999</v>
      </c>
      <c r="BJ375" s="118">
        <v>444.19900000000001</v>
      </c>
      <c r="BK375" s="118">
        <v>503.84500000000003</v>
      </c>
      <c r="BL375" s="118">
        <v>483.15300000000002</v>
      </c>
      <c r="BM375" s="118">
        <v>446.95699999999999</v>
      </c>
      <c r="BN375" s="118">
        <v>445.83300000000003</v>
      </c>
      <c r="BO375" s="118">
        <v>540.31200000000001</v>
      </c>
    </row>
    <row r="376" spans="1:67" x14ac:dyDescent="0.25">
      <c r="A376" s="25">
        <v>10375</v>
      </c>
      <c r="B376" t="s">
        <v>400</v>
      </c>
      <c r="C376" t="s">
        <v>400</v>
      </c>
      <c r="D376" s="27" t="s">
        <v>500</v>
      </c>
      <c r="E376" s="27">
        <v>10</v>
      </c>
      <c r="F376" s="118">
        <v>11270</v>
      </c>
      <c r="G376" t="s">
        <v>22</v>
      </c>
      <c r="H376" t="s">
        <v>8</v>
      </c>
      <c r="I376">
        <v>3.61E-2</v>
      </c>
      <c r="J376">
        <v>1.831</v>
      </c>
      <c r="K376">
        <v>-0.03</v>
      </c>
      <c r="L376" s="109">
        <v>-4.9148099606815196E-3</v>
      </c>
      <c r="M376" s="140">
        <f t="shared" si="47"/>
        <v>0.05</v>
      </c>
      <c r="N376" s="140">
        <f t="shared" si="47"/>
        <v>1.831</v>
      </c>
      <c r="O376" s="140">
        <f t="shared" si="47"/>
        <v>0.05</v>
      </c>
      <c r="P376" s="140">
        <f t="shared" si="38"/>
        <v>0.05</v>
      </c>
      <c r="Q376" s="161">
        <v>0.53836416339767168</v>
      </c>
      <c r="R376" s="125">
        <v>16.63</v>
      </c>
      <c r="S376">
        <v>13.063333333333333</v>
      </c>
      <c r="T376">
        <v>3.9516677412560615</v>
      </c>
      <c r="U376">
        <v>1.6741946541522141</v>
      </c>
      <c r="V376" s="118" t="s">
        <v>515</v>
      </c>
      <c r="W376" t="s">
        <v>515</v>
      </c>
      <c r="X376" t="s">
        <v>515</v>
      </c>
      <c r="Y376">
        <f t="shared" si="44"/>
        <v>6</v>
      </c>
      <c r="Z376">
        <f t="shared" si="45"/>
        <v>27</v>
      </c>
      <c r="AA376">
        <f t="shared" si="46"/>
        <v>2024</v>
      </c>
      <c r="AB376" s="118" t="b">
        <v>0</v>
      </c>
      <c r="AC376" s="19">
        <v>45470</v>
      </c>
      <c r="AD376" s="19" t="s">
        <v>515</v>
      </c>
      <c r="AE376" t="s">
        <v>515</v>
      </c>
      <c r="AF376" s="19">
        <v>45470</v>
      </c>
      <c r="AG376" t="s">
        <v>515</v>
      </c>
      <c r="AH376" t="s">
        <v>515</v>
      </c>
      <c r="AI376" s="118">
        <v>740.5</v>
      </c>
      <c r="AJ376" s="118">
        <v>458.5</v>
      </c>
      <c r="AK376" s="118">
        <v>444.4</v>
      </c>
      <c r="AL376" s="118">
        <v>289</v>
      </c>
      <c r="AM376" s="118">
        <v>0.21</v>
      </c>
      <c r="AN376" s="118">
        <v>442.9</v>
      </c>
      <c r="AO376" s="118">
        <v>0.55800000000000005</v>
      </c>
      <c r="AP376" s="118">
        <v>0.56299999999999994</v>
      </c>
      <c r="AQ376" s="118">
        <v>0.79200000000000004</v>
      </c>
      <c r="AR376" s="118">
        <v>100.5</v>
      </c>
      <c r="AS376" s="118">
        <v>8.0500000000000007</v>
      </c>
      <c r="AT376" s="118">
        <v>102.8</v>
      </c>
      <c r="AU376" s="118">
        <v>-85.582874129999993</v>
      </c>
      <c r="AV376" s="118">
        <v>40.755891669999997</v>
      </c>
      <c r="AW376" s="118">
        <v>232.8</v>
      </c>
      <c r="AX376" s="118">
        <v>172.5</v>
      </c>
      <c r="AY376" s="118">
        <v>8.07</v>
      </c>
      <c r="AZ376" s="118">
        <v>-87.9</v>
      </c>
      <c r="BA376" s="118">
        <v>11.9</v>
      </c>
      <c r="BB376" s="118">
        <v>0</v>
      </c>
      <c r="BC376" s="118">
        <v>26.655000000000001</v>
      </c>
      <c r="BD376" s="118">
        <v>6.12</v>
      </c>
      <c r="BE376" s="118">
        <v>0</v>
      </c>
      <c r="BF376" t="s">
        <v>515</v>
      </c>
      <c r="BG376" t="s">
        <v>515</v>
      </c>
      <c r="BH376" s="118">
        <v>201.036</v>
      </c>
      <c r="BI376" s="118">
        <v>278.286</v>
      </c>
      <c r="BJ376" s="118">
        <v>378.51799999999997</v>
      </c>
      <c r="BK376" s="118">
        <v>446.995</v>
      </c>
      <c r="BL376" s="118">
        <v>402.44099999999997</v>
      </c>
      <c r="BM376" s="118">
        <v>358.47</v>
      </c>
      <c r="BN376" s="118">
        <v>367.37200000000001</v>
      </c>
      <c r="BO376" s="118">
        <v>386.44900000000001</v>
      </c>
    </row>
    <row r="377" spans="1:67" x14ac:dyDescent="0.25">
      <c r="A377" s="25">
        <v>10376</v>
      </c>
      <c r="B377" t="s">
        <v>401</v>
      </c>
      <c r="C377" t="s">
        <v>401</v>
      </c>
      <c r="D377" s="27" t="s">
        <v>501</v>
      </c>
      <c r="E377" s="27">
        <v>13</v>
      </c>
      <c r="F377" s="118">
        <v>5180</v>
      </c>
      <c r="G377" t="s">
        <v>22</v>
      </c>
      <c r="H377" t="s">
        <v>8</v>
      </c>
      <c r="I377">
        <v>6.8999999999999999E-3</v>
      </c>
      <c r="J377">
        <v>2.0219999999999998</v>
      </c>
      <c r="K377">
        <v>-3.2000000000000001E-2</v>
      </c>
      <c r="L377" s="109">
        <v>5.2631578947368429E-3</v>
      </c>
      <c r="M377" s="140">
        <f t="shared" si="47"/>
        <v>0.05</v>
      </c>
      <c r="N377" s="140">
        <f t="shared" si="47"/>
        <v>2.0219999999999998</v>
      </c>
      <c r="O377" s="140">
        <f t="shared" si="47"/>
        <v>0.05</v>
      </c>
      <c r="P377" s="140">
        <f t="shared" si="38"/>
        <v>0.05</v>
      </c>
      <c r="Q377" s="161">
        <v>0.58084984178456001</v>
      </c>
      <c r="R377" s="125">
        <v>6.0266666666666664</v>
      </c>
      <c r="S377">
        <v>4.9899999999999993</v>
      </c>
      <c r="T377">
        <v>3.9527073311253833</v>
      </c>
      <c r="U377">
        <v>1.6639926545602939</v>
      </c>
      <c r="V377" s="118" t="s">
        <v>515</v>
      </c>
      <c r="W377" t="s">
        <v>515</v>
      </c>
      <c r="X377" t="s">
        <v>515</v>
      </c>
      <c r="Y377">
        <f t="shared" si="44"/>
        <v>6</v>
      </c>
      <c r="Z377">
        <f t="shared" si="45"/>
        <v>27</v>
      </c>
      <c r="AA377">
        <f t="shared" si="46"/>
        <v>2024</v>
      </c>
      <c r="AB377" s="118" t="b">
        <v>0</v>
      </c>
      <c r="AC377" s="19">
        <v>45470</v>
      </c>
      <c r="AD377" s="19" t="s">
        <v>515</v>
      </c>
      <c r="AE377" t="s">
        <v>515</v>
      </c>
      <c r="AF377" s="19">
        <v>45470</v>
      </c>
      <c r="AG377" t="s">
        <v>515</v>
      </c>
      <c r="AH377" t="s">
        <v>515</v>
      </c>
      <c r="AI377" s="118">
        <v>740.6</v>
      </c>
      <c r="AJ377" s="118">
        <v>398.6</v>
      </c>
      <c r="AK377" s="118">
        <v>394.4</v>
      </c>
      <c r="AL377" s="118">
        <v>256</v>
      </c>
      <c r="AM377" s="118">
        <v>0.19</v>
      </c>
      <c r="AN377" s="118">
        <v>393.9</v>
      </c>
      <c r="AO377" s="118">
        <v>0.51600000000000001</v>
      </c>
      <c r="AP377" s="118">
        <v>0.51800000000000002</v>
      </c>
      <c r="AQ377" s="118">
        <v>0.73199999999999998</v>
      </c>
      <c r="AR377" s="118">
        <v>108.5</v>
      </c>
      <c r="AS377" s="118">
        <v>8.86</v>
      </c>
      <c r="AT377" s="118">
        <v>111</v>
      </c>
      <c r="AU377" s="118">
        <v>-85.637500149999994</v>
      </c>
      <c r="AV377" s="118">
        <v>40.781062970000001</v>
      </c>
      <c r="AW377" s="118">
        <v>231.2</v>
      </c>
      <c r="AX377" s="118">
        <v>137.6</v>
      </c>
      <c r="AY377" s="118">
        <v>8.41</v>
      </c>
      <c r="AZ377" s="118">
        <v>-108.5</v>
      </c>
      <c r="BA377" s="118">
        <v>11.9</v>
      </c>
      <c r="BB377" s="118">
        <v>0</v>
      </c>
      <c r="BC377" s="118">
        <v>25.56</v>
      </c>
      <c r="BD377" s="118">
        <v>5.55</v>
      </c>
      <c r="BE377" s="118">
        <v>0</v>
      </c>
      <c r="BF377" t="s">
        <v>515</v>
      </c>
      <c r="BG377" t="s">
        <v>515</v>
      </c>
      <c r="BH377" s="118">
        <v>312.01100000000002</v>
      </c>
      <c r="BI377" s="118">
        <v>402.28399999999999</v>
      </c>
      <c r="BJ377" s="118">
        <v>489.56400000000002</v>
      </c>
      <c r="BK377" s="118">
        <v>564.23699999999997</v>
      </c>
      <c r="BL377" s="118">
        <v>540.82799999999997</v>
      </c>
      <c r="BM377" s="118">
        <v>480.53399999999999</v>
      </c>
      <c r="BN377" s="118">
        <v>504.93700000000001</v>
      </c>
      <c r="BO377" s="118">
        <v>514.221</v>
      </c>
    </row>
    <row r="378" spans="1:67" x14ac:dyDescent="0.25">
      <c r="A378" s="25">
        <v>10377</v>
      </c>
      <c r="B378" t="s">
        <v>402</v>
      </c>
      <c r="C378" t="s">
        <v>402</v>
      </c>
      <c r="D378" s="27" t="s">
        <v>502</v>
      </c>
      <c r="E378" s="27">
        <v>14</v>
      </c>
      <c r="F378" s="118">
        <v>1040</v>
      </c>
      <c r="G378" t="s">
        <v>22</v>
      </c>
      <c r="H378" t="s">
        <v>8</v>
      </c>
      <c r="I378">
        <v>2.8E-3</v>
      </c>
      <c r="J378">
        <v>2.036</v>
      </c>
      <c r="K378">
        <v>-3.4000000000000002E-2</v>
      </c>
      <c r="L378" s="109">
        <v>1.9736842105263159E-3</v>
      </c>
      <c r="M378" s="140">
        <f t="shared" si="47"/>
        <v>0.05</v>
      </c>
      <c r="N378" s="140">
        <f t="shared" si="47"/>
        <v>2.036</v>
      </c>
      <c r="O378" s="140">
        <f t="shared" si="47"/>
        <v>0.05</v>
      </c>
      <c r="P378" s="140">
        <f t="shared" si="38"/>
        <v>0.05</v>
      </c>
      <c r="Q378" s="161">
        <v>0.63492242791880182</v>
      </c>
      <c r="R378" s="125">
        <v>13.160000000000002</v>
      </c>
      <c r="S378">
        <v>14.813333333333333</v>
      </c>
      <c r="T378">
        <v>4.0774581154439602</v>
      </c>
      <c r="U378">
        <v>1.74866925117323</v>
      </c>
      <c r="V378" s="118" t="s">
        <v>515</v>
      </c>
      <c r="W378" t="s">
        <v>515</v>
      </c>
      <c r="X378" t="s">
        <v>515</v>
      </c>
      <c r="Y378">
        <f t="shared" si="44"/>
        <v>6</v>
      </c>
      <c r="Z378">
        <f t="shared" si="45"/>
        <v>27</v>
      </c>
      <c r="AA378">
        <f t="shared" si="46"/>
        <v>2024</v>
      </c>
      <c r="AB378" s="118" t="b">
        <v>0</v>
      </c>
      <c r="AC378" s="19">
        <v>45470</v>
      </c>
      <c r="AD378" s="19" t="s">
        <v>515</v>
      </c>
      <c r="AE378" t="s">
        <v>515</v>
      </c>
      <c r="AF378" s="19">
        <v>45470</v>
      </c>
      <c r="AG378" t="s">
        <v>515</v>
      </c>
      <c r="AH378" t="s">
        <v>515</v>
      </c>
      <c r="AI378" s="118">
        <v>740.3</v>
      </c>
      <c r="AJ378" s="118">
        <v>380.5</v>
      </c>
      <c r="AK378" s="118">
        <v>372.2</v>
      </c>
      <c r="AL378" s="118">
        <v>242</v>
      </c>
      <c r="AM378" s="118">
        <v>0.18</v>
      </c>
      <c r="AN378" s="118">
        <v>371.3</v>
      </c>
      <c r="AO378" s="118">
        <v>0.5</v>
      </c>
      <c r="AP378" s="118">
        <v>0.501</v>
      </c>
      <c r="AQ378" s="118">
        <v>0.70799999999999996</v>
      </c>
      <c r="AR378" s="118">
        <v>132.9</v>
      </c>
      <c r="AS378" s="118">
        <v>10.74</v>
      </c>
      <c r="AT378" s="118">
        <v>136</v>
      </c>
      <c r="AU378" s="118">
        <v>-85.667890909999997</v>
      </c>
      <c r="AV378" s="118">
        <v>40.8002343</v>
      </c>
      <c r="AW378" s="118">
        <v>231.3</v>
      </c>
      <c r="AX378" s="118">
        <v>144</v>
      </c>
      <c r="AY378" s="118">
        <v>8.5500000000000007</v>
      </c>
      <c r="AZ378" s="118">
        <v>-117.1</v>
      </c>
      <c r="BA378" s="118">
        <v>11.9</v>
      </c>
      <c r="BB378" s="118">
        <v>0</v>
      </c>
      <c r="BC378" s="118">
        <v>26.173999999999999</v>
      </c>
      <c r="BD378" s="118">
        <v>5.74</v>
      </c>
      <c r="BE378" s="118">
        <v>0</v>
      </c>
      <c r="BF378" t="s">
        <v>515</v>
      </c>
      <c r="BG378" t="s">
        <v>515</v>
      </c>
      <c r="BH378" s="118">
        <v>357.76499999999999</v>
      </c>
      <c r="BI378" s="118">
        <v>471.49799999999999</v>
      </c>
      <c r="BJ378" s="118">
        <v>576.65599999999995</v>
      </c>
      <c r="BK378" s="118">
        <v>657.55100000000004</v>
      </c>
      <c r="BL378" s="118">
        <v>612.88900000000001</v>
      </c>
      <c r="BM378" s="118">
        <v>576.92200000000003</v>
      </c>
      <c r="BN378" s="118">
        <v>577.197</v>
      </c>
      <c r="BO378" s="118">
        <v>591.89700000000005</v>
      </c>
    </row>
    <row r="379" spans="1:67" x14ac:dyDescent="0.25">
      <c r="A379" s="25">
        <v>10378</v>
      </c>
      <c r="B379" t="s">
        <v>403</v>
      </c>
      <c r="C379" t="s">
        <v>403</v>
      </c>
      <c r="D379" s="27" t="s">
        <v>503</v>
      </c>
      <c r="E379" s="27">
        <v>1</v>
      </c>
      <c r="F379" s="118">
        <v>6865</v>
      </c>
      <c r="G379" t="s">
        <v>20</v>
      </c>
      <c r="H379" t="s">
        <v>8</v>
      </c>
      <c r="I379">
        <v>2.1700000000000001E-2</v>
      </c>
      <c r="J379">
        <v>1.2789999999999999</v>
      </c>
      <c r="K379">
        <v>0.27300000000000002</v>
      </c>
      <c r="L379" s="63">
        <v>1.4744429882044561E-2</v>
      </c>
      <c r="M379" s="140">
        <f t="shared" si="47"/>
        <v>0.05</v>
      </c>
      <c r="N379" s="140">
        <f t="shared" si="47"/>
        <v>1.2789999999999999</v>
      </c>
      <c r="O379" s="140">
        <f t="shared" si="47"/>
        <v>0.27300000000000002</v>
      </c>
      <c r="P379" s="140">
        <f t="shared" si="38"/>
        <v>0.05</v>
      </c>
      <c r="Q379" s="161">
        <v>0.74295880086724564</v>
      </c>
      <c r="R379" s="125">
        <v>9.7166666666666668</v>
      </c>
      <c r="S379">
        <v>6.1333333333333329</v>
      </c>
      <c r="T379" s="27">
        <v>3.2570382655124992</v>
      </c>
      <c r="U379" s="27">
        <v>1.1785196095460655</v>
      </c>
      <c r="V379" s="27" t="s">
        <v>515</v>
      </c>
      <c r="W379" t="s">
        <v>515</v>
      </c>
      <c r="X379" t="s">
        <v>515</v>
      </c>
      <c r="Y379">
        <f t="shared" si="44"/>
        <v>7</v>
      </c>
      <c r="Z379">
        <f t="shared" si="45"/>
        <v>1</v>
      </c>
      <c r="AA379">
        <f t="shared" si="46"/>
        <v>2024</v>
      </c>
      <c r="AB379" s="118" t="b">
        <v>1</v>
      </c>
      <c r="AC379" s="19">
        <v>45474</v>
      </c>
      <c r="AD379" s="19" t="s">
        <v>515</v>
      </c>
      <c r="AE379" t="s">
        <v>515</v>
      </c>
      <c r="AF379" s="19">
        <v>45474</v>
      </c>
      <c r="AG379" t="s">
        <v>515</v>
      </c>
      <c r="AH379" t="s">
        <v>515</v>
      </c>
      <c r="AI379" s="118">
        <v>751</v>
      </c>
      <c r="AJ379" s="118">
        <v>574.79999999999995</v>
      </c>
      <c r="AK379" s="118">
        <v>573.4</v>
      </c>
      <c r="AL379" s="118">
        <v>373</v>
      </c>
      <c r="AM379" s="118">
        <v>0.28000000000000003</v>
      </c>
      <c r="AN379" s="118">
        <v>573.29999999999995</v>
      </c>
      <c r="AO379" s="118">
        <v>0.55600000000000005</v>
      </c>
      <c r="AP379" s="118">
        <v>0.57099999999999995</v>
      </c>
      <c r="AQ379" s="118">
        <v>0.78900000000000003</v>
      </c>
      <c r="AR379" s="118">
        <v>147.69999999999999</v>
      </c>
      <c r="AS379" s="118">
        <v>12.16</v>
      </c>
      <c r="AT379" s="118">
        <v>149.5</v>
      </c>
      <c r="AU379" s="118">
        <v>-86.807147639999997</v>
      </c>
      <c r="AV379" s="118">
        <v>40.835024840000003</v>
      </c>
      <c r="AW379" s="118">
        <v>199.8</v>
      </c>
      <c r="AX379" s="118">
        <v>166.4</v>
      </c>
      <c r="AY379" s="118">
        <v>8.02</v>
      </c>
      <c r="AZ379" s="118">
        <v>-85.5</v>
      </c>
      <c r="BA379" s="118">
        <v>11.9</v>
      </c>
      <c r="BB379" s="118">
        <v>0</v>
      </c>
      <c r="BC379" s="118">
        <v>25.125</v>
      </c>
      <c r="BD379" s="118">
        <v>9.33</v>
      </c>
      <c r="BE379" s="118">
        <v>0</v>
      </c>
      <c r="BF379" t="s">
        <v>515</v>
      </c>
      <c r="BG379" t="s">
        <v>515</v>
      </c>
      <c r="BH379" s="190">
        <v>195.71600000000001</v>
      </c>
      <c r="BI379" s="190">
        <v>301.577</v>
      </c>
      <c r="BJ379" s="190">
        <v>402.69900000000001</v>
      </c>
      <c r="BK379" s="190">
        <v>428.63299999999998</v>
      </c>
      <c r="BL379" s="190">
        <v>400.27100000000002</v>
      </c>
      <c r="BM379" s="190">
        <v>373.32400000000001</v>
      </c>
      <c r="BN379" s="190">
        <v>480.73399999999998</v>
      </c>
      <c r="BO379" s="190">
        <v>630.78300000000002</v>
      </c>
    </row>
    <row r="380" spans="1:67" x14ac:dyDescent="0.25">
      <c r="A380" s="25">
        <v>10379</v>
      </c>
      <c r="B380" t="s">
        <v>404</v>
      </c>
      <c r="C380" t="s">
        <v>404</v>
      </c>
      <c r="D380" s="27" t="s">
        <v>504</v>
      </c>
      <c r="E380" s="27">
        <v>5</v>
      </c>
      <c r="F380" s="118">
        <v>6425</v>
      </c>
      <c r="G380" t="s">
        <v>20</v>
      </c>
      <c r="H380" t="s">
        <v>8</v>
      </c>
      <c r="I380">
        <v>-5.8200000000000002E-2</v>
      </c>
      <c r="J380">
        <v>2.6379999999999999</v>
      </c>
      <c r="K380">
        <v>0.19500000000000001</v>
      </c>
      <c r="L380" s="63">
        <v>-8.1913499344692005E-3</v>
      </c>
      <c r="M380" s="140">
        <f t="shared" si="47"/>
        <v>0.05</v>
      </c>
      <c r="N380" s="140">
        <f t="shared" si="47"/>
        <v>2.6379999999999999</v>
      </c>
      <c r="O380" s="140">
        <f t="shared" si="47"/>
        <v>0.19500000000000001</v>
      </c>
      <c r="P380" s="140">
        <f t="shared" si="38"/>
        <v>0.05</v>
      </c>
      <c r="Q380" s="161">
        <v>0.59651149987262886</v>
      </c>
      <c r="R380" s="125">
        <v>10.56</v>
      </c>
      <c r="S380">
        <v>5.416666666666667</v>
      </c>
      <c r="T380" s="27">
        <v>3.8910889086643481</v>
      </c>
      <c r="U380" s="27">
        <v>2.2181287165218424</v>
      </c>
      <c r="V380" s="27" t="s">
        <v>515</v>
      </c>
      <c r="W380" t="s">
        <v>515</v>
      </c>
      <c r="X380" t="s">
        <v>515</v>
      </c>
      <c r="Y380">
        <f t="shared" si="44"/>
        <v>7</v>
      </c>
      <c r="Z380">
        <f t="shared" si="45"/>
        <v>1</v>
      </c>
      <c r="AA380">
        <f t="shared" si="46"/>
        <v>2024</v>
      </c>
      <c r="AB380" s="118" t="b">
        <v>1</v>
      </c>
      <c r="AC380" s="19">
        <v>45474</v>
      </c>
      <c r="AD380" s="19" t="s">
        <v>515</v>
      </c>
      <c r="AE380" t="s">
        <v>515</v>
      </c>
      <c r="AF380" s="19">
        <v>45474</v>
      </c>
      <c r="AG380" t="s">
        <v>515</v>
      </c>
      <c r="AH380" t="s">
        <v>515</v>
      </c>
      <c r="AI380" s="118">
        <v>751.1</v>
      </c>
      <c r="AJ380" s="118">
        <v>567.5</v>
      </c>
      <c r="AK380" s="118">
        <v>569.5</v>
      </c>
      <c r="AL380" s="118">
        <v>370</v>
      </c>
      <c r="AM380" s="118">
        <v>0.27</v>
      </c>
      <c r="AN380" s="118">
        <v>569.70000000000005</v>
      </c>
      <c r="AO380" s="118">
        <v>0.56499999999999995</v>
      </c>
      <c r="AP380" s="118">
        <v>0.55900000000000005</v>
      </c>
      <c r="AQ380" s="118">
        <v>0.80200000000000005</v>
      </c>
      <c r="AR380" s="118">
        <v>149.30000000000001</v>
      </c>
      <c r="AS380" s="118">
        <v>12.36</v>
      </c>
      <c r="AT380" s="118">
        <v>151.1</v>
      </c>
      <c r="AU380" s="118">
        <v>-86.795836289999997</v>
      </c>
      <c r="AV380" s="118">
        <v>40.823874850000003</v>
      </c>
      <c r="AW380" s="118">
        <v>199.5</v>
      </c>
      <c r="AX380" s="118">
        <v>204.8</v>
      </c>
      <c r="AY380" s="118">
        <v>8.17</v>
      </c>
      <c r="AZ380" s="118">
        <v>-94.5</v>
      </c>
      <c r="BA380" s="118">
        <v>11.9</v>
      </c>
      <c r="BB380" s="118">
        <v>0</v>
      </c>
      <c r="BC380" s="118">
        <v>24.821999999999999</v>
      </c>
      <c r="BD380" s="118">
        <v>5.4</v>
      </c>
      <c r="BE380" s="118">
        <v>0</v>
      </c>
      <c r="BF380" t="s">
        <v>515</v>
      </c>
      <c r="BG380" t="s">
        <v>515</v>
      </c>
      <c r="BH380" s="190">
        <v>85.571700000000007</v>
      </c>
      <c r="BI380" s="190">
        <v>135.578</v>
      </c>
      <c r="BJ380" s="190">
        <v>231.28</v>
      </c>
      <c r="BK380" s="190">
        <v>264.63099999999997</v>
      </c>
      <c r="BL380" s="190">
        <v>241.84399999999999</v>
      </c>
      <c r="BM380" s="190">
        <v>195.512</v>
      </c>
      <c r="BN380" s="190">
        <v>286.32499999999999</v>
      </c>
      <c r="BO380" s="190">
        <v>448.17700000000002</v>
      </c>
    </row>
    <row r="381" spans="1:67" x14ac:dyDescent="0.25">
      <c r="A381" s="25">
        <v>10380</v>
      </c>
      <c r="B381" t="s">
        <v>405</v>
      </c>
      <c r="C381" t="s">
        <v>405</v>
      </c>
      <c r="D381" s="27" t="s">
        <v>483</v>
      </c>
      <c r="E381" s="27">
        <v>6</v>
      </c>
      <c r="F381" s="118">
        <v>8245</v>
      </c>
      <c r="G381" t="s">
        <v>20</v>
      </c>
      <c r="H381" t="s">
        <v>8</v>
      </c>
      <c r="I381">
        <v>-4.99E-2</v>
      </c>
      <c r="J381">
        <v>4.4740000000000002</v>
      </c>
      <c r="K381">
        <v>0.28499999999999998</v>
      </c>
      <c r="L381" s="63">
        <v>1.348684210526316E-2</v>
      </c>
      <c r="M381" s="140">
        <f t="shared" si="47"/>
        <v>0.05</v>
      </c>
      <c r="N381" s="140">
        <f t="shared" si="47"/>
        <v>4.4740000000000002</v>
      </c>
      <c r="O381" s="140">
        <f t="shared" si="47"/>
        <v>0.28499999999999998</v>
      </c>
      <c r="P381" s="140">
        <f t="shared" si="38"/>
        <v>0.05</v>
      </c>
      <c r="Q381" s="161">
        <v>0.60246254113904973</v>
      </c>
      <c r="R381" s="125">
        <v>0.57999999999999996</v>
      </c>
      <c r="S381">
        <v>1.1533333333333333</v>
      </c>
      <c r="T381" s="27">
        <v>3.763166410484589</v>
      </c>
      <c r="U381" s="27">
        <v>3.1356563969214655</v>
      </c>
      <c r="V381" s="27" t="s">
        <v>515</v>
      </c>
      <c r="W381" t="s">
        <v>515</v>
      </c>
      <c r="X381" t="s">
        <v>515</v>
      </c>
      <c r="Y381">
        <f t="shared" si="44"/>
        <v>7</v>
      </c>
      <c r="Z381">
        <f t="shared" si="45"/>
        <v>1</v>
      </c>
      <c r="AA381">
        <f t="shared" si="46"/>
        <v>2024</v>
      </c>
      <c r="AB381" s="118" t="b">
        <v>1</v>
      </c>
      <c r="AC381" s="19">
        <v>45474</v>
      </c>
      <c r="AD381" s="19" t="s">
        <v>515</v>
      </c>
      <c r="AE381" t="s">
        <v>515</v>
      </c>
      <c r="AF381" s="19">
        <v>45474</v>
      </c>
      <c r="AG381" t="s">
        <v>515</v>
      </c>
      <c r="AH381" t="s">
        <v>515</v>
      </c>
      <c r="AI381" s="118">
        <v>750.5</v>
      </c>
      <c r="AJ381" s="118">
        <v>596.6</v>
      </c>
      <c r="AK381" s="118">
        <v>626.5</v>
      </c>
      <c r="AL381" s="118">
        <v>407</v>
      </c>
      <c r="AM381" s="118">
        <v>0.3</v>
      </c>
      <c r="AN381" s="118">
        <v>629.4</v>
      </c>
      <c r="AO381" s="118">
        <v>0.49</v>
      </c>
      <c r="AP381" s="118">
        <v>0.51800000000000002</v>
      </c>
      <c r="AQ381" s="118">
        <v>0.69599999999999995</v>
      </c>
      <c r="AR381" s="118">
        <v>90.8</v>
      </c>
      <c r="AS381" s="118">
        <v>7.85</v>
      </c>
      <c r="AT381" s="118">
        <v>91.9</v>
      </c>
      <c r="AU381" s="118">
        <v>-86.781764559999999</v>
      </c>
      <c r="AV381" s="118">
        <v>40.834882550000003</v>
      </c>
      <c r="AW381" s="118">
        <v>201.8</v>
      </c>
      <c r="AX381" s="118">
        <v>144.4</v>
      </c>
      <c r="AY381" s="118">
        <v>7.87</v>
      </c>
      <c r="AZ381" s="118">
        <v>-76.400000000000006</v>
      </c>
      <c r="BA381" s="118">
        <v>11.9</v>
      </c>
      <c r="BB381" s="118">
        <v>0</v>
      </c>
      <c r="BC381" s="118">
        <v>22.503</v>
      </c>
      <c r="BD381" s="118">
        <v>3.05</v>
      </c>
      <c r="BE381" s="118">
        <v>0</v>
      </c>
      <c r="BF381" t="s">
        <v>515</v>
      </c>
      <c r="BG381" t="s">
        <v>515</v>
      </c>
      <c r="BH381" s="190">
        <v>186.167</v>
      </c>
      <c r="BI381" s="190">
        <v>281.166</v>
      </c>
      <c r="BJ381" s="190">
        <v>352.06299999999999</v>
      </c>
      <c r="BK381" s="190">
        <v>386.35899999999998</v>
      </c>
      <c r="BL381" s="190">
        <v>365.13400000000001</v>
      </c>
      <c r="BM381" s="190">
        <v>370.92899999999997</v>
      </c>
      <c r="BN381" s="190">
        <v>353.03500000000003</v>
      </c>
      <c r="BO381" s="190">
        <v>581.73299999999995</v>
      </c>
    </row>
    <row r="382" spans="1:67" x14ac:dyDescent="0.25">
      <c r="A382" s="25">
        <v>10381</v>
      </c>
      <c r="B382" t="s">
        <v>406</v>
      </c>
      <c r="C382" t="s">
        <v>406</v>
      </c>
      <c r="D382" s="27" t="s">
        <v>484</v>
      </c>
      <c r="E382" s="27">
        <v>8</v>
      </c>
      <c r="F382" s="118">
        <v>5065</v>
      </c>
      <c r="G382" t="s">
        <v>20</v>
      </c>
      <c r="H382" t="s">
        <v>8</v>
      </c>
      <c r="I382">
        <v>-4.24E-2</v>
      </c>
      <c r="J382">
        <v>5.1639999999999997</v>
      </c>
      <c r="K382">
        <v>0.20200000000000001</v>
      </c>
      <c r="L382" s="63">
        <v>6.9078947368421068E-3</v>
      </c>
      <c r="M382" s="140">
        <f t="shared" si="47"/>
        <v>0.05</v>
      </c>
      <c r="N382" s="140">
        <f t="shared" si="47"/>
        <v>5.1639999999999997</v>
      </c>
      <c r="O382" s="140">
        <f t="shared" si="47"/>
        <v>0.20200000000000001</v>
      </c>
      <c r="P382" s="140">
        <f t="shared" si="38"/>
        <v>0.05</v>
      </c>
      <c r="Q382" s="161">
        <v>0.44388122881878833</v>
      </c>
      <c r="R382" s="125">
        <v>1.8266666666666669</v>
      </c>
      <c r="S382">
        <v>1.1433333333333333</v>
      </c>
      <c r="T382" s="27">
        <v>4.8537941914084621</v>
      </c>
      <c r="U382" s="27">
        <v>4.4002585462648653</v>
      </c>
      <c r="V382" s="27" t="s">
        <v>515</v>
      </c>
      <c r="W382" t="s">
        <v>515</v>
      </c>
      <c r="X382" t="s">
        <v>515</v>
      </c>
      <c r="Y382">
        <f t="shared" si="44"/>
        <v>7</v>
      </c>
      <c r="Z382">
        <f t="shared" si="45"/>
        <v>1</v>
      </c>
      <c r="AA382">
        <f t="shared" si="46"/>
        <v>2024</v>
      </c>
      <c r="AB382" s="118" t="b">
        <v>1</v>
      </c>
      <c r="AC382" s="19">
        <v>45474</v>
      </c>
      <c r="AD382" s="19" t="s">
        <v>515</v>
      </c>
      <c r="AE382" t="s">
        <v>515</v>
      </c>
      <c r="AF382" s="19">
        <v>45474</v>
      </c>
      <c r="AG382" t="s">
        <v>515</v>
      </c>
      <c r="AH382" t="s">
        <v>515</v>
      </c>
      <c r="AI382" s="118">
        <v>751.2</v>
      </c>
      <c r="AJ382" s="118">
        <v>604.9</v>
      </c>
      <c r="AK382" s="118">
        <v>620.1</v>
      </c>
      <c r="AL382" s="118">
        <v>403</v>
      </c>
      <c r="AM382" s="118">
        <v>0.3</v>
      </c>
      <c r="AN382" s="118">
        <v>621.70000000000005</v>
      </c>
      <c r="AO382" s="118">
        <v>0.55800000000000005</v>
      </c>
      <c r="AP382" s="118">
        <v>0.56599999999999995</v>
      </c>
      <c r="AQ382" s="118">
        <v>0.79100000000000004</v>
      </c>
      <c r="AR382" s="118">
        <v>94.4</v>
      </c>
      <c r="AS382" s="118">
        <v>7.98</v>
      </c>
      <c r="AT382" s="118">
        <v>95.6</v>
      </c>
      <c r="AU382" s="118">
        <v>-86.794299730000006</v>
      </c>
      <c r="AV382" s="118">
        <v>40.81108966</v>
      </c>
      <c r="AW382" s="118">
        <v>198.6</v>
      </c>
      <c r="AX382" s="118">
        <v>204.8</v>
      </c>
      <c r="AY382" s="118">
        <v>7.87</v>
      </c>
      <c r="AZ382" s="118">
        <v>-76.7</v>
      </c>
      <c r="BA382" s="118">
        <v>12</v>
      </c>
      <c r="BB382" s="118">
        <v>0</v>
      </c>
      <c r="BC382" s="118">
        <v>23.715</v>
      </c>
      <c r="BD382" s="118">
        <v>4.68</v>
      </c>
      <c r="BE382" s="118">
        <v>0</v>
      </c>
      <c r="BF382" t="s">
        <v>515</v>
      </c>
      <c r="BG382" t="s">
        <v>515</v>
      </c>
      <c r="BH382" s="190">
        <v>215.15100000000001</v>
      </c>
      <c r="BI382" s="190">
        <v>296.26799999999997</v>
      </c>
      <c r="BJ382" s="190">
        <v>378.29899999999998</v>
      </c>
      <c r="BK382" s="190">
        <v>415.85899999999998</v>
      </c>
      <c r="BL382" s="190">
        <v>397.23700000000002</v>
      </c>
      <c r="BM382" s="190">
        <v>387.19400000000002</v>
      </c>
      <c r="BN382" s="190">
        <v>366.08699999999999</v>
      </c>
      <c r="BO382" s="190">
        <v>548.22</v>
      </c>
    </row>
    <row r="383" spans="1:67" x14ac:dyDescent="0.25">
      <c r="A383" s="25">
        <v>10382</v>
      </c>
      <c r="B383" t="s">
        <v>407</v>
      </c>
      <c r="C383" t="s">
        <v>407</v>
      </c>
      <c r="D383" s="27" t="s">
        <v>485</v>
      </c>
      <c r="E383" s="27">
        <v>9</v>
      </c>
      <c r="F383" s="118">
        <v>3385</v>
      </c>
      <c r="G383" t="s">
        <v>20</v>
      </c>
      <c r="H383" t="s">
        <v>8</v>
      </c>
      <c r="I383">
        <v>-5.0200000000000002E-2</v>
      </c>
      <c r="J383">
        <v>4.0819999999999999</v>
      </c>
      <c r="K383">
        <v>0.19500000000000001</v>
      </c>
      <c r="L383" s="63">
        <v>8.552631578947369E-3</v>
      </c>
      <c r="M383" s="140">
        <f t="shared" si="47"/>
        <v>0.05</v>
      </c>
      <c r="N383" s="140">
        <f t="shared" si="47"/>
        <v>4.0819999999999999</v>
      </c>
      <c r="O383" s="140">
        <f t="shared" si="47"/>
        <v>0.19500000000000001</v>
      </c>
      <c r="P383" s="140">
        <f t="shared" si="38"/>
        <v>0.05</v>
      </c>
      <c r="Q383" s="161">
        <v>0.60827851725952864</v>
      </c>
      <c r="R383" s="125">
        <v>9.4500000000000011</v>
      </c>
      <c r="S383">
        <v>9.5533333333333328</v>
      </c>
      <c r="T383" s="27">
        <v>4.144405792411618</v>
      </c>
      <c r="U383" s="27">
        <v>2.3422952804114181</v>
      </c>
      <c r="V383" s="27" t="s">
        <v>515</v>
      </c>
      <c r="W383" t="s">
        <v>515</v>
      </c>
      <c r="X383" t="s">
        <v>515</v>
      </c>
      <c r="Y383">
        <f t="shared" si="44"/>
        <v>7</v>
      </c>
      <c r="Z383">
        <f t="shared" si="45"/>
        <v>1</v>
      </c>
      <c r="AA383">
        <f t="shared" si="46"/>
        <v>2024</v>
      </c>
      <c r="AB383" s="118" t="b">
        <v>1</v>
      </c>
      <c r="AC383" s="19">
        <v>45474</v>
      </c>
      <c r="AD383" s="19" t="s">
        <v>515</v>
      </c>
      <c r="AE383" t="s">
        <v>515</v>
      </c>
      <c r="AF383" s="19">
        <v>45474</v>
      </c>
      <c r="AG383" t="s">
        <v>515</v>
      </c>
      <c r="AH383" t="s">
        <v>515</v>
      </c>
      <c r="AI383" s="118">
        <v>751</v>
      </c>
      <c r="AJ383" s="118">
        <v>597</v>
      </c>
      <c r="AK383" s="118">
        <v>606.29999999999995</v>
      </c>
      <c r="AL383" s="118">
        <v>394</v>
      </c>
      <c r="AM383" s="118">
        <v>0.28999999999999998</v>
      </c>
      <c r="AN383" s="118">
        <v>607.29999999999995</v>
      </c>
      <c r="AO383" s="118">
        <v>0.52600000000000002</v>
      </c>
      <c r="AP383" s="118">
        <v>0.52400000000000002</v>
      </c>
      <c r="AQ383" s="118">
        <v>0.747</v>
      </c>
      <c r="AR383" s="118">
        <v>109.2</v>
      </c>
      <c r="AS383" s="118">
        <v>9.14</v>
      </c>
      <c r="AT383" s="118">
        <v>110.5</v>
      </c>
      <c r="AU383" s="118">
        <v>-86.774830640000005</v>
      </c>
      <c r="AV383" s="118">
        <v>40.804242270000003</v>
      </c>
      <c r="AW383" s="118">
        <v>202.2</v>
      </c>
      <c r="AX383" s="118">
        <v>123.5</v>
      </c>
      <c r="AY383" s="118">
        <v>7.85</v>
      </c>
      <c r="AZ383" s="118">
        <v>-75.2</v>
      </c>
      <c r="BA383" s="118">
        <v>11.9</v>
      </c>
      <c r="BB383" s="118">
        <v>0</v>
      </c>
      <c r="BC383" s="118">
        <v>24.192</v>
      </c>
      <c r="BD383" s="118">
        <v>5.47</v>
      </c>
      <c r="BE383" s="118">
        <v>0</v>
      </c>
      <c r="BF383" t="s">
        <v>515</v>
      </c>
      <c r="BG383" t="s">
        <v>515</v>
      </c>
      <c r="BH383" s="190">
        <v>103.834</v>
      </c>
      <c r="BI383" s="190">
        <v>162.464</v>
      </c>
      <c r="BJ383" s="190">
        <v>246.04599999999999</v>
      </c>
      <c r="BK383" s="190">
        <v>278.06700000000001</v>
      </c>
      <c r="BL383" s="190">
        <v>271.06</v>
      </c>
      <c r="BM383" s="190">
        <v>238.23</v>
      </c>
      <c r="BN383" s="190">
        <v>307.75400000000002</v>
      </c>
      <c r="BO383" s="190">
        <v>527.72500000000002</v>
      </c>
    </row>
    <row r="384" spans="1:67" x14ac:dyDescent="0.25">
      <c r="A384" s="25">
        <v>10383</v>
      </c>
      <c r="B384" t="s">
        <v>408</v>
      </c>
      <c r="C384" t="s">
        <v>408</v>
      </c>
      <c r="D384" s="27" t="s">
        <v>486</v>
      </c>
      <c r="E384" s="27">
        <v>10</v>
      </c>
      <c r="F384" s="118">
        <v>2205</v>
      </c>
      <c r="G384" t="s">
        <v>20</v>
      </c>
      <c r="H384" t="s">
        <v>8</v>
      </c>
      <c r="I384">
        <v>-4.0899999999999999E-2</v>
      </c>
      <c r="J384">
        <v>4.9169999999999998</v>
      </c>
      <c r="K384">
        <v>0.17899999999999999</v>
      </c>
      <c r="L384" s="63">
        <v>4.9148099606815187E-3</v>
      </c>
      <c r="M384" s="140">
        <f t="shared" si="47"/>
        <v>0.05</v>
      </c>
      <c r="N384" s="140">
        <f t="shared" si="47"/>
        <v>4.9169999999999998</v>
      </c>
      <c r="O384" s="140">
        <f t="shared" si="47"/>
        <v>0.17899999999999999</v>
      </c>
      <c r="P384" s="140">
        <f t="shared" si="38"/>
        <v>0.05</v>
      </c>
      <c r="Q384" s="161">
        <v>0.47556762570749589</v>
      </c>
      <c r="R384" s="125">
        <v>1.5433333333333332</v>
      </c>
      <c r="S384">
        <v>2.0533333333333332</v>
      </c>
      <c r="T384" s="27">
        <v>4.0538993608931317</v>
      </c>
      <c r="U384" s="27">
        <v>4.0013246944614664</v>
      </c>
      <c r="V384" s="27" t="s">
        <v>515</v>
      </c>
      <c r="W384" t="s">
        <v>515</v>
      </c>
      <c r="X384" t="s">
        <v>515</v>
      </c>
      <c r="Y384">
        <f t="shared" si="44"/>
        <v>7</v>
      </c>
      <c r="Z384">
        <f t="shared" si="45"/>
        <v>1</v>
      </c>
      <c r="AA384">
        <f t="shared" si="46"/>
        <v>2024</v>
      </c>
      <c r="AB384" s="118" t="b">
        <v>1</v>
      </c>
      <c r="AC384" s="19">
        <v>45474</v>
      </c>
      <c r="AD384" s="19" t="s">
        <v>515</v>
      </c>
      <c r="AE384" t="s">
        <v>515</v>
      </c>
      <c r="AF384" s="19">
        <v>45474</v>
      </c>
      <c r="AG384" t="s">
        <v>515</v>
      </c>
      <c r="AH384" t="s">
        <v>515</v>
      </c>
      <c r="AI384" s="118">
        <v>751.3</v>
      </c>
      <c r="AJ384" s="118">
        <v>596.70000000000005</v>
      </c>
      <c r="AK384" s="118">
        <v>610.29999999999995</v>
      </c>
      <c r="AL384" s="118">
        <v>397</v>
      </c>
      <c r="AM384" s="118">
        <v>0.3</v>
      </c>
      <c r="AN384" s="118">
        <v>611.6</v>
      </c>
      <c r="AO384" s="118">
        <v>0.54200000000000004</v>
      </c>
      <c r="AP384" s="118">
        <v>0.55200000000000005</v>
      </c>
      <c r="AQ384" s="118">
        <v>0.76900000000000002</v>
      </c>
      <c r="AR384" s="118">
        <v>91</v>
      </c>
      <c r="AS384" s="118">
        <v>7.67</v>
      </c>
      <c r="AT384" s="118">
        <v>92.1</v>
      </c>
      <c r="AU384" s="118">
        <v>-86.774344880000001</v>
      </c>
      <c r="AV384" s="118">
        <v>40.794689409999997</v>
      </c>
      <c r="AW384" s="118">
        <v>197.2</v>
      </c>
      <c r="AX384" s="118">
        <v>187.6</v>
      </c>
      <c r="AY384" s="118">
        <v>7.82</v>
      </c>
      <c r="AZ384" s="118">
        <v>-73.3</v>
      </c>
      <c r="BA384" s="118">
        <v>11.9</v>
      </c>
      <c r="BB384" s="118">
        <v>0</v>
      </c>
      <c r="BC384" s="118">
        <v>23.838999999999999</v>
      </c>
      <c r="BD384" s="118">
        <v>5.23</v>
      </c>
      <c r="BE384" s="118">
        <v>0</v>
      </c>
      <c r="BF384" t="s">
        <v>515</v>
      </c>
      <c r="BG384" t="s">
        <v>515</v>
      </c>
      <c r="BH384" s="190">
        <v>187.87299999999999</v>
      </c>
      <c r="BI384" s="190">
        <v>281.20400000000001</v>
      </c>
      <c r="BJ384" s="190">
        <v>355.51299999999998</v>
      </c>
      <c r="BK384" s="190">
        <v>382.827</v>
      </c>
      <c r="BL384" s="190">
        <v>368.95499999999998</v>
      </c>
      <c r="BM384" s="190">
        <v>361.84</v>
      </c>
      <c r="BN384" s="190">
        <v>346.42700000000002</v>
      </c>
      <c r="BO384" s="190">
        <v>472.57299999999998</v>
      </c>
    </row>
    <row r="385" spans="1:67" x14ac:dyDescent="0.25">
      <c r="A385" s="25">
        <v>10384</v>
      </c>
      <c r="B385" t="s">
        <v>409</v>
      </c>
      <c r="C385" t="s">
        <v>409</v>
      </c>
      <c r="D385" s="27" t="s">
        <v>487</v>
      </c>
      <c r="E385" s="27">
        <v>11</v>
      </c>
      <c r="F385" s="118">
        <v>1385</v>
      </c>
      <c r="G385" t="s">
        <v>20</v>
      </c>
      <c r="H385" t="s">
        <v>8</v>
      </c>
      <c r="I385">
        <v>-6.3100000000000003E-2</v>
      </c>
      <c r="J385">
        <v>4.0279999999999996</v>
      </c>
      <c r="K385">
        <v>0.21199999999999999</v>
      </c>
      <c r="L385" s="63">
        <v>1.0197368421052632E-2</v>
      </c>
      <c r="M385" s="140">
        <f t="shared" si="47"/>
        <v>0.05</v>
      </c>
      <c r="N385" s="140">
        <f t="shared" si="47"/>
        <v>4.0279999999999996</v>
      </c>
      <c r="O385" s="140">
        <f t="shared" si="47"/>
        <v>0.21199999999999999</v>
      </c>
      <c r="P385" s="140">
        <f t="shared" si="38"/>
        <v>0.05</v>
      </c>
      <c r="Q385" s="161">
        <v>0.50983272905435539</v>
      </c>
      <c r="R385" s="125">
        <v>18.516666666666666</v>
      </c>
      <c r="S385">
        <v>12.319999999999999</v>
      </c>
      <c r="T385" s="27">
        <v>5.0636275382250631</v>
      </c>
      <c r="U385" s="27">
        <v>2.6683838512330134</v>
      </c>
      <c r="V385" s="27" t="s">
        <v>515</v>
      </c>
      <c r="W385" t="s">
        <v>515</v>
      </c>
      <c r="X385" t="s">
        <v>515</v>
      </c>
      <c r="Y385">
        <f t="shared" si="44"/>
        <v>7</v>
      </c>
      <c r="Z385">
        <f t="shared" si="45"/>
        <v>1</v>
      </c>
      <c r="AA385">
        <f t="shared" si="46"/>
        <v>2024</v>
      </c>
      <c r="AB385" s="118" t="b">
        <v>1</v>
      </c>
      <c r="AC385" s="19">
        <v>45474</v>
      </c>
      <c r="AD385" s="19" t="s">
        <v>515</v>
      </c>
      <c r="AE385" t="s">
        <v>515</v>
      </c>
      <c r="AF385" s="19">
        <v>45474</v>
      </c>
      <c r="AG385" t="s">
        <v>515</v>
      </c>
      <c r="AH385" t="s">
        <v>515</v>
      </c>
      <c r="AI385" s="118">
        <v>751.3</v>
      </c>
      <c r="AJ385" s="118">
        <v>598.29999999999995</v>
      </c>
      <c r="AK385" s="118">
        <v>612.4</v>
      </c>
      <c r="AL385" s="118">
        <v>398</v>
      </c>
      <c r="AM385" s="118">
        <v>0.3</v>
      </c>
      <c r="AN385" s="118">
        <v>613.79999999999995</v>
      </c>
      <c r="AO385" s="118">
        <v>0.56000000000000005</v>
      </c>
      <c r="AP385" s="118">
        <v>0.54600000000000004</v>
      </c>
      <c r="AQ385" s="118">
        <v>0.79400000000000004</v>
      </c>
      <c r="AR385" s="118">
        <v>104.1</v>
      </c>
      <c r="AS385" s="118">
        <v>8.7899999999999991</v>
      </c>
      <c r="AT385" s="118">
        <v>105.4</v>
      </c>
      <c r="AU385" s="118">
        <v>-86.772130180000005</v>
      </c>
      <c r="AV385" s="118">
        <v>40.78862204</v>
      </c>
      <c r="AW385" s="118">
        <v>197.5</v>
      </c>
      <c r="AX385" s="118">
        <v>168.7</v>
      </c>
      <c r="AY385" s="118">
        <v>7.89</v>
      </c>
      <c r="AZ385" s="118">
        <v>-77.900000000000006</v>
      </c>
      <c r="BA385" s="118">
        <v>11.9</v>
      </c>
      <c r="BB385" s="118">
        <v>0</v>
      </c>
      <c r="BC385" s="118">
        <v>23.797000000000001</v>
      </c>
      <c r="BD385" s="118">
        <v>4.2699999999999996</v>
      </c>
      <c r="BE385" s="118">
        <v>0</v>
      </c>
      <c r="BF385" t="s">
        <v>515</v>
      </c>
      <c r="BG385" t="s">
        <v>515</v>
      </c>
      <c r="BH385" s="190">
        <v>127.538</v>
      </c>
      <c r="BI385" s="190">
        <v>183.20400000000001</v>
      </c>
      <c r="BJ385" s="190">
        <v>259.88</v>
      </c>
      <c r="BK385" s="190">
        <v>285.40499999999997</v>
      </c>
      <c r="BL385" s="190">
        <v>269.34100000000001</v>
      </c>
      <c r="BM385" s="190">
        <v>257.36099999999999</v>
      </c>
      <c r="BN385" s="190">
        <v>297.18700000000001</v>
      </c>
      <c r="BO385" s="190">
        <v>466.63900000000001</v>
      </c>
    </row>
    <row r="386" spans="1:67" x14ac:dyDescent="0.25">
      <c r="A386" s="25">
        <v>10385</v>
      </c>
      <c r="B386" t="s">
        <v>410</v>
      </c>
      <c r="C386" t="s">
        <v>410</v>
      </c>
      <c r="D386" s="27" t="s">
        <v>488</v>
      </c>
      <c r="E386" s="27">
        <v>12</v>
      </c>
      <c r="F386" s="118">
        <v>275</v>
      </c>
      <c r="G386" t="s">
        <v>20</v>
      </c>
      <c r="H386" t="s">
        <v>8</v>
      </c>
      <c r="I386">
        <v>-6.0299999999999999E-2</v>
      </c>
      <c r="J386">
        <v>4.9180000000000001</v>
      </c>
      <c r="K386">
        <v>0.34</v>
      </c>
      <c r="L386" s="63">
        <v>3.6184210526315794E-3</v>
      </c>
      <c r="M386" s="140">
        <f t="shared" ref="M386:O401" si="48">IF(I386&lt;0.1,0.05,I386)</f>
        <v>0.05</v>
      </c>
      <c r="N386" s="140">
        <f t="shared" si="48"/>
        <v>4.9180000000000001</v>
      </c>
      <c r="O386" s="140">
        <f t="shared" si="48"/>
        <v>0.34</v>
      </c>
      <c r="P386" s="140">
        <f t="shared" ref="P386:P449" si="49">IF(L386&lt;0.1,0.05,L386)</f>
        <v>0.05</v>
      </c>
      <c r="Q386" s="161">
        <v>0.45757771565448979</v>
      </c>
      <c r="R386" s="125">
        <v>10.733333333333334</v>
      </c>
      <c r="S386">
        <v>11.993333333333334</v>
      </c>
      <c r="T386" s="27">
        <v>5.2412695844457033</v>
      </c>
      <c r="U386" s="27">
        <v>3.9342639879620585</v>
      </c>
      <c r="V386" s="27" t="s">
        <v>515</v>
      </c>
      <c r="W386" t="s">
        <v>515</v>
      </c>
      <c r="X386" t="s">
        <v>515</v>
      </c>
      <c r="Y386">
        <f t="shared" si="44"/>
        <v>7</v>
      </c>
      <c r="Z386">
        <f t="shared" si="45"/>
        <v>1</v>
      </c>
      <c r="AA386">
        <f t="shared" si="46"/>
        <v>2024</v>
      </c>
      <c r="AB386" s="118" t="b">
        <v>1</v>
      </c>
      <c r="AC386" s="19">
        <v>45474</v>
      </c>
      <c r="AD386" s="19" t="s">
        <v>515</v>
      </c>
      <c r="AE386" t="s">
        <v>515</v>
      </c>
      <c r="AF386" s="19">
        <v>45474</v>
      </c>
      <c r="AG386" t="s">
        <v>515</v>
      </c>
      <c r="AH386" t="s">
        <v>515</v>
      </c>
      <c r="AI386" s="118">
        <v>751.2</v>
      </c>
      <c r="AJ386" s="118">
        <v>602.20000000000005</v>
      </c>
      <c r="AK386" s="118">
        <v>614.5</v>
      </c>
      <c r="AL386" s="118">
        <v>399</v>
      </c>
      <c r="AM386" s="118">
        <v>0.3</v>
      </c>
      <c r="AN386" s="118">
        <v>615.79999999999995</v>
      </c>
      <c r="AO386" s="118">
        <v>0.55200000000000005</v>
      </c>
      <c r="AP386" s="118">
        <v>0.55400000000000005</v>
      </c>
      <c r="AQ386" s="118">
        <v>0.78300000000000003</v>
      </c>
      <c r="AR386" s="118">
        <v>95.1</v>
      </c>
      <c r="AS386" s="118">
        <v>8</v>
      </c>
      <c r="AT386" s="118">
        <v>96.3</v>
      </c>
      <c r="AU386" s="118">
        <v>-86.762205379999997</v>
      </c>
      <c r="AV386" s="118">
        <v>40.782380209999999</v>
      </c>
      <c r="AW386" s="118">
        <v>196.9</v>
      </c>
      <c r="AX386" s="118">
        <v>200.3</v>
      </c>
      <c r="AY386" s="118">
        <v>7.83</v>
      </c>
      <c r="AZ386" s="118">
        <v>-74.2</v>
      </c>
      <c r="BA386" s="118">
        <v>11.9</v>
      </c>
      <c r="BB386" s="118">
        <v>0</v>
      </c>
      <c r="BC386" s="118">
        <v>23.95</v>
      </c>
      <c r="BD386" s="118">
        <v>4.88</v>
      </c>
      <c r="BE386" s="118">
        <v>0</v>
      </c>
      <c r="BF386" t="s">
        <v>515</v>
      </c>
      <c r="BG386" t="s">
        <v>515</v>
      </c>
      <c r="BH386" s="190">
        <v>121.176</v>
      </c>
      <c r="BI386" s="190">
        <v>166.46799999999999</v>
      </c>
      <c r="BJ386" s="190">
        <v>245.40199999999999</v>
      </c>
      <c r="BK386" s="190">
        <v>272.774</v>
      </c>
      <c r="BL386" s="190">
        <v>255.06800000000001</v>
      </c>
      <c r="BM386" s="190">
        <v>232.709</v>
      </c>
      <c r="BN386" s="190">
        <v>269.12200000000001</v>
      </c>
      <c r="BO386" s="190">
        <v>408.346</v>
      </c>
    </row>
    <row r="387" spans="1:67" x14ac:dyDescent="0.25">
      <c r="A387" s="25">
        <v>10386</v>
      </c>
      <c r="B387" t="s">
        <v>411</v>
      </c>
      <c r="C387" t="s">
        <v>411</v>
      </c>
      <c r="D387" s="27" t="s">
        <v>489</v>
      </c>
      <c r="E387" s="27">
        <v>14</v>
      </c>
      <c r="F387" s="118">
        <v>4225</v>
      </c>
      <c r="G387" t="s">
        <v>20</v>
      </c>
      <c r="H387" t="s">
        <v>8</v>
      </c>
      <c r="I387">
        <v>-4.9099999999999998E-2</v>
      </c>
      <c r="J387">
        <v>4.7300000000000004</v>
      </c>
      <c r="K387">
        <v>0.253</v>
      </c>
      <c r="L387" s="63">
        <v>6.9078947368421068E-3</v>
      </c>
      <c r="M387" s="140">
        <f t="shared" si="48"/>
        <v>0.05</v>
      </c>
      <c r="N387" s="140">
        <f t="shared" si="48"/>
        <v>4.7300000000000004</v>
      </c>
      <c r="O387" s="140">
        <f t="shared" si="48"/>
        <v>0.253</v>
      </c>
      <c r="P387" s="140">
        <f t="shared" si="49"/>
        <v>0.05</v>
      </c>
      <c r="Q387" s="161">
        <v>0.76773116934302532</v>
      </c>
      <c r="R387" s="125">
        <v>0.51333333333333331</v>
      </c>
      <c r="S387">
        <v>0.92</v>
      </c>
      <c r="T387" s="27">
        <v>4.0372138176522938</v>
      </c>
      <c r="U387" s="27">
        <v>3.6502144758788089</v>
      </c>
      <c r="V387" s="27" t="s">
        <v>515</v>
      </c>
      <c r="W387" t="s">
        <v>515</v>
      </c>
      <c r="X387" t="s">
        <v>515</v>
      </c>
      <c r="Y387">
        <f t="shared" si="44"/>
        <v>7</v>
      </c>
      <c r="Z387">
        <f t="shared" si="45"/>
        <v>1</v>
      </c>
      <c r="AA387">
        <f t="shared" si="46"/>
        <v>2024</v>
      </c>
      <c r="AB387" s="118" t="b">
        <v>1</v>
      </c>
      <c r="AC387" s="19">
        <v>45474</v>
      </c>
      <c r="AD387" s="19" t="s">
        <v>515</v>
      </c>
      <c r="AE387" t="s">
        <v>515</v>
      </c>
      <c r="AF387" s="19">
        <v>45474</v>
      </c>
      <c r="AG387" t="s">
        <v>515</v>
      </c>
      <c r="AH387" t="s">
        <v>515</v>
      </c>
      <c r="AI387" s="118">
        <v>751.1</v>
      </c>
      <c r="AJ387" s="118">
        <v>594.29999999999995</v>
      </c>
      <c r="AK387" s="118">
        <v>610.9</v>
      </c>
      <c r="AL387" s="118">
        <v>397</v>
      </c>
      <c r="AM387" s="118">
        <v>0.3</v>
      </c>
      <c r="AN387" s="118">
        <v>612.6</v>
      </c>
      <c r="AO387" s="118">
        <v>0.58599999999999997</v>
      </c>
      <c r="AP387" s="118">
        <v>0.57199999999999995</v>
      </c>
      <c r="AQ387" s="118">
        <v>0.83099999999999996</v>
      </c>
      <c r="AR387" s="118">
        <v>92.1</v>
      </c>
      <c r="AS387" s="118">
        <v>7.8</v>
      </c>
      <c r="AT387" s="118">
        <v>93.2</v>
      </c>
      <c r="AU387" s="118">
        <v>-86.785247049999995</v>
      </c>
      <c r="AV387" s="118">
        <v>40.807313710000003</v>
      </c>
      <c r="AW387" s="118">
        <v>200.3</v>
      </c>
      <c r="AX387" s="118">
        <v>186.6</v>
      </c>
      <c r="AY387" s="118">
        <v>7.86</v>
      </c>
      <c r="AZ387" s="118">
        <v>-76</v>
      </c>
      <c r="BA387" s="118">
        <v>12</v>
      </c>
      <c r="BB387" s="118">
        <v>0</v>
      </c>
      <c r="BC387" s="118">
        <v>23.577000000000002</v>
      </c>
      <c r="BD387" s="118">
        <v>6.2</v>
      </c>
      <c r="BE387" s="118">
        <v>0</v>
      </c>
      <c r="BF387" t="s">
        <v>515</v>
      </c>
      <c r="BG387" t="s">
        <v>515</v>
      </c>
      <c r="BH387" s="190">
        <v>226.84899999999999</v>
      </c>
      <c r="BI387" s="190">
        <v>341.63600000000002</v>
      </c>
      <c r="BJ387" s="190">
        <v>426.637</v>
      </c>
      <c r="BK387" s="190">
        <v>459.41300000000001</v>
      </c>
      <c r="BL387" s="190">
        <v>443.16199999999998</v>
      </c>
      <c r="BM387" s="190">
        <v>447.13</v>
      </c>
      <c r="BN387" s="190">
        <v>422.68299999999999</v>
      </c>
      <c r="BO387" s="190">
        <v>597.37900000000002</v>
      </c>
    </row>
    <row r="388" spans="1:67" x14ac:dyDescent="0.25">
      <c r="A388" s="25">
        <v>10387</v>
      </c>
      <c r="B388" t="s">
        <v>412</v>
      </c>
      <c r="C388" t="s">
        <v>412</v>
      </c>
      <c r="D388" s="27" t="s">
        <v>490</v>
      </c>
      <c r="E388" s="27">
        <v>15</v>
      </c>
      <c r="F388" s="118">
        <v>2905</v>
      </c>
      <c r="G388" t="s">
        <v>20</v>
      </c>
      <c r="H388" t="s">
        <v>8</v>
      </c>
      <c r="I388">
        <v>-4.0899999999999999E-2</v>
      </c>
      <c r="J388">
        <v>5.3150000000000004</v>
      </c>
      <c r="K388">
        <v>0.19700000000000001</v>
      </c>
      <c r="L388" s="63">
        <v>1.0197368421052632E-2</v>
      </c>
      <c r="M388" s="140">
        <f t="shared" si="48"/>
        <v>0.05</v>
      </c>
      <c r="N388" s="140">
        <f t="shared" si="48"/>
        <v>5.3150000000000004</v>
      </c>
      <c r="O388" s="140">
        <f t="shared" si="48"/>
        <v>0.19700000000000001</v>
      </c>
      <c r="P388" s="140">
        <f t="shared" si="49"/>
        <v>0.05</v>
      </c>
      <c r="Q388" s="161">
        <v>0.63932817814465104</v>
      </c>
      <c r="R388" s="125">
        <v>4.7633333333333328</v>
      </c>
      <c r="S388">
        <v>3.1733333333333333</v>
      </c>
      <c r="T388" s="27">
        <v>4.6271067605102081</v>
      </c>
      <c r="U388" s="27">
        <v>4.6888146454448654</v>
      </c>
      <c r="V388" s="27" t="s">
        <v>515</v>
      </c>
      <c r="W388" t="s">
        <v>515</v>
      </c>
      <c r="X388" t="s">
        <v>515</v>
      </c>
      <c r="Y388">
        <f t="shared" si="44"/>
        <v>7</v>
      </c>
      <c r="Z388">
        <f t="shared" si="45"/>
        <v>1</v>
      </c>
      <c r="AA388">
        <f t="shared" si="46"/>
        <v>2024</v>
      </c>
      <c r="AB388" s="118" t="b">
        <v>1</v>
      </c>
      <c r="AC388" s="19">
        <v>45474</v>
      </c>
      <c r="AD388" s="19" t="s">
        <v>515</v>
      </c>
      <c r="AE388" t="s">
        <v>515</v>
      </c>
      <c r="AF388" s="19">
        <v>45474</v>
      </c>
      <c r="AG388" t="s">
        <v>515</v>
      </c>
      <c r="AH388" t="s">
        <v>515</v>
      </c>
      <c r="AI388" s="118">
        <v>751</v>
      </c>
      <c r="AJ388" s="118">
        <v>595.4</v>
      </c>
      <c r="AK388" s="118">
        <v>609.29999999999995</v>
      </c>
      <c r="AL388" s="118">
        <v>396</v>
      </c>
      <c r="AM388" s="118">
        <v>0.28999999999999998</v>
      </c>
      <c r="AN388" s="118">
        <v>610.70000000000005</v>
      </c>
      <c r="AO388" s="118">
        <v>0.56799999999999995</v>
      </c>
      <c r="AP388" s="118">
        <v>0.56499999999999995</v>
      </c>
      <c r="AQ388" s="118">
        <v>0.80600000000000005</v>
      </c>
      <c r="AR388" s="118">
        <v>93.6</v>
      </c>
      <c r="AS388" s="118">
        <v>7.9</v>
      </c>
      <c r="AT388" s="118">
        <v>94.7</v>
      </c>
      <c r="AU388" s="118">
        <v>-86.777779629999998</v>
      </c>
      <c r="AV388" s="118">
        <v>40.799243930000003</v>
      </c>
      <c r="AW388" s="118">
        <v>201.1</v>
      </c>
      <c r="AX388" s="118">
        <v>125.7</v>
      </c>
      <c r="AY388" s="118">
        <v>7.85</v>
      </c>
      <c r="AZ388" s="118">
        <v>-75.2</v>
      </c>
      <c r="BA388" s="118">
        <v>11.9</v>
      </c>
      <c r="BB388" s="118">
        <v>0</v>
      </c>
      <c r="BC388" s="118">
        <v>23.8</v>
      </c>
      <c r="BD388" s="118">
        <v>4.12</v>
      </c>
      <c r="BE388" s="118">
        <v>0</v>
      </c>
      <c r="BF388" t="s">
        <v>515</v>
      </c>
      <c r="BG388" t="s">
        <v>515</v>
      </c>
      <c r="BH388" s="190">
        <v>317.77199999999999</v>
      </c>
      <c r="BI388" s="190">
        <v>460.12299999999999</v>
      </c>
      <c r="BJ388" s="190">
        <v>536.90200000000004</v>
      </c>
      <c r="BK388" s="190">
        <v>578.19899999999996</v>
      </c>
      <c r="BL388" s="190">
        <v>553.40599999999995</v>
      </c>
      <c r="BM388" s="190">
        <v>568.94600000000003</v>
      </c>
      <c r="BN388" s="190">
        <v>536.82100000000003</v>
      </c>
      <c r="BO388" s="190">
        <v>654.67899999999997</v>
      </c>
    </row>
    <row r="389" spans="1:67" x14ac:dyDescent="0.25">
      <c r="A389" s="25">
        <v>10388</v>
      </c>
      <c r="B389" t="s">
        <v>413</v>
      </c>
      <c r="C389" t="s">
        <v>413</v>
      </c>
      <c r="D389" s="27" t="s">
        <v>505</v>
      </c>
      <c r="E389" s="27">
        <v>9</v>
      </c>
      <c r="F389" s="118" t="s">
        <v>515</v>
      </c>
      <c r="G389" t="s">
        <v>19</v>
      </c>
      <c r="H389" t="s">
        <v>9</v>
      </c>
      <c r="I389">
        <v>1.95E-2</v>
      </c>
      <c r="J389">
        <v>5.14</v>
      </c>
      <c r="K389">
        <v>0.30299999999999999</v>
      </c>
      <c r="L389" t="s">
        <v>515</v>
      </c>
      <c r="M389" s="140">
        <f t="shared" si="48"/>
        <v>0.05</v>
      </c>
      <c r="N389" s="140">
        <f t="shared" si="48"/>
        <v>5.14</v>
      </c>
      <c r="O389" s="140">
        <f t="shared" si="48"/>
        <v>0.30299999999999999</v>
      </c>
      <c r="P389" s="140" t="str">
        <f t="shared" si="49"/>
        <v>NULL</v>
      </c>
      <c r="Q389" s="161">
        <v>0.34504367758120047</v>
      </c>
      <c r="R389" s="125">
        <v>3.6833333333333336</v>
      </c>
      <c r="S389">
        <v>4.9200000000000008</v>
      </c>
      <c r="T389">
        <v>3.0253931676906278</v>
      </c>
      <c r="U389">
        <v>2.2658426171529622</v>
      </c>
      <c r="V389" s="118" t="s">
        <v>515</v>
      </c>
      <c r="W389" t="s">
        <v>515</v>
      </c>
      <c r="X389" t="s">
        <v>515</v>
      </c>
      <c r="Y389">
        <f t="shared" si="44"/>
        <v>7</v>
      </c>
      <c r="Z389">
        <f t="shared" si="45"/>
        <v>11</v>
      </c>
      <c r="AA389">
        <f t="shared" si="46"/>
        <v>2024</v>
      </c>
      <c r="AB389" s="118" t="b">
        <v>0</v>
      </c>
      <c r="AC389" s="19">
        <v>45484</v>
      </c>
      <c r="AD389" s="19" t="s">
        <v>515</v>
      </c>
      <c r="AE389" t="s">
        <v>515</v>
      </c>
      <c r="AF389" s="19">
        <v>45484</v>
      </c>
      <c r="AG389" t="s">
        <v>515</v>
      </c>
      <c r="AH389" t="s">
        <v>515</v>
      </c>
      <c r="AI389" s="118" t="s">
        <v>515</v>
      </c>
      <c r="AJ389" s="118" t="s">
        <v>515</v>
      </c>
      <c r="AK389" s="118" t="s">
        <v>515</v>
      </c>
      <c r="AL389" s="118" t="s">
        <v>515</v>
      </c>
      <c r="AM389" s="118" t="s">
        <v>515</v>
      </c>
      <c r="AN389" s="118" t="s">
        <v>515</v>
      </c>
      <c r="AO389" s="118" t="s">
        <v>515</v>
      </c>
      <c r="AP389" s="118" t="s">
        <v>515</v>
      </c>
      <c r="AQ389" s="118" t="s">
        <v>515</v>
      </c>
      <c r="AR389" s="118" t="s">
        <v>515</v>
      </c>
      <c r="AS389" s="118" t="s">
        <v>515</v>
      </c>
      <c r="AT389" s="118" t="s">
        <v>515</v>
      </c>
      <c r="AU389" s="118" t="s">
        <v>515</v>
      </c>
      <c r="AV389" s="118" t="s">
        <v>515</v>
      </c>
      <c r="AW389" s="118" t="s">
        <v>515</v>
      </c>
      <c r="AX389" s="118" t="s">
        <v>515</v>
      </c>
      <c r="AY389" s="118" t="s">
        <v>515</v>
      </c>
      <c r="AZ389" s="118" t="s">
        <v>515</v>
      </c>
      <c r="BA389" s="118" t="s">
        <v>515</v>
      </c>
      <c r="BB389" s="118" t="s">
        <v>515</v>
      </c>
      <c r="BC389" s="118" t="s">
        <v>515</v>
      </c>
      <c r="BD389" s="118" t="s">
        <v>515</v>
      </c>
      <c r="BE389" s="118" t="s">
        <v>515</v>
      </c>
      <c r="BF389" t="s">
        <v>515</v>
      </c>
      <c r="BG389" t="s">
        <v>515</v>
      </c>
      <c r="BH389" s="118"/>
      <c r="BI389" s="118"/>
      <c r="BJ389" s="118"/>
      <c r="BK389" s="118"/>
      <c r="BL389" s="118"/>
      <c r="BM389" s="118"/>
      <c r="BN389" s="118"/>
      <c r="BO389" s="118"/>
    </row>
    <row r="390" spans="1:67" x14ac:dyDescent="0.25">
      <c r="A390" s="25">
        <v>10389</v>
      </c>
      <c r="B390" t="s">
        <v>414</v>
      </c>
      <c r="C390" t="s">
        <v>414</v>
      </c>
      <c r="D390" s="27" t="s">
        <v>506</v>
      </c>
      <c r="E390" s="27">
        <v>10</v>
      </c>
      <c r="F390" s="118" t="s">
        <v>515</v>
      </c>
      <c r="G390" t="s">
        <v>19</v>
      </c>
      <c r="H390" t="s">
        <v>9</v>
      </c>
      <c r="I390">
        <v>4.5699999999999998E-2</v>
      </c>
      <c r="J390">
        <v>5.8310000000000004</v>
      </c>
      <c r="K390">
        <v>0.314</v>
      </c>
      <c r="L390" t="s">
        <v>515</v>
      </c>
      <c r="M390" s="140">
        <f t="shared" si="48"/>
        <v>0.05</v>
      </c>
      <c r="N390" s="140">
        <f t="shared" si="48"/>
        <v>5.8310000000000004</v>
      </c>
      <c r="O390" s="140">
        <f t="shared" si="48"/>
        <v>0.314</v>
      </c>
      <c r="P390" s="140" t="str">
        <f t="shared" si="49"/>
        <v>NULL</v>
      </c>
      <c r="Q390" s="161">
        <v>0.33197983238835527</v>
      </c>
      <c r="R390" s="125">
        <v>6.5166666666666666</v>
      </c>
      <c r="S390">
        <v>10.293333333333335</v>
      </c>
      <c r="T390">
        <v>3.2255142175350122</v>
      </c>
      <c r="U390">
        <v>3.6035968169761272</v>
      </c>
      <c r="V390" s="118" t="s">
        <v>515</v>
      </c>
      <c r="W390" t="s">
        <v>515</v>
      </c>
      <c r="X390" t="s">
        <v>515</v>
      </c>
      <c r="Y390">
        <f t="shared" si="44"/>
        <v>7</v>
      </c>
      <c r="Z390">
        <f t="shared" si="45"/>
        <v>11</v>
      </c>
      <c r="AA390">
        <f t="shared" si="46"/>
        <v>2024</v>
      </c>
      <c r="AB390" s="118" t="b">
        <v>0</v>
      </c>
      <c r="AC390" s="19">
        <v>45484</v>
      </c>
      <c r="AD390" s="19" t="s">
        <v>515</v>
      </c>
      <c r="AE390" t="s">
        <v>515</v>
      </c>
      <c r="AF390" s="19">
        <v>45484</v>
      </c>
      <c r="AG390" t="s">
        <v>515</v>
      </c>
      <c r="AH390" t="s">
        <v>515</v>
      </c>
      <c r="AI390" s="118" t="s">
        <v>515</v>
      </c>
      <c r="AJ390" s="118" t="s">
        <v>515</v>
      </c>
      <c r="AK390" s="118" t="s">
        <v>515</v>
      </c>
      <c r="AL390" s="118" t="s">
        <v>515</v>
      </c>
      <c r="AM390" s="118" t="s">
        <v>515</v>
      </c>
      <c r="AN390" s="118" t="s">
        <v>515</v>
      </c>
      <c r="AO390" s="118" t="s">
        <v>515</v>
      </c>
      <c r="AP390" s="118" t="s">
        <v>515</v>
      </c>
      <c r="AQ390" s="118" t="s">
        <v>515</v>
      </c>
      <c r="AR390" s="118" t="s">
        <v>515</v>
      </c>
      <c r="AS390" s="118" t="s">
        <v>515</v>
      </c>
      <c r="AT390" s="118" t="s">
        <v>515</v>
      </c>
      <c r="AU390" s="118" t="s">
        <v>515</v>
      </c>
      <c r="AV390" s="118" t="s">
        <v>515</v>
      </c>
      <c r="AW390" s="118" t="s">
        <v>515</v>
      </c>
      <c r="AX390" s="118" t="s">
        <v>515</v>
      </c>
      <c r="AY390" s="118" t="s">
        <v>515</v>
      </c>
      <c r="AZ390" s="118" t="s">
        <v>515</v>
      </c>
      <c r="BA390" s="118" t="s">
        <v>515</v>
      </c>
      <c r="BB390" s="118" t="s">
        <v>515</v>
      </c>
      <c r="BC390" s="118" t="s">
        <v>515</v>
      </c>
      <c r="BD390" s="118" t="s">
        <v>515</v>
      </c>
      <c r="BE390" s="118" t="s">
        <v>515</v>
      </c>
      <c r="BF390" t="s">
        <v>515</v>
      </c>
      <c r="BG390" t="s">
        <v>515</v>
      </c>
      <c r="BH390" s="118"/>
      <c r="BI390" s="118"/>
      <c r="BJ390" s="118"/>
      <c r="BK390" s="118"/>
      <c r="BL390" s="118"/>
      <c r="BM390" s="118"/>
      <c r="BN390" s="118"/>
      <c r="BO390" s="118"/>
    </row>
    <row r="391" spans="1:67" x14ac:dyDescent="0.25">
      <c r="A391" s="25">
        <v>10390</v>
      </c>
      <c r="B391" t="s">
        <v>415</v>
      </c>
      <c r="C391" t="s">
        <v>415</v>
      </c>
      <c r="D391" s="27" t="s">
        <v>507</v>
      </c>
      <c r="E391" s="27">
        <v>11</v>
      </c>
      <c r="F391" s="118" t="s">
        <v>515</v>
      </c>
      <c r="G391" t="s">
        <v>19</v>
      </c>
      <c r="H391" t="s">
        <v>9</v>
      </c>
      <c r="I391">
        <v>2.5600000000000001E-2</v>
      </c>
      <c r="J391">
        <v>5.875</v>
      </c>
      <c r="K391">
        <v>0.30199999999999999</v>
      </c>
      <c r="L391" s="26">
        <v>0.33090101522842641</v>
      </c>
      <c r="M391" s="140">
        <f t="shared" si="48"/>
        <v>0.05</v>
      </c>
      <c r="N391" s="140">
        <f t="shared" si="48"/>
        <v>5.875</v>
      </c>
      <c r="O391" s="140">
        <f t="shared" si="48"/>
        <v>0.30199999999999999</v>
      </c>
      <c r="P391" s="140">
        <f t="shared" si="49"/>
        <v>0.33090101522842641</v>
      </c>
      <c r="Q391" s="161">
        <v>0.37335709165273034</v>
      </c>
      <c r="R391" s="125">
        <v>5.6366666666666667</v>
      </c>
      <c r="S391">
        <v>7.286666666666668</v>
      </c>
      <c r="T391">
        <v>11.753789710513725</v>
      </c>
      <c r="U391">
        <v>1.5968634972454605</v>
      </c>
      <c r="V391" s="118" t="s">
        <v>515</v>
      </c>
      <c r="W391" t="s">
        <v>515</v>
      </c>
      <c r="X391" t="s">
        <v>515</v>
      </c>
      <c r="Y391">
        <f t="shared" si="44"/>
        <v>7</v>
      </c>
      <c r="Z391">
        <f t="shared" si="45"/>
        <v>11</v>
      </c>
      <c r="AA391">
        <f t="shared" si="46"/>
        <v>2024</v>
      </c>
      <c r="AB391" s="118" t="b">
        <v>0</v>
      </c>
      <c r="AC391" s="19">
        <v>45484</v>
      </c>
      <c r="AD391" s="19" t="s">
        <v>515</v>
      </c>
      <c r="AE391" t="s">
        <v>515</v>
      </c>
      <c r="AF391" s="19">
        <v>45484</v>
      </c>
      <c r="AG391" t="s">
        <v>515</v>
      </c>
      <c r="AH391" t="s">
        <v>515</v>
      </c>
      <c r="AI391" s="118" t="s">
        <v>515</v>
      </c>
      <c r="AJ391" s="118" t="s">
        <v>515</v>
      </c>
      <c r="AK391" s="118" t="s">
        <v>515</v>
      </c>
      <c r="AL391" s="118" t="s">
        <v>515</v>
      </c>
      <c r="AM391" s="118" t="s">
        <v>515</v>
      </c>
      <c r="AN391" s="118" t="s">
        <v>515</v>
      </c>
      <c r="AO391" s="118" t="s">
        <v>515</v>
      </c>
      <c r="AP391" s="118" t="s">
        <v>515</v>
      </c>
      <c r="AQ391" s="118" t="s">
        <v>515</v>
      </c>
      <c r="AR391" s="118" t="s">
        <v>515</v>
      </c>
      <c r="AS391" s="118" t="s">
        <v>515</v>
      </c>
      <c r="AT391" s="118" t="s">
        <v>515</v>
      </c>
      <c r="AU391" s="118" t="s">
        <v>515</v>
      </c>
      <c r="AV391" s="118" t="s">
        <v>515</v>
      </c>
      <c r="AW391" s="118" t="s">
        <v>515</v>
      </c>
      <c r="AX391" s="118" t="s">
        <v>515</v>
      </c>
      <c r="AY391" s="118" t="s">
        <v>515</v>
      </c>
      <c r="AZ391" s="118" t="s">
        <v>515</v>
      </c>
      <c r="BA391" s="118" t="s">
        <v>515</v>
      </c>
      <c r="BB391" s="118" t="s">
        <v>515</v>
      </c>
      <c r="BC391" s="118" t="s">
        <v>515</v>
      </c>
      <c r="BD391" s="118" t="s">
        <v>515</v>
      </c>
      <c r="BE391" s="118" t="s">
        <v>515</v>
      </c>
      <c r="BF391" t="s">
        <v>515</v>
      </c>
      <c r="BG391" t="s">
        <v>515</v>
      </c>
      <c r="BH391" s="118"/>
      <c r="BI391" s="118"/>
      <c r="BJ391" s="118"/>
      <c r="BK391" s="118"/>
      <c r="BL391" s="118"/>
      <c r="BM391" s="118"/>
      <c r="BN391" s="118"/>
      <c r="BO391" s="118"/>
    </row>
    <row r="392" spans="1:67" x14ac:dyDescent="0.25">
      <c r="A392" s="25">
        <v>10391</v>
      </c>
      <c r="B392" t="s">
        <v>416</v>
      </c>
      <c r="C392" t="s">
        <v>416</v>
      </c>
      <c r="D392" s="27" t="s">
        <v>508</v>
      </c>
      <c r="E392" s="27">
        <v>12</v>
      </c>
      <c r="F392" s="118" t="s">
        <v>515</v>
      </c>
      <c r="G392" t="s">
        <v>19</v>
      </c>
      <c r="H392" t="s">
        <v>9</v>
      </c>
      <c r="I392">
        <v>0.12230000000000001</v>
      </c>
      <c r="J392">
        <v>3.33</v>
      </c>
      <c r="K392">
        <v>0.28399999999999997</v>
      </c>
      <c r="L392" s="26">
        <v>0.24206852791878175</v>
      </c>
      <c r="M392" s="140">
        <f t="shared" si="48"/>
        <v>0.12230000000000001</v>
      </c>
      <c r="N392" s="140">
        <f t="shared" si="48"/>
        <v>3.33</v>
      </c>
      <c r="O392" s="140">
        <f t="shared" si="48"/>
        <v>0.28399999999999997</v>
      </c>
      <c r="P392" s="140">
        <f t="shared" si="49"/>
        <v>0.24206852791878175</v>
      </c>
      <c r="Q392" s="161">
        <v>0.46692141347924859</v>
      </c>
      <c r="R392" s="125">
        <v>10.936666666666667</v>
      </c>
      <c r="S392">
        <v>9.2466666666666661</v>
      </c>
      <c r="T392" s="106">
        <v>299.14840908443529</v>
      </c>
      <c r="U392">
        <v>3.3624215466231382</v>
      </c>
      <c r="V392" s="118" t="s">
        <v>515</v>
      </c>
      <c r="W392" t="s">
        <v>515</v>
      </c>
      <c r="X392" t="s">
        <v>515</v>
      </c>
      <c r="Y392">
        <f t="shared" si="44"/>
        <v>7</v>
      </c>
      <c r="Z392">
        <f t="shared" si="45"/>
        <v>11</v>
      </c>
      <c r="AA392">
        <f t="shared" si="46"/>
        <v>2024</v>
      </c>
      <c r="AB392" s="118" t="b">
        <v>0</v>
      </c>
      <c r="AC392" s="19">
        <v>45484</v>
      </c>
      <c r="AD392" s="19" t="s">
        <v>515</v>
      </c>
      <c r="AE392" t="s">
        <v>515</v>
      </c>
      <c r="AF392" s="19">
        <v>45484</v>
      </c>
      <c r="AG392" t="s">
        <v>515</v>
      </c>
      <c r="AH392" t="s">
        <v>515</v>
      </c>
      <c r="AI392" s="118" t="s">
        <v>515</v>
      </c>
      <c r="AJ392" s="118" t="s">
        <v>515</v>
      </c>
      <c r="AK392" s="118" t="s">
        <v>515</v>
      </c>
      <c r="AL392" s="118" t="s">
        <v>515</v>
      </c>
      <c r="AM392" s="118" t="s">
        <v>515</v>
      </c>
      <c r="AN392" s="118" t="s">
        <v>515</v>
      </c>
      <c r="AO392" s="118" t="s">
        <v>515</v>
      </c>
      <c r="AP392" s="118" t="s">
        <v>515</v>
      </c>
      <c r="AQ392" s="118" t="s">
        <v>515</v>
      </c>
      <c r="AR392" s="118" t="s">
        <v>515</v>
      </c>
      <c r="AS392" s="118" t="s">
        <v>515</v>
      </c>
      <c r="AT392" s="118" t="s">
        <v>515</v>
      </c>
      <c r="AU392" s="118" t="s">
        <v>515</v>
      </c>
      <c r="AV392" s="118" t="s">
        <v>515</v>
      </c>
      <c r="AW392" s="118" t="s">
        <v>515</v>
      </c>
      <c r="AX392" s="118" t="s">
        <v>515</v>
      </c>
      <c r="AY392" s="118" t="s">
        <v>515</v>
      </c>
      <c r="AZ392" s="118" t="s">
        <v>515</v>
      </c>
      <c r="BA392" s="118" t="s">
        <v>515</v>
      </c>
      <c r="BB392" s="118" t="s">
        <v>515</v>
      </c>
      <c r="BC392" s="118" t="s">
        <v>515</v>
      </c>
      <c r="BD392" s="118" t="s">
        <v>515</v>
      </c>
      <c r="BE392" s="118" t="s">
        <v>515</v>
      </c>
      <c r="BF392" t="s">
        <v>515</v>
      </c>
      <c r="BG392" t="s">
        <v>515</v>
      </c>
      <c r="BH392" s="118"/>
      <c r="BI392" s="118"/>
      <c r="BJ392" s="118"/>
      <c r="BK392" s="118"/>
      <c r="BL392" s="118"/>
      <c r="BM392" s="118"/>
      <c r="BN392" s="118"/>
      <c r="BO392" s="118"/>
    </row>
    <row r="393" spans="1:67" x14ac:dyDescent="0.25">
      <c r="A393" s="25">
        <v>10392</v>
      </c>
      <c r="B393" t="s">
        <v>417</v>
      </c>
      <c r="C393" t="s">
        <v>417</v>
      </c>
      <c r="D393" s="27" t="s">
        <v>504</v>
      </c>
      <c r="E393" s="27">
        <v>5</v>
      </c>
      <c r="F393" s="118">
        <v>6425</v>
      </c>
      <c r="G393" t="s">
        <v>20</v>
      </c>
      <c r="H393" t="s">
        <v>8</v>
      </c>
      <c r="I393">
        <v>0.1135</v>
      </c>
      <c r="J393">
        <v>5.5880000000000001</v>
      </c>
      <c r="K393">
        <v>0.34399999999999997</v>
      </c>
      <c r="L393" s="110">
        <v>3.7982663514578408E-2</v>
      </c>
      <c r="M393" s="140">
        <f t="shared" si="48"/>
        <v>0.1135</v>
      </c>
      <c r="N393" s="140">
        <f t="shared" si="48"/>
        <v>5.5880000000000001</v>
      </c>
      <c r="O393" s="140">
        <f t="shared" si="48"/>
        <v>0.34399999999999997</v>
      </c>
      <c r="P393" s="140">
        <f t="shared" si="49"/>
        <v>0.05</v>
      </c>
      <c r="Q393" s="161">
        <v>0.43651461146073567</v>
      </c>
      <c r="R393" s="125">
        <v>5.3049999999999997</v>
      </c>
      <c r="S393">
        <v>10.309999999999999</v>
      </c>
      <c r="T393" s="27">
        <v>3.9984494242644879</v>
      </c>
      <c r="U393" s="27">
        <v>3.0698736778077036</v>
      </c>
      <c r="V393" s="27" t="s">
        <v>515</v>
      </c>
      <c r="W393" t="s">
        <v>515</v>
      </c>
      <c r="X393" t="s">
        <v>515</v>
      </c>
      <c r="Y393">
        <f t="shared" si="44"/>
        <v>7</v>
      </c>
      <c r="Z393">
        <f t="shared" si="45"/>
        <v>17</v>
      </c>
      <c r="AA393">
        <f t="shared" si="46"/>
        <v>2024</v>
      </c>
      <c r="AB393" s="118" t="b">
        <v>0</v>
      </c>
      <c r="AC393" s="19">
        <v>45490</v>
      </c>
      <c r="AD393" s="19" t="s">
        <v>515</v>
      </c>
      <c r="AE393" t="s">
        <v>515</v>
      </c>
      <c r="AF393" s="19">
        <v>45490</v>
      </c>
      <c r="AG393" t="s">
        <v>515</v>
      </c>
      <c r="AH393" t="s">
        <v>515</v>
      </c>
      <c r="AI393" s="118">
        <v>742</v>
      </c>
      <c r="AJ393" s="118">
        <v>516.79999999999995</v>
      </c>
      <c r="AK393" s="118">
        <v>520.20000000000005</v>
      </c>
      <c r="AL393" s="118">
        <v>338</v>
      </c>
      <c r="AM393" s="118">
        <v>0.25</v>
      </c>
      <c r="AN393" s="118">
        <v>520.6</v>
      </c>
      <c r="AO393" s="118">
        <v>0.51300000000000001</v>
      </c>
      <c r="AP393" s="118">
        <v>0.51</v>
      </c>
      <c r="AQ393" s="118">
        <v>0.72799999999999998</v>
      </c>
      <c r="AR393" s="118">
        <v>57.5</v>
      </c>
      <c r="AS393" s="118">
        <v>4.7699999999999996</v>
      </c>
      <c r="AT393" s="118">
        <v>58.9</v>
      </c>
      <c r="AU393" s="118">
        <v>-86.795836289999997</v>
      </c>
      <c r="AV393" s="118">
        <v>40.823874850000003</v>
      </c>
      <c r="AW393" s="118">
        <v>201.3</v>
      </c>
      <c r="AX393" s="118">
        <v>147.69999999999999</v>
      </c>
      <c r="AY393" s="118">
        <v>7.26</v>
      </c>
      <c r="AZ393" s="118">
        <v>-38.5</v>
      </c>
      <c r="BA393" s="118">
        <v>11.9</v>
      </c>
      <c r="BB393" s="118">
        <v>0</v>
      </c>
      <c r="BC393" s="118">
        <v>24.654</v>
      </c>
      <c r="BD393" s="118">
        <v>3.43</v>
      </c>
      <c r="BE393" s="118">
        <v>0</v>
      </c>
      <c r="BF393" t="s">
        <v>515</v>
      </c>
      <c r="BG393" t="s">
        <v>515</v>
      </c>
      <c r="BH393" s="190">
        <v>349.87099999999998</v>
      </c>
      <c r="BI393" s="190">
        <v>390.93400000000003</v>
      </c>
      <c r="BJ393" s="190">
        <v>379.166</v>
      </c>
      <c r="BK393" s="190">
        <v>382.06200000000001</v>
      </c>
      <c r="BL393" s="190">
        <v>386.79</v>
      </c>
      <c r="BM393" s="190">
        <v>372.00799999999998</v>
      </c>
      <c r="BN393" s="190">
        <v>383.84100000000001</v>
      </c>
      <c r="BO393" s="190">
        <v>647.30499999999995</v>
      </c>
    </row>
    <row r="394" spans="1:67" x14ac:dyDescent="0.25">
      <c r="A394" s="25">
        <v>10393</v>
      </c>
      <c r="B394" t="s">
        <v>418</v>
      </c>
      <c r="C394" t="s">
        <v>418</v>
      </c>
      <c r="D394" s="27" t="s">
        <v>483</v>
      </c>
      <c r="E394" s="27">
        <v>6</v>
      </c>
      <c r="F394" s="118">
        <v>8245</v>
      </c>
      <c r="G394" t="s">
        <v>20</v>
      </c>
      <c r="H394" t="s">
        <v>8</v>
      </c>
      <c r="I394">
        <v>4.0399999999999998E-2</v>
      </c>
      <c r="J394">
        <v>5.1269999999999998</v>
      </c>
      <c r="K394">
        <v>0.27200000000000002</v>
      </c>
      <c r="L394" t="s">
        <v>515</v>
      </c>
      <c r="M394" s="140">
        <f t="shared" si="48"/>
        <v>0.05</v>
      </c>
      <c r="N394" s="140">
        <f t="shared" si="48"/>
        <v>5.1269999999999998</v>
      </c>
      <c r="O394" s="140">
        <f t="shared" si="48"/>
        <v>0.27200000000000002</v>
      </c>
      <c r="P394" s="140" t="str">
        <f t="shared" si="49"/>
        <v>NULL</v>
      </c>
      <c r="Q394" s="161">
        <v>0.52367660752160261</v>
      </c>
      <c r="R394" s="125">
        <v>2.2925</v>
      </c>
      <c r="S394">
        <v>6.9524999999999997</v>
      </c>
      <c r="T394" s="27">
        <v>6.2149300218428944</v>
      </c>
      <c r="U394" s="27">
        <v>3.1854979049616476</v>
      </c>
      <c r="V394" s="27" t="s">
        <v>515</v>
      </c>
      <c r="W394" t="s">
        <v>515</v>
      </c>
      <c r="X394" t="s">
        <v>515</v>
      </c>
      <c r="Y394">
        <f t="shared" si="44"/>
        <v>7</v>
      </c>
      <c r="Z394">
        <f t="shared" si="45"/>
        <v>17</v>
      </c>
      <c r="AA394">
        <f t="shared" si="46"/>
        <v>2024</v>
      </c>
      <c r="AB394" s="118" t="b">
        <v>0</v>
      </c>
      <c r="AC394" s="19">
        <v>45490</v>
      </c>
      <c r="AD394" s="19" t="s">
        <v>515</v>
      </c>
      <c r="AE394" t="s">
        <v>515</v>
      </c>
      <c r="AF394" s="19">
        <v>45490</v>
      </c>
      <c r="AG394" t="s">
        <v>515</v>
      </c>
      <c r="AH394" t="s">
        <v>515</v>
      </c>
      <c r="AI394" s="118">
        <v>742</v>
      </c>
      <c r="AJ394" s="118">
        <v>464.4</v>
      </c>
      <c r="AK394" s="118">
        <v>480.4</v>
      </c>
      <c r="AL394" s="118">
        <v>312</v>
      </c>
      <c r="AM394" s="118">
        <v>0.23</v>
      </c>
      <c r="AN394" s="118">
        <v>482</v>
      </c>
      <c r="AO394" s="118">
        <v>0.40899999999999997</v>
      </c>
      <c r="AP394" s="118">
        <v>0.34399999999999997</v>
      </c>
      <c r="AQ394" s="118">
        <v>0.57999999999999996</v>
      </c>
      <c r="AR394" s="118">
        <v>63.2</v>
      </c>
      <c r="AS394" s="118">
        <v>5.39</v>
      </c>
      <c r="AT394" s="118">
        <v>64.8</v>
      </c>
      <c r="AU394" s="118">
        <v>-86.781764559999999</v>
      </c>
      <c r="AV394" s="118">
        <v>40.834882550000003</v>
      </c>
      <c r="AW394" s="118">
        <v>200</v>
      </c>
      <c r="AX394" s="118">
        <v>187.9</v>
      </c>
      <c r="AY394" s="118">
        <v>7.28</v>
      </c>
      <c r="AZ394" s="118">
        <v>-39.5</v>
      </c>
      <c r="BA394" s="118">
        <v>11.9</v>
      </c>
      <c r="BB394" s="118">
        <v>0</v>
      </c>
      <c r="BC394" s="118">
        <v>23.256</v>
      </c>
      <c r="BD394" s="118">
        <v>8.65</v>
      </c>
      <c r="BE394" s="118">
        <v>0</v>
      </c>
      <c r="BF394" t="s">
        <v>515</v>
      </c>
      <c r="BG394" t="s">
        <v>515</v>
      </c>
      <c r="BH394" s="190">
        <v>419.40899999999999</v>
      </c>
      <c r="BI394" s="190">
        <v>447.709</v>
      </c>
      <c r="BJ394" s="190">
        <v>446.31799999999998</v>
      </c>
      <c r="BK394" s="190">
        <v>448.16800000000001</v>
      </c>
      <c r="BL394" s="190">
        <v>462.43299999999999</v>
      </c>
      <c r="BM394" s="190">
        <v>452.48500000000001</v>
      </c>
      <c r="BN394" s="190">
        <v>461.61700000000002</v>
      </c>
      <c r="BO394" s="190">
        <v>706.16499999999996</v>
      </c>
    </row>
    <row r="395" spans="1:67" x14ac:dyDescent="0.25">
      <c r="A395" s="25">
        <v>10394</v>
      </c>
      <c r="B395" s="28" t="s">
        <v>419</v>
      </c>
      <c r="C395" s="23" t="s">
        <v>419</v>
      </c>
      <c r="D395" s="56" t="s">
        <v>484</v>
      </c>
      <c r="E395" s="56">
        <v>8</v>
      </c>
      <c r="F395" s="118">
        <v>5065</v>
      </c>
      <c r="G395" s="23" t="s">
        <v>20</v>
      </c>
      <c r="H395" s="23" t="s">
        <v>8</v>
      </c>
      <c r="I395">
        <v>0.1348</v>
      </c>
      <c r="J395">
        <v>4.585</v>
      </c>
      <c r="K395">
        <v>-1.7000000000000001E-2</v>
      </c>
      <c r="L395" s="110">
        <v>5.0591016548463368E-2</v>
      </c>
      <c r="M395" s="140">
        <f t="shared" si="48"/>
        <v>0.1348</v>
      </c>
      <c r="N395" s="140">
        <f t="shared" si="48"/>
        <v>4.585</v>
      </c>
      <c r="O395" s="140">
        <f t="shared" si="48"/>
        <v>0.05</v>
      </c>
      <c r="P395" s="140">
        <f t="shared" si="49"/>
        <v>0.05</v>
      </c>
      <c r="Q395" s="161">
        <v>0.40507670352516922</v>
      </c>
      <c r="R395" s="125">
        <v>3.063333333333333</v>
      </c>
      <c r="S395">
        <v>24.806666666666661</v>
      </c>
      <c r="T395" s="27">
        <v>5.8438030903648581</v>
      </c>
      <c r="U395" s="27">
        <v>3.6697878616273822</v>
      </c>
      <c r="V395" s="27" t="s">
        <v>515</v>
      </c>
      <c r="W395" t="s">
        <v>515</v>
      </c>
      <c r="X395" t="s">
        <v>515</v>
      </c>
      <c r="Y395">
        <f t="shared" si="44"/>
        <v>7</v>
      </c>
      <c r="Z395">
        <f t="shared" si="45"/>
        <v>17</v>
      </c>
      <c r="AA395">
        <f t="shared" si="46"/>
        <v>2024</v>
      </c>
      <c r="AB395" s="118" t="b">
        <v>0</v>
      </c>
      <c r="AC395" s="19">
        <v>45490</v>
      </c>
      <c r="AD395" s="19" t="s">
        <v>515</v>
      </c>
      <c r="AE395" t="s">
        <v>515</v>
      </c>
      <c r="AF395" s="19">
        <v>45490</v>
      </c>
      <c r="AG395" t="s">
        <v>515</v>
      </c>
      <c r="AH395" t="s">
        <v>515</v>
      </c>
      <c r="AI395" s="118">
        <v>742</v>
      </c>
      <c r="AJ395" s="118">
        <v>473.1</v>
      </c>
      <c r="AK395" s="118">
        <v>485.2</v>
      </c>
      <c r="AL395" s="118">
        <v>315</v>
      </c>
      <c r="AM395" s="118">
        <v>0.23</v>
      </c>
      <c r="AN395" s="118">
        <v>486.4</v>
      </c>
      <c r="AO395" s="118">
        <v>0.57799999999999996</v>
      </c>
      <c r="AP395" s="118">
        <v>0.59299999999999997</v>
      </c>
      <c r="AQ395" s="118">
        <v>0.82</v>
      </c>
      <c r="AR395" s="118">
        <v>60.1</v>
      </c>
      <c r="AS395" s="118">
        <v>5.08</v>
      </c>
      <c r="AT395" s="118">
        <v>61.6</v>
      </c>
      <c r="AU395" s="118">
        <v>-86.794299730000006</v>
      </c>
      <c r="AV395" s="118">
        <v>40.81108966</v>
      </c>
      <c r="AW395" s="118">
        <v>200.5</v>
      </c>
      <c r="AX395" s="118">
        <v>153.4</v>
      </c>
      <c r="AY395" s="118">
        <v>7.28</v>
      </c>
      <c r="AZ395" s="118">
        <v>-39.299999999999997</v>
      </c>
      <c r="BA395" s="118">
        <v>11.9</v>
      </c>
      <c r="BB395" s="118">
        <v>0</v>
      </c>
      <c r="BC395" s="118">
        <v>23.695</v>
      </c>
      <c r="BD395" s="118">
        <v>6.57</v>
      </c>
      <c r="BE395" s="118">
        <v>0</v>
      </c>
      <c r="BF395" t="s">
        <v>515</v>
      </c>
      <c r="BG395" t="s">
        <v>515</v>
      </c>
      <c r="BH395" s="190">
        <v>308.56599999999997</v>
      </c>
      <c r="BI395" s="190">
        <v>317.65699999999998</v>
      </c>
      <c r="BJ395" s="190">
        <v>320.23399999999998</v>
      </c>
      <c r="BK395" s="190">
        <v>323.79700000000003</v>
      </c>
      <c r="BL395" s="190">
        <v>343.15499999999997</v>
      </c>
      <c r="BM395" s="190">
        <v>337.69</v>
      </c>
      <c r="BN395" s="190">
        <v>352.17500000000001</v>
      </c>
      <c r="BO395" s="190">
        <v>595.47400000000005</v>
      </c>
    </row>
    <row r="396" spans="1:67" x14ac:dyDescent="0.25">
      <c r="A396" s="25">
        <v>10395</v>
      </c>
      <c r="B396" s="23" t="s">
        <v>420</v>
      </c>
      <c r="C396" s="23" t="s">
        <v>420</v>
      </c>
      <c r="D396" s="56" t="s">
        <v>485</v>
      </c>
      <c r="E396" s="56">
        <v>9</v>
      </c>
      <c r="F396" s="118">
        <v>3385</v>
      </c>
      <c r="G396" s="23" t="s">
        <v>20</v>
      </c>
      <c r="H396" s="23" t="s">
        <v>8</v>
      </c>
      <c r="I396">
        <v>5.9999999999999995E-4</v>
      </c>
      <c r="J396">
        <v>4.6360000000000001</v>
      </c>
      <c r="K396">
        <v>0.35599999999999998</v>
      </c>
      <c r="L396" s="23" t="s">
        <v>515</v>
      </c>
      <c r="M396" s="140">
        <f t="shared" si="48"/>
        <v>0.05</v>
      </c>
      <c r="N396" s="140">
        <f t="shared" si="48"/>
        <v>4.6360000000000001</v>
      </c>
      <c r="O396" s="140">
        <f t="shared" si="48"/>
        <v>0.35599999999999998</v>
      </c>
      <c r="P396" s="140" t="str">
        <f t="shared" si="49"/>
        <v>NULL</v>
      </c>
      <c r="Q396" s="161">
        <v>0.33265756285629511</v>
      </c>
      <c r="R396" s="125">
        <v>69.94</v>
      </c>
      <c r="S396">
        <v>134.56333333333333</v>
      </c>
      <c r="T396" s="27">
        <v>5.237561685947739</v>
      </c>
      <c r="U396" s="27">
        <v>3.0850077389535073</v>
      </c>
      <c r="V396" s="27" t="s">
        <v>515</v>
      </c>
      <c r="W396" t="s">
        <v>515</v>
      </c>
      <c r="X396" t="s">
        <v>515</v>
      </c>
      <c r="Y396">
        <f t="shared" ref="Y396:Y427" si="50">MONTH(AC396)</f>
        <v>7</v>
      </c>
      <c r="Z396">
        <f t="shared" ref="Z396:Z427" si="51">DAY(AC396)</f>
        <v>17</v>
      </c>
      <c r="AA396">
        <f t="shared" ref="AA396:AA427" si="52">YEAR(AC396)</f>
        <v>2024</v>
      </c>
      <c r="AB396" s="118" t="b">
        <v>0</v>
      </c>
      <c r="AC396" s="19">
        <v>45490</v>
      </c>
      <c r="AD396" s="19" t="s">
        <v>515</v>
      </c>
      <c r="AE396" t="s">
        <v>515</v>
      </c>
      <c r="AF396" s="19">
        <v>45490</v>
      </c>
      <c r="AG396" t="s">
        <v>515</v>
      </c>
      <c r="AH396" t="s">
        <v>515</v>
      </c>
      <c r="AI396" s="118">
        <v>741.7</v>
      </c>
      <c r="AJ396" s="118">
        <v>496.2</v>
      </c>
      <c r="AK396" s="118">
        <v>504.9</v>
      </c>
      <c r="AL396" s="118">
        <v>328</v>
      </c>
      <c r="AM396" s="118">
        <v>0.24</v>
      </c>
      <c r="AN396" s="118">
        <v>505.8</v>
      </c>
      <c r="AO396" s="118">
        <v>0.53300000000000003</v>
      </c>
      <c r="AP396" s="118">
        <v>0.53300000000000003</v>
      </c>
      <c r="AQ396" s="118">
        <v>0.75600000000000001</v>
      </c>
      <c r="AR396" s="118">
        <v>119.2</v>
      </c>
      <c r="AS396" s="118">
        <v>10</v>
      </c>
      <c r="AT396" s="118">
        <v>122.2</v>
      </c>
      <c r="AU396" s="118">
        <v>-86.774830640000005</v>
      </c>
      <c r="AV396" s="118">
        <v>40.804242270000003</v>
      </c>
      <c r="AW396" s="118">
        <v>199.8</v>
      </c>
      <c r="AX396" s="118">
        <v>182.7</v>
      </c>
      <c r="AY396" s="118">
        <v>7.77</v>
      </c>
      <c r="AZ396" s="118">
        <v>-69.2</v>
      </c>
      <c r="BA396" s="118">
        <v>11.9</v>
      </c>
      <c r="BB396" s="118">
        <v>0</v>
      </c>
      <c r="BC396" s="118">
        <v>24.099</v>
      </c>
      <c r="BD396" s="118">
        <v>6.21</v>
      </c>
      <c r="BE396" s="118">
        <v>0</v>
      </c>
      <c r="BF396" t="s">
        <v>515</v>
      </c>
      <c r="BG396" t="s">
        <v>515</v>
      </c>
      <c r="BH396" s="190">
        <v>366.36799999999999</v>
      </c>
      <c r="BI396" s="190">
        <v>371.09300000000002</v>
      </c>
      <c r="BJ396" s="190">
        <v>369.50299999999999</v>
      </c>
      <c r="BK396" s="190">
        <v>378.36500000000001</v>
      </c>
      <c r="BL396" s="190">
        <v>394.61200000000002</v>
      </c>
      <c r="BM396" s="190">
        <v>384.64600000000002</v>
      </c>
      <c r="BN396" s="190">
        <v>396.66699999999997</v>
      </c>
      <c r="BO396" s="190">
        <v>624.755</v>
      </c>
    </row>
    <row r="397" spans="1:67" x14ac:dyDescent="0.25">
      <c r="A397" s="25">
        <v>10396</v>
      </c>
      <c r="B397" t="s">
        <v>421</v>
      </c>
      <c r="C397" t="s">
        <v>421</v>
      </c>
      <c r="D397" s="27" t="s">
        <v>486</v>
      </c>
      <c r="E397" s="27">
        <v>10</v>
      </c>
      <c r="F397" s="118">
        <v>2205</v>
      </c>
      <c r="G397" t="s">
        <v>20</v>
      </c>
      <c r="H397" t="s">
        <v>8</v>
      </c>
      <c r="I397">
        <v>4.0800000000000003E-2</v>
      </c>
      <c r="J397">
        <v>4.2130000000000001</v>
      </c>
      <c r="K397">
        <v>0.217</v>
      </c>
      <c r="L397" s="110">
        <v>2.6950354609929082E-2</v>
      </c>
      <c r="M397" s="140">
        <f t="shared" si="48"/>
        <v>0.05</v>
      </c>
      <c r="N397" s="140">
        <f t="shared" si="48"/>
        <v>4.2130000000000001</v>
      </c>
      <c r="O397" s="140">
        <f t="shared" si="48"/>
        <v>0.217</v>
      </c>
      <c r="P397" s="140">
        <f t="shared" si="49"/>
        <v>0.05</v>
      </c>
      <c r="Q397" s="161">
        <v>0.35589167553658685</v>
      </c>
      <c r="R397" s="125">
        <v>3.5233333333333334</v>
      </c>
      <c r="S397">
        <v>14.166666666666666</v>
      </c>
      <c r="T397" s="27">
        <v>6.5299328533290186</v>
      </c>
      <c r="U397" s="27">
        <v>3.4080694975459416</v>
      </c>
      <c r="V397" s="27" t="s">
        <v>515</v>
      </c>
      <c r="W397" t="s">
        <v>515</v>
      </c>
      <c r="X397" t="s">
        <v>515</v>
      </c>
      <c r="Y397">
        <f t="shared" si="50"/>
        <v>7</v>
      </c>
      <c r="Z397">
        <f t="shared" si="51"/>
        <v>17</v>
      </c>
      <c r="AA397">
        <f t="shared" si="52"/>
        <v>2024</v>
      </c>
      <c r="AB397" s="118" t="b">
        <v>0</v>
      </c>
      <c r="AC397" s="19">
        <v>45490</v>
      </c>
      <c r="AD397" s="19" t="s">
        <v>515</v>
      </c>
      <c r="AE397" t="s">
        <v>515</v>
      </c>
      <c r="AF397" s="19">
        <v>45490</v>
      </c>
      <c r="AG397" t="s">
        <v>515</v>
      </c>
      <c r="AH397" t="s">
        <v>515</v>
      </c>
      <c r="AI397" s="118">
        <v>741.6</v>
      </c>
      <c r="AJ397" s="118">
        <v>445.3</v>
      </c>
      <c r="AK397" s="118">
        <v>460.7</v>
      </c>
      <c r="AL397" s="118">
        <v>299</v>
      </c>
      <c r="AM397" s="118">
        <v>0.22</v>
      </c>
      <c r="AN397" s="118">
        <v>462.3</v>
      </c>
      <c r="AO397" s="118">
        <v>0.56999999999999995</v>
      </c>
      <c r="AP397" s="118">
        <v>0.72499999999999998</v>
      </c>
      <c r="AQ397" s="118">
        <v>0.80900000000000005</v>
      </c>
      <c r="AR397" s="118">
        <v>65.3</v>
      </c>
      <c r="AS397" s="118">
        <v>5.57</v>
      </c>
      <c r="AT397" s="118">
        <v>67</v>
      </c>
      <c r="AU397" s="118">
        <v>-86.774344880000001</v>
      </c>
      <c r="AV397" s="118">
        <v>40.794689409999997</v>
      </c>
      <c r="AW397" s="118">
        <v>200.3</v>
      </c>
      <c r="AX397" s="118">
        <v>214.2</v>
      </c>
      <c r="AY397" s="118">
        <v>7.31</v>
      </c>
      <c r="AZ397" s="118">
        <v>-41</v>
      </c>
      <c r="BA397" s="118">
        <v>11.9</v>
      </c>
      <c r="BB397" s="118">
        <v>0</v>
      </c>
      <c r="BC397" s="118">
        <v>23.242999999999999</v>
      </c>
      <c r="BD397" s="118">
        <v>7.48</v>
      </c>
      <c r="BE397" s="118">
        <v>0</v>
      </c>
      <c r="BF397" t="s">
        <v>515</v>
      </c>
      <c r="BG397" t="s">
        <v>515</v>
      </c>
      <c r="BH397" s="190">
        <v>341.911</v>
      </c>
      <c r="BI397" s="190">
        <v>353.46600000000001</v>
      </c>
      <c r="BJ397" s="190">
        <v>329.62599999999998</v>
      </c>
      <c r="BK397" s="190">
        <v>325.32600000000002</v>
      </c>
      <c r="BL397" s="190">
        <v>327.97500000000002</v>
      </c>
      <c r="BM397" s="190">
        <v>304.053</v>
      </c>
      <c r="BN397" s="190">
        <v>331.84199999999998</v>
      </c>
      <c r="BO397" s="190">
        <v>627.87599999999998</v>
      </c>
    </row>
    <row r="398" spans="1:67" x14ac:dyDescent="0.25">
      <c r="A398" s="25">
        <v>10397</v>
      </c>
      <c r="B398" t="s">
        <v>422</v>
      </c>
      <c r="C398" t="s">
        <v>422</v>
      </c>
      <c r="D398" s="27" t="s">
        <v>487</v>
      </c>
      <c r="E398" s="27">
        <v>11</v>
      </c>
      <c r="F398" s="118">
        <v>1385</v>
      </c>
      <c r="G398" t="s">
        <v>20</v>
      </c>
      <c r="H398" t="s">
        <v>8</v>
      </c>
      <c r="I398">
        <v>5.6399999999999999E-2</v>
      </c>
      <c r="J398">
        <v>6.0490000000000004</v>
      </c>
      <c r="K398">
        <v>0.35199999999999998</v>
      </c>
      <c r="L398" s="110">
        <v>3.3254531126871559E-2</v>
      </c>
      <c r="M398" s="140">
        <f t="shared" si="48"/>
        <v>0.05</v>
      </c>
      <c r="N398" s="140">
        <f t="shared" si="48"/>
        <v>6.0490000000000004</v>
      </c>
      <c r="O398" s="140">
        <f t="shared" si="48"/>
        <v>0.35199999999999998</v>
      </c>
      <c r="P398" s="140">
        <f t="shared" si="49"/>
        <v>0.05</v>
      </c>
      <c r="Q398" s="161">
        <v>0.33887640555203613</v>
      </c>
      <c r="R398" s="125">
        <v>3.6799999999999997</v>
      </c>
      <c r="S398">
        <v>8.34</v>
      </c>
      <c r="T398" s="27">
        <v>4.8507604562737647</v>
      </c>
      <c r="U398" s="27">
        <v>3.5420563855567946</v>
      </c>
      <c r="V398" s="27" t="s">
        <v>515</v>
      </c>
      <c r="W398" t="s">
        <v>515</v>
      </c>
      <c r="X398" t="s">
        <v>515</v>
      </c>
      <c r="Y398">
        <f t="shared" si="50"/>
        <v>7</v>
      </c>
      <c r="Z398">
        <f t="shared" si="51"/>
        <v>17</v>
      </c>
      <c r="AA398">
        <f t="shared" si="52"/>
        <v>2024</v>
      </c>
      <c r="AB398" s="118" t="b">
        <v>0</v>
      </c>
      <c r="AC398" s="19">
        <v>45490</v>
      </c>
      <c r="AD398" s="19" t="s">
        <v>515</v>
      </c>
      <c r="AE398" t="s">
        <v>515</v>
      </c>
      <c r="AF398" s="19">
        <v>45490</v>
      </c>
      <c r="AG398" t="s">
        <v>515</v>
      </c>
      <c r="AH398" t="s">
        <v>515</v>
      </c>
      <c r="AI398" s="118">
        <v>741.4</v>
      </c>
      <c r="AJ398" s="118">
        <v>512.5</v>
      </c>
      <c r="AK398" s="118">
        <v>524.6</v>
      </c>
      <c r="AL398" s="118">
        <v>341</v>
      </c>
      <c r="AM398" s="118">
        <v>0.25</v>
      </c>
      <c r="AN398" s="118">
        <v>525.79999999999995</v>
      </c>
      <c r="AO398" s="118">
        <v>0.65100000000000002</v>
      </c>
      <c r="AP398" s="118">
        <v>0.63300000000000001</v>
      </c>
      <c r="AQ398" s="118">
        <v>0.92400000000000004</v>
      </c>
      <c r="AR398" s="118">
        <v>64.400000000000006</v>
      </c>
      <c r="AS398" s="118">
        <v>5.43</v>
      </c>
      <c r="AT398" s="118">
        <v>66</v>
      </c>
      <c r="AU398" s="118">
        <v>-86.772130180000005</v>
      </c>
      <c r="AV398" s="118">
        <v>40.78862204</v>
      </c>
      <c r="AW398" s="118">
        <v>202.5</v>
      </c>
      <c r="AX398" s="118">
        <v>244.1</v>
      </c>
      <c r="AY398" s="118">
        <v>7.26</v>
      </c>
      <c r="AZ398" s="118">
        <v>-38.299999999999997</v>
      </c>
      <c r="BA398" s="118">
        <v>11.9</v>
      </c>
      <c r="BB398" s="118">
        <v>0</v>
      </c>
      <c r="BC398" s="118">
        <v>23.794</v>
      </c>
      <c r="BD398" s="118">
        <v>4.45</v>
      </c>
      <c r="BE398" s="118">
        <v>0</v>
      </c>
      <c r="BF398" t="s">
        <v>515</v>
      </c>
      <c r="BG398" t="s">
        <v>515</v>
      </c>
      <c r="BH398" s="190"/>
      <c r="BI398" s="190"/>
      <c r="BJ398" s="190"/>
      <c r="BK398" s="190"/>
      <c r="BL398" s="190"/>
      <c r="BM398" s="190"/>
      <c r="BN398" s="190"/>
      <c r="BO398" s="190"/>
    </row>
    <row r="399" spans="1:67" x14ac:dyDescent="0.25">
      <c r="A399" s="25">
        <v>10398</v>
      </c>
      <c r="B399" t="s">
        <v>423</v>
      </c>
      <c r="C399" t="s">
        <v>423</v>
      </c>
      <c r="D399" s="27" t="s">
        <v>488</v>
      </c>
      <c r="E399" s="27">
        <v>12</v>
      </c>
      <c r="F399" s="118">
        <v>275</v>
      </c>
      <c r="G399" t="s">
        <v>20</v>
      </c>
      <c r="H399" t="s">
        <v>8</v>
      </c>
      <c r="I399">
        <v>6.5199999999999994E-2</v>
      </c>
      <c r="J399">
        <v>4.9370000000000003</v>
      </c>
      <c r="K399">
        <v>0.308</v>
      </c>
      <c r="L399" s="110">
        <v>1.591804570527975E-2</v>
      </c>
      <c r="M399" s="140">
        <f t="shared" si="48"/>
        <v>0.05</v>
      </c>
      <c r="N399" s="140">
        <f t="shared" si="48"/>
        <v>4.9370000000000003</v>
      </c>
      <c r="O399" s="140">
        <f t="shared" si="48"/>
        <v>0.308</v>
      </c>
      <c r="P399" s="140">
        <f t="shared" si="49"/>
        <v>0.05</v>
      </c>
      <c r="Q399" s="161">
        <v>0.40907508559543099</v>
      </c>
      <c r="R399" s="125">
        <v>2.6933333333333334</v>
      </c>
      <c r="S399">
        <v>5.9899999999999993</v>
      </c>
      <c r="T399" s="27">
        <v>5.4726761588868218</v>
      </c>
      <c r="U399" s="27">
        <v>2.0163412345777867</v>
      </c>
      <c r="V399" s="27" t="s">
        <v>515</v>
      </c>
      <c r="W399" t="s">
        <v>515</v>
      </c>
      <c r="X399" t="s">
        <v>515</v>
      </c>
      <c r="Y399">
        <f t="shared" si="50"/>
        <v>7</v>
      </c>
      <c r="Z399">
        <f t="shared" si="51"/>
        <v>17</v>
      </c>
      <c r="AA399">
        <f t="shared" si="52"/>
        <v>2024</v>
      </c>
      <c r="AB399" s="118" t="b">
        <v>0</v>
      </c>
      <c r="AC399" s="19">
        <v>45490</v>
      </c>
      <c r="AD399" s="19" t="s">
        <v>515</v>
      </c>
      <c r="AE399" t="s">
        <v>515</v>
      </c>
      <c r="AF399" s="19">
        <v>45490</v>
      </c>
      <c r="AG399" t="s">
        <v>515</v>
      </c>
      <c r="AH399" t="s">
        <v>515</v>
      </c>
      <c r="AI399" s="118">
        <v>741.4</v>
      </c>
      <c r="AJ399" s="118">
        <v>443.7</v>
      </c>
      <c r="AK399" s="118">
        <v>458.7</v>
      </c>
      <c r="AL399" s="118">
        <v>298</v>
      </c>
      <c r="AM399" s="118">
        <v>0.22</v>
      </c>
      <c r="AN399" s="118">
        <v>460.2</v>
      </c>
      <c r="AO399" s="118">
        <v>0.497</v>
      </c>
      <c r="AP399" s="118">
        <v>0.495</v>
      </c>
      <c r="AQ399" s="118">
        <v>0.70499999999999996</v>
      </c>
      <c r="AR399" s="118">
        <v>61.4</v>
      </c>
      <c r="AS399" s="118">
        <v>5.24</v>
      </c>
      <c r="AT399" s="118">
        <v>63</v>
      </c>
      <c r="AU399" s="118">
        <v>-86.762205379999997</v>
      </c>
      <c r="AV399" s="118">
        <v>40.782380209999999</v>
      </c>
      <c r="AW399" s="118">
        <v>201.9</v>
      </c>
      <c r="AX399" s="118">
        <v>215.9</v>
      </c>
      <c r="AY399" s="118">
        <v>7.3</v>
      </c>
      <c r="AZ399" s="118">
        <v>-40.700000000000003</v>
      </c>
      <c r="BA399" s="118">
        <v>11.9</v>
      </c>
      <c r="BB399" s="118">
        <v>0</v>
      </c>
      <c r="BC399" s="118">
        <v>23.283000000000001</v>
      </c>
      <c r="BD399" s="118">
        <v>6.37</v>
      </c>
      <c r="BE399" s="118">
        <v>0</v>
      </c>
      <c r="BF399" t="s">
        <v>515</v>
      </c>
      <c r="BG399" t="s">
        <v>515</v>
      </c>
      <c r="BH399" s="190">
        <v>379.04700000000003</v>
      </c>
      <c r="BI399" s="190">
        <v>386.12299999999999</v>
      </c>
      <c r="BJ399" s="190">
        <v>377.83699999999999</v>
      </c>
      <c r="BK399" s="190">
        <v>373.94099999999997</v>
      </c>
      <c r="BL399" s="190">
        <v>394.87799999999999</v>
      </c>
      <c r="BM399" s="190">
        <v>366.24</v>
      </c>
      <c r="BN399" s="190">
        <v>382.255</v>
      </c>
      <c r="BO399" s="190">
        <v>612.82299999999998</v>
      </c>
    </row>
    <row r="400" spans="1:67" x14ac:dyDescent="0.25">
      <c r="A400" s="25">
        <v>10399</v>
      </c>
      <c r="B400" t="s">
        <v>424</v>
      </c>
      <c r="C400" t="s">
        <v>424</v>
      </c>
      <c r="D400" s="27" t="s">
        <v>489</v>
      </c>
      <c r="E400" s="27">
        <v>14</v>
      </c>
      <c r="F400" s="118">
        <v>4225</v>
      </c>
      <c r="G400" t="s">
        <v>20</v>
      </c>
      <c r="H400" t="s">
        <v>8</v>
      </c>
      <c r="I400">
        <v>6.1600000000000002E-2</v>
      </c>
      <c r="J400">
        <v>5.359</v>
      </c>
      <c r="K400">
        <v>0.33900000000000002</v>
      </c>
      <c r="L400" t="s">
        <v>515</v>
      </c>
      <c r="M400" s="140">
        <f t="shared" si="48"/>
        <v>0.05</v>
      </c>
      <c r="N400" s="140">
        <f t="shared" si="48"/>
        <v>5.359</v>
      </c>
      <c r="O400" s="140">
        <f t="shared" si="48"/>
        <v>0.33900000000000002</v>
      </c>
      <c r="P400" s="140" t="str">
        <f t="shared" si="49"/>
        <v>NULL</v>
      </c>
      <c r="Q400" s="161">
        <v>0.39770183890916089</v>
      </c>
      <c r="R400" s="125">
        <v>2.2333333333333334</v>
      </c>
      <c r="S400">
        <v>4.9800000000000004</v>
      </c>
      <c r="T400" s="27">
        <v>5.1354259364129113</v>
      </c>
      <c r="U400" s="27">
        <v>3.2103177652407666</v>
      </c>
      <c r="V400" s="27" t="s">
        <v>515</v>
      </c>
      <c r="W400" t="s">
        <v>515</v>
      </c>
      <c r="X400" t="s">
        <v>515</v>
      </c>
      <c r="Y400">
        <f t="shared" si="50"/>
        <v>7</v>
      </c>
      <c r="Z400">
        <f t="shared" si="51"/>
        <v>17</v>
      </c>
      <c r="AA400">
        <f t="shared" si="52"/>
        <v>2024</v>
      </c>
      <c r="AB400" s="118" t="b">
        <v>0</v>
      </c>
      <c r="AC400" s="19">
        <v>45490</v>
      </c>
      <c r="AD400" s="19" t="s">
        <v>515</v>
      </c>
      <c r="AE400" t="s">
        <v>515</v>
      </c>
      <c r="AF400" s="19">
        <v>45490</v>
      </c>
      <c r="AG400" t="s">
        <v>515</v>
      </c>
      <c r="AH400" t="s">
        <v>515</v>
      </c>
      <c r="AI400" s="118">
        <v>742.1</v>
      </c>
      <c r="AJ400" s="118">
        <v>481.9</v>
      </c>
      <c r="AK400" s="118">
        <v>495.9</v>
      </c>
      <c r="AL400" s="118">
        <v>322</v>
      </c>
      <c r="AM400" s="118">
        <v>0.24</v>
      </c>
      <c r="AN400" s="118">
        <v>497.3</v>
      </c>
      <c r="AO400" s="118">
        <v>0.46300000000000002</v>
      </c>
      <c r="AP400" s="118">
        <v>0.47699999999999998</v>
      </c>
      <c r="AQ400" s="118">
        <v>0.65700000000000003</v>
      </c>
      <c r="AR400" s="118">
        <v>60.6</v>
      </c>
      <c r="AS400" s="118">
        <v>5.14</v>
      </c>
      <c r="AT400" s="118">
        <v>62.1</v>
      </c>
      <c r="AU400" s="118">
        <v>-86.785247049999995</v>
      </c>
      <c r="AV400" s="118">
        <v>40.807313710000003</v>
      </c>
      <c r="AW400" s="118">
        <v>200.6</v>
      </c>
      <c r="AX400" s="118">
        <v>204.9</v>
      </c>
      <c r="AY400" s="118">
        <v>7.27</v>
      </c>
      <c r="AZ400" s="118">
        <v>-39</v>
      </c>
      <c r="BA400" s="118">
        <v>11.9</v>
      </c>
      <c r="BB400" s="118">
        <v>0</v>
      </c>
      <c r="BC400" s="118">
        <v>23.515000000000001</v>
      </c>
      <c r="BD400" s="118">
        <v>6.69</v>
      </c>
      <c r="BE400" s="118">
        <v>0</v>
      </c>
      <c r="BF400" t="s">
        <v>515</v>
      </c>
      <c r="BG400" t="s">
        <v>515</v>
      </c>
      <c r="BH400" s="190">
        <v>390.59899999999999</v>
      </c>
      <c r="BI400" s="190">
        <v>455.476</v>
      </c>
      <c r="BJ400" s="190">
        <v>440.32799999999997</v>
      </c>
      <c r="BK400" s="190">
        <v>445.55099999999999</v>
      </c>
      <c r="BL400" s="190">
        <v>461.60700000000003</v>
      </c>
      <c r="BM400" s="190">
        <v>474.20499999999998</v>
      </c>
      <c r="BN400" s="190">
        <v>461.68700000000001</v>
      </c>
      <c r="BO400" s="190">
        <v>680.93700000000001</v>
      </c>
    </row>
    <row r="401" spans="1:67" x14ac:dyDescent="0.25">
      <c r="A401" s="25">
        <v>10400</v>
      </c>
      <c r="B401" t="s">
        <v>425</v>
      </c>
      <c r="C401" t="s">
        <v>425</v>
      </c>
      <c r="D401" s="27" t="s">
        <v>490</v>
      </c>
      <c r="E401" s="27">
        <v>15</v>
      </c>
      <c r="F401" s="118">
        <v>2905</v>
      </c>
      <c r="G401" t="s">
        <v>20</v>
      </c>
      <c r="H401" t="s">
        <v>8</v>
      </c>
      <c r="I401">
        <v>4.9799999999999997E-2</v>
      </c>
      <c r="J401">
        <v>4.9119999999999999</v>
      </c>
      <c r="K401">
        <v>0.29699999999999999</v>
      </c>
      <c r="L401" s="110">
        <v>2.3798266351457844E-2</v>
      </c>
      <c r="M401" s="140">
        <f t="shared" si="48"/>
        <v>0.05</v>
      </c>
      <c r="N401" s="140">
        <f t="shared" si="48"/>
        <v>4.9119999999999999</v>
      </c>
      <c r="O401" s="140">
        <f t="shared" si="48"/>
        <v>0.29699999999999999</v>
      </c>
      <c r="P401" s="140">
        <f t="shared" si="49"/>
        <v>0.05</v>
      </c>
      <c r="Q401" s="161">
        <v>0.3539041820413904</v>
      </c>
      <c r="R401" s="125">
        <v>2.3433333333333333</v>
      </c>
      <c r="S401">
        <v>6.1566666666666663</v>
      </c>
      <c r="T401" s="27">
        <v>9.2748024701345633E-2</v>
      </c>
      <c r="U401" s="27">
        <v>0.19904317218961698</v>
      </c>
      <c r="V401" s="27" t="s">
        <v>515</v>
      </c>
      <c r="W401" t="s">
        <v>515</v>
      </c>
      <c r="X401" t="s">
        <v>515</v>
      </c>
      <c r="Y401">
        <f t="shared" si="50"/>
        <v>7</v>
      </c>
      <c r="Z401">
        <f t="shared" si="51"/>
        <v>17</v>
      </c>
      <c r="AA401">
        <f t="shared" si="52"/>
        <v>2024</v>
      </c>
      <c r="AB401" s="118" t="b">
        <v>0</v>
      </c>
      <c r="AC401" s="19">
        <v>45490</v>
      </c>
      <c r="AD401" s="19" t="s">
        <v>515</v>
      </c>
      <c r="AE401" t="s">
        <v>515</v>
      </c>
      <c r="AF401" s="19">
        <v>45490</v>
      </c>
      <c r="AG401" t="s">
        <v>515</v>
      </c>
      <c r="AH401" t="s">
        <v>515</v>
      </c>
      <c r="AI401" s="118">
        <v>741.7</v>
      </c>
      <c r="AJ401" s="118">
        <v>470.7</v>
      </c>
      <c r="AK401" s="118">
        <v>486.1</v>
      </c>
      <c r="AL401" s="118">
        <v>316</v>
      </c>
      <c r="AM401" s="118">
        <v>0.23</v>
      </c>
      <c r="AN401" s="118">
        <v>487.6</v>
      </c>
      <c r="AO401" s="118">
        <v>0.63900000000000001</v>
      </c>
      <c r="AP401" s="118">
        <v>0.54300000000000004</v>
      </c>
      <c r="AQ401" s="118">
        <v>0.90600000000000003</v>
      </c>
      <c r="AR401" s="118">
        <v>60.6</v>
      </c>
      <c r="AS401" s="118">
        <v>5.16</v>
      </c>
      <c r="AT401" s="118">
        <v>62.1</v>
      </c>
      <c r="AU401" s="118">
        <v>-86.777779629999998</v>
      </c>
      <c r="AV401" s="118">
        <v>40.799243930000003</v>
      </c>
      <c r="AW401" s="118">
        <v>202.1</v>
      </c>
      <c r="AX401" s="118">
        <v>212.5</v>
      </c>
      <c r="AY401" s="118">
        <v>7.28</v>
      </c>
      <c r="AZ401" s="118">
        <v>-39.5</v>
      </c>
      <c r="BA401" s="118">
        <v>11.9</v>
      </c>
      <c r="BB401" s="118">
        <v>0</v>
      </c>
      <c r="BC401" s="118">
        <v>23.346</v>
      </c>
      <c r="BD401" s="118">
        <v>7.36</v>
      </c>
      <c r="BE401" s="118">
        <v>0</v>
      </c>
      <c r="BF401" t="s">
        <v>515</v>
      </c>
      <c r="BG401" t="s">
        <v>515</v>
      </c>
      <c r="BH401" s="190">
        <v>355.44900000000001</v>
      </c>
      <c r="BI401" s="190">
        <v>372.35500000000002</v>
      </c>
      <c r="BJ401" s="190">
        <v>371.49700000000001</v>
      </c>
      <c r="BK401" s="190">
        <v>372.58300000000003</v>
      </c>
      <c r="BL401" s="190">
        <v>399.03300000000002</v>
      </c>
      <c r="BM401" s="190">
        <v>388.91199999999998</v>
      </c>
      <c r="BN401" s="190">
        <v>393.08</v>
      </c>
      <c r="BO401" s="190">
        <v>582.96600000000001</v>
      </c>
    </row>
    <row r="402" spans="1:67" x14ac:dyDescent="0.25">
      <c r="A402" s="25">
        <v>10401</v>
      </c>
      <c r="B402" t="s">
        <v>426</v>
      </c>
      <c r="C402" t="s">
        <v>426</v>
      </c>
      <c r="D402" s="27" t="s">
        <v>462</v>
      </c>
      <c r="E402" s="27">
        <v>1</v>
      </c>
      <c r="F402" s="118">
        <v>5999</v>
      </c>
      <c r="G402" t="s">
        <v>19</v>
      </c>
      <c r="H402" t="s">
        <v>8</v>
      </c>
      <c r="I402" s="68">
        <v>3.1000000000000003E-3</v>
      </c>
      <c r="J402" s="71">
        <v>1.8393333333333333</v>
      </c>
      <c r="K402" s="71">
        <v>6.533333333333334E-2</v>
      </c>
      <c r="L402" s="111">
        <v>0.14689086294416245</v>
      </c>
      <c r="M402" s="140">
        <f t="shared" ref="M402:O417" si="53">IF(I402&lt;0.1,0.05,I402)</f>
        <v>0.05</v>
      </c>
      <c r="N402" s="140">
        <f t="shared" si="53"/>
        <v>1.8393333333333333</v>
      </c>
      <c r="O402" s="140">
        <f t="shared" si="53"/>
        <v>0.05</v>
      </c>
      <c r="P402" s="140">
        <f t="shared" si="49"/>
        <v>0.14689086294416245</v>
      </c>
      <c r="Q402" s="161">
        <v>0.32824190662092656</v>
      </c>
      <c r="R402" s="125">
        <v>5.5033333333333339</v>
      </c>
      <c r="S402">
        <v>4.7299999999999995</v>
      </c>
      <c r="T402">
        <v>3.4259817973358366</v>
      </c>
      <c r="U402">
        <v>1.1471593552336259</v>
      </c>
      <c r="V402" s="118" t="s">
        <v>515</v>
      </c>
      <c r="W402" t="s">
        <v>515</v>
      </c>
      <c r="X402" t="s">
        <v>515</v>
      </c>
      <c r="Y402">
        <f t="shared" si="50"/>
        <v>7</v>
      </c>
      <c r="Z402">
        <f t="shared" si="51"/>
        <v>18</v>
      </c>
      <c r="AA402">
        <f t="shared" si="52"/>
        <v>2024</v>
      </c>
      <c r="AB402" s="118" t="b">
        <v>0</v>
      </c>
      <c r="AC402" s="19">
        <v>45491</v>
      </c>
      <c r="AD402" s="19" t="s">
        <v>515</v>
      </c>
      <c r="AE402" t="s">
        <v>515</v>
      </c>
      <c r="AF402" s="19">
        <v>45491</v>
      </c>
      <c r="AG402" t="s">
        <v>515</v>
      </c>
      <c r="AH402" t="s">
        <v>515</v>
      </c>
      <c r="AI402" s="118">
        <v>745.3</v>
      </c>
      <c r="AJ402" s="118">
        <v>460.8</v>
      </c>
      <c r="AK402" s="118">
        <v>445.5</v>
      </c>
      <c r="AL402" s="118">
        <v>290</v>
      </c>
      <c r="AM402" s="118">
        <v>0.21</v>
      </c>
      <c r="AN402" s="118">
        <v>443.9</v>
      </c>
      <c r="AO402" s="118">
        <v>0.55700000000000005</v>
      </c>
      <c r="AP402" s="118">
        <v>0.55800000000000005</v>
      </c>
      <c r="AQ402" s="118">
        <v>0.79</v>
      </c>
      <c r="AR402" s="118">
        <v>111.2</v>
      </c>
      <c r="AS402" s="118">
        <v>8.8800000000000008</v>
      </c>
      <c r="AT402" s="118">
        <v>113.1</v>
      </c>
      <c r="AU402" s="118">
        <v>-85.888852740000004</v>
      </c>
      <c r="AV402" s="118">
        <v>40.681745419999999</v>
      </c>
      <c r="AW402" s="118">
        <v>227.9</v>
      </c>
      <c r="AX402" s="118">
        <v>198.8</v>
      </c>
      <c r="AY402" s="118">
        <v>8.36</v>
      </c>
      <c r="AZ402" s="118">
        <v>-104</v>
      </c>
      <c r="BA402" s="118">
        <v>11.9</v>
      </c>
      <c r="BB402" s="118">
        <v>0</v>
      </c>
      <c r="BC402" s="118">
        <v>26.797000000000001</v>
      </c>
      <c r="BD402" s="118">
        <v>3.38</v>
      </c>
      <c r="BE402" s="118">
        <v>0</v>
      </c>
      <c r="BF402" t="s">
        <v>515</v>
      </c>
      <c r="BG402" t="s">
        <v>515</v>
      </c>
      <c r="BH402" s="118">
        <v>227.49</v>
      </c>
      <c r="BI402" s="118">
        <v>261.04599999999999</v>
      </c>
      <c r="BJ402" s="118">
        <v>348.68</v>
      </c>
      <c r="BK402" s="118">
        <v>361.32499999999999</v>
      </c>
      <c r="BL402" s="118">
        <v>309.07799999999997</v>
      </c>
      <c r="BM402" s="118">
        <v>274.51799999999997</v>
      </c>
      <c r="BN402" s="118">
        <v>356.21499999999997</v>
      </c>
      <c r="BO402" s="118">
        <v>700.13400000000001</v>
      </c>
    </row>
    <row r="403" spans="1:67" x14ac:dyDescent="0.25">
      <c r="A403" s="25">
        <v>10402</v>
      </c>
      <c r="B403" t="s">
        <v>427</v>
      </c>
      <c r="C403" t="s">
        <v>427</v>
      </c>
      <c r="D403" s="27" t="s">
        <v>463</v>
      </c>
      <c r="E403" s="27">
        <v>2</v>
      </c>
      <c r="F403" s="118">
        <v>8861</v>
      </c>
      <c r="G403" t="s">
        <v>19</v>
      </c>
      <c r="H403" t="s">
        <v>8</v>
      </c>
      <c r="I403">
        <v>-4.8999999999999998E-3</v>
      </c>
      <c r="J403">
        <v>1.62</v>
      </c>
      <c r="K403">
        <v>5.6000000000000001E-2</v>
      </c>
      <c r="L403" s="111">
        <v>6.2817258883248725E-2</v>
      </c>
      <c r="M403" s="140">
        <f t="shared" si="53"/>
        <v>0.05</v>
      </c>
      <c r="N403" s="140">
        <f t="shared" si="53"/>
        <v>1.62</v>
      </c>
      <c r="O403" s="140">
        <f t="shared" si="53"/>
        <v>0.05</v>
      </c>
      <c r="P403" s="140">
        <f t="shared" si="49"/>
        <v>0.05</v>
      </c>
      <c r="Q403" s="161">
        <v>0.40345308715057798</v>
      </c>
      <c r="R403" s="125">
        <v>15.976666666666665</v>
      </c>
      <c r="S403">
        <v>10.723333333333334</v>
      </c>
      <c r="T403">
        <v>2.6209927085245699</v>
      </c>
      <c r="U403">
        <v>1.1491997551520097</v>
      </c>
      <c r="V403" s="118" t="s">
        <v>515</v>
      </c>
      <c r="W403" t="s">
        <v>515</v>
      </c>
      <c r="X403" t="s">
        <v>515</v>
      </c>
      <c r="Y403">
        <f t="shared" si="50"/>
        <v>7</v>
      </c>
      <c r="Z403">
        <f t="shared" si="51"/>
        <v>18</v>
      </c>
      <c r="AA403">
        <f t="shared" si="52"/>
        <v>2024</v>
      </c>
      <c r="AB403" s="118" t="b">
        <v>0</v>
      </c>
      <c r="AC403" s="19">
        <v>45491</v>
      </c>
      <c r="AD403" s="19" t="s">
        <v>515</v>
      </c>
      <c r="AE403" t="s">
        <v>515</v>
      </c>
      <c r="AF403" s="19">
        <v>45491</v>
      </c>
      <c r="AG403" t="s">
        <v>515</v>
      </c>
      <c r="AH403" t="s">
        <v>515</v>
      </c>
      <c r="AI403" s="118">
        <v>745.3</v>
      </c>
      <c r="AJ403" s="118">
        <v>464.8</v>
      </c>
      <c r="AK403" s="118">
        <v>447.2</v>
      </c>
      <c r="AL403" s="118">
        <v>291</v>
      </c>
      <c r="AM403" s="118">
        <v>0.21</v>
      </c>
      <c r="AN403" s="118">
        <v>445.4</v>
      </c>
      <c r="AO403" s="118">
        <v>0.53700000000000003</v>
      </c>
      <c r="AP403" s="118">
        <v>0.55400000000000005</v>
      </c>
      <c r="AQ403" s="118">
        <v>0.76100000000000001</v>
      </c>
      <c r="AR403" s="118">
        <v>116</v>
      </c>
      <c r="AS403" s="118">
        <v>9.2200000000000006</v>
      </c>
      <c r="AT403" s="118">
        <v>118</v>
      </c>
      <c r="AU403" s="118">
        <v>-85.876989399999999</v>
      </c>
      <c r="AV403" s="118">
        <v>40.676753269999999</v>
      </c>
      <c r="AW403" s="118">
        <v>227.1</v>
      </c>
      <c r="AX403" s="118">
        <v>188.7</v>
      </c>
      <c r="AY403" s="118">
        <v>8.3800000000000008</v>
      </c>
      <c r="AZ403" s="118">
        <v>-105</v>
      </c>
      <c r="BA403" s="118">
        <v>12</v>
      </c>
      <c r="BB403" s="118">
        <v>0</v>
      </c>
      <c r="BC403" s="118">
        <v>27.058</v>
      </c>
      <c r="BD403" s="118">
        <v>3</v>
      </c>
      <c r="BE403" s="118">
        <v>0</v>
      </c>
      <c r="BF403" t="s">
        <v>515</v>
      </c>
      <c r="BG403" t="s">
        <v>515</v>
      </c>
      <c r="BH403" s="118">
        <v>207.316</v>
      </c>
      <c r="BI403" s="118">
        <v>237.07900000000001</v>
      </c>
      <c r="BJ403" s="118">
        <v>337.06799999999998</v>
      </c>
      <c r="BK403" s="118">
        <v>340.61200000000002</v>
      </c>
      <c r="BL403" s="118">
        <v>282.99299999999999</v>
      </c>
      <c r="BM403" s="118">
        <v>273.20800000000003</v>
      </c>
      <c r="BN403" s="118">
        <v>342.95699999999999</v>
      </c>
      <c r="BO403" s="118">
        <v>653.67100000000005</v>
      </c>
    </row>
    <row r="404" spans="1:67" x14ac:dyDescent="0.25">
      <c r="A404" s="25">
        <v>10403</v>
      </c>
      <c r="B404" t="s">
        <v>428</v>
      </c>
      <c r="C404" t="s">
        <v>428</v>
      </c>
      <c r="D404" s="27" t="s">
        <v>464</v>
      </c>
      <c r="E404" s="27">
        <v>3</v>
      </c>
      <c r="F404" s="118">
        <v>9921</v>
      </c>
      <c r="G404" t="s">
        <v>19</v>
      </c>
      <c r="H404" t="s">
        <v>8</v>
      </c>
      <c r="I404">
        <v>1.5299999999999999E-2</v>
      </c>
      <c r="J404">
        <v>1.347</v>
      </c>
      <c r="K404">
        <v>8.9999999999999993E-3</v>
      </c>
      <c r="L404" s="111">
        <v>7.3921319796954321E-2</v>
      </c>
      <c r="M404" s="140">
        <f t="shared" si="53"/>
        <v>0.05</v>
      </c>
      <c r="N404" s="140">
        <f t="shared" si="53"/>
        <v>1.347</v>
      </c>
      <c r="O404" s="140">
        <f t="shared" si="53"/>
        <v>0.05</v>
      </c>
      <c r="P404" s="140">
        <f t="shared" si="49"/>
        <v>0.05</v>
      </c>
      <c r="Q404" s="161">
        <v>0.41933287867878899</v>
      </c>
      <c r="R404" s="125">
        <v>7.4233333333333347</v>
      </c>
      <c r="S404">
        <v>4.8066666666666666</v>
      </c>
      <c r="T404">
        <v>2.7828221981822843</v>
      </c>
      <c r="U404">
        <v>1.2640742705570291</v>
      </c>
      <c r="V404" s="118" t="s">
        <v>515</v>
      </c>
      <c r="W404" t="s">
        <v>515</v>
      </c>
      <c r="X404" t="s">
        <v>515</v>
      </c>
      <c r="Y404">
        <f t="shared" si="50"/>
        <v>7</v>
      </c>
      <c r="Z404">
        <f t="shared" si="51"/>
        <v>18</v>
      </c>
      <c r="AA404">
        <f t="shared" si="52"/>
        <v>2024</v>
      </c>
      <c r="AB404" s="118" t="b">
        <v>0</v>
      </c>
      <c r="AC404" s="19">
        <v>45491</v>
      </c>
      <c r="AD404" s="19" t="s">
        <v>515</v>
      </c>
      <c r="AE404" t="s">
        <v>515</v>
      </c>
      <c r="AF404" s="19">
        <v>45491</v>
      </c>
      <c r="AG404" t="s">
        <v>515</v>
      </c>
      <c r="AH404" t="s">
        <v>515</v>
      </c>
      <c r="AI404" s="118">
        <v>745.2</v>
      </c>
      <c r="AJ404" s="118">
        <v>469.4</v>
      </c>
      <c r="AK404" s="118">
        <v>454.3</v>
      </c>
      <c r="AL404" s="118">
        <v>295</v>
      </c>
      <c r="AM404" s="118">
        <v>0.22</v>
      </c>
      <c r="AN404" s="118">
        <v>452.7</v>
      </c>
      <c r="AO404" s="118">
        <v>0.54300000000000004</v>
      </c>
      <c r="AP404" s="118">
        <v>0.55400000000000005</v>
      </c>
      <c r="AQ404" s="118">
        <v>0.77</v>
      </c>
      <c r="AR404" s="118">
        <v>128.30000000000001</v>
      </c>
      <c r="AS404" s="118">
        <v>10.26</v>
      </c>
      <c r="AT404" s="118">
        <v>130.6</v>
      </c>
      <c r="AU404" s="118">
        <v>-85.870380830000002</v>
      </c>
      <c r="AV404" s="118">
        <v>40.670653649999998</v>
      </c>
      <c r="AW404" s="118">
        <v>225.9</v>
      </c>
      <c r="AX404" s="118">
        <v>204.1</v>
      </c>
      <c r="AY404" s="118">
        <v>8.3699999999999992</v>
      </c>
      <c r="AZ404" s="118">
        <v>-104.6</v>
      </c>
      <c r="BA404" s="118">
        <v>11.9</v>
      </c>
      <c r="BB404" s="118">
        <v>0</v>
      </c>
      <c r="BC404" s="118">
        <v>26.742000000000001</v>
      </c>
      <c r="BD404" s="118">
        <v>4.01</v>
      </c>
      <c r="BE404" s="118">
        <v>0</v>
      </c>
      <c r="BF404" t="s">
        <v>515</v>
      </c>
      <c r="BG404" t="s">
        <v>515</v>
      </c>
      <c r="BH404" s="118">
        <v>196.43299999999999</v>
      </c>
      <c r="BI404" s="118">
        <v>252.779</v>
      </c>
      <c r="BJ404" s="118">
        <v>351.78199999999998</v>
      </c>
      <c r="BK404" s="118">
        <v>355.02199999999999</v>
      </c>
      <c r="BL404" s="118">
        <v>283.19200000000001</v>
      </c>
      <c r="BM404" s="118">
        <v>286.00900000000001</v>
      </c>
      <c r="BN404" s="118">
        <v>326.084</v>
      </c>
      <c r="BO404" s="118">
        <v>582.32399999999996</v>
      </c>
    </row>
    <row r="405" spans="1:67" x14ac:dyDescent="0.25">
      <c r="A405" s="25">
        <v>10404</v>
      </c>
      <c r="B405" t="s">
        <v>429</v>
      </c>
      <c r="C405" t="s">
        <v>429</v>
      </c>
      <c r="D405" s="27" t="s">
        <v>465</v>
      </c>
      <c r="E405" s="27">
        <v>4</v>
      </c>
      <c r="F405" s="118">
        <v>10891</v>
      </c>
      <c r="G405" t="s">
        <v>19</v>
      </c>
      <c r="H405" t="s">
        <v>8</v>
      </c>
      <c r="I405">
        <v>4.0000000000000002E-4</v>
      </c>
      <c r="J405">
        <v>1.341</v>
      </c>
      <c r="K405">
        <v>0</v>
      </c>
      <c r="L405" s="111">
        <v>8.1852791878172598E-2</v>
      </c>
      <c r="M405" s="140">
        <f t="shared" si="53"/>
        <v>0.05</v>
      </c>
      <c r="N405" s="140">
        <f t="shared" si="53"/>
        <v>1.341</v>
      </c>
      <c r="O405" s="140">
        <f t="shared" si="53"/>
        <v>0.05</v>
      </c>
      <c r="P405" s="140">
        <f t="shared" si="49"/>
        <v>0.05</v>
      </c>
      <c r="Q405" s="161">
        <v>0.4417066509477221</v>
      </c>
      <c r="R405" s="125">
        <v>16.326666666666664</v>
      </c>
      <c r="S405">
        <v>23.533333333333331</v>
      </c>
      <c r="T405">
        <v>2.7093578474169</v>
      </c>
      <c r="U405">
        <v>0.84791974426987693</v>
      </c>
      <c r="V405" s="118" t="s">
        <v>515</v>
      </c>
      <c r="W405" t="s">
        <v>515</v>
      </c>
      <c r="X405" t="s">
        <v>515</v>
      </c>
      <c r="Y405">
        <f t="shared" si="50"/>
        <v>7</v>
      </c>
      <c r="Z405">
        <f t="shared" si="51"/>
        <v>18</v>
      </c>
      <c r="AA405">
        <f t="shared" si="52"/>
        <v>2024</v>
      </c>
      <c r="AB405" s="118" t="b">
        <v>0</v>
      </c>
      <c r="AC405" s="19">
        <v>45491</v>
      </c>
      <c r="AD405" s="19" t="s">
        <v>515</v>
      </c>
      <c r="AE405" t="s">
        <v>515</v>
      </c>
      <c r="AF405" s="19">
        <v>45491</v>
      </c>
      <c r="AG405" t="s">
        <v>515</v>
      </c>
      <c r="AH405" t="s">
        <v>515</v>
      </c>
      <c r="AI405" s="118">
        <v>745.2</v>
      </c>
      <c r="AJ405" s="118">
        <v>463.1</v>
      </c>
      <c r="AK405" s="118">
        <v>446.3</v>
      </c>
      <c r="AL405" s="118">
        <v>290</v>
      </c>
      <c r="AM405" s="118">
        <v>0.21</v>
      </c>
      <c r="AN405" s="118">
        <v>444.6</v>
      </c>
      <c r="AO405" s="118">
        <v>0.52800000000000002</v>
      </c>
      <c r="AP405" s="118">
        <v>0.54100000000000004</v>
      </c>
      <c r="AQ405" s="118">
        <v>0.749</v>
      </c>
      <c r="AR405" s="118">
        <v>156.30000000000001</v>
      </c>
      <c r="AS405" s="118">
        <v>12.45</v>
      </c>
      <c r="AT405" s="118">
        <v>159.1</v>
      </c>
      <c r="AU405" s="118">
        <v>-85.866606840000003</v>
      </c>
      <c r="AV405" s="118">
        <v>40.6628623</v>
      </c>
      <c r="AW405" s="118">
        <v>224.4</v>
      </c>
      <c r="AX405" s="118">
        <v>235.2</v>
      </c>
      <c r="AY405" s="118">
        <v>8.56</v>
      </c>
      <c r="AZ405" s="118">
        <v>-116</v>
      </c>
      <c r="BA405" s="118">
        <v>11.9</v>
      </c>
      <c r="BB405" s="118">
        <v>0</v>
      </c>
      <c r="BC405" s="118">
        <v>26.960999999999999</v>
      </c>
      <c r="BD405" s="118">
        <v>4.57</v>
      </c>
      <c r="BE405" s="118">
        <v>0</v>
      </c>
      <c r="BF405" t="s">
        <v>515</v>
      </c>
      <c r="BG405" t="s">
        <v>515</v>
      </c>
      <c r="BH405" s="118">
        <v>185.15899999999999</v>
      </c>
      <c r="BI405" s="118">
        <v>223.922</v>
      </c>
      <c r="BJ405" s="118">
        <v>333.96600000000001</v>
      </c>
      <c r="BK405" s="118">
        <v>335.464</v>
      </c>
      <c r="BL405" s="118">
        <v>266.04700000000003</v>
      </c>
      <c r="BM405" s="118">
        <v>264.49099999999999</v>
      </c>
      <c r="BN405" s="118">
        <v>313.09800000000001</v>
      </c>
      <c r="BO405" s="118">
        <v>595.04899999999998</v>
      </c>
    </row>
    <row r="406" spans="1:67" x14ac:dyDescent="0.25">
      <c r="A406" s="25">
        <v>10405</v>
      </c>
      <c r="B406" t="s">
        <v>430</v>
      </c>
      <c r="C406" t="s">
        <v>430</v>
      </c>
      <c r="D406" s="27" t="s">
        <v>466</v>
      </c>
      <c r="E406" s="27">
        <v>5</v>
      </c>
      <c r="F406" s="118">
        <v>12821</v>
      </c>
      <c r="G406" t="s">
        <v>19</v>
      </c>
      <c r="H406" t="s">
        <v>8</v>
      </c>
      <c r="I406">
        <v>3.7000000000000002E-3</v>
      </c>
      <c r="J406">
        <v>1.776</v>
      </c>
      <c r="K406">
        <v>7.0000000000000001E-3</v>
      </c>
      <c r="L406" s="111">
        <v>0.12309644670050762</v>
      </c>
      <c r="M406" s="140">
        <f t="shared" si="53"/>
        <v>0.05</v>
      </c>
      <c r="N406" s="140">
        <f t="shared" si="53"/>
        <v>1.776</v>
      </c>
      <c r="O406" s="140">
        <f t="shared" si="53"/>
        <v>0.05</v>
      </c>
      <c r="P406" s="140">
        <f t="shared" si="49"/>
        <v>0.12309644670050762</v>
      </c>
      <c r="Q406" s="161">
        <v>0.4134438211625992</v>
      </c>
      <c r="R406" s="125">
        <v>12.796666666666667</v>
      </c>
      <c r="S406">
        <v>16.296666666666663</v>
      </c>
      <c r="T406">
        <v>2.6490616349962544</v>
      </c>
      <c r="U406">
        <v>0.95454560293817592</v>
      </c>
      <c r="V406" s="118" t="s">
        <v>515</v>
      </c>
      <c r="W406" t="s">
        <v>515</v>
      </c>
      <c r="X406" t="s">
        <v>515</v>
      </c>
      <c r="Y406">
        <f t="shared" si="50"/>
        <v>7</v>
      </c>
      <c r="Z406">
        <f t="shared" si="51"/>
        <v>18</v>
      </c>
      <c r="AA406">
        <f t="shared" si="52"/>
        <v>2024</v>
      </c>
      <c r="AB406" s="118" t="b">
        <v>0</v>
      </c>
      <c r="AC406" s="19">
        <v>45491</v>
      </c>
      <c r="AD406" s="19" t="s">
        <v>515</v>
      </c>
      <c r="AE406" t="s">
        <v>515</v>
      </c>
      <c r="AF406" s="19">
        <v>45491</v>
      </c>
      <c r="AG406" t="s">
        <v>515</v>
      </c>
      <c r="AH406" t="s">
        <v>515</v>
      </c>
      <c r="AI406" s="118">
        <v>745</v>
      </c>
      <c r="AJ406" s="118">
        <v>482</v>
      </c>
      <c r="AK406" s="118">
        <v>459.6</v>
      </c>
      <c r="AL406" s="118">
        <v>299</v>
      </c>
      <c r="AM406" s="118">
        <v>0.22</v>
      </c>
      <c r="AN406" s="118">
        <v>457.2</v>
      </c>
      <c r="AO406" s="118">
        <v>0.54300000000000004</v>
      </c>
      <c r="AP406" s="118">
        <v>0.53700000000000003</v>
      </c>
      <c r="AQ406" s="118">
        <v>0.76900000000000002</v>
      </c>
      <c r="AR406" s="118">
        <v>150.5</v>
      </c>
      <c r="AS406" s="118">
        <v>11.86</v>
      </c>
      <c r="AT406" s="118">
        <v>153.19999999999999</v>
      </c>
      <c r="AU406" s="118">
        <v>-85.847995119999993</v>
      </c>
      <c r="AV406" s="118">
        <v>40.668849680000001</v>
      </c>
      <c r="AW406" s="118">
        <v>224.4</v>
      </c>
      <c r="AX406" s="118">
        <v>182.8</v>
      </c>
      <c r="AY406" s="118">
        <v>8.5299999999999994</v>
      </c>
      <c r="AZ406" s="118">
        <v>-114</v>
      </c>
      <c r="BA406" s="118">
        <v>11.9</v>
      </c>
      <c r="BB406" s="118">
        <v>0</v>
      </c>
      <c r="BC406" s="118">
        <v>27.55</v>
      </c>
      <c r="BD406" s="118">
        <v>4.71</v>
      </c>
      <c r="BE406" s="118">
        <v>0</v>
      </c>
      <c r="BF406" t="s">
        <v>515</v>
      </c>
      <c r="BG406" t="s">
        <v>515</v>
      </c>
      <c r="BH406" s="118">
        <v>168.14099999999999</v>
      </c>
      <c r="BI406" s="118">
        <v>215.21600000000001</v>
      </c>
      <c r="BJ406" s="118">
        <v>335.68299999999999</v>
      </c>
      <c r="BK406" s="118">
        <v>345.09100000000001</v>
      </c>
      <c r="BL406" s="118">
        <v>265.53300000000002</v>
      </c>
      <c r="BM406" s="118">
        <v>257.03800000000001</v>
      </c>
      <c r="BN406" s="118">
        <v>326.31400000000002</v>
      </c>
      <c r="BO406" s="118">
        <v>615.72400000000005</v>
      </c>
    </row>
    <row r="407" spans="1:67" x14ac:dyDescent="0.25">
      <c r="A407" s="25">
        <v>10406</v>
      </c>
      <c r="B407" t="s">
        <v>431</v>
      </c>
      <c r="C407" t="s">
        <v>431</v>
      </c>
      <c r="D407" s="27" t="s">
        <v>467</v>
      </c>
      <c r="E407" s="27">
        <v>6</v>
      </c>
      <c r="F407" s="118">
        <v>14351</v>
      </c>
      <c r="G407" t="s">
        <v>19</v>
      </c>
      <c r="H407" t="s">
        <v>8</v>
      </c>
      <c r="I407">
        <v>2.12E-2</v>
      </c>
      <c r="J407">
        <v>1.887</v>
      </c>
      <c r="K407">
        <v>0.13600000000000001</v>
      </c>
      <c r="L407">
        <v>0.12706218274111675</v>
      </c>
      <c r="M407" s="140">
        <f t="shared" si="53"/>
        <v>0.05</v>
      </c>
      <c r="N407" s="140">
        <f t="shared" si="53"/>
        <v>1.887</v>
      </c>
      <c r="O407" s="140">
        <f t="shared" si="53"/>
        <v>0.13600000000000001</v>
      </c>
      <c r="P407" s="140">
        <f t="shared" si="49"/>
        <v>0.12706218274111675</v>
      </c>
      <c r="Q407" s="161">
        <v>0.37801911441317848</v>
      </c>
      <c r="R407" s="125">
        <v>16.726666666666667</v>
      </c>
      <c r="S407">
        <v>17.366666666666664</v>
      </c>
      <c r="T407">
        <v>3.2582612984186383</v>
      </c>
      <c r="U407">
        <v>1.5492541658165002</v>
      </c>
      <c r="V407" s="118" t="s">
        <v>515</v>
      </c>
      <c r="W407" t="s">
        <v>515</v>
      </c>
      <c r="X407" t="s">
        <v>515</v>
      </c>
      <c r="Y407">
        <f t="shared" si="50"/>
        <v>7</v>
      </c>
      <c r="Z407">
        <f t="shared" si="51"/>
        <v>18</v>
      </c>
      <c r="AA407">
        <f t="shared" si="52"/>
        <v>2024</v>
      </c>
      <c r="AB407" s="118" t="b">
        <v>0</v>
      </c>
      <c r="AC407" s="19">
        <v>45491</v>
      </c>
      <c r="AD407" s="19" t="s">
        <v>515</v>
      </c>
      <c r="AE407" t="s">
        <v>515</v>
      </c>
      <c r="AF407" s="19">
        <v>45491</v>
      </c>
      <c r="AG407" t="s">
        <v>515</v>
      </c>
      <c r="AH407" t="s">
        <v>515</v>
      </c>
      <c r="AI407" s="118">
        <v>745</v>
      </c>
      <c r="AJ407" s="118">
        <v>483.2</v>
      </c>
      <c r="AK407" s="118">
        <v>461.6</v>
      </c>
      <c r="AL407" s="118">
        <v>300</v>
      </c>
      <c r="AM407" s="118">
        <v>0.22</v>
      </c>
      <c r="AN407" s="118">
        <v>459.3</v>
      </c>
      <c r="AO407" s="118">
        <v>0.51800000000000002</v>
      </c>
      <c r="AP407" s="118">
        <v>0.52200000000000002</v>
      </c>
      <c r="AQ407" s="118">
        <v>0.73499999999999999</v>
      </c>
      <c r="AR407" s="118">
        <v>139.4</v>
      </c>
      <c r="AS407" s="118">
        <v>11</v>
      </c>
      <c r="AT407" s="118">
        <v>141.80000000000001</v>
      </c>
      <c r="AU407" s="118">
        <v>-85.831824920000003</v>
      </c>
      <c r="AV407" s="118">
        <v>40.673640759999998</v>
      </c>
      <c r="AW407" s="118">
        <v>225.7</v>
      </c>
      <c r="AX407" s="118">
        <v>221.2</v>
      </c>
      <c r="AY407" s="118">
        <v>8.44</v>
      </c>
      <c r="AZ407" s="118">
        <v>-109.1</v>
      </c>
      <c r="BA407" s="118">
        <v>11.9</v>
      </c>
      <c r="BB407" s="118">
        <v>0</v>
      </c>
      <c r="BC407" s="118">
        <v>27.452000000000002</v>
      </c>
      <c r="BD407" s="118">
        <v>7.55</v>
      </c>
      <c r="BE407" s="118">
        <v>0</v>
      </c>
      <c r="BF407" t="s">
        <v>515</v>
      </c>
      <c r="BG407" t="s">
        <v>515</v>
      </c>
      <c r="BH407" s="118">
        <v>190.18899999999999</v>
      </c>
      <c r="BI407" s="118">
        <v>204.334</v>
      </c>
      <c r="BJ407" s="118">
        <v>325.80900000000003</v>
      </c>
      <c r="BK407" s="118">
        <v>340.173</v>
      </c>
      <c r="BL407" s="118">
        <v>279.73399999999998</v>
      </c>
      <c r="BM407" s="118">
        <v>248.61799999999999</v>
      </c>
      <c r="BN407" s="118">
        <v>353.50799999999998</v>
      </c>
      <c r="BO407" s="118">
        <v>645.74</v>
      </c>
    </row>
    <row r="408" spans="1:67" x14ac:dyDescent="0.25">
      <c r="A408" s="25">
        <v>10407</v>
      </c>
      <c r="B408" t="s">
        <v>432</v>
      </c>
      <c r="C408" t="s">
        <v>432</v>
      </c>
      <c r="D408" s="27" t="s">
        <v>468</v>
      </c>
      <c r="E408" s="27">
        <v>7</v>
      </c>
      <c r="F408" s="118">
        <v>6411</v>
      </c>
      <c r="G408" t="s">
        <v>19</v>
      </c>
      <c r="H408" t="s">
        <v>8</v>
      </c>
      <c r="I408">
        <v>1.0699999999999999E-2</v>
      </c>
      <c r="J408">
        <v>1.5389999999999999</v>
      </c>
      <c r="K408">
        <v>-4.0000000000000001E-3</v>
      </c>
      <c r="L408" s="111">
        <v>0.13102791878172587</v>
      </c>
      <c r="M408" s="140">
        <f t="shared" si="53"/>
        <v>0.05</v>
      </c>
      <c r="N408" s="140">
        <f t="shared" si="53"/>
        <v>1.5389999999999999</v>
      </c>
      <c r="O408" s="140">
        <f t="shared" si="53"/>
        <v>0.05</v>
      </c>
      <c r="P408" s="140">
        <f t="shared" si="49"/>
        <v>0.13102791878172587</v>
      </c>
      <c r="Q408" s="161">
        <v>0.45027605693764094</v>
      </c>
      <c r="R408" s="125">
        <v>2.7766666666666668</v>
      </c>
      <c r="S408">
        <v>1.8933333333333333</v>
      </c>
      <c r="T408">
        <v>2.7909656521586359</v>
      </c>
      <c r="U408">
        <v>1.284886349724546</v>
      </c>
      <c r="V408" s="118" t="s">
        <v>515</v>
      </c>
      <c r="W408" t="s">
        <v>515</v>
      </c>
      <c r="X408" t="s">
        <v>515</v>
      </c>
      <c r="Y408">
        <f t="shared" si="50"/>
        <v>7</v>
      </c>
      <c r="Z408">
        <f t="shared" si="51"/>
        <v>18</v>
      </c>
      <c r="AA408">
        <f t="shared" si="52"/>
        <v>2024</v>
      </c>
      <c r="AB408" s="118" t="b">
        <v>0</v>
      </c>
      <c r="AC408" s="19">
        <v>45491</v>
      </c>
      <c r="AD408" s="19" t="s">
        <v>515</v>
      </c>
      <c r="AE408" t="s">
        <v>515</v>
      </c>
      <c r="AF408" s="19">
        <v>45491</v>
      </c>
      <c r="AG408" t="s">
        <v>515</v>
      </c>
      <c r="AH408" t="s">
        <v>515</v>
      </c>
      <c r="AI408" s="118">
        <v>745.1</v>
      </c>
      <c r="AJ408" s="118">
        <v>455.2</v>
      </c>
      <c r="AK408" s="118">
        <v>443.1</v>
      </c>
      <c r="AL408" s="118">
        <v>288</v>
      </c>
      <c r="AM408" s="118">
        <v>0.21</v>
      </c>
      <c r="AN408" s="118">
        <v>441.8</v>
      </c>
      <c r="AO408" s="118">
        <v>0.55900000000000005</v>
      </c>
      <c r="AP408" s="118">
        <v>0.56799999999999995</v>
      </c>
      <c r="AQ408" s="118">
        <v>0.79200000000000004</v>
      </c>
      <c r="AR408" s="118">
        <v>99.2</v>
      </c>
      <c r="AS408" s="118">
        <v>7.98</v>
      </c>
      <c r="AT408" s="118">
        <v>101</v>
      </c>
      <c r="AU408" s="118">
        <v>-85.897023200000007</v>
      </c>
      <c r="AV408" s="118">
        <v>40.687465150000001</v>
      </c>
      <c r="AW408" s="118">
        <v>0</v>
      </c>
      <c r="AX408" s="118">
        <v>241.2</v>
      </c>
      <c r="AY408" s="118">
        <v>8.15</v>
      </c>
      <c r="AZ408" s="118">
        <v>-91</v>
      </c>
      <c r="BA408" s="118">
        <v>11.9</v>
      </c>
      <c r="BB408" s="118">
        <v>0</v>
      </c>
      <c r="BC408" s="118">
        <v>26.436</v>
      </c>
      <c r="BD408" s="118">
        <v>3.51</v>
      </c>
      <c r="BE408" s="118">
        <v>0</v>
      </c>
      <c r="BF408" t="s">
        <v>515</v>
      </c>
      <c r="BG408" t="s">
        <v>515</v>
      </c>
      <c r="BH408" s="118">
        <v>209.18700000000001</v>
      </c>
      <c r="BI408" s="118">
        <v>242.28800000000001</v>
      </c>
      <c r="BJ408" s="118">
        <v>342.512</v>
      </c>
      <c r="BK408" s="118">
        <v>353.50099999999998</v>
      </c>
      <c r="BL408" s="118">
        <v>289.08300000000003</v>
      </c>
      <c r="BM408" s="118">
        <v>258.613</v>
      </c>
      <c r="BN408" s="118">
        <v>312.37099999999998</v>
      </c>
      <c r="BO408" s="118">
        <v>574.81100000000004</v>
      </c>
    </row>
    <row r="409" spans="1:67" x14ac:dyDescent="0.25">
      <c r="A409" s="25">
        <v>10408</v>
      </c>
      <c r="B409" t="s">
        <v>433</v>
      </c>
      <c r="C409" t="s">
        <v>433</v>
      </c>
      <c r="D409" s="27" t="s">
        <v>469</v>
      </c>
      <c r="E409" s="27">
        <v>8</v>
      </c>
      <c r="F409" s="118">
        <v>5401</v>
      </c>
      <c r="G409" t="s">
        <v>19</v>
      </c>
      <c r="H409" t="s">
        <v>8</v>
      </c>
      <c r="I409">
        <v>2.2000000000000001E-3</v>
      </c>
      <c r="J409">
        <v>1.536</v>
      </c>
      <c r="K409">
        <v>5.1999999999999998E-2</v>
      </c>
      <c r="L409" s="111">
        <v>5.3299492385786802E-2</v>
      </c>
      <c r="M409" s="140">
        <f t="shared" si="53"/>
        <v>0.05</v>
      </c>
      <c r="N409" s="140">
        <f t="shared" si="53"/>
        <v>1.536</v>
      </c>
      <c r="O409" s="140">
        <f t="shared" si="53"/>
        <v>0.05</v>
      </c>
      <c r="P409" s="140">
        <f t="shared" si="49"/>
        <v>0.05</v>
      </c>
      <c r="Q409" s="161">
        <v>0.44720066481797649</v>
      </c>
      <c r="R409" s="125">
        <v>10.843333333333334</v>
      </c>
      <c r="S409">
        <v>8.9133333333333322</v>
      </c>
      <c r="T409">
        <v>2.7421049283005265</v>
      </c>
      <c r="U409">
        <v>1.2714197102632117</v>
      </c>
      <c r="V409" s="118" t="s">
        <v>515</v>
      </c>
      <c r="W409" t="s">
        <v>515</v>
      </c>
      <c r="X409" t="s">
        <v>515</v>
      </c>
      <c r="Y409">
        <f t="shared" si="50"/>
        <v>7</v>
      </c>
      <c r="Z409">
        <f t="shared" si="51"/>
        <v>18</v>
      </c>
      <c r="AA409">
        <f t="shared" si="52"/>
        <v>2024</v>
      </c>
      <c r="AB409" s="118" t="b">
        <v>0</v>
      </c>
      <c r="AC409" s="19">
        <v>45491</v>
      </c>
      <c r="AD409" s="19" t="s">
        <v>515</v>
      </c>
      <c r="AE409" t="s">
        <v>515</v>
      </c>
      <c r="AF409" s="19">
        <v>45491</v>
      </c>
      <c r="AG409" t="s">
        <v>515</v>
      </c>
      <c r="AH409" t="s">
        <v>515</v>
      </c>
      <c r="AI409" s="118">
        <v>745.1</v>
      </c>
      <c r="AJ409" s="118">
        <v>455.5</v>
      </c>
      <c r="AK409" s="118">
        <v>445.1</v>
      </c>
      <c r="AL409" s="118">
        <v>289</v>
      </c>
      <c r="AM409" s="118">
        <v>0.21</v>
      </c>
      <c r="AN409" s="118">
        <v>444</v>
      </c>
      <c r="AO409" s="118">
        <v>0.51700000000000002</v>
      </c>
      <c r="AP409" s="118">
        <v>0.51</v>
      </c>
      <c r="AQ409" s="118">
        <v>0.73299999999999998</v>
      </c>
      <c r="AR409" s="118">
        <v>92.3</v>
      </c>
      <c r="AS409" s="118">
        <v>7.45</v>
      </c>
      <c r="AT409" s="118">
        <v>94</v>
      </c>
      <c r="AU409" s="118">
        <v>-85.908408600000001</v>
      </c>
      <c r="AV409" s="118">
        <v>40.691498060000001</v>
      </c>
      <c r="AW409" s="118">
        <v>226.6</v>
      </c>
      <c r="AX409" s="118">
        <v>259</v>
      </c>
      <c r="AY409" s="118">
        <v>8.15</v>
      </c>
      <c r="AZ409" s="118">
        <v>-91.1</v>
      </c>
      <c r="BA409" s="118">
        <v>11.9</v>
      </c>
      <c r="BB409" s="118">
        <v>0</v>
      </c>
      <c r="BC409" s="118">
        <v>26.227</v>
      </c>
      <c r="BD409" s="118">
        <v>3.3</v>
      </c>
      <c r="BE409" s="118">
        <v>0</v>
      </c>
      <c r="BF409" t="s">
        <v>515</v>
      </c>
      <c r="BG409" t="s">
        <v>515</v>
      </c>
      <c r="BH409" s="118">
        <v>207.88300000000001</v>
      </c>
      <c r="BI409" s="118">
        <v>250.178</v>
      </c>
      <c r="BJ409" s="118">
        <v>352.07</v>
      </c>
      <c r="BK409" s="118">
        <v>357.36799999999999</v>
      </c>
      <c r="BL409" s="118">
        <v>292.52800000000002</v>
      </c>
      <c r="BM409" s="118">
        <v>261.178</v>
      </c>
      <c r="BN409" s="118">
        <v>320.99599999999998</v>
      </c>
      <c r="BO409" s="118">
        <v>593.78200000000004</v>
      </c>
    </row>
    <row r="410" spans="1:67" x14ac:dyDescent="0.25">
      <c r="A410" s="25">
        <v>10409</v>
      </c>
      <c r="B410" t="s">
        <v>434</v>
      </c>
      <c r="C410" t="s">
        <v>434</v>
      </c>
      <c r="D410" s="27" t="s">
        <v>470</v>
      </c>
      <c r="E410" s="27">
        <v>9</v>
      </c>
      <c r="F410" s="118">
        <v>4381</v>
      </c>
      <c r="G410" t="s">
        <v>19</v>
      </c>
      <c r="H410" t="s">
        <v>8</v>
      </c>
      <c r="I410">
        <v>1.0500000000000001E-2</v>
      </c>
      <c r="J410">
        <v>1.522</v>
      </c>
      <c r="K410">
        <v>4.0000000000000001E-3</v>
      </c>
      <c r="L410" s="111">
        <v>3.426395939086295E-2</v>
      </c>
      <c r="M410" s="140">
        <f t="shared" si="53"/>
        <v>0.05</v>
      </c>
      <c r="N410" s="140">
        <f t="shared" si="53"/>
        <v>1.522</v>
      </c>
      <c r="O410" s="140">
        <f t="shared" si="53"/>
        <v>0.05</v>
      </c>
      <c r="P410" s="140">
        <f t="shared" si="49"/>
        <v>0.05</v>
      </c>
      <c r="Q410" s="161">
        <v>0.36806250129913409</v>
      </c>
      <c r="R410" s="125">
        <v>3.09</v>
      </c>
      <c r="S410">
        <v>2.3033333333333332</v>
      </c>
      <c r="T410">
        <v>2.6698534323826841</v>
      </c>
      <c r="U410">
        <v>1.6756229340950828</v>
      </c>
      <c r="V410" s="118" t="s">
        <v>515</v>
      </c>
      <c r="W410" t="s">
        <v>515</v>
      </c>
      <c r="X410" t="s">
        <v>515</v>
      </c>
      <c r="Y410">
        <f t="shared" si="50"/>
        <v>7</v>
      </c>
      <c r="Z410">
        <f t="shared" si="51"/>
        <v>18</v>
      </c>
      <c r="AA410">
        <f t="shared" si="52"/>
        <v>2024</v>
      </c>
      <c r="AB410" s="118" t="b">
        <v>0</v>
      </c>
      <c r="AC410" s="19">
        <v>45491</v>
      </c>
      <c r="AD410" s="19" t="s">
        <v>515</v>
      </c>
      <c r="AE410" t="s">
        <v>515</v>
      </c>
      <c r="AF410" s="19">
        <v>45491</v>
      </c>
      <c r="AG410" t="s">
        <v>515</v>
      </c>
      <c r="AH410" t="s">
        <v>515</v>
      </c>
      <c r="AI410" s="118">
        <v>745</v>
      </c>
      <c r="AJ410" s="118">
        <v>451.8</v>
      </c>
      <c r="AK410" s="118">
        <v>444.3</v>
      </c>
      <c r="AL410" s="118">
        <v>289</v>
      </c>
      <c r="AM410" s="118">
        <v>0.21</v>
      </c>
      <c r="AN410" s="118">
        <v>443.5</v>
      </c>
      <c r="AO410" s="118">
        <v>0.57399999999999995</v>
      </c>
      <c r="AP410" s="118">
        <v>0.52400000000000002</v>
      </c>
      <c r="AQ410" s="118">
        <v>0.81399999999999995</v>
      </c>
      <c r="AR410" s="118">
        <v>87.1</v>
      </c>
      <c r="AS410" s="118">
        <v>7.07</v>
      </c>
      <c r="AT410" s="118">
        <v>88.6</v>
      </c>
      <c r="AU410" s="118">
        <v>-85.929832070000003</v>
      </c>
      <c r="AV410" s="118">
        <v>40.703734709999999</v>
      </c>
      <c r="AW410" s="118">
        <v>222.3</v>
      </c>
      <c r="AX410" s="118">
        <v>214.6</v>
      </c>
      <c r="AY410" s="118">
        <v>8.07</v>
      </c>
      <c r="AZ410" s="118">
        <v>-86.4</v>
      </c>
      <c r="BA410" s="118">
        <v>11.9</v>
      </c>
      <c r="BB410" s="118">
        <v>0</v>
      </c>
      <c r="BC410" s="118">
        <v>25.885000000000002</v>
      </c>
      <c r="BD410" s="118">
        <v>3.18</v>
      </c>
      <c r="BE410" s="118">
        <v>0</v>
      </c>
      <c r="BF410" t="s">
        <v>515</v>
      </c>
      <c r="BG410" t="s">
        <v>515</v>
      </c>
      <c r="BH410" s="118">
        <v>214.85300000000001</v>
      </c>
      <c r="BI410" s="118">
        <v>263.31099999999998</v>
      </c>
      <c r="BJ410" s="118">
        <v>365.70100000000002</v>
      </c>
      <c r="BK410" s="118">
        <v>378.26799999999997</v>
      </c>
      <c r="BL410" s="118">
        <v>292.733</v>
      </c>
      <c r="BM410" s="118">
        <v>290.64699999999999</v>
      </c>
      <c r="BN410" s="118">
        <v>302.51799999999997</v>
      </c>
      <c r="BO410" s="118">
        <v>520.13900000000001</v>
      </c>
    </row>
    <row r="411" spans="1:67" x14ac:dyDescent="0.25">
      <c r="A411" s="25">
        <v>10410</v>
      </c>
      <c r="B411" t="s">
        <v>435</v>
      </c>
      <c r="C411" t="s">
        <v>435</v>
      </c>
      <c r="D411" s="27" t="s">
        <v>471</v>
      </c>
      <c r="E411" s="27">
        <v>10</v>
      </c>
      <c r="F411" s="118">
        <v>2851</v>
      </c>
      <c r="G411" t="s">
        <v>19</v>
      </c>
      <c r="H411" t="s">
        <v>8</v>
      </c>
      <c r="I411">
        <v>7.3000000000000001E-3</v>
      </c>
      <c r="J411">
        <v>1.482</v>
      </c>
      <c r="K411">
        <v>5.2999999999999999E-2</v>
      </c>
      <c r="L411" s="111">
        <v>4.0609137055837567E-2</v>
      </c>
      <c r="M411" s="140">
        <f t="shared" si="53"/>
        <v>0.05</v>
      </c>
      <c r="N411" s="140">
        <f t="shared" si="53"/>
        <v>1.482</v>
      </c>
      <c r="O411" s="140">
        <f t="shared" si="53"/>
        <v>0.05</v>
      </c>
      <c r="P411" s="140">
        <f t="shared" si="49"/>
        <v>0.05</v>
      </c>
      <c r="Q411" s="161">
        <v>0.40351668564358045</v>
      </c>
      <c r="R411" s="125">
        <v>11.406666666666666</v>
      </c>
      <c r="S411">
        <v>7.82</v>
      </c>
      <c r="T411">
        <v>2.7613373408829736</v>
      </c>
      <c r="U411">
        <v>1.343853907365844</v>
      </c>
      <c r="V411" s="118" t="s">
        <v>515</v>
      </c>
      <c r="W411" t="s">
        <v>515</v>
      </c>
      <c r="X411" t="s">
        <v>515</v>
      </c>
      <c r="Y411">
        <f t="shared" si="50"/>
        <v>7</v>
      </c>
      <c r="Z411">
        <f t="shared" si="51"/>
        <v>18</v>
      </c>
      <c r="AA411">
        <f t="shared" si="52"/>
        <v>2024</v>
      </c>
      <c r="AB411" s="118" t="b">
        <v>0</v>
      </c>
      <c r="AC411" s="19">
        <v>45491</v>
      </c>
      <c r="AD411" s="19" t="s">
        <v>515</v>
      </c>
      <c r="AE411" t="s">
        <v>515</v>
      </c>
      <c r="AF411" s="19">
        <v>45491</v>
      </c>
      <c r="AG411" t="s">
        <v>515</v>
      </c>
      <c r="AH411" t="s">
        <v>515</v>
      </c>
      <c r="AI411" s="118">
        <v>745.2</v>
      </c>
      <c r="AJ411" s="118">
        <v>458.2</v>
      </c>
      <c r="AK411" s="118">
        <v>447.7</v>
      </c>
      <c r="AL411" s="118">
        <v>291</v>
      </c>
      <c r="AM411" s="118">
        <v>0.21</v>
      </c>
      <c r="AN411" s="118">
        <v>446.6</v>
      </c>
      <c r="AO411" s="118">
        <v>0.51400000000000001</v>
      </c>
      <c r="AP411" s="118">
        <v>0.51</v>
      </c>
      <c r="AQ411" s="118">
        <v>0.72799999999999998</v>
      </c>
      <c r="AR411" s="118">
        <v>86.2</v>
      </c>
      <c r="AS411" s="118">
        <v>6.96</v>
      </c>
      <c r="AT411" s="118">
        <v>87.7</v>
      </c>
      <c r="AU411" s="118">
        <v>-85.920316959999994</v>
      </c>
      <c r="AV411" s="118">
        <v>40.693239810000001</v>
      </c>
      <c r="AW411" s="118">
        <v>225.3</v>
      </c>
      <c r="AX411" s="118">
        <v>211.9</v>
      </c>
      <c r="AY411" s="118">
        <v>8.1</v>
      </c>
      <c r="AZ411" s="118">
        <v>-88.3</v>
      </c>
      <c r="BA411" s="118">
        <v>12</v>
      </c>
      <c r="BB411" s="118">
        <v>0</v>
      </c>
      <c r="BC411" s="118">
        <v>26.225000000000001</v>
      </c>
      <c r="BD411" s="118">
        <v>3.11</v>
      </c>
      <c r="BE411" s="118">
        <v>0</v>
      </c>
      <c r="BF411" t="s">
        <v>515</v>
      </c>
      <c r="BG411" t="s">
        <v>515</v>
      </c>
      <c r="BH411" s="118">
        <v>221.79599999999999</v>
      </c>
      <c r="BI411" s="118">
        <v>257.65100000000001</v>
      </c>
      <c r="BJ411" s="118">
        <v>365.02300000000002</v>
      </c>
      <c r="BK411" s="118">
        <v>385.19799999999998</v>
      </c>
      <c r="BL411" s="118">
        <v>307.37099999999998</v>
      </c>
      <c r="BM411" s="118">
        <v>272.52100000000002</v>
      </c>
      <c r="BN411" s="118">
        <v>316.13900000000001</v>
      </c>
      <c r="BO411" s="118">
        <v>615.65099999999995</v>
      </c>
    </row>
    <row r="412" spans="1:67" x14ac:dyDescent="0.25">
      <c r="A412" s="25">
        <v>10411</v>
      </c>
      <c r="B412" t="s">
        <v>436</v>
      </c>
      <c r="C412" t="s">
        <v>436</v>
      </c>
      <c r="D412" s="27" t="s">
        <v>472</v>
      </c>
      <c r="E412" s="27">
        <v>11</v>
      </c>
      <c r="F412" s="118">
        <v>1731</v>
      </c>
      <c r="G412" t="s">
        <v>19</v>
      </c>
      <c r="H412" t="s">
        <v>8</v>
      </c>
      <c r="I412">
        <v>9.5999999999999992E-3</v>
      </c>
      <c r="J412">
        <v>1.5880000000000001</v>
      </c>
      <c r="K412">
        <v>4.0000000000000001E-3</v>
      </c>
      <c r="L412" s="111">
        <v>-6.9796954314720805E-3</v>
      </c>
      <c r="M412" s="140">
        <f t="shared" si="53"/>
        <v>0.05</v>
      </c>
      <c r="N412" s="140">
        <f t="shared" si="53"/>
        <v>1.5880000000000001</v>
      </c>
      <c r="O412" s="140">
        <f t="shared" si="53"/>
        <v>0.05</v>
      </c>
      <c r="P412" s="140">
        <f t="shared" si="49"/>
        <v>0.05</v>
      </c>
      <c r="Q412" s="161">
        <v>0.43410082494934421</v>
      </c>
      <c r="R412" s="125">
        <v>3.01</v>
      </c>
      <c r="S412">
        <v>2.563333333333333</v>
      </c>
      <c r="T412">
        <v>2.6105968098313599</v>
      </c>
      <c r="U412">
        <v>1.3487508671699653</v>
      </c>
      <c r="V412" s="118" t="s">
        <v>515</v>
      </c>
      <c r="W412" t="s">
        <v>515</v>
      </c>
      <c r="X412" t="s">
        <v>515</v>
      </c>
      <c r="Y412">
        <f t="shared" si="50"/>
        <v>7</v>
      </c>
      <c r="Z412">
        <f t="shared" si="51"/>
        <v>18</v>
      </c>
      <c r="AA412">
        <f t="shared" si="52"/>
        <v>2024</v>
      </c>
      <c r="AB412" s="118" t="b">
        <v>0</v>
      </c>
      <c r="AC412" s="19">
        <v>45491</v>
      </c>
      <c r="AD412" s="19" t="s">
        <v>515</v>
      </c>
      <c r="AE412" t="s">
        <v>515</v>
      </c>
      <c r="AF412" s="19">
        <v>45491</v>
      </c>
      <c r="AG412" t="s">
        <v>515</v>
      </c>
      <c r="AH412" t="s">
        <v>515</v>
      </c>
      <c r="AI412" s="118">
        <v>745.3</v>
      </c>
      <c r="AJ412" s="118">
        <v>452</v>
      </c>
      <c r="AK412" s="118">
        <v>446</v>
      </c>
      <c r="AL412" s="118">
        <v>290</v>
      </c>
      <c r="AM412" s="118">
        <v>0.21</v>
      </c>
      <c r="AN412" s="118">
        <v>445.4</v>
      </c>
      <c r="AO412" s="118">
        <v>0.51600000000000001</v>
      </c>
      <c r="AP412" s="118">
        <v>0.51900000000000002</v>
      </c>
      <c r="AQ412" s="118">
        <v>0.73199999999999998</v>
      </c>
      <c r="AR412" s="118">
        <v>77.8</v>
      </c>
      <c r="AS412" s="118">
        <v>6.34</v>
      </c>
      <c r="AT412" s="118">
        <v>79.2</v>
      </c>
      <c r="AU412" s="118">
        <v>-85.938840010000007</v>
      </c>
      <c r="AV412" s="118">
        <v>40.711004029999998</v>
      </c>
      <c r="AW412" s="118">
        <v>224.6</v>
      </c>
      <c r="AX412" s="118">
        <v>155.30000000000001</v>
      </c>
      <c r="AY412" s="118">
        <v>8.0399999999999991</v>
      </c>
      <c r="AZ412" s="118">
        <v>-84.4</v>
      </c>
      <c r="BA412" s="118">
        <v>11.9</v>
      </c>
      <c r="BB412" s="118">
        <v>0</v>
      </c>
      <c r="BC412" s="118">
        <v>25.704000000000001</v>
      </c>
      <c r="BD412" s="118">
        <v>2.61</v>
      </c>
      <c r="BE412" s="118">
        <v>0</v>
      </c>
      <c r="BF412" t="s">
        <v>515</v>
      </c>
      <c r="BG412" t="s">
        <v>515</v>
      </c>
      <c r="BH412" s="118">
        <v>216.76900000000001</v>
      </c>
      <c r="BI412" s="118">
        <v>269.90800000000002</v>
      </c>
      <c r="BJ412" s="118">
        <v>383.25400000000002</v>
      </c>
      <c r="BK412" s="118">
        <v>392.83100000000002</v>
      </c>
      <c r="BL412" s="118">
        <v>301.24599999999998</v>
      </c>
      <c r="BM412" s="118">
        <v>299.24200000000002</v>
      </c>
      <c r="BN412" s="118">
        <v>305.077</v>
      </c>
      <c r="BO412" s="118">
        <v>539.02300000000002</v>
      </c>
    </row>
    <row r="413" spans="1:67" x14ac:dyDescent="0.25">
      <c r="A413" s="25">
        <v>10412</v>
      </c>
      <c r="B413" t="s">
        <v>437</v>
      </c>
      <c r="C413" t="s">
        <v>437</v>
      </c>
      <c r="D413" s="27" t="s">
        <v>473</v>
      </c>
      <c r="E413" s="27">
        <v>12</v>
      </c>
      <c r="F413" s="118">
        <v>661</v>
      </c>
      <c r="G413" t="s">
        <v>19</v>
      </c>
      <c r="H413" t="s">
        <v>8</v>
      </c>
      <c r="I413">
        <v>-4.5999999999999999E-3</v>
      </c>
      <c r="J413">
        <v>1.4</v>
      </c>
      <c r="K413">
        <v>1.7999999999999999E-2</v>
      </c>
      <c r="L413" s="111">
        <v>-7.7728426395939094E-3</v>
      </c>
      <c r="M413" s="140">
        <f t="shared" si="53"/>
        <v>0.05</v>
      </c>
      <c r="N413" s="140">
        <f t="shared" si="53"/>
        <v>1.4</v>
      </c>
      <c r="O413" s="140">
        <f t="shared" si="53"/>
        <v>0.05</v>
      </c>
      <c r="P413" s="140">
        <f t="shared" si="49"/>
        <v>0.05</v>
      </c>
      <c r="Q413" s="161">
        <v>0.38824831977577967</v>
      </c>
      <c r="R413" s="125">
        <v>2.5933333333333333</v>
      </c>
      <c r="S413">
        <v>1.6466666666666665</v>
      </c>
      <c r="T413">
        <v>2.0149118147101555</v>
      </c>
      <c r="U413">
        <v>1.0275919200163233</v>
      </c>
      <c r="V413" s="118" t="s">
        <v>515</v>
      </c>
      <c r="W413" t="s">
        <v>515</v>
      </c>
      <c r="X413" t="s">
        <v>515</v>
      </c>
      <c r="Y413">
        <f t="shared" si="50"/>
        <v>7</v>
      </c>
      <c r="Z413">
        <f t="shared" si="51"/>
        <v>18</v>
      </c>
      <c r="AA413">
        <f t="shared" si="52"/>
        <v>2024</v>
      </c>
      <c r="AB413" s="118" t="b">
        <v>0</v>
      </c>
      <c r="AC413" s="19">
        <v>45491</v>
      </c>
      <c r="AD413" s="19" t="s">
        <v>515</v>
      </c>
      <c r="AE413" t="s">
        <v>515</v>
      </c>
      <c r="AF413" s="19">
        <v>45491</v>
      </c>
      <c r="AG413" t="s">
        <v>515</v>
      </c>
      <c r="AH413" t="s">
        <v>515</v>
      </c>
      <c r="AI413" s="118">
        <v>745.3</v>
      </c>
      <c r="AJ413" s="118">
        <v>449.2</v>
      </c>
      <c r="AK413" s="118">
        <v>445.3</v>
      </c>
      <c r="AL413" s="118">
        <v>289</v>
      </c>
      <c r="AM413" s="118">
        <v>0.21</v>
      </c>
      <c r="AN413" s="118">
        <v>445</v>
      </c>
      <c r="AO413" s="118">
        <v>0.54600000000000004</v>
      </c>
      <c r="AP413" s="118">
        <v>0.54400000000000004</v>
      </c>
      <c r="AQ413" s="118">
        <v>0.77400000000000002</v>
      </c>
      <c r="AR413" s="118">
        <v>69</v>
      </c>
      <c r="AS413" s="118">
        <v>5.65</v>
      </c>
      <c r="AT413" s="118">
        <v>70.2</v>
      </c>
      <c r="AU413" s="118">
        <v>-85.951248250000006</v>
      </c>
      <c r="AV413" s="118">
        <v>40.711554790000001</v>
      </c>
      <c r="AW413" s="118">
        <v>227.4</v>
      </c>
      <c r="AX413" s="118">
        <v>204.6</v>
      </c>
      <c r="AY413" s="118">
        <v>7.91</v>
      </c>
      <c r="AZ413" s="118">
        <v>-76.3</v>
      </c>
      <c r="BA413" s="118">
        <v>11.9</v>
      </c>
      <c r="BB413" s="118">
        <v>0</v>
      </c>
      <c r="BC413" s="118">
        <v>25.448</v>
      </c>
      <c r="BD413" s="118">
        <v>2.9</v>
      </c>
      <c r="BE413" s="118">
        <v>0</v>
      </c>
      <c r="BF413" t="s">
        <v>515</v>
      </c>
      <c r="BG413" t="s">
        <v>515</v>
      </c>
      <c r="BH413" s="118">
        <v>223.977</v>
      </c>
      <c r="BI413" s="118">
        <v>290.70699999999999</v>
      </c>
      <c r="BJ413" s="118">
        <v>409.53699999999998</v>
      </c>
      <c r="BK413" s="118">
        <v>430.548</v>
      </c>
      <c r="BL413" s="118">
        <v>319.11200000000002</v>
      </c>
      <c r="BM413" s="118">
        <v>321.11500000000001</v>
      </c>
      <c r="BN413" s="118">
        <v>312.11799999999999</v>
      </c>
      <c r="BO413" s="118">
        <v>547.04999999999995</v>
      </c>
    </row>
    <row r="414" spans="1:67" x14ac:dyDescent="0.25">
      <c r="A414" s="25">
        <v>10413</v>
      </c>
      <c r="B414" t="s">
        <v>438</v>
      </c>
      <c r="C414" t="s">
        <v>438</v>
      </c>
      <c r="D414" s="27" t="s">
        <v>474</v>
      </c>
      <c r="E414" s="27">
        <v>13</v>
      </c>
      <c r="F414" s="118">
        <v>13553</v>
      </c>
      <c r="G414" t="s">
        <v>19</v>
      </c>
      <c r="H414" t="s">
        <v>8</v>
      </c>
      <c r="I414">
        <v>4.4000000000000003E-3</v>
      </c>
      <c r="J414">
        <v>1.5980000000000001</v>
      </c>
      <c r="K414">
        <v>6.0000000000000001E-3</v>
      </c>
      <c r="L414" s="111">
        <v>0.10881979695431472</v>
      </c>
      <c r="M414" s="140">
        <f t="shared" si="53"/>
        <v>0.05</v>
      </c>
      <c r="N414" s="140">
        <f t="shared" si="53"/>
        <v>1.5980000000000001</v>
      </c>
      <c r="O414" s="140">
        <f t="shared" si="53"/>
        <v>0.05</v>
      </c>
      <c r="P414" s="140">
        <f t="shared" si="49"/>
        <v>0.10881979695431472</v>
      </c>
      <c r="Q414" s="161">
        <v>0.35104990542288694</v>
      </c>
      <c r="R414" s="125">
        <v>37.883333333333333</v>
      </c>
      <c r="S414">
        <v>57.126666666666665</v>
      </c>
      <c r="T414">
        <v>2.3891641676658857</v>
      </c>
      <c r="U414">
        <v>1.2952923893083044</v>
      </c>
      <c r="V414" s="118" t="s">
        <v>515</v>
      </c>
      <c r="W414" t="s">
        <v>515</v>
      </c>
      <c r="X414" t="s">
        <v>515</v>
      </c>
      <c r="Y414">
        <f t="shared" si="50"/>
        <v>7</v>
      </c>
      <c r="Z414">
        <f t="shared" si="51"/>
        <v>18</v>
      </c>
      <c r="AA414">
        <f t="shared" si="52"/>
        <v>2024</v>
      </c>
      <c r="AB414" s="118" t="b">
        <v>0</v>
      </c>
      <c r="AC414" s="19">
        <v>45491</v>
      </c>
      <c r="AD414" s="19" t="s">
        <v>515</v>
      </c>
      <c r="AE414" t="s">
        <v>515</v>
      </c>
      <c r="AF414" s="19">
        <v>45491</v>
      </c>
      <c r="AG414" t="s">
        <v>515</v>
      </c>
      <c r="AH414" t="s">
        <v>515</v>
      </c>
      <c r="AI414" s="118">
        <v>745</v>
      </c>
      <c r="AJ414" s="118">
        <v>479.1</v>
      </c>
      <c r="AK414" s="118">
        <v>458.4</v>
      </c>
      <c r="AL414" s="118">
        <v>298</v>
      </c>
      <c r="AM414" s="118">
        <v>0.22</v>
      </c>
      <c r="AN414" s="118">
        <v>456.2</v>
      </c>
      <c r="AO414" s="118">
        <v>0.56899999999999995</v>
      </c>
      <c r="AP414" s="118">
        <v>0.56499999999999995</v>
      </c>
      <c r="AQ414" s="118">
        <v>0.80600000000000005</v>
      </c>
      <c r="AR414" s="118">
        <v>147.1</v>
      </c>
      <c r="AS414" s="118">
        <v>11.63</v>
      </c>
      <c r="AT414" s="118">
        <v>149.69999999999999</v>
      </c>
      <c r="AU414" s="118">
        <v>-85.841581189999999</v>
      </c>
      <c r="AV414" s="118">
        <v>40.672486220000003</v>
      </c>
      <c r="AW414" s="118">
        <v>223</v>
      </c>
      <c r="AX414" s="118">
        <v>205.3</v>
      </c>
      <c r="AY414" s="118">
        <v>8.5</v>
      </c>
      <c r="AZ414" s="118">
        <v>-112.4</v>
      </c>
      <c r="BA414" s="118">
        <v>11.9</v>
      </c>
      <c r="BB414" s="118">
        <v>0</v>
      </c>
      <c r="BC414" s="118">
        <v>27.364999999999998</v>
      </c>
      <c r="BD414" s="118">
        <v>5.45</v>
      </c>
      <c r="BE414" s="118">
        <v>0</v>
      </c>
      <c r="BF414" t="s">
        <v>515</v>
      </c>
      <c r="BG414" t="s">
        <v>515</v>
      </c>
      <c r="BH414" s="118">
        <v>186.71600000000001</v>
      </c>
      <c r="BI414" s="118">
        <v>231.79</v>
      </c>
      <c r="BJ414" s="118">
        <v>352.82299999999998</v>
      </c>
      <c r="BK414" s="118">
        <v>376.30900000000003</v>
      </c>
      <c r="BL414" s="118">
        <v>295.55200000000002</v>
      </c>
      <c r="BM414" s="118">
        <v>268.70800000000003</v>
      </c>
      <c r="BN414" s="118">
        <v>344.423</v>
      </c>
      <c r="BO414" s="118">
        <v>647.20299999999997</v>
      </c>
    </row>
    <row r="415" spans="1:67" x14ac:dyDescent="0.25">
      <c r="A415" s="25">
        <v>10414</v>
      </c>
      <c r="B415" t="s">
        <v>439</v>
      </c>
      <c r="C415" t="s">
        <v>439</v>
      </c>
      <c r="D415" s="27" t="s">
        <v>503</v>
      </c>
      <c r="E415" s="27">
        <v>1</v>
      </c>
      <c r="F415" s="118">
        <v>6865</v>
      </c>
      <c r="G415" t="s">
        <v>20</v>
      </c>
      <c r="H415" t="s">
        <v>8</v>
      </c>
      <c r="I415">
        <v>6.7999999999999996E-3</v>
      </c>
      <c r="J415">
        <v>3.931</v>
      </c>
      <c r="K415">
        <v>0.222</v>
      </c>
      <c r="L415" t="s">
        <v>515</v>
      </c>
      <c r="M415" s="140">
        <f t="shared" si="53"/>
        <v>0.05</v>
      </c>
      <c r="N415" s="140">
        <f t="shared" si="53"/>
        <v>3.931</v>
      </c>
      <c r="O415" s="140">
        <f t="shared" si="53"/>
        <v>0.222</v>
      </c>
      <c r="P415" s="140" t="str">
        <f t="shared" si="49"/>
        <v>NULL</v>
      </c>
      <c r="Q415" s="161">
        <v>0.14893269133829695</v>
      </c>
      <c r="R415" s="125">
        <v>34.623333333333335</v>
      </c>
      <c r="S415">
        <v>39.783333333333339</v>
      </c>
      <c r="T415" s="27">
        <v>3.9052463392929377</v>
      </c>
      <c r="U415" s="27">
        <v>2.9990462716453399</v>
      </c>
      <c r="V415" s="27" t="s">
        <v>515</v>
      </c>
      <c r="W415" t="s">
        <v>515</v>
      </c>
      <c r="X415" t="s">
        <v>515</v>
      </c>
      <c r="Y415">
        <f t="shared" si="50"/>
        <v>7</v>
      </c>
      <c r="Z415">
        <f t="shared" si="51"/>
        <v>22</v>
      </c>
      <c r="AA415">
        <f t="shared" si="52"/>
        <v>2024</v>
      </c>
      <c r="AB415" s="118" t="b">
        <v>0</v>
      </c>
      <c r="AC415" s="19">
        <v>45495</v>
      </c>
      <c r="AD415" s="19" t="s">
        <v>515</v>
      </c>
      <c r="AE415" t="s">
        <v>515</v>
      </c>
      <c r="AF415" s="19">
        <v>45495</v>
      </c>
      <c r="AG415" t="s">
        <v>515</v>
      </c>
      <c r="AH415" t="s">
        <v>515</v>
      </c>
      <c r="AI415" s="190">
        <v>744.3</v>
      </c>
      <c r="AJ415" s="190">
        <v>634.79999999999995</v>
      </c>
      <c r="AK415" s="190">
        <v>627.1</v>
      </c>
      <c r="AL415" s="190">
        <v>408</v>
      </c>
      <c r="AM415" s="190">
        <v>0.3</v>
      </c>
      <c r="AN415" s="190">
        <v>626.29999999999995</v>
      </c>
      <c r="AO415" s="190">
        <v>0.52300000000000002</v>
      </c>
      <c r="AP415" s="190">
        <v>0.51700000000000002</v>
      </c>
      <c r="AQ415" s="190">
        <v>0.74199999999999999</v>
      </c>
      <c r="AR415" s="190">
        <v>231.1</v>
      </c>
      <c r="AS415" s="190">
        <v>18.84</v>
      </c>
      <c r="AT415" s="190">
        <v>235.9</v>
      </c>
      <c r="AU415" s="190">
        <v>-86.807147639999997</v>
      </c>
      <c r="AV415" s="190">
        <v>40.835024840000003</v>
      </c>
      <c r="AW415" s="190">
        <v>200.1</v>
      </c>
      <c r="AX415" s="190">
        <v>177.1</v>
      </c>
      <c r="AY415" s="190">
        <v>8.33</v>
      </c>
      <c r="AZ415" s="190">
        <v>-101.4</v>
      </c>
      <c r="BA415" s="190">
        <v>11.9</v>
      </c>
      <c r="BB415" s="190">
        <v>0</v>
      </c>
      <c r="BC415" s="190">
        <v>25.643999999999998</v>
      </c>
      <c r="BD415" s="190">
        <v>5.27</v>
      </c>
      <c r="BE415" s="190">
        <v>0</v>
      </c>
      <c r="BF415" t="s">
        <v>515</v>
      </c>
      <c r="BG415" t="s">
        <v>515</v>
      </c>
      <c r="BH415" s="190">
        <v>223.55099999999999</v>
      </c>
      <c r="BI415" s="190">
        <v>269.37799999999999</v>
      </c>
      <c r="BJ415" s="190">
        <v>339.83800000000002</v>
      </c>
      <c r="BK415" s="190">
        <v>331.83</v>
      </c>
      <c r="BL415" s="190">
        <v>284.75299999999999</v>
      </c>
      <c r="BM415" s="190">
        <v>263.40899999999999</v>
      </c>
      <c r="BN415" s="190">
        <v>329.87200000000001</v>
      </c>
      <c r="BO415" s="190">
        <v>674.18600000000004</v>
      </c>
    </row>
    <row r="416" spans="1:67" x14ac:dyDescent="0.25">
      <c r="A416" s="25">
        <v>10415</v>
      </c>
      <c r="B416" t="s">
        <v>440</v>
      </c>
      <c r="C416" t="s">
        <v>440</v>
      </c>
      <c r="D416" s="27" t="s">
        <v>504</v>
      </c>
      <c r="E416" s="27">
        <v>5</v>
      </c>
      <c r="F416" s="118">
        <v>6425</v>
      </c>
      <c r="G416" t="s">
        <v>20</v>
      </c>
      <c r="H416" t="s">
        <v>8</v>
      </c>
      <c r="I416">
        <v>7.7000000000000002E-3</v>
      </c>
      <c r="J416">
        <v>4.1269999999999998</v>
      </c>
      <c r="K416">
        <v>0.22600000000000001</v>
      </c>
      <c r="L416" t="s">
        <v>515</v>
      </c>
      <c r="M416" s="140">
        <f t="shared" si="53"/>
        <v>0.05</v>
      </c>
      <c r="N416" s="140">
        <f t="shared" si="53"/>
        <v>4.1269999999999998</v>
      </c>
      <c r="O416" s="140">
        <f t="shared" si="53"/>
        <v>0.22600000000000001</v>
      </c>
      <c r="P416" s="140" t="str">
        <f t="shared" si="49"/>
        <v>NULL</v>
      </c>
      <c r="Q416" s="161">
        <v>9.6605479191300303E-2</v>
      </c>
      <c r="R416" s="125">
        <v>13.910000000000002</v>
      </c>
      <c r="S416">
        <v>15.016666666666666</v>
      </c>
      <c r="T416" s="27">
        <v>4.1646306933096024</v>
      </c>
      <c r="U416" s="27">
        <v>3.0262875817077872</v>
      </c>
      <c r="V416" s="27" t="s">
        <v>515</v>
      </c>
      <c r="W416" t="s">
        <v>515</v>
      </c>
      <c r="X416" t="s">
        <v>515</v>
      </c>
      <c r="Y416">
        <f t="shared" si="50"/>
        <v>7</v>
      </c>
      <c r="Z416">
        <f t="shared" si="51"/>
        <v>22</v>
      </c>
      <c r="AA416">
        <f t="shared" si="52"/>
        <v>2024</v>
      </c>
      <c r="AB416" s="118" t="b">
        <v>0</v>
      </c>
      <c r="AC416" s="19">
        <v>45495</v>
      </c>
      <c r="AD416" s="19" t="s">
        <v>515</v>
      </c>
      <c r="AE416" t="s">
        <v>515</v>
      </c>
      <c r="AF416" s="19">
        <v>45495</v>
      </c>
      <c r="AG416" t="s">
        <v>515</v>
      </c>
      <c r="AH416" t="s">
        <v>515</v>
      </c>
      <c r="AI416" s="118">
        <v>744.6</v>
      </c>
      <c r="AJ416" s="118">
        <v>575.79999999999995</v>
      </c>
      <c r="AK416" s="118">
        <v>567.79999999999995</v>
      </c>
      <c r="AL416" s="118">
        <v>369</v>
      </c>
      <c r="AM416" s="118">
        <v>0.27</v>
      </c>
      <c r="AN416" s="118">
        <v>567</v>
      </c>
      <c r="AO416" s="118">
        <v>0.55600000000000005</v>
      </c>
      <c r="AP416" s="118">
        <v>0.55900000000000005</v>
      </c>
      <c r="AQ416" s="118">
        <v>0.78900000000000003</v>
      </c>
      <c r="AR416" s="118">
        <v>237.2</v>
      </c>
      <c r="AS416" s="118">
        <v>19.309999999999999</v>
      </c>
      <c r="AT416" s="118">
        <v>242.1</v>
      </c>
      <c r="AU416" s="118">
        <v>-86.795836289999997</v>
      </c>
      <c r="AV416" s="118">
        <v>40.823874850000003</v>
      </c>
      <c r="AW416" s="118">
        <v>199.1</v>
      </c>
      <c r="AX416" s="118">
        <v>190.7</v>
      </c>
      <c r="AY416" s="118">
        <v>8.4</v>
      </c>
      <c r="AZ416" s="118">
        <v>-105.8</v>
      </c>
      <c r="BA416" s="118">
        <v>11.9</v>
      </c>
      <c r="BB416" s="118">
        <v>0</v>
      </c>
      <c r="BC416" s="118">
        <v>25.739000000000001</v>
      </c>
      <c r="BD416" s="118">
        <v>4.18</v>
      </c>
      <c r="BE416" s="118">
        <v>0</v>
      </c>
      <c r="BF416" t="s">
        <v>515</v>
      </c>
      <c r="BG416" t="s">
        <v>515</v>
      </c>
      <c r="BH416" s="190">
        <v>241.13900000000001</v>
      </c>
      <c r="BI416" s="190">
        <v>255.17</v>
      </c>
      <c r="BJ416" s="190">
        <v>310.64800000000002</v>
      </c>
      <c r="BK416" s="190">
        <v>289.35300000000001</v>
      </c>
      <c r="BL416" s="190">
        <v>256.58600000000001</v>
      </c>
      <c r="BM416" s="190">
        <v>245.93100000000001</v>
      </c>
      <c r="BN416" s="190">
        <v>303.709</v>
      </c>
      <c r="BO416" s="190">
        <v>660.69799999999998</v>
      </c>
    </row>
    <row r="417" spans="1:67" x14ac:dyDescent="0.25">
      <c r="A417" s="25">
        <v>10416</v>
      </c>
      <c r="B417" t="s">
        <v>441</v>
      </c>
      <c r="C417" t="s">
        <v>441</v>
      </c>
      <c r="D417" s="27" t="s">
        <v>483</v>
      </c>
      <c r="E417" s="27">
        <v>6</v>
      </c>
      <c r="F417" s="118">
        <v>8245</v>
      </c>
      <c r="G417" t="s">
        <v>20</v>
      </c>
      <c r="H417" t="s">
        <v>8</v>
      </c>
      <c r="I417">
        <v>2.06E-2</v>
      </c>
      <c r="J417">
        <v>2.7549999999999999</v>
      </c>
      <c r="K417">
        <v>0.28000000000000003</v>
      </c>
      <c r="L417" t="s">
        <v>515</v>
      </c>
      <c r="M417" s="140">
        <f t="shared" si="53"/>
        <v>0.05</v>
      </c>
      <c r="N417" s="140">
        <f t="shared" si="53"/>
        <v>2.7549999999999999</v>
      </c>
      <c r="O417" s="140">
        <f t="shared" si="53"/>
        <v>0.28000000000000003</v>
      </c>
      <c r="P417" s="140" t="str">
        <f t="shared" si="49"/>
        <v>NULL</v>
      </c>
      <c r="Q417" s="161">
        <v>0.34392617927543728</v>
      </c>
      <c r="R417" s="125">
        <v>0.95333333333333325</v>
      </c>
      <c r="S417">
        <v>1.2433333333333334</v>
      </c>
      <c r="T417" s="27">
        <v>5.2948655718253645</v>
      </c>
      <c r="U417" s="27">
        <v>1.9848623873945135</v>
      </c>
      <c r="V417" s="27" t="s">
        <v>515</v>
      </c>
      <c r="W417" t="s">
        <v>515</v>
      </c>
      <c r="X417" t="s">
        <v>515</v>
      </c>
      <c r="Y417">
        <f t="shared" si="50"/>
        <v>7</v>
      </c>
      <c r="Z417">
        <f t="shared" si="51"/>
        <v>22</v>
      </c>
      <c r="AA417">
        <f t="shared" si="52"/>
        <v>2024</v>
      </c>
      <c r="AB417" s="118" t="b">
        <v>0</v>
      </c>
      <c r="AC417" s="19">
        <v>45495</v>
      </c>
      <c r="AD417" s="19" t="s">
        <v>515</v>
      </c>
      <c r="AE417" t="s">
        <v>515</v>
      </c>
      <c r="AF417" s="19">
        <v>45495</v>
      </c>
      <c r="AG417" t="s">
        <v>515</v>
      </c>
      <c r="AH417" t="s">
        <v>515</v>
      </c>
      <c r="AI417" s="118">
        <v>744.1</v>
      </c>
      <c r="AJ417" s="118">
        <v>539.1</v>
      </c>
      <c r="AK417" s="118">
        <v>570.6</v>
      </c>
      <c r="AL417" s="118">
        <v>371</v>
      </c>
      <c r="AM417" s="118">
        <v>0.28000000000000003</v>
      </c>
      <c r="AN417" s="118">
        <v>573.6</v>
      </c>
      <c r="AO417" s="118">
        <v>0.48299999999999998</v>
      </c>
      <c r="AP417" s="118">
        <v>0.49099999999999999</v>
      </c>
      <c r="AQ417" s="118">
        <v>0.68500000000000005</v>
      </c>
      <c r="AR417" s="118">
        <v>80.3</v>
      </c>
      <c r="AS417" s="118">
        <v>7</v>
      </c>
      <c r="AT417" s="118">
        <v>82</v>
      </c>
      <c r="AU417" s="118">
        <v>-86.781764559999999</v>
      </c>
      <c r="AV417" s="118">
        <v>40.834882550000003</v>
      </c>
      <c r="AW417" s="118">
        <v>201.3</v>
      </c>
      <c r="AX417" s="118">
        <v>173.6</v>
      </c>
      <c r="AY417" s="118">
        <v>7.61</v>
      </c>
      <c r="AZ417" s="118">
        <v>-58</v>
      </c>
      <c r="BA417" s="118">
        <v>11.9</v>
      </c>
      <c r="BB417" s="118">
        <v>0</v>
      </c>
      <c r="BC417" s="118">
        <v>22.113</v>
      </c>
      <c r="BD417" s="118">
        <v>6.45</v>
      </c>
      <c r="BE417" s="118">
        <v>0</v>
      </c>
      <c r="BF417" t="s">
        <v>515</v>
      </c>
      <c r="BG417" t="s">
        <v>515</v>
      </c>
      <c r="BH417" s="190">
        <v>238.84</v>
      </c>
      <c r="BI417" s="190">
        <v>273.78300000000002</v>
      </c>
      <c r="BJ417" s="190">
        <v>337.49200000000002</v>
      </c>
      <c r="BK417" s="190">
        <v>327.20400000000001</v>
      </c>
      <c r="BL417" s="190">
        <v>301.18</v>
      </c>
      <c r="BM417" s="190">
        <v>308.54399999999998</v>
      </c>
      <c r="BN417" s="190">
        <v>324.46699999999998</v>
      </c>
      <c r="BO417" s="190">
        <v>658.43100000000004</v>
      </c>
    </row>
    <row r="418" spans="1:67" x14ac:dyDescent="0.25">
      <c r="A418" s="25">
        <v>10417</v>
      </c>
      <c r="B418" t="s">
        <v>442</v>
      </c>
      <c r="C418" t="s">
        <v>442</v>
      </c>
      <c r="D418" s="27" t="s">
        <v>484</v>
      </c>
      <c r="E418" s="27">
        <v>8</v>
      </c>
      <c r="F418" s="118">
        <v>5065</v>
      </c>
      <c r="G418" t="s">
        <v>20</v>
      </c>
      <c r="H418" t="s">
        <v>8</v>
      </c>
      <c r="I418">
        <v>2.35E-2</v>
      </c>
      <c r="J418">
        <v>2.8180000000000001</v>
      </c>
      <c r="K418">
        <v>0.23799999999999999</v>
      </c>
      <c r="L418" t="s">
        <v>515</v>
      </c>
      <c r="M418" s="140">
        <f t="shared" ref="M418:O433" si="54">IF(I418&lt;0.1,0.05,I418)</f>
        <v>0.05</v>
      </c>
      <c r="N418" s="140">
        <f t="shared" si="54"/>
        <v>2.8180000000000001</v>
      </c>
      <c r="O418" s="140">
        <f t="shared" si="54"/>
        <v>0.23799999999999999</v>
      </c>
      <c r="P418" s="140" t="str">
        <f t="shared" si="49"/>
        <v>NULL</v>
      </c>
      <c r="Q418" s="161">
        <v>0.12225287361321316</v>
      </c>
      <c r="R418" s="125">
        <v>4.26</v>
      </c>
      <c r="S418">
        <v>3.8433333333333337</v>
      </c>
      <c r="T418" s="27">
        <v>6.0839737885284375</v>
      </c>
      <c r="U418" s="27">
        <v>2.5371547254753954</v>
      </c>
      <c r="V418" s="27" t="s">
        <v>515</v>
      </c>
      <c r="W418" t="s">
        <v>515</v>
      </c>
      <c r="X418" t="s">
        <v>515</v>
      </c>
      <c r="Y418">
        <f t="shared" si="50"/>
        <v>7</v>
      </c>
      <c r="Z418">
        <f t="shared" si="51"/>
        <v>22</v>
      </c>
      <c r="AA418">
        <f t="shared" si="52"/>
        <v>2024</v>
      </c>
      <c r="AB418" s="118" t="b">
        <v>0</v>
      </c>
      <c r="AC418" s="19">
        <v>45495</v>
      </c>
      <c r="AD418" s="19" t="s">
        <v>515</v>
      </c>
      <c r="AE418" t="s">
        <v>515</v>
      </c>
      <c r="AF418" s="19">
        <v>45495</v>
      </c>
      <c r="AG418" t="s">
        <v>515</v>
      </c>
      <c r="AH418" t="s">
        <v>515</v>
      </c>
      <c r="AI418" s="118">
        <v>744.7</v>
      </c>
      <c r="AJ418" s="118">
        <v>536.79999999999995</v>
      </c>
      <c r="AK418" s="118">
        <v>567.70000000000005</v>
      </c>
      <c r="AL418" s="118">
        <v>369</v>
      </c>
      <c r="AM418" s="118">
        <v>0.27</v>
      </c>
      <c r="AN418" s="118">
        <v>570.70000000000005</v>
      </c>
      <c r="AO418" s="118">
        <v>0.50900000000000001</v>
      </c>
      <c r="AP418" s="118">
        <v>0.50600000000000001</v>
      </c>
      <c r="AQ418" s="118">
        <v>0.72199999999999998</v>
      </c>
      <c r="AR418" s="118">
        <v>85.7</v>
      </c>
      <c r="AS418" s="118">
        <v>7.46</v>
      </c>
      <c r="AT418" s="118">
        <v>87.5</v>
      </c>
      <c r="AU418" s="118">
        <v>-86.794299730000006</v>
      </c>
      <c r="AV418" s="118">
        <v>40.81108966</v>
      </c>
      <c r="AW418" s="118">
        <v>200.7</v>
      </c>
      <c r="AX418" s="118">
        <v>118.8</v>
      </c>
      <c r="AY418" s="118">
        <v>7.66</v>
      </c>
      <c r="AZ418" s="118">
        <v>-60.6</v>
      </c>
      <c r="BA418" s="118">
        <v>11.9</v>
      </c>
      <c r="BB418" s="118">
        <v>0</v>
      </c>
      <c r="BC418" s="118">
        <v>22.146000000000001</v>
      </c>
      <c r="BD418" s="118">
        <v>4.59</v>
      </c>
      <c r="BE418" s="118">
        <v>0</v>
      </c>
      <c r="BF418" t="s">
        <v>515</v>
      </c>
      <c r="BG418" t="s">
        <v>515</v>
      </c>
      <c r="BH418" s="190">
        <v>235.99100000000001</v>
      </c>
      <c r="BI418" s="190">
        <v>280.80700000000002</v>
      </c>
      <c r="BJ418" s="190">
        <v>331.60899999999998</v>
      </c>
      <c r="BK418" s="190">
        <v>319.83499999999998</v>
      </c>
      <c r="BL418" s="190">
        <v>290.66800000000001</v>
      </c>
      <c r="BM418" s="190">
        <v>294.43</v>
      </c>
      <c r="BN418" s="190">
        <v>306.63900000000001</v>
      </c>
      <c r="BO418" s="190">
        <v>604.51499999999999</v>
      </c>
    </row>
    <row r="419" spans="1:67" x14ac:dyDescent="0.25">
      <c r="A419" s="25">
        <v>10418</v>
      </c>
      <c r="B419" t="s">
        <v>443</v>
      </c>
      <c r="C419" t="s">
        <v>443</v>
      </c>
      <c r="D419" s="27" t="s">
        <v>485</v>
      </c>
      <c r="E419" s="27">
        <v>9</v>
      </c>
      <c r="F419" s="118">
        <v>3385</v>
      </c>
      <c r="G419" t="s">
        <v>20</v>
      </c>
      <c r="H419" t="s">
        <v>8</v>
      </c>
      <c r="I419">
        <v>1.83E-2</v>
      </c>
      <c r="J419">
        <v>3.3580000000000001</v>
      </c>
      <c r="K419">
        <v>0.27100000000000002</v>
      </c>
      <c r="L419" t="s">
        <v>515</v>
      </c>
      <c r="M419" s="140">
        <f t="shared" si="54"/>
        <v>0.05</v>
      </c>
      <c r="N419" s="140">
        <f t="shared" si="54"/>
        <v>3.3580000000000001</v>
      </c>
      <c r="O419" s="140">
        <f t="shared" si="54"/>
        <v>0.27100000000000002</v>
      </c>
      <c r="P419" s="140" t="str">
        <f t="shared" si="49"/>
        <v>NULL</v>
      </c>
      <c r="Q419" s="161">
        <v>0.10620028409122534</v>
      </c>
      <c r="R419" s="125">
        <v>6.6633333333333331</v>
      </c>
      <c r="S419">
        <v>5.46</v>
      </c>
      <c r="T419" s="27">
        <v>6.130491060593803</v>
      </c>
      <c r="U419" s="27">
        <v>2.3694693279798846</v>
      </c>
      <c r="V419" s="27" t="s">
        <v>515</v>
      </c>
      <c r="W419" t="s">
        <v>515</v>
      </c>
      <c r="X419" t="s">
        <v>515</v>
      </c>
      <c r="Y419">
        <f t="shared" si="50"/>
        <v>7</v>
      </c>
      <c r="Z419">
        <f t="shared" si="51"/>
        <v>22</v>
      </c>
      <c r="AA419">
        <f t="shared" si="52"/>
        <v>2024</v>
      </c>
      <c r="AB419" s="118" t="b">
        <v>0</v>
      </c>
      <c r="AC419" s="19">
        <v>45495</v>
      </c>
      <c r="AD419" s="19" t="s">
        <v>515</v>
      </c>
      <c r="AE419" t="s">
        <v>515</v>
      </c>
      <c r="AF419" s="19">
        <v>45495</v>
      </c>
      <c r="AG419" t="s">
        <v>515</v>
      </c>
      <c r="AH419" t="s">
        <v>515</v>
      </c>
      <c r="AI419" s="118">
        <v>744.9</v>
      </c>
      <c r="AJ419" s="118">
        <v>536.5</v>
      </c>
      <c r="AK419" s="118">
        <v>562.5</v>
      </c>
      <c r="AL419" s="118">
        <v>366</v>
      </c>
      <c r="AM419" s="118">
        <v>0.27</v>
      </c>
      <c r="AN419" s="118">
        <v>565.1</v>
      </c>
      <c r="AO419" s="118">
        <v>0.53100000000000003</v>
      </c>
      <c r="AP419" s="118">
        <v>0.52500000000000002</v>
      </c>
      <c r="AQ419" s="118">
        <v>0.754</v>
      </c>
      <c r="AR419" s="118">
        <v>84.9</v>
      </c>
      <c r="AS419" s="118">
        <v>7.33</v>
      </c>
      <c r="AT419" s="118">
        <v>86.6</v>
      </c>
      <c r="AU419" s="118">
        <v>-86.774830640000005</v>
      </c>
      <c r="AV419" s="118">
        <v>40.804242270000003</v>
      </c>
      <c r="AW419" s="118">
        <v>196.6</v>
      </c>
      <c r="AX419" s="118">
        <v>142.6</v>
      </c>
      <c r="AY419" s="118">
        <v>7.63</v>
      </c>
      <c r="AZ419" s="118">
        <v>-58.9</v>
      </c>
      <c r="BA419" s="118">
        <v>11.9</v>
      </c>
      <c r="BB419" s="118">
        <v>0</v>
      </c>
      <c r="BC419" s="118">
        <v>22.577000000000002</v>
      </c>
      <c r="BD419" s="118">
        <v>3.64</v>
      </c>
      <c r="BE419" s="118">
        <v>0</v>
      </c>
      <c r="BF419" t="s">
        <v>515</v>
      </c>
      <c r="BG419" t="s">
        <v>515</v>
      </c>
      <c r="BH419" s="190">
        <v>300.46800000000002</v>
      </c>
      <c r="BI419" s="190">
        <v>317.846</v>
      </c>
      <c r="BJ419" s="190">
        <v>367.35199999999998</v>
      </c>
      <c r="BK419" s="190">
        <v>354.84500000000003</v>
      </c>
      <c r="BL419" s="190">
        <v>313.608</v>
      </c>
      <c r="BM419" s="190">
        <v>310.59899999999999</v>
      </c>
      <c r="BN419" s="190">
        <v>349.387</v>
      </c>
      <c r="BO419" s="190">
        <v>731.42700000000002</v>
      </c>
    </row>
    <row r="420" spans="1:67" x14ac:dyDescent="0.25">
      <c r="A420" s="25">
        <v>10419</v>
      </c>
      <c r="B420" t="s">
        <v>444</v>
      </c>
      <c r="C420" t="s">
        <v>444</v>
      </c>
      <c r="D420" s="27" t="s">
        <v>486</v>
      </c>
      <c r="E420" s="27">
        <v>10</v>
      </c>
      <c r="F420" s="118">
        <v>2205</v>
      </c>
      <c r="G420" t="s">
        <v>20</v>
      </c>
      <c r="H420" t="s">
        <v>8</v>
      </c>
      <c r="I420">
        <v>6.3E-3</v>
      </c>
      <c r="J420">
        <v>2.7370000000000001</v>
      </c>
      <c r="K420">
        <v>0.23699999999999999</v>
      </c>
      <c r="L420" t="s">
        <v>515</v>
      </c>
      <c r="M420" s="140">
        <f t="shared" si="54"/>
        <v>0.05</v>
      </c>
      <c r="N420" s="140">
        <f t="shared" si="54"/>
        <v>2.7370000000000001</v>
      </c>
      <c r="O420" s="140">
        <f t="shared" si="54"/>
        <v>0.23699999999999999</v>
      </c>
      <c r="P420" s="140" t="str">
        <f t="shared" si="49"/>
        <v>NULL</v>
      </c>
      <c r="Q420" s="161">
        <v>0.10782122717448141</v>
      </c>
      <c r="R420" s="125">
        <v>8.9099999999999984</v>
      </c>
      <c r="S420">
        <v>7.996666666666667</v>
      </c>
      <c r="T420" s="27">
        <v>5.815488229107677</v>
      </c>
      <c r="U420" s="27">
        <v>2.1705068707830453</v>
      </c>
      <c r="V420" s="27" t="s">
        <v>515</v>
      </c>
      <c r="W420" t="s">
        <v>515</v>
      </c>
      <c r="X420" t="s">
        <v>515</v>
      </c>
      <c r="Y420">
        <f t="shared" si="50"/>
        <v>7</v>
      </c>
      <c r="Z420">
        <f t="shared" si="51"/>
        <v>22</v>
      </c>
      <c r="AA420">
        <f t="shared" si="52"/>
        <v>2024</v>
      </c>
      <c r="AB420" s="118" t="b">
        <v>0</v>
      </c>
      <c r="AC420" s="19">
        <v>45495</v>
      </c>
      <c r="AD420" s="19" t="s">
        <v>515</v>
      </c>
      <c r="AE420" t="s">
        <v>515</v>
      </c>
      <c r="AF420" s="19">
        <v>45495</v>
      </c>
      <c r="AG420" t="s">
        <v>515</v>
      </c>
      <c r="AH420" t="s">
        <v>515</v>
      </c>
      <c r="AI420" s="118">
        <v>744.7</v>
      </c>
      <c r="AJ420" s="118">
        <v>529.79999999999995</v>
      </c>
      <c r="AK420" s="118">
        <v>556.20000000000005</v>
      </c>
      <c r="AL420" s="118">
        <v>362</v>
      </c>
      <c r="AM420" s="118">
        <v>0.27</v>
      </c>
      <c r="AN420" s="118">
        <v>558.79999999999995</v>
      </c>
      <c r="AO420" s="118">
        <v>0.56000000000000005</v>
      </c>
      <c r="AP420" s="118">
        <v>0.55500000000000005</v>
      </c>
      <c r="AQ420" s="118">
        <v>0.79500000000000004</v>
      </c>
      <c r="AR420" s="118">
        <v>84.7</v>
      </c>
      <c r="AS420" s="118">
        <v>7.32</v>
      </c>
      <c r="AT420" s="118">
        <v>86.5</v>
      </c>
      <c r="AU420" s="118">
        <v>-86.774344880000001</v>
      </c>
      <c r="AV420" s="118">
        <v>40.794689409999997</v>
      </c>
      <c r="AW420" s="118">
        <v>202.8</v>
      </c>
      <c r="AX420" s="118">
        <v>181.4</v>
      </c>
      <c r="AY420" s="118">
        <v>7.64</v>
      </c>
      <c r="AZ420" s="118">
        <v>-59.7</v>
      </c>
      <c r="BA420" s="118">
        <v>11.9</v>
      </c>
      <c r="BB420" s="118">
        <v>0</v>
      </c>
      <c r="BC420" s="118">
        <v>22.51</v>
      </c>
      <c r="BD420" s="118">
        <v>3.89</v>
      </c>
      <c r="BE420" s="118">
        <v>0</v>
      </c>
      <c r="BF420" t="s">
        <v>515</v>
      </c>
      <c r="BG420" t="s">
        <v>515</v>
      </c>
      <c r="BH420" s="190">
        <v>366.815</v>
      </c>
      <c r="BI420" s="190">
        <v>366.666</v>
      </c>
      <c r="BJ420" s="190">
        <v>422.29599999999999</v>
      </c>
      <c r="BK420" s="190">
        <v>398.85700000000003</v>
      </c>
      <c r="BL420" s="190">
        <v>367.71499999999997</v>
      </c>
      <c r="BM420" s="190">
        <v>366.13499999999999</v>
      </c>
      <c r="BN420" s="190">
        <v>381.11099999999999</v>
      </c>
      <c r="BO420" s="190">
        <v>633.05700000000002</v>
      </c>
    </row>
    <row r="421" spans="1:67" x14ac:dyDescent="0.25">
      <c r="A421" s="25">
        <v>10420</v>
      </c>
      <c r="B421" t="s">
        <v>445</v>
      </c>
      <c r="C421" t="s">
        <v>445</v>
      </c>
      <c r="D421" s="27" t="s">
        <v>487</v>
      </c>
      <c r="E421" s="27">
        <v>11</v>
      </c>
      <c r="F421" s="118">
        <v>1385</v>
      </c>
      <c r="G421" t="s">
        <v>20</v>
      </c>
      <c r="H421" t="s">
        <v>8</v>
      </c>
      <c r="I421">
        <v>9.5999999999999992E-3</v>
      </c>
      <c r="J421">
        <v>3.3069999999999999</v>
      </c>
      <c r="K421">
        <v>0.27100000000000002</v>
      </c>
      <c r="L421" t="s">
        <v>515</v>
      </c>
      <c r="M421" s="140">
        <f t="shared" si="54"/>
        <v>0.05</v>
      </c>
      <c r="N421" s="140">
        <f t="shared" si="54"/>
        <v>3.3069999999999999</v>
      </c>
      <c r="O421" s="140">
        <f t="shared" si="54"/>
        <v>0.27100000000000002</v>
      </c>
      <c r="P421" s="140" t="str">
        <f t="shared" si="49"/>
        <v>NULL</v>
      </c>
      <c r="Q421" s="161">
        <v>7.2312840697886044E-2</v>
      </c>
      <c r="R421" s="125">
        <v>13.160000000000002</v>
      </c>
      <c r="S421">
        <v>7.003333333333333</v>
      </c>
      <c r="T421" s="27">
        <v>5.1430102742496562</v>
      </c>
      <c r="U421" s="27">
        <v>2.8953275059260948</v>
      </c>
      <c r="V421" s="27" t="s">
        <v>515</v>
      </c>
      <c r="W421" t="s">
        <v>515</v>
      </c>
      <c r="X421" t="s">
        <v>515</v>
      </c>
      <c r="Y421">
        <f t="shared" si="50"/>
        <v>7</v>
      </c>
      <c r="Z421">
        <f t="shared" si="51"/>
        <v>22</v>
      </c>
      <c r="AA421">
        <f t="shared" si="52"/>
        <v>2024</v>
      </c>
      <c r="AB421" s="118" t="b">
        <v>0</v>
      </c>
      <c r="AC421" s="19">
        <v>45495</v>
      </c>
      <c r="AD421" s="19" t="s">
        <v>515</v>
      </c>
      <c r="AE421" t="s">
        <v>515</v>
      </c>
      <c r="AF421" s="19">
        <v>45495</v>
      </c>
      <c r="AG421" t="s">
        <v>515</v>
      </c>
      <c r="AH421" t="s">
        <v>515</v>
      </c>
      <c r="AI421" s="118">
        <v>744.6</v>
      </c>
      <c r="AJ421" s="118">
        <v>596.70000000000005</v>
      </c>
      <c r="AK421" s="118">
        <v>617.4</v>
      </c>
      <c r="AL421" s="118">
        <v>401</v>
      </c>
      <c r="AM421" s="118">
        <v>0.3</v>
      </c>
      <c r="AN421" s="118">
        <v>619.5</v>
      </c>
      <c r="AO421" s="118">
        <v>0.53200000000000003</v>
      </c>
      <c r="AP421" s="118">
        <v>0.54200000000000004</v>
      </c>
      <c r="AQ421" s="118">
        <v>0.755</v>
      </c>
      <c r="AR421" s="118">
        <v>116.6</v>
      </c>
      <c r="AS421" s="118">
        <v>9.94</v>
      </c>
      <c r="AT421" s="118">
        <v>119</v>
      </c>
      <c r="AU421" s="118">
        <v>-86.772130180000005</v>
      </c>
      <c r="AV421" s="118">
        <v>40.78862204</v>
      </c>
      <c r="AW421" s="118">
        <v>200.6</v>
      </c>
      <c r="AX421" s="118">
        <v>208.7</v>
      </c>
      <c r="AY421" s="118">
        <v>7.89</v>
      </c>
      <c r="AZ421" s="118">
        <v>-74.599999999999994</v>
      </c>
      <c r="BA421" s="118">
        <v>11.9</v>
      </c>
      <c r="BB421" s="118">
        <v>0</v>
      </c>
      <c r="BC421" s="118">
        <v>23.24</v>
      </c>
      <c r="BD421" s="118">
        <v>4.29</v>
      </c>
      <c r="BE421" s="118">
        <v>0</v>
      </c>
      <c r="BF421" t="s">
        <v>515</v>
      </c>
      <c r="BG421" t="s">
        <v>515</v>
      </c>
      <c r="BH421" s="190"/>
      <c r="BI421" s="190"/>
      <c r="BJ421" s="190"/>
      <c r="BK421" s="190"/>
      <c r="BL421" s="190"/>
      <c r="BM421" s="190"/>
      <c r="BN421" s="190"/>
      <c r="BO421" s="190"/>
    </row>
    <row r="422" spans="1:67" x14ac:dyDescent="0.25">
      <c r="A422" s="25">
        <v>10421</v>
      </c>
      <c r="B422" t="s">
        <v>446</v>
      </c>
      <c r="C422" t="s">
        <v>446</v>
      </c>
      <c r="D422" s="27" t="s">
        <v>488</v>
      </c>
      <c r="E422" s="27">
        <v>12</v>
      </c>
      <c r="F422" s="118">
        <v>275</v>
      </c>
      <c r="G422" t="s">
        <v>20</v>
      </c>
      <c r="H422" t="s">
        <v>8</v>
      </c>
      <c r="I422">
        <v>-5.45E-2</v>
      </c>
      <c r="J422">
        <v>2.8460000000000001</v>
      </c>
      <c r="K422">
        <v>0.214</v>
      </c>
      <c r="L422" t="s">
        <v>515</v>
      </c>
      <c r="M422" s="140">
        <f t="shared" si="54"/>
        <v>0.05</v>
      </c>
      <c r="N422" s="140">
        <f t="shared" si="54"/>
        <v>2.8460000000000001</v>
      </c>
      <c r="O422" s="140">
        <f t="shared" si="54"/>
        <v>0.214</v>
      </c>
      <c r="P422" s="140" t="str">
        <f t="shared" si="49"/>
        <v>NULL</v>
      </c>
      <c r="Q422" s="161">
        <v>0.49193282153122631</v>
      </c>
      <c r="R422" s="125">
        <v>4.34</v>
      </c>
      <c r="S422">
        <v>5.8166666666666673</v>
      </c>
      <c r="T422" s="27">
        <v>5.1414934066823079</v>
      </c>
      <c r="U422" s="27">
        <v>2.0764739041971154</v>
      </c>
      <c r="V422" s="27" t="s">
        <v>515</v>
      </c>
      <c r="W422" t="s">
        <v>515</v>
      </c>
      <c r="X422" t="s">
        <v>515</v>
      </c>
      <c r="Y422">
        <f t="shared" si="50"/>
        <v>7</v>
      </c>
      <c r="Z422">
        <f t="shared" si="51"/>
        <v>22</v>
      </c>
      <c r="AA422">
        <f t="shared" si="52"/>
        <v>2024</v>
      </c>
      <c r="AB422" s="118" t="b">
        <v>0</v>
      </c>
      <c r="AC422" s="19">
        <v>45495</v>
      </c>
      <c r="AD422" s="19" t="s">
        <v>515</v>
      </c>
      <c r="AE422" t="s">
        <v>515</v>
      </c>
      <c r="AF422" s="19">
        <v>45495</v>
      </c>
      <c r="AG422" t="s">
        <v>515</v>
      </c>
      <c r="AH422" t="s">
        <v>515</v>
      </c>
      <c r="AI422" s="118">
        <v>744.7</v>
      </c>
      <c r="AJ422" s="118">
        <v>533.79999999999995</v>
      </c>
      <c r="AK422" s="118">
        <v>559.9</v>
      </c>
      <c r="AL422" s="118">
        <v>364</v>
      </c>
      <c r="AM422" s="118">
        <v>0.27</v>
      </c>
      <c r="AN422" s="118">
        <v>562.5</v>
      </c>
      <c r="AO422" s="118">
        <v>0.51900000000000002</v>
      </c>
      <c r="AP422" s="118">
        <v>0.52400000000000002</v>
      </c>
      <c r="AQ422" s="118">
        <v>0.73599999999999999</v>
      </c>
      <c r="AR422" s="118">
        <v>84.5</v>
      </c>
      <c r="AS422" s="118">
        <v>7.3</v>
      </c>
      <c r="AT422" s="118">
        <v>86.3</v>
      </c>
      <c r="AU422" s="118">
        <v>-86.762205379999997</v>
      </c>
      <c r="AV422" s="118">
        <v>40.782380209999999</v>
      </c>
      <c r="AW422" s="118">
        <v>201.9</v>
      </c>
      <c r="AX422" s="118">
        <v>216.2</v>
      </c>
      <c r="AY422" s="118">
        <v>7.64</v>
      </c>
      <c r="AZ422" s="118">
        <v>-59.5</v>
      </c>
      <c r="BA422" s="118">
        <v>11.9</v>
      </c>
      <c r="BB422" s="118">
        <v>0</v>
      </c>
      <c r="BC422" s="118">
        <v>22.553999999999998</v>
      </c>
      <c r="BD422" s="118">
        <v>4.09</v>
      </c>
      <c r="BE422" s="118">
        <v>0</v>
      </c>
      <c r="BF422" t="s">
        <v>515</v>
      </c>
      <c r="BG422" t="s">
        <v>515</v>
      </c>
      <c r="BH422" s="190"/>
      <c r="BI422" s="190"/>
      <c r="BJ422" s="190"/>
      <c r="BK422" s="190"/>
      <c r="BL422" s="190"/>
      <c r="BM422" s="190"/>
      <c r="BN422" s="190"/>
      <c r="BO422" s="190"/>
    </row>
    <row r="423" spans="1:67" x14ac:dyDescent="0.25">
      <c r="A423" s="25">
        <v>10422</v>
      </c>
      <c r="B423" t="s">
        <v>447</v>
      </c>
      <c r="C423" t="s">
        <v>447</v>
      </c>
      <c r="D423" s="27" t="s">
        <v>489</v>
      </c>
      <c r="E423" s="27">
        <v>14</v>
      </c>
      <c r="F423" s="118">
        <v>4225</v>
      </c>
      <c r="G423" t="s">
        <v>20</v>
      </c>
      <c r="H423" t="s">
        <v>8</v>
      </c>
      <c r="I423">
        <v>1.78E-2</v>
      </c>
      <c r="J423">
        <v>2.58</v>
      </c>
      <c r="K423">
        <v>0.25900000000000001</v>
      </c>
      <c r="L423" t="s">
        <v>515</v>
      </c>
      <c r="M423" s="140">
        <f t="shared" si="54"/>
        <v>0.05</v>
      </c>
      <c r="N423" s="140">
        <f t="shared" si="54"/>
        <v>2.58</v>
      </c>
      <c r="O423" s="140">
        <f t="shared" si="54"/>
        <v>0.25900000000000001</v>
      </c>
      <c r="P423" s="140" t="str">
        <f t="shared" si="49"/>
        <v>NULL</v>
      </c>
      <c r="Q423" s="161">
        <v>3.8508132716297092E-2</v>
      </c>
      <c r="R423" s="125">
        <v>5.1099999999999994</v>
      </c>
      <c r="S423">
        <v>4.5166666666666666</v>
      </c>
      <c r="T423" s="27">
        <v>5.2107636922579079</v>
      </c>
      <c r="U423" s="27">
        <v>2.0324842331333111</v>
      </c>
      <c r="V423" s="27" t="s">
        <v>515</v>
      </c>
      <c r="W423" t="s">
        <v>515</v>
      </c>
      <c r="X423" t="s">
        <v>515</v>
      </c>
      <c r="Y423">
        <f t="shared" si="50"/>
        <v>7</v>
      </c>
      <c r="Z423">
        <f t="shared" si="51"/>
        <v>22</v>
      </c>
      <c r="AA423">
        <f t="shared" si="52"/>
        <v>2024</v>
      </c>
      <c r="AB423" s="118" t="b">
        <v>0</v>
      </c>
      <c r="AC423" s="19">
        <v>45495</v>
      </c>
      <c r="AD423" s="19" t="s">
        <v>515</v>
      </c>
      <c r="AE423" t="s">
        <v>515</v>
      </c>
      <c r="AF423" s="19">
        <v>45495</v>
      </c>
      <c r="AG423" t="s">
        <v>515</v>
      </c>
      <c r="AH423" t="s">
        <v>515</v>
      </c>
      <c r="AI423" s="118">
        <v>744.7</v>
      </c>
      <c r="AJ423" s="118">
        <v>538</v>
      </c>
      <c r="AK423" s="118">
        <v>569.70000000000005</v>
      </c>
      <c r="AL423" s="118">
        <v>370</v>
      </c>
      <c r="AM423" s="118">
        <v>0.28000000000000003</v>
      </c>
      <c r="AN423" s="118">
        <v>572.79999999999995</v>
      </c>
      <c r="AO423" s="118">
        <v>0.49199999999999999</v>
      </c>
      <c r="AP423" s="118">
        <v>0.51700000000000002</v>
      </c>
      <c r="AQ423" s="118">
        <v>0.69799999999999995</v>
      </c>
      <c r="AR423" s="118">
        <v>84.3</v>
      </c>
      <c r="AS423" s="118">
        <v>7.35</v>
      </c>
      <c r="AT423" s="118">
        <v>86</v>
      </c>
      <c r="AU423" s="118">
        <v>-86.785247049999995</v>
      </c>
      <c r="AV423" s="118">
        <v>40.807313710000003</v>
      </c>
      <c r="AW423" s="118">
        <v>198.9</v>
      </c>
      <c r="AX423" s="118">
        <v>183.3</v>
      </c>
      <c r="AY423" s="118">
        <v>7.68</v>
      </c>
      <c r="AZ423" s="118">
        <v>-61.8</v>
      </c>
      <c r="BA423" s="118">
        <v>11.9</v>
      </c>
      <c r="BB423" s="118">
        <v>0</v>
      </c>
      <c r="BC423" s="118">
        <v>22.088999999999999</v>
      </c>
      <c r="BD423" s="118">
        <v>4.03</v>
      </c>
      <c r="BE423" s="118">
        <v>0</v>
      </c>
      <c r="BF423" t="s">
        <v>515</v>
      </c>
      <c r="BG423" t="s">
        <v>515</v>
      </c>
      <c r="BH423" s="190"/>
      <c r="BI423" s="190"/>
      <c r="BJ423" s="190"/>
      <c r="BK423" s="190"/>
      <c r="BL423" s="190"/>
      <c r="BM423" s="190"/>
      <c r="BN423" s="190"/>
      <c r="BO423" s="190"/>
    </row>
    <row r="424" spans="1:67" x14ac:dyDescent="0.25">
      <c r="A424" s="25">
        <v>10423</v>
      </c>
      <c r="B424" t="s">
        <v>448</v>
      </c>
      <c r="C424" t="s">
        <v>448</v>
      </c>
      <c r="D424" s="27" t="s">
        <v>490</v>
      </c>
      <c r="E424" s="27">
        <v>15</v>
      </c>
      <c r="F424" s="118">
        <v>2905</v>
      </c>
      <c r="G424" t="s">
        <v>20</v>
      </c>
      <c r="H424" t="s">
        <v>8</v>
      </c>
      <c r="I424">
        <v>1.11E-2</v>
      </c>
      <c r="J424">
        <v>2.4369999999999998</v>
      </c>
      <c r="K424">
        <v>0.26300000000000001</v>
      </c>
      <c r="L424" t="s">
        <v>515</v>
      </c>
      <c r="M424" s="140">
        <f t="shared" si="54"/>
        <v>0.05</v>
      </c>
      <c r="N424" s="140">
        <f t="shared" si="54"/>
        <v>2.4369999999999998</v>
      </c>
      <c r="O424" s="140">
        <f t="shared" si="54"/>
        <v>0.26300000000000001</v>
      </c>
      <c r="P424" s="140" t="str">
        <f t="shared" si="49"/>
        <v>NULL</v>
      </c>
      <c r="Q424" s="161">
        <v>1.1616613765205942E-2</v>
      </c>
      <c r="R424" s="125">
        <v>5.666666666666667</v>
      </c>
      <c r="S424">
        <v>6.3999999999999995</v>
      </c>
      <c r="T424" s="27">
        <v>5.1162122805598251</v>
      </c>
      <c r="U424" s="27">
        <v>2.0552862185929892</v>
      </c>
      <c r="V424" s="27" t="s">
        <v>515</v>
      </c>
      <c r="W424" t="s">
        <v>515</v>
      </c>
      <c r="X424" t="s">
        <v>515</v>
      </c>
      <c r="Y424">
        <f t="shared" si="50"/>
        <v>7</v>
      </c>
      <c r="Z424">
        <f t="shared" si="51"/>
        <v>22</v>
      </c>
      <c r="AA424">
        <f t="shared" si="52"/>
        <v>2024</v>
      </c>
      <c r="AB424" s="118" t="b">
        <v>0</v>
      </c>
      <c r="AC424" s="19">
        <v>45495</v>
      </c>
      <c r="AD424" s="19" t="s">
        <v>515</v>
      </c>
      <c r="AE424" t="s">
        <v>515</v>
      </c>
      <c r="AF424" s="19">
        <v>45495</v>
      </c>
      <c r="AG424" t="s">
        <v>515</v>
      </c>
      <c r="AH424" t="s">
        <v>515</v>
      </c>
      <c r="AI424" s="118">
        <v>744.8</v>
      </c>
      <c r="AJ424" s="118">
        <v>537.29999999999995</v>
      </c>
      <c r="AK424" s="118">
        <v>561.5</v>
      </c>
      <c r="AL424" s="118">
        <v>365</v>
      </c>
      <c r="AM424" s="118">
        <v>0.27</v>
      </c>
      <c r="AN424" s="118">
        <v>563.9</v>
      </c>
      <c r="AO424" s="118">
        <v>0.55500000000000005</v>
      </c>
      <c r="AP424" s="118">
        <v>0.55600000000000005</v>
      </c>
      <c r="AQ424" s="118">
        <v>0.78700000000000003</v>
      </c>
      <c r="AR424" s="118">
        <v>84.1</v>
      </c>
      <c r="AS424" s="118">
        <v>7.24</v>
      </c>
      <c r="AT424" s="118">
        <v>85.8</v>
      </c>
      <c r="AU424" s="118">
        <v>-86.777779629999998</v>
      </c>
      <c r="AV424" s="118">
        <v>40.799243930000003</v>
      </c>
      <c r="AW424" s="118">
        <v>196.7</v>
      </c>
      <c r="AX424" s="118">
        <v>148.5</v>
      </c>
      <c r="AY424" s="118">
        <v>7.64</v>
      </c>
      <c r="AZ424" s="118">
        <v>-59.6</v>
      </c>
      <c r="BA424" s="118">
        <v>11.9</v>
      </c>
      <c r="BB424" s="118">
        <v>0</v>
      </c>
      <c r="BC424" s="118">
        <v>22.744</v>
      </c>
      <c r="BD424" s="118">
        <v>3.3</v>
      </c>
      <c r="BE424" s="118">
        <v>0</v>
      </c>
      <c r="BF424" t="s">
        <v>515</v>
      </c>
      <c r="BG424" t="s">
        <v>515</v>
      </c>
      <c r="BH424" s="190"/>
      <c r="BI424" s="190"/>
      <c r="BJ424" s="190"/>
      <c r="BK424" s="190"/>
      <c r="BL424" s="190"/>
      <c r="BM424" s="190"/>
      <c r="BN424" s="190"/>
      <c r="BO424" s="190"/>
    </row>
    <row r="425" spans="1:67" x14ac:dyDescent="0.25">
      <c r="A425" s="25">
        <v>10424</v>
      </c>
      <c r="B425" t="s">
        <v>449</v>
      </c>
      <c r="C425" t="s">
        <v>449</v>
      </c>
      <c r="D425" s="27" t="s">
        <v>491</v>
      </c>
      <c r="E425" s="27">
        <v>1</v>
      </c>
      <c r="F425" s="118">
        <v>5210</v>
      </c>
      <c r="G425" t="s">
        <v>22</v>
      </c>
      <c r="H425" t="s">
        <v>8</v>
      </c>
      <c r="I425">
        <v>-0.49590000000000001</v>
      </c>
      <c r="J425">
        <v>2.0409999999999999</v>
      </c>
      <c r="K425">
        <v>7.0000000000000001E-3</v>
      </c>
      <c r="L425" t="s">
        <v>515</v>
      </c>
      <c r="M425" s="140">
        <f t="shared" si="54"/>
        <v>0.05</v>
      </c>
      <c r="N425" s="140">
        <f t="shared" si="54"/>
        <v>2.0409999999999999</v>
      </c>
      <c r="O425" s="140">
        <f t="shared" si="54"/>
        <v>0.05</v>
      </c>
      <c r="P425" s="140" t="str">
        <f t="shared" si="49"/>
        <v>NULL</v>
      </c>
      <c r="Q425" s="161">
        <v>7.5530942574200344E-2</v>
      </c>
      <c r="R425" s="125">
        <v>3.5533333333333332</v>
      </c>
      <c r="S425">
        <v>3.84</v>
      </c>
      <c r="T425">
        <v>3.6585033981074062</v>
      </c>
      <c r="U425">
        <v>1.5611564986737401</v>
      </c>
      <c r="V425" s="118" t="s">
        <v>515</v>
      </c>
      <c r="W425" t="s">
        <v>515</v>
      </c>
      <c r="X425" t="s">
        <v>515</v>
      </c>
      <c r="Y425">
        <f t="shared" si="50"/>
        <v>7</v>
      </c>
      <c r="Z425">
        <f t="shared" si="51"/>
        <v>23</v>
      </c>
      <c r="AA425">
        <f t="shared" si="52"/>
        <v>2024</v>
      </c>
      <c r="AB425" s="118" t="b">
        <v>0</v>
      </c>
      <c r="AC425" s="19">
        <v>45496</v>
      </c>
      <c r="AD425" s="19" t="s">
        <v>515</v>
      </c>
      <c r="AE425" t="s">
        <v>515</v>
      </c>
      <c r="AF425" s="19">
        <v>45496</v>
      </c>
      <c r="AG425" t="s">
        <v>515</v>
      </c>
      <c r="AH425" t="s">
        <v>515</v>
      </c>
      <c r="AI425" s="118">
        <v>742.3</v>
      </c>
      <c r="AJ425" s="118">
        <v>343.2</v>
      </c>
      <c r="AK425" s="118">
        <v>327.3</v>
      </c>
      <c r="AL425" s="118">
        <v>213</v>
      </c>
      <c r="AM425" s="118">
        <v>0.15</v>
      </c>
      <c r="AN425" s="118">
        <v>325.60000000000002</v>
      </c>
      <c r="AO425" s="118">
        <v>0.53</v>
      </c>
      <c r="AP425" s="118">
        <v>0.53300000000000003</v>
      </c>
      <c r="AQ425" s="118">
        <v>0.751</v>
      </c>
      <c r="AR425" s="118">
        <v>177.3</v>
      </c>
      <c r="AS425" s="118">
        <v>13.98</v>
      </c>
      <c r="AT425" s="118">
        <v>181</v>
      </c>
      <c r="AU425" s="118">
        <v>-85.645051519999996</v>
      </c>
      <c r="AV425" s="118">
        <v>40.772296269999998</v>
      </c>
      <c r="AW425" s="118">
        <v>231.1</v>
      </c>
      <c r="AX425" s="118">
        <v>232.3</v>
      </c>
      <c r="AY425" s="118">
        <v>8.8000000000000007</v>
      </c>
      <c r="AZ425" s="118">
        <v>-128</v>
      </c>
      <c r="BA425" s="118">
        <v>11.9</v>
      </c>
      <c r="BB425" s="118">
        <v>0</v>
      </c>
      <c r="BC425" s="118">
        <v>27.541</v>
      </c>
      <c r="BD425" s="118">
        <v>4.41</v>
      </c>
      <c r="BE425" s="118">
        <v>0</v>
      </c>
      <c r="BF425" t="s">
        <v>515</v>
      </c>
      <c r="BG425" t="s">
        <v>515</v>
      </c>
      <c r="BH425" s="118">
        <v>478.19799999999998</v>
      </c>
      <c r="BI425" s="118">
        <v>411.846</v>
      </c>
      <c r="BJ425" s="118">
        <v>531.19500000000005</v>
      </c>
      <c r="BK425" s="118">
        <v>577.43600000000004</v>
      </c>
      <c r="BL425" s="118">
        <v>487.52499999999998</v>
      </c>
      <c r="BM425" s="118">
        <v>387.245</v>
      </c>
      <c r="BN425" s="118">
        <v>441.66899999999998</v>
      </c>
      <c r="BO425" s="118">
        <v>653.63699999999994</v>
      </c>
    </row>
    <row r="426" spans="1:67" x14ac:dyDescent="0.25">
      <c r="A426" s="25">
        <v>10425</v>
      </c>
      <c r="B426" t="s">
        <v>450</v>
      </c>
      <c r="C426" t="s">
        <v>450</v>
      </c>
      <c r="D426" s="27" t="s">
        <v>492</v>
      </c>
      <c r="E426" s="27">
        <v>2</v>
      </c>
      <c r="F426" s="118">
        <v>5430</v>
      </c>
      <c r="G426" t="s">
        <v>22</v>
      </c>
      <c r="H426" t="s">
        <v>8</v>
      </c>
      <c r="I426">
        <v>-0.49669999999999997</v>
      </c>
      <c r="J426">
        <v>2.0510000000000002</v>
      </c>
      <c r="K426">
        <v>3.0000000000000001E-3</v>
      </c>
      <c r="L426" t="s">
        <v>515</v>
      </c>
      <c r="M426" s="140">
        <f t="shared" si="54"/>
        <v>0.05</v>
      </c>
      <c r="N426" s="140">
        <f t="shared" si="54"/>
        <v>2.0510000000000002</v>
      </c>
      <c r="O426" s="140">
        <f t="shared" si="54"/>
        <v>0.05</v>
      </c>
      <c r="P426" s="140" t="str">
        <f t="shared" si="49"/>
        <v>NULL</v>
      </c>
      <c r="Q426" s="161">
        <v>7.3831099770517356E-2</v>
      </c>
      <c r="R426" s="125">
        <v>12.003333333333332</v>
      </c>
      <c r="S426">
        <v>16.830000000000002</v>
      </c>
      <c r="T426">
        <v>3.641523430241822</v>
      </c>
      <c r="U426">
        <v>1.532998979800041</v>
      </c>
      <c r="V426" s="118" t="s">
        <v>515</v>
      </c>
      <c r="W426" t="s">
        <v>515</v>
      </c>
      <c r="X426" t="s">
        <v>515</v>
      </c>
      <c r="Y426">
        <f t="shared" si="50"/>
        <v>7</v>
      </c>
      <c r="Z426">
        <f t="shared" si="51"/>
        <v>23</v>
      </c>
      <c r="AA426">
        <f t="shared" si="52"/>
        <v>2024</v>
      </c>
      <c r="AB426" s="118" t="b">
        <v>0</v>
      </c>
      <c r="AC426" s="19">
        <v>45496</v>
      </c>
      <c r="AD426" s="19" t="s">
        <v>515</v>
      </c>
      <c r="AE426" t="s">
        <v>515</v>
      </c>
      <c r="AF426" s="19">
        <v>45496</v>
      </c>
      <c r="AG426" t="s">
        <v>515</v>
      </c>
      <c r="AH426" t="s">
        <v>515</v>
      </c>
      <c r="AI426" s="118">
        <v>742.2</v>
      </c>
      <c r="AJ426" s="118">
        <v>341.2</v>
      </c>
      <c r="AK426" s="118">
        <v>327</v>
      </c>
      <c r="AL426" s="118">
        <v>213</v>
      </c>
      <c r="AM426" s="118">
        <v>0.15</v>
      </c>
      <c r="AN426" s="118">
        <v>325.39999999999998</v>
      </c>
      <c r="AO426" s="118">
        <v>0.62</v>
      </c>
      <c r="AP426" s="118">
        <v>0.64900000000000002</v>
      </c>
      <c r="AQ426" s="118">
        <v>0.879</v>
      </c>
      <c r="AR426" s="118">
        <v>167.7</v>
      </c>
      <c r="AS426" s="118">
        <v>13.28</v>
      </c>
      <c r="AT426" s="118">
        <v>171.2</v>
      </c>
      <c r="AU426" s="118">
        <v>-85.647150420000003</v>
      </c>
      <c r="AV426" s="118">
        <v>40.770774430000003</v>
      </c>
      <c r="AW426" s="118">
        <v>234.3</v>
      </c>
      <c r="AX426" s="118">
        <v>228.7</v>
      </c>
      <c r="AY426" s="118">
        <v>8.7799999999999994</v>
      </c>
      <c r="AZ426" s="118">
        <v>-126.3</v>
      </c>
      <c r="BA426" s="118">
        <v>11.9</v>
      </c>
      <c r="BB426" s="118">
        <v>0</v>
      </c>
      <c r="BC426" s="118">
        <v>27.285</v>
      </c>
      <c r="BD426" s="118">
        <v>5.5</v>
      </c>
      <c r="BE426" s="118">
        <v>0</v>
      </c>
      <c r="BF426" t="s">
        <v>515</v>
      </c>
      <c r="BG426" t="s">
        <v>515</v>
      </c>
      <c r="BH426" s="118">
        <v>500.66800000000001</v>
      </c>
      <c r="BI426" s="118">
        <v>427.32900000000001</v>
      </c>
      <c r="BJ426" s="118">
        <v>547.09400000000005</v>
      </c>
      <c r="BK426" s="118">
        <v>607.30600000000004</v>
      </c>
      <c r="BL426" s="118">
        <v>512.67100000000005</v>
      </c>
      <c r="BM426" s="118">
        <v>406.351</v>
      </c>
      <c r="BN426" s="118">
        <v>492.74400000000003</v>
      </c>
      <c r="BO426" s="118">
        <v>697.80100000000004</v>
      </c>
    </row>
    <row r="427" spans="1:67" x14ac:dyDescent="0.25">
      <c r="A427" s="25">
        <v>10426</v>
      </c>
      <c r="B427" t="s">
        <v>451</v>
      </c>
      <c r="C427" t="s">
        <v>451</v>
      </c>
      <c r="D427" s="27" t="s">
        <v>493</v>
      </c>
      <c r="E427" s="27">
        <v>3</v>
      </c>
      <c r="F427" s="118">
        <v>4180</v>
      </c>
      <c r="G427" t="s">
        <v>22</v>
      </c>
      <c r="H427" t="s">
        <v>8</v>
      </c>
      <c r="I427">
        <v>-0.50760000000000005</v>
      </c>
      <c r="J427">
        <v>2.177</v>
      </c>
      <c r="K427">
        <v>5.0000000000000001E-3</v>
      </c>
      <c r="L427" t="s">
        <v>515</v>
      </c>
      <c r="M427" s="140">
        <f t="shared" si="54"/>
        <v>0.05</v>
      </c>
      <c r="N427" s="140">
        <f t="shared" si="54"/>
        <v>2.177</v>
      </c>
      <c r="O427" s="140">
        <f t="shared" si="54"/>
        <v>0.05</v>
      </c>
      <c r="P427" s="140" t="str">
        <f t="shared" si="49"/>
        <v>NULL</v>
      </c>
      <c r="Q427" s="161">
        <v>6.1524858800590734E-2</v>
      </c>
      <c r="R427" s="125">
        <v>10.193333333333333</v>
      </c>
      <c r="S427">
        <v>16.779999999999998</v>
      </c>
      <c r="T427">
        <v>3.537391178331454</v>
      </c>
      <c r="U427">
        <v>1.1169614364415426</v>
      </c>
      <c r="V427" s="118" t="s">
        <v>515</v>
      </c>
      <c r="W427" t="s">
        <v>515</v>
      </c>
      <c r="X427" t="s">
        <v>515</v>
      </c>
      <c r="Y427">
        <f t="shared" si="50"/>
        <v>7</v>
      </c>
      <c r="Z427">
        <f t="shared" si="51"/>
        <v>23</v>
      </c>
      <c r="AA427">
        <f t="shared" si="52"/>
        <v>2024</v>
      </c>
      <c r="AB427" s="118" t="b">
        <v>0</v>
      </c>
      <c r="AC427" s="19">
        <v>45496</v>
      </c>
      <c r="AD427" s="19" t="s">
        <v>515</v>
      </c>
      <c r="AE427" t="s">
        <v>515</v>
      </c>
      <c r="AF427" s="19">
        <v>45496</v>
      </c>
      <c r="AG427" t="s">
        <v>515</v>
      </c>
      <c r="AH427" t="s">
        <v>515</v>
      </c>
      <c r="AI427" s="118">
        <v>742.2</v>
      </c>
      <c r="AJ427" s="118">
        <v>372.1</v>
      </c>
      <c r="AK427" s="118">
        <v>355.8</v>
      </c>
      <c r="AL427" s="118">
        <v>231</v>
      </c>
      <c r="AM427" s="118">
        <v>0.17</v>
      </c>
      <c r="AN427" s="118">
        <v>354.1</v>
      </c>
      <c r="AO427" s="118">
        <v>0.48599999999999999</v>
      </c>
      <c r="AP427" s="118">
        <v>0.498</v>
      </c>
      <c r="AQ427" s="118">
        <v>0.68799999999999994</v>
      </c>
      <c r="AR427" s="118">
        <v>154</v>
      </c>
      <c r="AS427" s="118">
        <v>12.18</v>
      </c>
      <c r="AT427" s="118">
        <v>157.30000000000001</v>
      </c>
      <c r="AU427" s="118">
        <v>-85.646588960000003</v>
      </c>
      <c r="AV427" s="118">
        <v>40.781075420000001</v>
      </c>
      <c r="AW427" s="118">
        <v>231.3</v>
      </c>
      <c r="AX427" s="118">
        <v>120.3</v>
      </c>
      <c r="AY427" s="118">
        <v>8.75</v>
      </c>
      <c r="AZ427" s="118">
        <v>-124.8</v>
      </c>
      <c r="BA427" s="118">
        <v>11.9</v>
      </c>
      <c r="BB427" s="118">
        <v>0</v>
      </c>
      <c r="BC427" s="118">
        <v>27.391999999999999</v>
      </c>
      <c r="BD427" s="118">
        <v>4.62</v>
      </c>
      <c r="BE427" s="118">
        <v>0</v>
      </c>
      <c r="BF427" t="s">
        <v>515</v>
      </c>
      <c r="BG427" t="s">
        <v>515</v>
      </c>
      <c r="BH427" s="118">
        <v>457.67399999999998</v>
      </c>
      <c r="BI427" s="118">
        <v>396.03300000000002</v>
      </c>
      <c r="BJ427" s="118">
        <v>500.64</v>
      </c>
      <c r="BK427" s="118">
        <v>536.31600000000003</v>
      </c>
      <c r="BL427" s="118">
        <v>459.26100000000002</v>
      </c>
      <c r="BM427" s="118">
        <v>365.721</v>
      </c>
      <c r="BN427" s="118">
        <v>430.31299999999999</v>
      </c>
      <c r="BO427" s="118">
        <v>603.69500000000005</v>
      </c>
    </row>
    <row r="428" spans="1:67" x14ac:dyDescent="0.25">
      <c r="A428" s="25">
        <v>10427</v>
      </c>
      <c r="B428" t="s">
        <v>452</v>
      </c>
      <c r="C428" t="s">
        <v>452</v>
      </c>
      <c r="D428" s="27" t="s">
        <v>494</v>
      </c>
      <c r="E428" s="27">
        <v>4</v>
      </c>
      <c r="F428" s="118">
        <v>4980</v>
      </c>
      <c r="G428" t="s">
        <v>22</v>
      </c>
      <c r="H428" t="s">
        <v>8</v>
      </c>
      <c r="I428">
        <v>-0.50160000000000005</v>
      </c>
      <c r="J428">
        <v>2.387</v>
      </c>
      <c r="K428">
        <v>1E-3</v>
      </c>
      <c r="L428" t="s">
        <v>515</v>
      </c>
      <c r="M428" s="140">
        <f t="shared" si="54"/>
        <v>0.05</v>
      </c>
      <c r="N428" s="140">
        <f t="shared" si="54"/>
        <v>2.387</v>
      </c>
      <c r="O428" s="140">
        <f t="shared" si="54"/>
        <v>0.05</v>
      </c>
      <c r="P428" s="140" t="str">
        <f t="shared" si="49"/>
        <v>NULL</v>
      </c>
      <c r="Q428" s="161">
        <v>7.5612177141409762E-2</v>
      </c>
      <c r="R428" s="125">
        <v>3.4533333333333331</v>
      </c>
      <c r="S428">
        <v>3.8000000000000003</v>
      </c>
      <c r="T428">
        <v>3.5737768237577061</v>
      </c>
      <c r="U428">
        <v>1.6560350948785962</v>
      </c>
      <c r="V428" s="118" t="s">
        <v>515</v>
      </c>
      <c r="W428" t="s">
        <v>515</v>
      </c>
      <c r="X428" t="s">
        <v>515</v>
      </c>
      <c r="Y428">
        <f t="shared" ref="Y428:Y437" si="55">MONTH(AC428)</f>
        <v>7</v>
      </c>
      <c r="Z428">
        <f t="shared" ref="Z428:Z437" si="56">DAY(AC428)</f>
        <v>23</v>
      </c>
      <c r="AA428">
        <f t="shared" ref="AA428:AA437" si="57">YEAR(AC428)</f>
        <v>2024</v>
      </c>
      <c r="AB428" s="118" t="b">
        <v>0</v>
      </c>
      <c r="AC428" s="19">
        <v>45496</v>
      </c>
      <c r="AD428" s="19" t="s">
        <v>515</v>
      </c>
      <c r="AE428" t="s">
        <v>515</v>
      </c>
      <c r="AF428" s="19">
        <v>45496</v>
      </c>
      <c r="AG428" t="s">
        <v>515</v>
      </c>
      <c r="AH428" t="s">
        <v>515</v>
      </c>
      <c r="AI428" s="118">
        <v>742.4</v>
      </c>
      <c r="AJ428" s="118">
        <v>387.1</v>
      </c>
      <c r="AK428" s="118">
        <v>369.3</v>
      </c>
      <c r="AL428" s="118">
        <v>240</v>
      </c>
      <c r="AM428" s="118">
        <v>0.17</v>
      </c>
      <c r="AN428" s="118">
        <v>367.4</v>
      </c>
      <c r="AO428" s="118">
        <v>0.52100000000000002</v>
      </c>
      <c r="AP428" s="118">
        <v>0.56699999999999995</v>
      </c>
      <c r="AQ428" s="118">
        <v>0.73799999999999999</v>
      </c>
      <c r="AR428" s="118">
        <v>149.80000000000001</v>
      </c>
      <c r="AS428" s="118">
        <v>11.82</v>
      </c>
      <c r="AT428" s="118">
        <v>153</v>
      </c>
      <c r="AU428" s="118">
        <v>-85.638733939999995</v>
      </c>
      <c r="AV428" s="118">
        <v>40.783930470000001</v>
      </c>
      <c r="AW428" s="118">
        <v>233.9</v>
      </c>
      <c r="AX428" s="118">
        <v>193.2</v>
      </c>
      <c r="AY428" s="118">
        <v>8.7200000000000006</v>
      </c>
      <c r="AZ428" s="118">
        <v>-123.3</v>
      </c>
      <c r="BA428" s="118">
        <v>12</v>
      </c>
      <c r="BB428" s="118">
        <v>0</v>
      </c>
      <c r="BC428" s="118">
        <v>27.527999999999999</v>
      </c>
      <c r="BD428" s="118">
        <v>5.0199999999999996</v>
      </c>
      <c r="BE428" s="118">
        <v>0</v>
      </c>
      <c r="BF428" t="s">
        <v>515</v>
      </c>
      <c r="BG428" t="s">
        <v>515</v>
      </c>
      <c r="BH428" s="118">
        <v>462.09199999999998</v>
      </c>
      <c r="BI428" s="118">
        <v>398.68400000000003</v>
      </c>
      <c r="BJ428" s="118">
        <v>499.46600000000001</v>
      </c>
      <c r="BK428" s="118">
        <v>534.45399999999995</v>
      </c>
      <c r="BL428" s="118">
        <v>451.43099999999998</v>
      </c>
      <c r="BM428" s="118">
        <v>361.166</v>
      </c>
      <c r="BN428" s="118">
        <v>433.31400000000002</v>
      </c>
      <c r="BO428" s="118">
        <v>673.4</v>
      </c>
    </row>
    <row r="429" spans="1:67" x14ac:dyDescent="0.25">
      <c r="A429" s="25">
        <v>10428</v>
      </c>
      <c r="B429" t="s">
        <v>453</v>
      </c>
      <c r="C429" t="s">
        <v>453</v>
      </c>
      <c r="D429" s="27" t="s">
        <v>495</v>
      </c>
      <c r="E429" s="27">
        <v>5</v>
      </c>
      <c r="F429" s="118">
        <v>6340</v>
      </c>
      <c r="G429" t="s">
        <v>22</v>
      </c>
      <c r="H429" t="s">
        <v>8</v>
      </c>
      <c r="I429">
        <v>-0.49759999999999999</v>
      </c>
      <c r="J429">
        <v>2.1389999999999998</v>
      </c>
      <c r="K429">
        <v>1.0999999999999999E-2</v>
      </c>
      <c r="L429" t="s">
        <v>515</v>
      </c>
      <c r="M429" s="140">
        <f t="shared" si="54"/>
        <v>0.05</v>
      </c>
      <c r="N429" s="140">
        <f t="shared" si="54"/>
        <v>2.1389999999999998</v>
      </c>
      <c r="O429" s="140">
        <f t="shared" si="54"/>
        <v>0.05</v>
      </c>
      <c r="P429" s="140" t="str">
        <f t="shared" si="49"/>
        <v>NULL</v>
      </c>
      <c r="Q429" s="161">
        <v>0.125599450854286</v>
      </c>
      <c r="R429" s="125">
        <v>12.316666666666665</v>
      </c>
      <c r="S429">
        <v>15.606666666666667</v>
      </c>
      <c r="T429">
        <v>3.3490521470060473</v>
      </c>
      <c r="U429">
        <v>1.5756433380942667</v>
      </c>
      <c r="V429" s="118" t="s">
        <v>515</v>
      </c>
      <c r="W429" t="s">
        <v>515</v>
      </c>
      <c r="X429" t="s">
        <v>515</v>
      </c>
      <c r="Y429">
        <f t="shared" si="55"/>
        <v>7</v>
      </c>
      <c r="Z429">
        <f t="shared" si="56"/>
        <v>23</v>
      </c>
      <c r="AA429">
        <f t="shared" si="57"/>
        <v>2024</v>
      </c>
      <c r="AB429" s="118" t="b">
        <v>0</v>
      </c>
      <c r="AC429" s="19">
        <v>45496</v>
      </c>
      <c r="AD429" s="19" t="s">
        <v>515</v>
      </c>
      <c r="AE429" t="s">
        <v>515</v>
      </c>
      <c r="AF429" s="19">
        <v>45496</v>
      </c>
      <c r="AG429" t="s">
        <v>515</v>
      </c>
      <c r="AH429" t="s">
        <v>515</v>
      </c>
      <c r="AI429" s="118">
        <v>742.1</v>
      </c>
      <c r="AJ429" s="118">
        <v>395.2</v>
      </c>
      <c r="AK429" s="118">
        <v>373.6</v>
      </c>
      <c r="AL429" s="118">
        <v>243</v>
      </c>
      <c r="AM429" s="118">
        <v>0.18</v>
      </c>
      <c r="AN429" s="118">
        <v>371.3</v>
      </c>
      <c r="AO429" s="118">
        <v>0.436</v>
      </c>
      <c r="AP429" s="118">
        <v>0.44700000000000001</v>
      </c>
      <c r="AQ429" s="118">
        <v>0.61799999999999999</v>
      </c>
      <c r="AR429" s="118">
        <v>156.6</v>
      </c>
      <c r="AS429" s="118">
        <v>12.24</v>
      </c>
      <c r="AT429" s="118">
        <v>159.9</v>
      </c>
      <c r="AU429" s="118">
        <v>-85.624036320000002</v>
      </c>
      <c r="AV429" s="118">
        <v>40.774560219999998</v>
      </c>
      <c r="AW429" s="118">
        <v>235.9</v>
      </c>
      <c r="AX429" s="118">
        <v>128.5</v>
      </c>
      <c r="AY429" s="118">
        <v>8.74</v>
      </c>
      <c r="AZ429" s="118">
        <v>-124.4</v>
      </c>
      <c r="BA429" s="118">
        <v>11.9</v>
      </c>
      <c r="BB429" s="118">
        <v>0</v>
      </c>
      <c r="BC429" s="118">
        <v>28.027999999999999</v>
      </c>
      <c r="BD429" s="118">
        <v>6.01</v>
      </c>
      <c r="BE429" s="118">
        <v>0</v>
      </c>
      <c r="BF429" t="s">
        <v>515</v>
      </c>
      <c r="BG429" t="s">
        <v>515</v>
      </c>
      <c r="BH429" s="118">
        <v>479.63200000000001</v>
      </c>
      <c r="BI429" s="118">
        <v>415.11700000000002</v>
      </c>
      <c r="BJ429" s="118">
        <v>502.64699999999999</v>
      </c>
      <c r="BK429" s="118">
        <v>535.54999999999995</v>
      </c>
      <c r="BL429" s="118">
        <v>469.51</v>
      </c>
      <c r="BM429" s="118">
        <v>370.50299999999999</v>
      </c>
      <c r="BN429" s="118">
        <v>475.43599999999998</v>
      </c>
      <c r="BO429" s="118">
        <v>706.78499999999997</v>
      </c>
    </row>
    <row r="430" spans="1:67" x14ac:dyDescent="0.25">
      <c r="A430" s="25">
        <v>10429</v>
      </c>
      <c r="B430" t="s">
        <v>454</v>
      </c>
      <c r="C430" t="s">
        <v>454</v>
      </c>
      <c r="D430" s="27" t="s">
        <v>496</v>
      </c>
      <c r="E430" s="27">
        <v>6</v>
      </c>
      <c r="F430" s="118">
        <v>7900</v>
      </c>
      <c r="G430" t="s">
        <v>22</v>
      </c>
      <c r="H430" t="s">
        <v>8</v>
      </c>
      <c r="I430">
        <v>-0.49370000000000003</v>
      </c>
      <c r="J430">
        <v>2.1139999999999999</v>
      </c>
      <c r="K430">
        <v>0</v>
      </c>
      <c r="L430" t="s">
        <v>515</v>
      </c>
      <c r="M430" s="140">
        <f t="shared" si="54"/>
        <v>0.05</v>
      </c>
      <c r="N430" s="140">
        <f t="shared" si="54"/>
        <v>2.1139999999999999</v>
      </c>
      <c r="O430" s="140">
        <f t="shared" si="54"/>
        <v>0.05</v>
      </c>
      <c r="P430" s="140" t="str">
        <f t="shared" si="49"/>
        <v>NULL</v>
      </c>
      <c r="Q430" s="161">
        <v>0.13922878276774439</v>
      </c>
      <c r="R430" s="125">
        <v>8.7533333333333321</v>
      </c>
      <c r="S430">
        <v>9.5633333333333326</v>
      </c>
      <c r="T430">
        <v>3.1662575949836902</v>
      </c>
      <c r="U430">
        <v>1.4044537849418486</v>
      </c>
      <c r="V430" s="118" t="s">
        <v>515</v>
      </c>
      <c r="W430" t="s">
        <v>515</v>
      </c>
      <c r="X430" t="s">
        <v>515</v>
      </c>
      <c r="Y430">
        <f t="shared" si="55"/>
        <v>7</v>
      </c>
      <c r="Z430">
        <f t="shared" si="56"/>
        <v>23</v>
      </c>
      <c r="AA430">
        <f t="shared" si="57"/>
        <v>2024</v>
      </c>
      <c r="AB430" s="118" t="b">
        <v>0</v>
      </c>
      <c r="AC430" s="19">
        <v>45496</v>
      </c>
      <c r="AD430" s="19" t="s">
        <v>515</v>
      </c>
      <c r="AE430" t="s">
        <v>515</v>
      </c>
      <c r="AF430" s="19">
        <v>45496</v>
      </c>
      <c r="AG430" t="s">
        <v>515</v>
      </c>
      <c r="AH430" t="s">
        <v>515</v>
      </c>
      <c r="AI430" s="118">
        <v>742.1</v>
      </c>
      <c r="AJ430" s="118">
        <v>396</v>
      </c>
      <c r="AK430" s="118">
        <v>380.8</v>
      </c>
      <c r="AL430" s="118">
        <v>248</v>
      </c>
      <c r="AM430" s="118">
        <v>0.18</v>
      </c>
      <c r="AN430" s="118">
        <v>379.2</v>
      </c>
      <c r="AO430" s="118">
        <v>0.49299999999999999</v>
      </c>
      <c r="AP430" s="118">
        <v>0.48499999999999999</v>
      </c>
      <c r="AQ430" s="118">
        <v>0.69899999999999995</v>
      </c>
      <c r="AR430" s="118">
        <v>140.1</v>
      </c>
      <c r="AS430" s="118">
        <v>11.14</v>
      </c>
      <c r="AT430" s="118">
        <v>143.1</v>
      </c>
      <c r="AU430" s="118">
        <v>-85.606134130000001</v>
      </c>
      <c r="AV430" s="118">
        <v>40.77494488</v>
      </c>
      <c r="AW430" s="118">
        <v>233</v>
      </c>
      <c r="AX430" s="118">
        <v>148.6</v>
      </c>
      <c r="AY430" s="118">
        <v>8.65</v>
      </c>
      <c r="AZ430" s="118">
        <v>-118.4</v>
      </c>
      <c r="BA430" s="118">
        <v>11.9</v>
      </c>
      <c r="BB430" s="118">
        <v>0</v>
      </c>
      <c r="BC430" s="118">
        <v>27.082000000000001</v>
      </c>
      <c r="BD430" s="118">
        <v>4.95</v>
      </c>
      <c r="BE430" s="118">
        <v>0</v>
      </c>
      <c r="BF430" t="s">
        <v>515</v>
      </c>
      <c r="BG430" t="s">
        <v>515</v>
      </c>
      <c r="BH430" s="118">
        <v>433.875</v>
      </c>
      <c r="BI430" s="118">
        <v>388.18700000000001</v>
      </c>
      <c r="BJ430" s="118">
        <v>485.80399999999997</v>
      </c>
      <c r="BK430" s="118">
        <v>522.67200000000003</v>
      </c>
      <c r="BL430" s="118">
        <v>447.54300000000001</v>
      </c>
      <c r="BM430" s="118">
        <v>354.89600000000002</v>
      </c>
      <c r="BN430" s="118">
        <v>451.779</v>
      </c>
      <c r="BO430" s="118">
        <v>627.36500000000001</v>
      </c>
    </row>
    <row r="431" spans="1:67" x14ac:dyDescent="0.25">
      <c r="A431" s="25">
        <v>10430</v>
      </c>
      <c r="B431" t="s">
        <v>455</v>
      </c>
      <c r="C431" t="s">
        <v>455</v>
      </c>
      <c r="D431" s="27" t="s">
        <v>497</v>
      </c>
      <c r="E431" s="27">
        <v>7</v>
      </c>
      <c r="F431" s="118">
        <v>10610</v>
      </c>
      <c r="G431" t="s">
        <v>22</v>
      </c>
      <c r="H431" t="s">
        <v>8</v>
      </c>
      <c r="I431">
        <v>-0.50560000000000005</v>
      </c>
      <c r="J431">
        <v>1.9330000000000001</v>
      </c>
      <c r="K431">
        <v>1E-3</v>
      </c>
      <c r="L431" t="s">
        <v>515</v>
      </c>
      <c r="M431" s="140">
        <f t="shared" si="54"/>
        <v>0.05</v>
      </c>
      <c r="N431" s="140">
        <f t="shared" si="54"/>
        <v>1.9330000000000001</v>
      </c>
      <c r="O431" s="140">
        <f t="shared" si="54"/>
        <v>0.05</v>
      </c>
      <c r="P431" s="140" t="str">
        <f t="shared" si="49"/>
        <v>NULL</v>
      </c>
      <c r="Q431" s="161">
        <v>0.11380197383943823</v>
      </c>
      <c r="R431" s="125">
        <v>26.393333333333334</v>
      </c>
      <c r="S431">
        <v>35.813333333333333</v>
      </c>
      <c r="T431">
        <v>3.593529031274814</v>
      </c>
      <c r="U431">
        <v>1.5423848194246075</v>
      </c>
      <c r="V431" s="118" t="s">
        <v>515</v>
      </c>
      <c r="W431" t="s">
        <v>515</v>
      </c>
      <c r="X431" t="s">
        <v>515</v>
      </c>
      <c r="Y431">
        <f t="shared" si="55"/>
        <v>7</v>
      </c>
      <c r="Z431">
        <f t="shared" si="56"/>
        <v>23</v>
      </c>
      <c r="AA431">
        <f t="shared" si="57"/>
        <v>2024</v>
      </c>
      <c r="AB431" s="118" t="b">
        <v>0</v>
      </c>
      <c r="AC431" s="19">
        <v>45496</v>
      </c>
      <c r="AD431" s="19" t="s">
        <v>515</v>
      </c>
      <c r="AE431" t="s">
        <v>515</v>
      </c>
      <c r="AF431" s="19">
        <v>45496</v>
      </c>
      <c r="AG431" t="s">
        <v>515</v>
      </c>
      <c r="AH431" t="s">
        <v>515</v>
      </c>
      <c r="AI431" s="118">
        <v>742</v>
      </c>
      <c r="AJ431" s="118">
        <v>381.7</v>
      </c>
      <c r="AK431" s="118">
        <v>355.5</v>
      </c>
      <c r="AL431" s="118">
        <v>231</v>
      </c>
      <c r="AM431" s="118">
        <v>0.17</v>
      </c>
      <c r="AN431" s="118">
        <v>352.6</v>
      </c>
      <c r="AO431" s="118">
        <v>0.39200000000000002</v>
      </c>
      <c r="AP431" s="118">
        <v>0.38500000000000001</v>
      </c>
      <c r="AQ431" s="118">
        <v>0.55600000000000005</v>
      </c>
      <c r="AR431" s="118">
        <v>206.1</v>
      </c>
      <c r="AS431" s="118">
        <v>15.88</v>
      </c>
      <c r="AT431" s="118">
        <v>210.5</v>
      </c>
      <c r="AU431" s="118">
        <v>-85.580525960000003</v>
      </c>
      <c r="AV431" s="118">
        <v>40.775568530000001</v>
      </c>
      <c r="AW431" s="118">
        <v>234.6</v>
      </c>
      <c r="AX431" s="118">
        <v>149.6</v>
      </c>
      <c r="AY431" s="118">
        <v>8.89</v>
      </c>
      <c r="AZ431" s="118">
        <v>-134</v>
      </c>
      <c r="BA431" s="118">
        <v>11.9</v>
      </c>
      <c r="BB431" s="118">
        <v>0</v>
      </c>
      <c r="BC431" s="118">
        <v>28.867999999999999</v>
      </c>
      <c r="BD431" s="118">
        <v>5.27</v>
      </c>
      <c r="BE431" s="118">
        <v>0</v>
      </c>
      <c r="BF431" t="s">
        <v>515</v>
      </c>
      <c r="BG431" t="s">
        <v>515</v>
      </c>
      <c r="BH431" s="118">
        <v>410.09100000000001</v>
      </c>
      <c r="BI431" s="118">
        <v>363.63400000000001</v>
      </c>
      <c r="BJ431" s="118">
        <v>460.42700000000002</v>
      </c>
      <c r="BK431" s="118">
        <v>481.26100000000002</v>
      </c>
      <c r="BL431" s="118">
        <v>432.04</v>
      </c>
      <c r="BM431" s="118">
        <v>325.899</v>
      </c>
      <c r="BN431" s="118">
        <v>437.762</v>
      </c>
      <c r="BO431" s="118">
        <v>619.65599999999995</v>
      </c>
    </row>
    <row r="432" spans="1:67" x14ac:dyDescent="0.25">
      <c r="A432" s="25">
        <v>10431</v>
      </c>
      <c r="B432" t="s">
        <v>456</v>
      </c>
      <c r="C432" t="s">
        <v>456</v>
      </c>
      <c r="D432" s="27" t="s">
        <v>498</v>
      </c>
      <c r="E432" s="27">
        <v>8</v>
      </c>
      <c r="F432" s="118">
        <v>9370</v>
      </c>
      <c r="G432" t="s">
        <v>22</v>
      </c>
      <c r="H432" t="s">
        <v>8</v>
      </c>
      <c r="I432">
        <v>-0.49690000000000001</v>
      </c>
      <c r="J432">
        <v>2.2250000000000001</v>
      </c>
      <c r="K432">
        <v>1.4999999999999999E-2</v>
      </c>
      <c r="L432" t="s">
        <v>515</v>
      </c>
      <c r="M432" s="140">
        <f t="shared" si="54"/>
        <v>0.05</v>
      </c>
      <c r="N432" s="140">
        <f t="shared" si="54"/>
        <v>2.2250000000000001</v>
      </c>
      <c r="O432" s="140">
        <f t="shared" si="54"/>
        <v>0.05</v>
      </c>
      <c r="P432" s="140" t="str">
        <f t="shared" si="49"/>
        <v>NULL</v>
      </c>
      <c r="Q432" s="161">
        <v>9.2130860894763925E-2</v>
      </c>
      <c r="R432" s="125">
        <v>13.936666666666666</v>
      </c>
      <c r="S432">
        <v>14.756666666666666</v>
      </c>
      <c r="T432">
        <v>3.7056314721833132</v>
      </c>
      <c r="U432">
        <v>1.6762350540705979</v>
      </c>
      <c r="V432" s="118" t="s">
        <v>515</v>
      </c>
      <c r="W432" t="s">
        <v>515</v>
      </c>
      <c r="X432" t="s">
        <v>515</v>
      </c>
      <c r="Y432">
        <f t="shared" si="55"/>
        <v>7</v>
      </c>
      <c r="Z432">
        <f t="shared" si="56"/>
        <v>23</v>
      </c>
      <c r="AA432">
        <f t="shared" si="57"/>
        <v>2024</v>
      </c>
      <c r="AB432" s="118" t="b">
        <v>0</v>
      </c>
      <c r="AC432" s="19">
        <v>45496</v>
      </c>
      <c r="AD432" s="19" t="s">
        <v>515</v>
      </c>
      <c r="AE432" t="s">
        <v>515</v>
      </c>
      <c r="AF432" s="19">
        <v>45496</v>
      </c>
      <c r="AG432" t="s">
        <v>515</v>
      </c>
      <c r="AH432" t="s">
        <v>515</v>
      </c>
      <c r="AI432" s="118">
        <v>742</v>
      </c>
      <c r="AJ432" s="118">
        <v>386.5</v>
      </c>
      <c r="AK432" s="118">
        <v>366.1</v>
      </c>
      <c r="AL432" s="118">
        <v>238</v>
      </c>
      <c r="AM432" s="118">
        <v>0.17</v>
      </c>
      <c r="AN432" s="118">
        <v>363.9</v>
      </c>
      <c r="AO432" s="118">
        <v>0.438</v>
      </c>
      <c r="AP432" s="118">
        <v>0.45200000000000001</v>
      </c>
      <c r="AQ432" s="118">
        <v>0.62</v>
      </c>
      <c r="AR432" s="118">
        <v>197.4</v>
      </c>
      <c r="AS432" s="118">
        <v>15.45</v>
      </c>
      <c r="AT432" s="118">
        <v>201.5</v>
      </c>
      <c r="AU432" s="118">
        <v>-85.596868459999996</v>
      </c>
      <c r="AV432" s="118">
        <v>40.766858499999998</v>
      </c>
      <c r="AW432" s="118">
        <v>235.7</v>
      </c>
      <c r="AX432" s="118">
        <v>141.5</v>
      </c>
      <c r="AY432" s="118">
        <v>8.84</v>
      </c>
      <c r="AZ432" s="118">
        <v>-130.5</v>
      </c>
      <c r="BA432" s="118">
        <v>11.9</v>
      </c>
      <c r="BB432" s="118">
        <v>0</v>
      </c>
      <c r="BC432" s="118">
        <v>27.928000000000001</v>
      </c>
      <c r="BD432" s="118">
        <v>5.49</v>
      </c>
      <c r="BE432" s="118">
        <v>0</v>
      </c>
      <c r="BF432" t="s">
        <v>515</v>
      </c>
      <c r="BG432" t="s">
        <v>515</v>
      </c>
      <c r="BH432" s="118">
        <v>460.38400000000001</v>
      </c>
      <c r="BI432" s="118">
        <v>391.62700000000001</v>
      </c>
      <c r="BJ432" s="118">
        <v>497.88900000000001</v>
      </c>
      <c r="BK432" s="118">
        <v>525.66099999999994</v>
      </c>
      <c r="BL432" s="118">
        <v>453.11399999999998</v>
      </c>
      <c r="BM432" s="118">
        <v>350.221</v>
      </c>
      <c r="BN432" s="118">
        <v>469.411</v>
      </c>
      <c r="BO432" s="118">
        <v>692.32</v>
      </c>
    </row>
    <row r="433" spans="1:67" x14ac:dyDescent="0.25">
      <c r="A433" s="25">
        <v>10432</v>
      </c>
      <c r="B433" t="s">
        <v>457</v>
      </c>
      <c r="C433" t="s">
        <v>457</v>
      </c>
      <c r="D433" s="27" t="s">
        <v>499</v>
      </c>
      <c r="E433" s="27">
        <v>9</v>
      </c>
      <c r="F433" s="118">
        <v>10331</v>
      </c>
      <c r="G433" t="s">
        <v>22</v>
      </c>
      <c r="H433" t="s">
        <v>8</v>
      </c>
      <c r="I433">
        <v>-0.50109999999999999</v>
      </c>
      <c r="J433">
        <v>2.2000000000000002</v>
      </c>
      <c r="K433">
        <v>1E-3</v>
      </c>
      <c r="L433" t="s">
        <v>515</v>
      </c>
      <c r="M433" s="140">
        <f t="shared" si="54"/>
        <v>0.05</v>
      </c>
      <c r="N433" s="140">
        <f t="shared" si="54"/>
        <v>2.2000000000000002</v>
      </c>
      <c r="O433" s="140">
        <f t="shared" si="54"/>
        <v>0.05</v>
      </c>
      <c r="P433" s="140" t="str">
        <f t="shared" si="49"/>
        <v>NULL</v>
      </c>
      <c r="Q433" s="161">
        <v>0.1276921106239067</v>
      </c>
      <c r="R433" s="125">
        <v>29.343333333333334</v>
      </c>
      <c r="S433">
        <v>43.123333333333335</v>
      </c>
      <c r="T433">
        <v>3.7323142788292309</v>
      </c>
      <c r="U433">
        <v>1.6314142691967628</v>
      </c>
      <c r="V433" s="118" t="s">
        <v>515</v>
      </c>
      <c r="W433" t="s">
        <v>515</v>
      </c>
      <c r="X433" t="s">
        <v>515</v>
      </c>
      <c r="Y433">
        <f t="shared" si="55"/>
        <v>7</v>
      </c>
      <c r="Z433">
        <f t="shared" si="56"/>
        <v>23</v>
      </c>
      <c r="AA433">
        <f t="shared" si="57"/>
        <v>2024</v>
      </c>
      <c r="AB433" s="118" t="b">
        <v>0</v>
      </c>
      <c r="AC433" s="19">
        <v>45496</v>
      </c>
      <c r="AD433" s="19" t="s">
        <v>515</v>
      </c>
      <c r="AE433" t="s">
        <v>515</v>
      </c>
      <c r="AF433" s="19">
        <v>45496</v>
      </c>
      <c r="AG433" t="s">
        <v>515</v>
      </c>
      <c r="AH433" t="s">
        <v>515</v>
      </c>
      <c r="AI433" s="118">
        <v>741.8</v>
      </c>
      <c r="AJ433" s="118">
        <v>388.9</v>
      </c>
      <c r="AK433" s="118">
        <v>368.3</v>
      </c>
      <c r="AL433" s="118">
        <v>239</v>
      </c>
      <c r="AM433" s="118">
        <v>0.17</v>
      </c>
      <c r="AN433" s="118">
        <v>366</v>
      </c>
      <c r="AO433" s="118">
        <v>0.29499999999999998</v>
      </c>
      <c r="AP433" s="118">
        <v>0.30199999999999999</v>
      </c>
      <c r="AQ433" s="118">
        <v>0.41799999999999998</v>
      </c>
      <c r="AR433" s="118">
        <v>214.6</v>
      </c>
      <c r="AS433" s="118">
        <v>16.8</v>
      </c>
      <c r="AT433" s="118">
        <v>219.1</v>
      </c>
      <c r="AU433" s="118">
        <v>-85.594853409999999</v>
      </c>
      <c r="AV433" s="118">
        <v>40.757165809999996</v>
      </c>
      <c r="AW433" s="118">
        <v>226.9</v>
      </c>
      <c r="AX433" s="118">
        <v>167.4</v>
      </c>
      <c r="AY433" s="118">
        <v>8.8800000000000008</v>
      </c>
      <c r="AZ433" s="118">
        <v>-133.1</v>
      </c>
      <c r="BA433" s="118">
        <v>11.9</v>
      </c>
      <c r="BB433" s="118">
        <v>0</v>
      </c>
      <c r="BC433" s="118">
        <v>27.931000000000001</v>
      </c>
      <c r="BD433" s="118">
        <v>8.91</v>
      </c>
      <c r="BE433" s="118">
        <v>0</v>
      </c>
      <c r="BF433" t="s">
        <v>515</v>
      </c>
      <c r="BG433" t="s">
        <v>515</v>
      </c>
      <c r="BH433" s="118">
        <v>435.54199999999997</v>
      </c>
      <c r="BI433" s="118">
        <v>372.15899999999999</v>
      </c>
      <c r="BJ433" s="118">
        <v>477.46</v>
      </c>
      <c r="BK433" s="118">
        <v>504.00099999999998</v>
      </c>
      <c r="BL433" s="118">
        <v>446.94099999999997</v>
      </c>
      <c r="BM433" s="118">
        <v>343.339</v>
      </c>
      <c r="BN433" s="118">
        <v>502.839</v>
      </c>
      <c r="BO433" s="118">
        <v>790.29600000000005</v>
      </c>
    </row>
    <row r="434" spans="1:67" x14ac:dyDescent="0.25">
      <c r="A434" s="25">
        <v>10433</v>
      </c>
      <c r="B434" t="s">
        <v>643</v>
      </c>
      <c r="C434" t="s">
        <v>452</v>
      </c>
      <c r="D434" s="27" t="s">
        <v>494</v>
      </c>
      <c r="E434" s="27">
        <v>4</v>
      </c>
      <c r="F434" s="118">
        <v>4980</v>
      </c>
      <c r="G434" t="s">
        <v>22</v>
      </c>
      <c r="H434" t="s">
        <v>8</v>
      </c>
      <c r="I434">
        <v>-0.50239999999999996</v>
      </c>
      <c r="J434">
        <v>2.2280000000000002</v>
      </c>
      <c r="K434">
        <v>8.0000000000000002E-3</v>
      </c>
      <c r="L434" t="s">
        <v>515</v>
      </c>
      <c r="M434" s="140">
        <f t="shared" ref="M434:O449" si="58">IF(I434&lt;0.1,0.05,I434)</f>
        <v>0.05</v>
      </c>
      <c r="N434" s="140">
        <f t="shared" si="58"/>
        <v>2.2280000000000002</v>
      </c>
      <c r="O434" s="140">
        <f t="shared" si="58"/>
        <v>0.05</v>
      </c>
      <c r="P434" s="140" t="str">
        <f t="shared" si="49"/>
        <v>NULL</v>
      </c>
      <c r="Q434" s="161">
        <v>7.7336734978462288E-2</v>
      </c>
      <c r="R434" s="125">
        <v>13.106666666666667</v>
      </c>
      <c r="S434">
        <v>15.920000000000002</v>
      </c>
      <c r="T434">
        <v>3.5353119985928112</v>
      </c>
      <c r="U434">
        <v>1.1436226620417604</v>
      </c>
      <c r="V434" s="118" t="s">
        <v>515</v>
      </c>
      <c r="W434" t="s">
        <v>515</v>
      </c>
      <c r="X434" t="s">
        <v>515</v>
      </c>
      <c r="Y434" t="s">
        <v>515</v>
      </c>
      <c r="Z434" t="s">
        <v>515</v>
      </c>
      <c r="AA434" t="s">
        <v>515</v>
      </c>
      <c r="AB434" s="118" t="b">
        <v>0</v>
      </c>
      <c r="AC434" s="19" t="s">
        <v>515</v>
      </c>
      <c r="AD434" s="19" t="s">
        <v>515</v>
      </c>
      <c r="AE434" t="s">
        <v>515</v>
      </c>
      <c r="AF434" s="19" t="s">
        <v>515</v>
      </c>
      <c r="AG434" t="s">
        <v>515</v>
      </c>
      <c r="AH434" t="s">
        <v>515</v>
      </c>
      <c r="AI434" s="118">
        <v>741.8</v>
      </c>
      <c r="AJ434" s="118">
        <v>390.8</v>
      </c>
      <c r="AK434" s="118">
        <v>366.5</v>
      </c>
      <c r="AL434" s="118">
        <v>238</v>
      </c>
      <c r="AM434" s="118">
        <v>0.17</v>
      </c>
      <c r="AN434" s="118">
        <v>363.9</v>
      </c>
      <c r="AO434" s="118">
        <v>0.61199999999999999</v>
      </c>
      <c r="AP434" s="118">
        <v>1.0720000000000001</v>
      </c>
      <c r="AQ434" s="118">
        <v>0.86699999999999999</v>
      </c>
      <c r="AR434" s="118">
        <v>214.8</v>
      </c>
      <c r="AS434" s="118">
        <v>16.649999999999999</v>
      </c>
      <c r="AT434" s="118">
        <v>219.4</v>
      </c>
      <c r="AU434" s="118">
        <v>-85.582874129999993</v>
      </c>
      <c r="AV434" s="118">
        <v>40.755891669999997</v>
      </c>
      <c r="AW434" s="118">
        <v>232.2</v>
      </c>
      <c r="AX434" s="118">
        <v>167.4</v>
      </c>
      <c r="AY434" s="118">
        <v>8.94</v>
      </c>
      <c r="AZ434" s="118">
        <v>-136.80000000000001</v>
      </c>
      <c r="BA434" s="118">
        <v>11.9</v>
      </c>
      <c r="BB434" s="118">
        <v>0</v>
      </c>
      <c r="BC434" s="118">
        <v>28.465</v>
      </c>
      <c r="BD434" s="118">
        <v>6.24</v>
      </c>
      <c r="BE434" s="118">
        <v>0</v>
      </c>
      <c r="BF434" t="s">
        <v>515</v>
      </c>
      <c r="BG434" t="s">
        <v>515</v>
      </c>
      <c r="BH434" s="118">
        <v>420.18799999999999</v>
      </c>
      <c r="BI434" s="118">
        <v>356.04199999999997</v>
      </c>
      <c r="BJ434" s="118">
        <v>458.02800000000002</v>
      </c>
      <c r="BK434" s="118">
        <v>496.274</v>
      </c>
      <c r="BL434" s="118">
        <v>421.99700000000001</v>
      </c>
      <c r="BM434" s="118">
        <v>324.774</v>
      </c>
      <c r="BN434" s="118">
        <v>448.37900000000002</v>
      </c>
      <c r="BO434" s="118">
        <v>696.10900000000004</v>
      </c>
    </row>
    <row r="435" spans="1:67" x14ac:dyDescent="0.25">
      <c r="A435" s="25">
        <v>10434</v>
      </c>
      <c r="B435" t="s">
        <v>458</v>
      </c>
      <c r="C435" t="s">
        <v>458</v>
      </c>
      <c r="D435" s="27" t="s">
        <v>500</v>
      </c>
      <c r="E435" s="27">
        <v>10</v>
      </c>
      <c r="F435" s="118">
        <v>11270</v>
      </c>
      <c r="G435" t="s">
        <v>22</v>
      </c>
      <c r="H435" t="s">
        <v>8</v>
      </c>
      <c r="I435">
        <v>-0.50349999999999995</v>
      </c>
      <c r="J435">
        <v>2.218</v>
      </c>
      <c r="K435">
        <v>-1E-3</v>
      </c>
      <c r="L435" t="s">
        <v>515</v>
      </c>
      <c r="M435" s="140">
        <f t="shared" si="58"/>
        <v>0.05</v>
      </c>
      <c r="N435" s="140">
        <f t="shared" si="58"/>
        <v>2.218</v>
      </c>
      <c r="O435" s="140">
        <f t="shared" si="58"/>
        <v>0.05</v>
      </c>
      <c r="P435" s="140" t="str">
        <f t="shared" si="49"/>
        <v>NULL</v>
      </c>
      <c r="Q435" s="161">
        <v>5.5681940813887776E-2</v>
      </c>
      <c r="R435" s="125">
        <v>11.546666666666667</v>
      </c>
      <c r="S435">
        <v>13.623333333333333</v>
      </c>
      <c r="T435">
        <v>3.642389755132923</v>
      </c>
      <c r="U435">
        <v>1.6264492960620283</v>
      </c>
      <c r="V435" s="118" t="s">
        <v>515</v>
      </c>
      <c r="W435" t="s">
        <v>515</v>
      </c>
      <c r="X435" t="s">
        <v>515</v>
      </c>
      <c r="Y435">
        <f t="shared" si="55"/>
        <v>7</v>
      </c>
      <c r="Z435">
        <f t="shared" si="56"/>
        <v>23</v>
      </c>
      <c r="AA435">
        <f t="shared" si="57"/>
        <v>2024</v>
      </c>
      <c r="AB435" s="118" t="b">
        <v>0</v>
      </c>
      <c r="AC435" s="19">
        <v>45496</v>
      </c>
      <c r="AD435" s="19" t="s">
        <v>515</v>
      </c>
      <c r="AE435" t="s">
        <v>515</v>
      </c>
      <c r="AF435" s="19">
        <v>45496</v>
      </c>
      <c r="AG435" t="s">
        <v>515</v>
      </c>
      <c r="AH435" t="s">
        <v>515</v>
      </c>
      <c r="AI435" s="118">
        <v>742.2</v>
      </c>
      <c r="AJ435" s="118">
        <v>388.3</v>
      </c>
      <c r="AK435" s="118">
        <v>370.2</v>
      </c>
      <c r="AL435" s="118">
        <v>241</v>
      </c>
      <c r="AM435" s="118">
        <v>0.18</v>
      </c>
      <c r="AN435" s="118">
        <v>368.3</v>
      </c>
      <c r="AO435" s="118">
        <v>0.53100000000000003</v>
      </c>
      <c r="AP435" s="118">
        <v>0.53900000000000003</v>
      </c>
      <c r="AQ435" s="118">
        <v>0.752</v>
      </c>
      <c r="AR435" s="118">
        <v>144.69999999999999</v>
      </c>
      <c r="AS435" s="118">
        <v>11.4</v>
      </c>
      <c r="AT435" s="118">
        <v>147.69999999999999</v>
      </c>
      <c r="AU435" s="118">
        <v>-85.637500149999994</v>
      </c>
      <c r="AV435" s="118">
        <v>40.781062970000001</v>
      </c>
      <c r="AW435" s="118">
        <v>236.1</v>
      </c>
      <c r="AX435" s="118">
        <v>166.8</v>
      </c>
      <c r="AY435" s="118">
        <v>8.73</v>
      </c>
      <c r="AZ435" s="118">
        <v>-123.3</v>
      </c>
      <c r="BA435" s="118">
        <v>11.9</v>
      </c>
      <c r="BB435" s="118">
        <v>0</v>
      </c>
      <c r="BC435" s="118">
        <v>27.558</v>
      </c>
      <c r="BD435" s="118">
        <v>4.8499999999999996</v>
      </c>
      <c r="BE435" s="118">
        <v>0</v>
      </c>
      <c r="BF435" t="s">
        <v>515</v>
      </c>
      <c r="BG435" t="s">
        <v>515</v>
      </c>
      <c r="BH435" s="118">
        <v>444.524</v>
      </c>
      <c r="BI435" s="118">
        <v>378.428</v>
      </c>
      <c r="BJ435" s="118">
        <v>476.07600000000002</v>
      </c>
      <c r="BK435" s="118">
        <v>519.22299999999996</v>
      </c>
      <c r="BL435" s="118">
        <v>437.738</v>
      </c>
      <c r="BM435" s="118">
        <v>347.78699999999998</v>
      </c>
      <c r="BN435" s="118">
        <v>427.101</v>
      </c>
      <c r="BO435" s="118">
        <v>631.10599999999999</v>
      </c>
    </row>
    <row r="436" spans="1:67" x14ac:dyDescent="0.25">
      <c r="A436" s="25">
        <v>10435</v>
      </c>
      <c r="B436" t="s">
        <v>459</v>
      </c>
      <c r="C436" t="s">
        <v>459</v>
      </c>
      <c r="D436" s="27" t="s">
        <v>501</v>
      </c>
      <c r="E436" s="27">
        <v>13</v>
      </c>
      <c r="F436" s="118">
        <v>5180</v>
      </c>
      <c r="G436" t="s">
        <v>22</v>
      </c>
      <c r="H436" t="s">
        <v>8</v>
      </c>
      <c r="I436">
        <v>-0.49609999999999999</v>
      </c>
      <c r="J436">
        <v>2.2679999999999998</v>
      </c>
      <c r="K436">
        <v>6.0000000000000001E-3</v>
      </c>
      <c r="L436" t="s">
        <v>515</v>
      </c>
      <c r="M436" s="140">
        <f t="shared" si="58"/>
        <v>0.05</v>
      </c>
      <c r="N436" s="140">
        <f t="shared" si="58"/>
        <v>2.2679999999999998</v>
      </c>
      <c r="O436" s="140">
        <f t="shared" si="58"/>
        <v>0.05</v>
      </c>
      <c r="P436" s="140" t="str">
        <f t="shared" si="49"/>
        <v>NULL</v>
      </c>
      <c r="Q436" s="165">
        <v>0.15</v>
      </c>
      <c r="R436" s="125">
        <v>15.276666666666666</v>
      </c>
      <c r="S436">
        <v>19.510000000000002</v>
      </c>
      <c r="T436">
        <v>3.6236771374851369</v>
      </c>
      <c r="U436">
        <v>1.6407320954907163</v>
      </c>
      <c r="V436" s="118" t="s">
        <v>515</v>
      </c>
      <c r="W436" t="s">
        <v>515</v>
      </c>
      <c r="X436" t="s">
        <v>515</v>
      </c>
      <c r="Y436">
        <f t="shared" si="55"/>
        <v>7</v>
      </c>
      <c r="Z436">
        <f t="shared" si="56"/>
        <v>23</v>
      </c>
      <c r="AA436">
        <f t="shared" si="57"/>
        <v>2024</v>
      </c>
      <c r="AB436" s="118" t="b">
        <v>0</v>
      </c>
      <c r="AC436" s="19">
        <v>45496</v>
      </c>
      <c r="AD436" s="19" t="s">
        <v>515</v>
      </c>
      <c r="AE436" t="s">
        <v>515</v>
      </c>
      <c r="AF436" s="19">
        <v>45496</v>
      </c>
      <c r="AG436" t="s">
        <v>515</v>
      </c>
      <c r="AH436" t="s">
        <v>515</v>
      </c>
      <c r="AI436" s="118">
        <v>741.7</v>
      </c>
      <c r="AJ436" s="118">
        <v>396.4</v>
      </c>
      <c r="AK436" s="118">
        <v>371.4</v>
      </c>
      <c r="AL436" s="118">
        <v>241</v>
      </c>
      <c r="AM436" s="118">
        <v>0.18</v>
      </c>
      <c r="AN436" s="118">
        <v>368.7</v>
      </c>
      <c r="AO436" s="118">
        <v>0.438</v>
      </c>
      <c r="AP436" s="118">
        <v>0.44900000000000001</v>
      </c>
      <c r="AQ436" s="118">
        <v>0.621</v>
      </c>
      <c r="AR436" s="118">
        <v>139.4</v>
      </c>
      <c r="AS436" s="118">
        <v>10.8</v>
      </c>
      <c r="AT436" s="118">
        <v>142.30000000000001</v>
      </c>
      <c r="AU436" s="118">
        <v>-85.667890909999997</v>
      </c>
      <c r="AV436" s="118">
        <v>40.8002343</v>
      </c>
      <c r="AW436" s="118">
        <v>234.1</v>
      </c>
      <c r="AX436" s="118">
        <v>150.80000000000001</v>
      </c>
      <c r="AY436" s="118">
        <v>8.7100000000000009</v>
      </c>
      <c r="AZ436" s="118">
        <v>-122.8</v>
      </c>
      <c r="BA436" s="118">
        <v>11.9</v>
      </c>
      <c r="BB436" s="118">
        <v>0</v>
      </c>
      <c r="BC436" s="118">
        <v>28.526</v>
      </c>
      <c r="BD436" s="118">
        <v>4.07</v>
      </c>
      <c r="BE436" s="118">
        <v>0</v>
      </c>
      <c r="BF436" t="s">
        <v>515</v>
      </c>
      <c r="BG436" t="s">
        <v>515</v>
      </c>
      <c r="BH436" s="118">
        <v>447.83199999999999</v>
      </c>
      <c r="BI436" s="118">
        <v>388.57499999999999</v>
      </c>
      <c r="BJ436" s="118">
        <v>467.63</v>
      </c>
      <c r="BK436" s="118">
        <v>502.005</v>
      </c>
      <c r="BL436" s="118">
        <v>444.99799999999999</v>
      </c>
      <c r="BM436" s="118">
        <v>348.67200000000003</v>
      </c>
      <c r="BN436" s="118">
        <v>404.99900000000002</v>
      </c>
      <c r="BO436" s="118">
        <v>628.22299999999996</v>
      </c>
    </row>
    <row r="437" spans="1:67" x14ac:dyDescent="0.25">
      <c r="A437" s="25">
        <v>10436</v>
      </c>
      <c r="B437" t="s">
        <v>460</v>
      </c>
      <c r="C437" t="s">
        <v>460</v>
      </c>
      <c r="D437" s="27" t="s">
        <v>502</v>
      </c>
      <c r="E437" s="27">
        <v>14</v>
      </c>
      <c r="F437" s="118">
        <v>1040</v>
      </c>
      <c r="G437" t="s">
        <v>22</v>
      </c>
      <c r="H437" t="s">
        <v>8</v>
      </c>
      <c r="I437">
        <v>-0.49930000000000002</v>
      </c>
      <c r="J437">
        <v>2.3820000000000001</v>
      </c>
      <c r="K437">
        <v>0</v>
      </c>
      <c r="L437" t="s">
        <v>515</v>
      </c>
      <c r="M437" s="140">
        <f t="shared" si="58"/>
        <v>0.05</v>
      </c>
      <c r="N437" s="140">
        <f t="shared" si="58"/>
        <v>2.3820000000000001</v>
      </c>
      <c r="O437" s="140">
        <f t="shared" si="58"/>
        <v>0.05</v>
      </c>
      <c r="P437" s="140" t="str">
        <f t="shared" si="49"/>
        <v>NULL</v>
      </c>
      <c r="Q437" s="161">
        <v>8.3841822092961163E-2</v>
      </c>
      <c r="R437" s="125">
        <v>3.5166666666666671</v>
      </c>
      <c r="S437">
        <v>4.4033333333333333</v>
      </c>
      <c r="T437">
        <v>3.3937545113868706</v>
      </c>
      <c r="U437">
        <v>1.5545592056042985</v>
      </c>
      <c r="V437" s="118" t="s">
        <v>515</v>
      </c>
      <c r="W437" t="s">
        <v>515</v>
      </c>
      <c r="X437" t="s">
        <v>515</v>
      </c>
      <c r="Y437">
        <f t="shared" si="55"/>
        <v>7</v>
      </c>
      <c r="Z437">
        <f t="shared" si="56"/>
        <v>23</v>
      </c>
      <c r="AA437">
        <f t="shared" si="57"/>
        <v>2024</v>
      </c>
      <c r="AB437" s="118" t="b">
        <v>0</v>
      </c>
      <c r="AC437" s="19">
        <v>45496</v>
      </c>
      <c r="AD437" s="19" t="s">
        <v>515</v>
      </c>
      <c r="AE437" t="s">
        <v>515</v>
      </c>
      <c r="AF437" s="19">
        <v>45496</v>
      </c>
      <c r="AG437" t="s">
        <v>515</v>
      </c>
      <c r="AH437" t="s">
        <v>515</v>
      </c>
      <c r="AI437" s="118" t="s">
        <v>515</v>
      </c>
      <c r="AJ437" s="118" t="s">
        <v>515</v>
      </c>
      <c r="AK437" s="118" t="s">
        <v>515</v>
      </c>
      <c r="AL437" s="118" t="s">
        <v>515</v>
      </c>
      <c r="AM437" s="118" t="s">
        <v>515</v>
      </c>
      <c r="AN437" s="118" t="s">
        <v>515</v>
      </c>
      <c r="AO437" s="118" t="s">
        <v>515</v>
      </c>
      <c r="AP437" s="118" t="s">
        <v>515</v>
      </c>
      <c r="AQ437" s="118" t="s">
        <v>515</v>
      </c>
      <c r="AR437" s="118" t="s">
        <v>515</v>
      </c>
      <c r="AS437" s="118" t="s">
        <v>515</v>
      </c>
      <c r="AT437" s="118" t="s">
        <v>515</v>
      </c>
      <c r="AU437" s="118" t="s">
        <v>515</v>
      </c>
      <c r="AV437" s="118" t="s">
        <v>515</v>
      </c>
      <c r="AW437" s="118" t="s">
        <v>515</v>
      </c>
      <c r="AX437" s="118" t="s">
        <v>515</v>
      </c>
      <c r="AY437" s="118" t="s">
        <v>515</v>
      </c>
      <c r="AZ437" s="118" t="s">
        <v>515</v>
      </c>
      <c r="BA437" s="118" t="s">
        <v>515</v>
      </c>
      <c r="BB437" s="118" t="s">
        <v>515</v>
      </c>
      <c r="BC437" s="118" t="s">
        <v>515</v>
      </c>
      <c r="BD437" s="118" t="s">
        <v>515</v>
      </c>
      <c r="BE437" s="118" t="s">
        <v>515</v>
      </c>
      <c r="BF437" t="s">
        <v>515</v>
      </c>
      <c r="BG437" t="s">
        <v>515</v>
      </c>
      <c r="BH437" s="118"/>
      <c r="BI437" s="118"/>
      <c r="BJ437" s="118"/>
      <c r="BK437" s="118"/>
      <c r="BL437" s="118"/>
      <c r="BM437" s="118"/>
      <c r="BN437" s="118"/>
      <c r="BO437" s="118"/>
    </row>
    <row r="438" spans="1:67" x14ac:dyDescent="0.25">
      <c r="A438" s="25">
        <v>10437</v>
      </c>
      <c r="B438" t="s">
        <v>606</v>
      </c>
      <c r="C438" t="s">
        <v>606</v>
      </c>
      <c r="D438" s="27" t="s">
        <v>503</v>
      </c>
      <c r="E438" s="27">
        <v>1</v>
      </c>
      <c r="F438" s="118">
        <v>6865</v>
      </c>
      <c r="G438" t="s">
        <v>20</v>
      </c>
      <c r="H438" t="s">
        <v>8</v>
      </c>
      <c r="I438">
        <v>2.47E-2</v>
      </c>
      <c r="J438">
        <v>1.327</v>
      </c>
      <c r="K438">
        <v>0.17799999999999999</v>
      </c>
      <c r="L438" s="108">
        <v>1.591804570527975E-2</v>
      </c>
      <c r="M438" s="140">
        <f t="shared" si="58"/>
        <v>0.05</v>
      </c>
      <c r="N438" s="140">
        <f t="shared" si="58"/>
        <v>1.327</v>
      </c>
      <c r="O438" s="140">
        <f t="shared" si="58"/>
        <v>0.17799999999999999</v>
      </c>
      <c r="P438" s="140">
        <f t="shared" si="49"/>
        <v>0.05</v>
      </c>
      <c r="Q438" s="161">
        <v>0.13363497559915768</v>
      </c>
      <c r="R438" s="125">
        <v>19.326666666666668</v>
      </c>
      <c r="S438">
        <v>27.62</v>
      </c>
      <c r="T438" s="27">
        <v>2.7504044980179598</v>
      </c>
      <c r="U438" s="27">
        <v>1.0921545672740094</v>
      </c>
      <c r="V438" s="27" t="s">
        <v>515</v>
      </c>
      <c r="W438" t="s">
        <v>515</v>
      </c>
      <c r="X438" t="s">
        <v>515</v>
      </c>
      <c r="Y438">
        <f t="shared" ref="Y438:Y461" si="59">MONTH(AC438)</f>
        <v>7</v>
      </c>
      <c r="Z438">
        <f t="shared" ref="Z438:Z461" si="60">DAY(AC438)</f>
        <v>30</v>
      </c>
      <c r="AA438">
        <f t="shared" ref="AA438:AA461" si="61">YEAR(AC438)</f>
        <v>2024</v>
      </c>
      <c r="AB438" s="118" t="b">
        <v>0</v>
      </c>
      <c r="AC438" s="19">
        <v>45503</v>
      </c>
      <c r="AD438" s="19" t="s">
        <v>515</v>
      </c>
      <c r="AE438" t="s">
        <v>515</v>
      </c>
      <c r="AF438" s="19">
        <v>45503</v>
      </c>
      <c r="AG438" t="s">
        <v>515</v>
      </c>
      <c r="AH438" t="s">
        <v>515</v>
      </c>
      <c r="AI438" s="118">
        <v>740.9</v>
      </c>
      <c r="AJ438" s="118">
        <v>622.1</v>
      </c>
      <c r="AK438" s="118">
        <v>603.9</v>
      </c>
      <c r="AL438" s="118">
        <v>393</v>
      </c>
      <c r="AM438" s="118">
        <v>0.28999999999999998</v>
      </c>
      <c r="AN438" s="118">
        <v>601.9</v>
      </c>
      <c r="AO438" s="118">
        <v>0.497</v>
      </c>
      <c r="AP438" s="118">
        <v>0.51600000000000001</v>
      </c>
      <c r="AQ438" s="118">
        <v>0.70499999999999996</v>
      </c>
      <c r="AR438" s="118">
        <v>161.5</v>
      </c>
      <c r="AS438" s="118">
        <v>12.94</v>
      </c>
      <c r="AT438" s="118">
        <v>165.7</v>
      </c>
      <c r="AU438" s="118">
        <v>-86.807147639999997</v>
      </c>
      <c r="AV438" s="118">
        <v>40.835024840000003</v>
      </c>
      <c r="AW438" s="118">
        <v>198.2</v>
      </c>
      <c r="AX438" s="118">
        <v>212.6</v>
      </c>
      <c r="AY438" s="118">
        <v>7.92</v>
      </c>
      <c r="AZ438" s="118">
        <v>-78.8</v>
      </c>
      <c r="BA438" s="118">
        <v>11.9</v>
      </c>
      <c r="BB438" s="118">
        <v>0</v>
      </c>
      <c r="BC438" s="118">
        <v>26.58</v>
      </c>
      <c r="BD438" s="118">
        <v>3.94</v>
      </c>
      <c r="BE438" s="118">
        <v>0</v>
      </c>
      <c r="BF438" t="s">
        <v>515</v>
      </c>
      <c r="BG438" t="s">
        <v>515</v>
      </c>
      <c r="BH438" s="190">
        <v>388.19600000000003</v>
      </c>
      <c r="BI438" s="190">
        <v>368.23399999999998</v>
      </c>
      <c r="BJ438" s="190">
        <v>442.00700000000001</v>
      </c>
      <c r="BK438" s="190">
        <v>489.88499999999999</v>
      </c>
      <c r="BL438" s="190">
        <v>452.39800000000002</v>
      </c>
      <c r="BM438" s="190">
        <v>325.053</v>
      </c>
      <c r="BN438" s="190">
        <v>435.18200000000002</v>
      </c>
      <c r="BO438" s="190">
        <v>893.86199999999997</v>
      </c>
    </row>
    <row r="439" spans="1:67" x14ac:dyDescent="0.25">
      <c r="A439" s="25">
        <v>10438</v>
      </c>
      <c r="B439" t="s">
        <v>607</v>
      </c>
      <c r="C439" t="s">
        <v>607</v>
      </c>
      <c r="D439" s="27" t="s">
        <v>509</v>
      </c>
      <c r="E439" s="27">
        <v>2</v>
      </c>
      <c r="F439" s="118">
        <v>8165</v>
      </c>
      <c r="G439" t="s">
        <v>20</v>
      </c>
      <c r="H439" t="s">
        <v>8</v>
      </c>
      <c r="I439">
        <v>8.0000000000000004E-4</v>
      </c>
      <c r="J439">
        <v>0.92800000000000005</v>
      </c>
      <c r="K439">
        <v>0.14799999999999999</v>
      </c>
      <c r="L439" t="s">
        <v>515</v>
      </c>
      <c r="M439" s="140">
        <f t="shared" si="58"/>
        <v>0.05</v>
      </c>
      <c r="N439" s="140">
        <f t="shared" si="58"/>
        <v>0.92800000000000005</v>
      </c>
      <c r="O439" s="140">
        <f t="shared" si="58"/>
        <v>0.14799999999999999</v>
      </c>
      <c r="P439" s="140" t="str">
        <f t="shared" si="49"/>
        <v>NULL</v>
      </c>
      <c r="Q439" s="165">
        <v>0.15</v>
      </c>
      <c r="R439" s="125">
        <v>15.373333333333333</v>
      </c>
      <c r="S439">
        <v>22.466666666666669</v>
      </c>
      <c r="T439" s="27">
        <v>2.4874807863441468</v>
      </c>
      <c r="U439" s="27">
        <v>0.81953967916758952</v>
      </c>
      <c r="V439" s="27" t="s">
        <v>515</v>
      </c>
      <c r="W439" t="s">
        <v>515</v>
      </c>
      <c r="X439" t="s">
        <v>515</v>
      </c>
      <c r="Y439">
        <f t="shared" si="59"/>
        <v>7</v>
      </c>
      <c r="Z439">
        <f t="shared" si="60"/>
        <v>30</v>
      </c>
      <c r="AA439">
        <f t="shared" si="61"/>
        <v>2024</v>
      </c>
      <c r="AB439" s="118" t="b">
        <v>0</v>
      </c>
      <c r="AC439" s="19">
        <v>45503</v>
      </c>
      <c r="AD439" s="19" t="s">
        <v>515</v>
      </c>
      <c r="AE439" t="s">
        <v>515</v>
      </c>
      <c r="AF439" s="19">
        <v>45503</v>
      </c>
      <c r="AG439" t="s">
        <v>515</v>
      </c>
      <c r="AH439" t="s">
        <v>515</v>
      </c>
      <c r="AI439" s="118">
        <v>740.6</v>
      </c>
      <c r="AJ439" s="118">
        <v>633.9</v>
      </c>
      <c r="AK439" s="118">
        <v>610</v>
      </c>
      <c r="AL439" s="118">
        <v>396</v>
      </c>
      <c r="AM439" s="118">
        <v>0.28999999999999998</v>
      </c>
      <c r="AN439" s="118">
        <v>607.4</v>
      </c>
      <c r="AO439" s="118">
        <v>0.39300000000000002</v>
      </c>
      <c r="AP439" s="118">
        <v>0.4</v>
      </c>
      <c r="AQ439" s="118">
        <v>0.55600000000000005</v>
      </c>
      <c r="AR439" s="118">
        <v>187.6</v>
      </c>
      <c r="AS439" s="118">
        <v>14.91</v>
      </c>
      <c r="AT439" s="118">
        <v>192.6</v>
      </c>
      <c r="AU439" s="118">
        <v>-86.805258600000002</v>
      </c>
      <c r="AV439" s="118">
        <v>40.840702100000001</v>
      </c>
      <c r="AW439" s="118">
        <v>196.5</v>
      </c>
      <c r="AX439" s="118">
        <v>221.6</v>
      </c>
      <c r="AY439" s="118">
        <v>7.95</v>
      </c>
      <c r="AZ439" s="118">
        <v>-80.599999999999994</v>
      </c>
      <c r="BA439" s="118">
        <v>11.9</v>
      </c>
      <c r="BB439" s="118">
        <v>0</v>
      </c>
      <c r="BC439" s="118">
        <v>27.058</v>
      </c>
      <c r="BD439" s="118">
        <v>6.38</v>
      </c>
      <c r="BE439" s="118">
        <v>0</v>
      </c>
      <c r="BF439" t="s">
        <v>515</v>
      </c>
      <c r="BG439" t="s">
        <v>515</v>
      </c>
      <c r="BH439" s="118"/>
      <c r="BI439" s="118"/>
      <c r="BJ439" s="118"/>
      <c r="BK439" s="118"/>
      <c r="BL439" s="118"/>
      <c r="BM439" s="118"/>
      <c r="BN439" s="118"/>
      <c r="BO439" s="118"/>
    </row>
    <row r="440" spans="1:67" x14ac:dyDescent="0.25">
      <c r="A440" s="25">
        <v>10439</v>
      </c>
      <c r="B440" t="s">
        <v>608</v>
      </c>
      <c r="C440" t="s">
        <v>608</v>
      </c>
      <c r="D440" s="27" t="s">
        <v>504</v>
      </c>
      <c r="E440" s="27">
        <v>5</v>
      </c>
      <c r="F440" s="118">
        <v>6425</v>
      </c>
      <c r="G440" t="s">
        <v>20</v>
      </c>
      <c r="H440" t="s">
        <v>8</v>
      </c>
      <c r="I440">
        <v>5.1999999999999998E-3</v>
      </c>
      <c r="J440">
        <v>1.6850000000000001</v>
      </c>
      <c r="K440">
        <v>0.28899999999999998</v>
      </c>
      <c r="L440" t="s">
        <v>515</v>
      </c>
      <c r="M440" s="140">
        <f t="shared" si="58"/>
        <v>0.05</v>
      </c>
      <c r="N440" s="140">
        <f t="shared" si="58"/>
        <v>1.6850000000000001</v>
      </c>
      <c r="O440" s="140">
        <f t="shared" si="58"/>
        <v>0.28899999999999998</v>
      </c>
      <c r="P440" s="140" t="str">
        <f t="shared" si="49"/>
        <v>NULL</v>
      </c>
      <c r="Q440" s="161">
        <v>1.7915727951992057E-2</v>
      </c>
      <c r="R440" s="125">
        <v>12.306666666666667</v>
      </c>
      <c r="S440">
        <v>22.8</v>
      </c>
      <c r="T440" s="27">
        <v>3.4107475123371898</v>
      </c>
      <c r="U440" s="27">
        <v>1.406943039106737</v>
      </c>
      <c r="V440" s="27" t="s">
        <v>515</v>
      </c>
      <c r="W440" t="s">
        <v>515</v>
      </c>
      <c r="X440" t="s">
        <v>515</v>
      </c>
      <c r="Y440">
        <f t="shared" si="59"/>
        <v>7</v>
      </c>
      <c r="Z440">
        <f t="shared" si="60"/>
        <v>30</v>
      </c>
      <c r="AA440">
        <f t="shared" si="61"/>
        <v>2024</v>
      </c>
      <c r="AB440" s="118" t="b">
        <v>0</v>
      </c>
      <c r="AC440" s="19">
        <v>45503</v>
      </c>
      <c r="AD440" s="19" t="s">
        <v>515</v>
      </c>
      <c r="AE440" t="s">
        <v>515</v>
      </c>
      <c r="AF440" s="19">
        <v>45503</v>
      </c>
      <c r="AG440" t="s">
        <v>515</v>
      </c>
      <c r="AH440" t="s">
        <v>515</v>
      </c>
      <c r="AI440" s="118">
        <v>740.8</v>
      </c>
      <c r="AJ440" s="118">
        <v>598.1</v>
      </c>
      <c r="AK440" s="118">
        <v>586.6</v>
      </c>
      <c r="AL440" s="118">
        <v>381</v>
      </c>
      <c r="AM440" s="118">
        <v>0.28000000000000003</v>
      </c>
      <c r="AN440" s="118">
        <v>585.4</v>
      </c>
      <c r="AO440" s="118">
        <v>0.38500000000000001</v>
      </c>
      <c r="AP440" s="118">
        <v>0.38800000000000001</v>
      </c>
      <c r="AQ440" s="118">
        <v>0.54600000000000004</v>
      </c>
      <c r="AR440" s="118">
        <v>143.1</v>
      </c>
      <c r="AS440" s="118">
        <v>11.59</v>
      </c>
      <c r="AT440" s="118">
        <v>146.9</v>
      </c>
      <c r="AU440" s="118">
        <v>-86.795836289999997</v>
      </c>
      <c r="AV440" s="118">
        <v>40.823874850000003</v>
      </c>
      <c r="AW440" s="118">
        <v>191.7</v>
      </c>
      <c r="AX440" s="118">
        <v>234.1</v>
      </c>
      <c r="AY440" s="118">
        <v>8.01</v>
      </c>
      <c r="AZ440" s="118">
        <v>-83.9</v>
      </c>
      <c r="BA440" s="118">
        <v>11.9</v>
      </c>
      <c r="BB440" s="118">
        <v>0</v>
      </c>
      <c r="BC440" s="118">
        <v>26.021999999999998</v>
      </c>
      <c r="BD440" s="118">
        <v>2.38</v>
      </c>
      <c r="BE440" s="118">
        <v>0</v>
      </c>
      <c r="BF440" t="s">
        <v>515</v>
      </c>
      <c r="BG440" t="s">
        <v>515</v>
      </c>
      <c r="BH440" s="190">
        <v>456.88900000000001</v>
      </c>
      <c r="BI440" s="190">
        <v>452.46300000000002</v>
      </c>
      <c r="BJ440" s="190">
        <v>524.61699999999996</v>
      </c>
      <c r="BK440" s="190">
        <v>572.57799999999997</v>
      </c>
      <c r="BL440" s="190">
        <v>543.46400000000006</v>
      </c>
      <c r="BM440" s="190">
        <v>446.59399999999999</v>
      </c>
      <c r="BN440" s="190">
        <v>514.83199999999999</v>
      </c>
      <c r="BO440" s="190">
        <v>989.59699999999998</v>
      </c>
    </row>
    <row r="441" spans="1:67" x14ac:dyDescent="0.25">
      <c r="A441" s="25">
        <v>10440</v>
      </c>
      <c r="B441" t="s">
        <v>609</v>
      </c>
      <c r="C441" t="s">
        <v>609</v>
      </c>
      <c r="D441" s="27" t="s">
        <v>483</v>
      </c>
      <c r="E441" s="27">
        <v>6</v>
      </c>
      <c r="F441" s="118">
        <v>8245</v>
      </c>
      <c r="G441" t="s">
        <v>20</v>
      </c>
      <c r="H441" t="s">
        <v>8</v>
      </c>
      <c r="I441">
        <v>1.8599999999999998E-2</v>
      </c>
      <c r="J441">
        <v>1.6919999999999999</v>
      </c>
      <c r="K441">
        <v>0.27400000000000002</v>
      </c>
      <c r="L441" t="s">
        <v>515</v>
      </c>
      <c r="M441" s="140">
        <f t="shared" si="58"/>
        <v>0.05</v>
      </c>
      <c r="N441" s="140">
        <f t="shared" si="58"/>
        <v>1.6919999999999999</v>
      </c>
      <c r="O441" s="140">
        <f t="shared" si="58"/>
        <v>0.27400000000000002</v>
      </c>
      <c r="P441" s="140" t="str">
        <f t="shared" si="49"/>
        <v>NULL</v>
      </c>
      <c r="Q441" s="165">
        <v>0.15</v>
      </c>
      <c r="R441" s="125">
        <v>0.79666666666666652</v>
      </c>
      <c r="S441">
        <v>1.2033333333333334</v>
      </c>
      <c r="T441" s="27">
        <v>3.2221503114634737</v>
      </c>
      <c r="U441" s="27">
        <v>1.4263146373733664</v>
      </c>
      <c r="V441" s="27" t="s">
        <v>515</v>
      </c>
      <c r="W441" t="s">
        <v>515</v>
      </c>
      <c r="X441" t="s">
        <v>515</v>
      </c>
      <c r="Y441">
        <f t="shared" si="59"/>
        <v>7</v>
      </c>
      <c r="Z441">
        <f t="shared" si="60"/>
        <v>30</v>
      </c>
      <c r="AA441">
        <f t="shared" si="61"/>
        <v>2024</v>
      </c>
      <c r="AB441" s="118" t="b">
        <v>0</v>
      </c>
      <c r="AC441" s="19">
        <v>45503</v>
      </c>
      <c r="AD441" s="19" t="s">
        <v>515</v>
      </c>
      <c r="AE441" t="s">
        <v>515</v>
      </c>
      <c r="AF441" s="19">
        <v>45503</v>
      </c>
      <c r="AG441" t="s">
        <v>515</v>
      </c>
      <c r="AH441" t="s">
        <v>515</v>
      </c>
      <c r="AI441" s="118">
        <v>740.3</v>
      </c>
      <c r="AJ441" s="118">
        <v>619.20000000000005</v>
      </c>
      <c r="AK441" s="118">
        <v>632.29999999999995</v>
      </c>
      <c r="AL441" s="118">
        <v>411</v>
      </c>
      <c r="AM441" s="118">
        <v>0.31</v>
      </c>
      <c r="AN441" s="118">
        <v>633.6</v>
      </c>
      <c r="AO441" s="118">
        <v>0.438</v>
      </c>
      <c r="AP441" s="118">
        <v>0.45300000000000001</v>
      </c>
      <c r="AQ441" s="118">
        <v>0.622</v>
      </c>
      <c r="AR441" s="118">
        <v>86.5</v>
      </c>
      <c r="AS441" s="118">
        <v>7.28</v>
      </c>
      <c r="AT441" s="118">
        <v>88.7</v>
      </c>
      <c r="AU441" s="118">
        <v>-86.781764559999999</v>
      </c>
      <c r="AV441" s="118">
        <v>40.834882550000003</v>
      </c>
      <c r="AW441" s="118">
        <v>195.9</v>
      </c>
      <c r="AX441" s="118">
        <v>184.8</v>
      </c>
      <c r="AY441" s="118">
        <v>7.85</v>
      </c>
      <c r="AZ441" s="118">
        <v>-73.900000000000006</v>
      </c>
      <c r="BA441" s="118">
        <v>11.9</v>
      </c>
      <c r="BB441" s="118">
        <v>0</v>
      </c>
      <c r="BC441" s="118">
        <v>23.914000000000001</v>
      </c>
      <c r="BD441" s="118">
        <v>2.41</v>
      </c>
      <c r="BE441" s="118">
        <v>0</v>
      </c>
      <c r="BF441" t="s">
        <v>515</v>
      </c>
      <c r="BG441" t="s">
        <v>515</v>
      </c>
      <c r="BH441" s="190">
        <v>391.72399999999999</v>
      </c>
      <c r="BI441" s="190">
        <v>367.09899999999999</v>
      </c>
      <c r="BJ441" s="190">
        <v>443.46499999999997</v>
      </c>
      <c r="BK441" s="190">
        <v>498.09399999999999</v>
      </c>
      <c r="BL441" s="190">
        <v>481.56400000000002</v>
      </c>
      <c r="BM441" s="190">
        <v>367.11200000000002</v>
      </c>
      <c r="BN441" s="190">
        <v>416.375</v>
      </c>
      <c r="BO441" s="190">
        <v>904.84100000000001</v>
      </c>
    </row>
    <row r="442" spans="1:67" x14ac:dyDescent="0.25">
      <c r="A442" s="25">
        <v>10441</v>
      </c>
      <c r="B442" t="s">
        <v>610</v>
      </c>
      <c r="C442" t="s">
        <v>610</v>
      </c>
      <c r="D442" s="27" t="s">
        <v>484</v>
      </c>
      <c r="E442" s="27">
        <v>8</v>
      </c>
      <c r="F442" s="118">
        <v>5065</v>
      </c>
      <c r="G442" t="s">
        <v>20</v>
      </c>
      <c r="H442" t="s">
        <v>8</v>
      </c>
      <c r="I442">
        <v>2.41E-2</v>
      </c>
      <c r="J442">
        <v>1.637</v>
      </c>
      <c r="K442">
        <v>0.29199999999999998</v>
      </c>
      <c r="L442" s="108">
        <v>1.2765957446808512E-2</v>
      </c>
      <c r="M442" s="140">
        <f t="shared" si="58"/>
        <v>0.05</v>
      </c>
      <c r="N442" s="140">
        <f t="shared" si="58"/>
        <v>1.637</v>
      </c>
      <c r="O442" s="140">
        <f t="shared" si="58"/>
        <v>0.29199999999999998</v>
      </c>
      <c r="P442" s="140">
        <f t="shared" si="49"/>
        <v>0.05</v>
      </c>
      <c r="Q442" s="165">
        <v>0.15</v>
      </c>
      <c r="R442" s="125">
        <v>3.6233333333333335</v>
      </c>
      <c r="S442">
        <v>5.13</v>
      </c>
      <c r="T442" s="27">
        <v>2.7970903109241427</v>
      </c>
      <c r="U442" s="27">
        <v>1.2408046789727976</v>
      </c>
      <c r="V442" s="27" t="s">
        <v>515</v>
      </c>
      <c r="W442" t="s">
        <v>515</v>
      </c>
      <c r="X442" t="s">
        <v>515</v>
      </c>
      <c r="Y442">
        <f t="shared" si="59"/>
        <v>7</v>
      </c>
      <c r="Z442">
        <f t="shared" si="60"/>
        <v>30</v>
      </c>
      <c r="AA442">
        <f t="shared" si="61"/>
        <v>2024</v>
      </c>
      <c r="AB442" s="118" t="b">
        <v>0</v>
      </c>
      <c r="AC442" s="19">
        <v>45503</v>
      </c>
      <c r="AD442" s="19" t="s">
        <v>515</v>
      </c>
      <c r="AE442" t="s">
        <v>515</v>
      </c>
      <c r="AF442" s="19">
        <v>45503</v>
      </c>
      <c r="AG442" t="s">
        <v>515</v>
      </c>
      <c r="AH442" t="s">
        <v>515</v>
      </c>
      <c r="AI442" s="118">
        <v>740.8</v>
      </c>
      <c r="AJ442" s="118">
        <v>619</v>
      </c>
      <c r="AK442" s="118">
        <v>626.6</v>
      </c>
      <c r="AL442" s="118">
        <v>407</v>
      </c>
      <c r="AM442" s="118">
        <v>0.3</v>
      </c>
      <c r="AN442" s="118">
        <v>627.4</v>
      </c>
      <c r="AO442" s="118">
        <v>0.38500000000000001</v>
      </c>
      <c r="AP442" s="118">
        <v>0.45100000000000001</v>
      </c>
      <c r="AQ442" s="118">
        <v>0.54600000000000004</v>
      </c>
      <c r="AR442" s="118">
        <v>90.7</v>
      </c>
      <c r="AS442" s="118">
        <v>7.57</v>
      </c>
      <c r="AT442" s="118">
        <v>93.1</v>
      </c>
      <c r="AU442" s="118">
        <v>-86.794299730000006</v>
      </c>
      <c r="AV442" s="118">
        <v>40.81108966</v>
      </c>
      <c r="AW442" s="118">
        <v>194.1</v>
      </c>
      <c r="AX442" s="118">
        <v>230.3</v>
      </c>
      <c r="AY442" s="118">
        <v>7.84</v>
      </c>
      <c r="AZ442" s="118">
        <v>-73.8</v>
      </c>
      <c r="BA442" s="118">
        <v>11.9</v>
      </c>
      <c r="BB442" s="118">
        <v>0</v>
      </c>
      <c r="BC442" s="118">
        <v>24.369</v>
      </c>
      <c r="BD442" s="118">
        <v>1.82</v>
      </c>
      <c r="BE442" s="118">
        <v>0</v>
      </c>
      <c r="BF442" t="s">
        <v>515</v>
      </c>
      <c r="BG442" t="s">
        <v>515</v>
      </c>
      <c r="BH442" s="190">
        <v>481.00099999999998</v>
      </c>
      <c r="BI442" s="190">
        <v>447.62700000000001</v>
      </c>
      <c r="BJ442" s="190">
        <v>511.36</v>
      </c>
      <c r="BK442" s="190">
        <v>561.995</v>
      </c>
      <c r="BL442" s="190">
        <v>539.02099999999996</v>
      </c>
      <c r="BM442" s="190">
        <v>421.87099999999998</v>
      </c>
      <c r="BN442" s="190">
        <v>469.09300000000002</v>
      </c>
      <c r="BO442" s="190">
        <v>889.66800000000001</v>
      </c>
    </row>
    <row r="443" spans="1:67" x14ac:dyDescent="0.25">
      <c r="A443" s="25">
        <v>10442</v>
      </c>
      <c r="B443" t="s">
        <v>611</v>
      </c>
      <c r="C443" t="s">
        <v>611</v>
      </c>
      <c r="D443" s="27" t="s">
        <v>485</v>
      </c>
      <c r="E443" s="27">
        <v>9</v>
      </c>
      <c r="F443" s="118">
        <v>3385</v>
      </c>
      <c r="G443" t="s">
        <v>20</v>
      </c>
      <c r="H443" t="s">
        <v>8</v>
      </c>
      <c r="I443">
        <v>1.47E-2</v>
      </c>
      <c r="J443">
        <v>1.655</v>
      </c>
      <c r="K443">
        <v>0.35</v>
      </c>
      <c r="L443" t="s">
        <v>515</v>
      </c>
      <c r="M443" s="140">
        <f t="shared" si="58"/>
        <v>0.05</v>
      </c>
      <c r="N443" s="140">
        <f t="shared" si="58"/>
        <v>1.655</v>
      </c>
      <c r="O443" s="140">
        <f t="shared" si="58"/>
        <v>0.35</v>
      </c>
      <c r="P443" s="140" t="str">
        <f t="shared" si="49"/>
        <v>NULL</v>
      </c>
      <c r="Q443" s="165">
        <v>0.15</v>
      </c>
      <c r="R443" s="125">
        <v>23.680000000000003</v>
      </c>
      <c r="S443">
        <v>23.616666666666664</v>
      </c>
      <c r="T443" s="27">
        <v>2.8894506916916107</v>
      </c>
      <c r="U443" s="27">
        <v>1.2376433417556738</v>
      </c>
      <c r="V443" s="27" t="s">
        <v>515</v>
      </c>
      <c r="W443" t="s">
        <v>515</v>
      </c>
      <c r="X443" t="s">
        <v>515</v>
      </c>
      <c r="Y443">
        <f t="shared" si="59"/>
        <v>7</v>
      </c>
      <c r="Z443">
        <f t="shared" si="60"/>
        <v>30</v>
      </c>
      <c r="AA443">
        <f t="shared" si="61"/>
        <v>2024</v>
      </c>
      <c r="AB443" s="118" t="b">
        <v>0</v>
      </c>
      <c r="AC443" s="19">
        <v>45503</v>
      </c>
      <c r="AD443" s="19" t="s">
        <v>515</v>
      </c>
      <c r="AE443" t="s">
        <v>515</v>
      </c>
      <c r="AF443" s="19">
        <v>45503</v>
      </c>
      <c r="AG443" t="s">
        <v>515</v>
      </c>
      <c r="AH443" t="s">
        <v>515</v>
      </c>
      <c r="AI443" s="118">
        <v>740.7</v>
      </c>
      <c r="AJ443" s="118">
        <v>613.5</v>
      </c>
      <c r="AK443" s="118">
        <v>621.29999999999995</v>
      </c>
      <c r="AL443" s="118">
        <v>404</v>
      </c>
      <c r="AM443" s="118">
        <v>0.3</v>
      </c>
      <c r="AN443" s="118">
        <v>622.1</v>
      </c>
      <c r="AO443" s="118">
        <v>0.44</v>
      </c>
      <c r="AP443" s="118">
        <v>0.436</v>
      </c>
      <c r="AQ443" s="118">
        <v>0.624</v>
      </c>
      <c r="AR443" s="118">
        <v>103.7</v>
      </c>
      <c r="AS443" s="118">
        <v>8.67</v>
      </c>
      <c r="AT443" s="118">
        <v>106.5</v>
      </c>
      <c r="AU443" s="118">
        <v>-86.774830640000005</v>
      </c>
      <c r="AV443" s="118">
        <v>40.804242270000003</v>
      </c>
      <c r="AW443" s="118">
        <v>199.5</v>
      </c>
      <c r="AX443" s="118">
        <v>229.6</v>
      </c>
      <c r="AY443" s="118">
        <v>7.89</v>
      </c>
      <c r="AZ443" s="118">
        <v>-76.7</v>
      </c>
      <c r="BA443" s="118">
        <v>11.9</v>
      </c>
      <c r="BB443" s="118">
        <v>0</v>
      </c>
      <c r="BC443" s="118">
        <v>24.343</v>
      </c>
      <c r="BD443" s="118">
        <v>2.31</v>
      </c>
      <c r="BE443" s="118">
        <v>0</v>
      </c>
      <c r="BF443" t="s">
        <v>515</v>
      </c>
      <c r="BG443" t="s">
        <v>515</v>
      </c>
      <c r="BH443" s="190">
        <v>434.303</v>
      </c>
      <c r="BI443" s="190">
        <v>395.64699999999999</v>
      </c>
      <c r="BJ443" s="190">
        <v>467.14499999999998</v>
      </c>
      <c r="BK443" s="190">
        <v>517.52700000000004</v>
      </c>
      <c r="BL443" s="190">
        <v>487.58600000000001</v>
      </c>
      <c r="BM443" s="190">
        <v>354.79599999999999</v>
      </c>
      <c r="BN443" s="190">
        <v>458.06099999999998</v>
      </c>
      <c r="BO443" s="190">
        <v>946.92</v>
      </c>
    </row>
    <row r="444" spans="1:67" x14ac:dyDescent="0.25">
      <c r="A444" s="25">
        <v>10443</v>
      </c>
      <c r="B444" t="s">
        <v>612</v>
      </c>
      <c r="C444" t="s">
        <v>612</v>
      </c>
      <c r="D444" s="27" t="s">
        <v>486</v>
      </c>
      <c r="E444" s="27">
        <v>10</v>
      </c>
      <c r="F444" s="118">
        <v>2205</v>
      </c>
      <c r="G444" t="s">
        <v>20</v>
      </c>
      <c r="H444" t="s">
        <v>8</v>
      </c>
      <c r="I444">
        <v>1.5800000000000002E-2</v>
      </c>
      <c r="J444">
        <v>1.7310000000000001</v>
      </c>
      <c r="K444">
        <v>0.29699999999999999</v>
      </c>
      <c r="L444" s="108">
        <v>1.2765957446808512E-2</v>
      </c>
      <c r="M444" s="140">
        <f t="shared" si="58"/>
        <v>0.05</v>
      </c>
      <c r="N444" s="140">
        <f t="shared" si="58"/>
        <v>1.7310000000000001</v>
      </c>
      <c r="O444" s="140">
        <f t="shared" si="58"/>
        <v>0.29699999999999999</v>
      </c>
      <c r="P444" s="140">
        <f t="shared" si="49"/>
        <v>0.05</v>
      </c>
      <c r="Q444" s="161">
        <v>9.2149737468192661E-2</v>
      </c>
      <c r="R444" s="125">
        <v>17.753333333333334</v>
      </c>
      <c r="S444">
        <v>24.91</v>
      </c>
      <c r="T444" s="27">
        <v>3.2393414772267617</v>
      </c>
      <c r="U444" s="27">
        <v>1.3270351962568907</v>
      </c>
      <c r="V444" s="27" t="s">
        <v>515</v>
      </c>
      <c r="W444" t="s">
        <v>515</v>
      </c>
      <c r="X444" t="s">
        <v>515</v>
      </c>
      <c r="Y444">
        <f t="shared" si="59"/>
        <v>7</v>
      </c>
      <c r="Z444">
        <f t="shared" si="60"/>
        <v>30</v>
      </c>
      <c r="AA444">
        <f t="shared" si="61"/>
        <v>2024</v>
      </c>
      <c r="AB444" s="118" t="b">
        <v>0</v>
      </c>
      <c r="AC444" s="19">
        <v>45503</v>
      </c>
      <c r="AD444" s="19" t="s">
        <v>515</v>
      </c>
      <c r="AE444" t="s">
        <v>515</v>
      </c>
      <c r="AF444" s="19">
        <v>45503</v>
      </c>
      <c r="AG444" t="s">
        <v>515</v>
      </c>
      <c r="AH444" t="s">
        <v>515</v>
      </c>
      <c r="AI444" s="118">
        <v>740.7</v>
      </c>
      <c r="AJ444" s="118">
        <v>615.4</v>
      </c>
      <c r="AK444" s="118">
        <v>620</v>
      </c>
      <c r="AL444" s="118">
        <v>403</v>
      </c>
      <c r="AM444" s="118">
        <v>0.3</v>
      </c>
      <c r="AN444" s="118">
        <v>620.5</v>
      </c>
      <c r="AO444" s="118">
        <v>0.36399999999999999</v>
      </c>
      <c r="AP444" s="118">
        <v>0.379</v>
      </c>
      <c r="AQ444" s="118">
        <v>0.51700000000000002</v>
      </c>
      <c r="AR444" s="118">
        <v>117.7</v>
      </c>
      <c r="AS444" s="118">
        <v>9.7799999999999994</v>
      </c>
      <c r="AT444" s="118">
        <v>120.8</v>
      </c>
      <c r="AU444" s="118">
        <v>-86.774344880000001</v>
      </c>
      <c r="AV444" s="118">
        <v>40.794689409999997</v>
      </c>
      <c r="AW444" s="118">
        <v>200.2</v>
      </c>
      <c r="AX444" s="118">
        <v>226.6</v>
      </c>
      <c r="AY444" s="118">
        <v>8.0500000000000007</v>
      </c>
      <c r="AZ444" s="118">
        <v>-86.1</v>
      </c>
      <c r="BA444" s="118">
        <v>12</v>
      </c>
      <c r="BB444" s="118">
        <v>0</v>
      </c>
      <c r="BC444" s="118">
        <v>24.609000000000002</v>
      </c>
      <c r="BD444" s="118">
        <v>2.06</v>
      </c>
      <c r="BE444" s="118">
        <v>0</v>
      </c>
      <c r="BF444" t="s">
        <v>515</v>
      </c>
      <c r="BG444" t="s">
        <v>515</v>
      </c>
      <c r="BH444" s="190">
        <v>471.226</v>
      </c>
      <c r="BI444" s="190">
        <v>439.84100000000001</v>
      </c>
      <c r="BJ444" s="190">
        <v>511.762</v>
      </c>
      <c r="BK444" s="190">
        <v>569.77499999999998</v>
      </c>
      <c r="BL444" s="190">
        <v>543.50099999999998</v>
      </c>
      <c r="BM444" s="190">
        <v>428.70400000000001</v>
      </c>
      <c r="BN444" s="190">
        <v>482.38600000000002</v>
      </c>
      <c r="BO444" s="190">
        <v>890.67</v>
      </c>
    </row>
    <row r="445" spans="1:67" x14ac:dyDescent="0.25">
      <c r="A445" s="25">
        <v>10444</v>
      </c>
      <c r="B445" t="s">
        <v>613</v>
      </c>
      <c r="C445" t="s">
        <v>613</v>
      </c>
      <c r="D445" s="27" t="s">
        <v>487</v>
      </c>
      <c r="E445" s="27">
        <v>11</v>
      </c>
      <c r="F445" s="118">
        <v>1385</v>
      </c>
      <c r="G445" t="s">
        <v>20</v>
      </c>
      <c r="H445" t="s">
        <v>8</v>
      </c>
      <c r="I445">
        <v>0.14829999999999999</v>
      </c>
      <c r="J445">
        <v>1.2889999999999999</v>
      </c>
      <c r="K445">
        <v>0.28499999999999998</v>
      </c>
      <c r="L445" t="s">
        <v>515</v>
      </c>
      <c r="M445" s="140">
        <f t="shared" si="58"/>
        <v>0.14829999999999999</v>
      </c>
      <c r="N445" s="140">
        <f t="shared" si="58"/>
        <v>1.2889999999999999</v>
      </c>
      <c r="O445" s="140">
        <f t="shared" si="58"/>
        <v>0.28499999999999998</v>
      </c>
      <c r="P445" s="140" t="str">
        <f t="shared" si="49"/>
        <v>NULL</v>
      </c>
      <c r="Q445" s="165">
        <v>0.15</v>
      </c>
      <c r="R445" s="125">
        <v>13.683333333333332</v>
      </c>
      <c r="S445">
        <v>23.403333333333332</v>
      </c>
      <c r="T445" s="27">
        <v>3.0537780114877435</v>
      </c>
      <c r="U445" s="27">
        <v>1.1357406633739253</v>
      </c>
      <c r="V445" s="27" t="s">
        <v>515</v>
      </c>
      <c r="W445" t="s">
        <v>515</v>
      </c>
      <c r="X445" t="s">
        <v>515</v>
      </c>
      <c r="Y445">
        <f t="shared" si="59"/>
        <v>7</v>
      </c>
      <c r="Z445">
        <f t="shared" si="60"/>
        <v>30</v>
      </c>
      <c r="AA445">
        <f t="shared" si="61"/>
        <v>2024</v>
      </c>
      <c r="AB445" s="118" t="b">
        <v>0</v>
      </c>
      <c r="AC445" s="19">
        <v>45503</v>
      </c>
      <c r="AD445" s="19" t="s">
        <v>515</v>
      </c>
      <c r="AE445" t="s">
        <v>515</v>
      </c>
      <c r="AF445" s="19">
        <v>45503</v>
      </c>
      <c r="AG445" t="s">
        <v>515</v>
      </c>
      <c r="AH445" t="s">
        <v>515</v>
      </c>
      <c r="AI445" s="118">
        <v>740.5</v>
      </c>
      <c r="AJ445" s="118">
        <v>610.79999999999995</v>
      </c>
      <c r="AK445" s="118">
        <v>612.5</v>
      </c>
      <c r="AL445" s="118">
        <v>398</v>
      </c>
      <c r="AM445" s="118">
        <v>0.3</v>
      </c>
      <c r="AN445" s="118">
        <v>612.70000000000005</v>
      </c>
      <c r="AO445" s="118">
        <v>0.57599999999999996</v>
      </c>
      <c r="AP445" s="118">
        <v>0.57099999999999995</v>
      </c>
      <c r="AQ445" s="118">
        <v>0.81699999999999995</v>
      </c>
      <c r="AR445" s="118">
        <v>128.4</v>
      </c>
      <c r="AS445" s="118">
        <v>10.62</v>
      </c>
      <c r="AT445" s="118">
        <v>131.69999999999999</v>
      </c>
      <c r="AU445" s="118">
        <v>-86.772130180000005</v>
      </c>
      <c r="AV445" s="118">
        <v>40.78862204</v>
      </c>
      <c r="AW445" s="118">
        <v>198.1</v>
      </c>
      <c r="AX445" s="118">
        <v>207.5</v>
      </c>
      <c r="AY445" s="118">
        <v>8.07</v>
      </c>
      <c r="AZ445" s="118">
        <v>-87.4</v>
      </c>
      <c r="BA445" s="118">
        <v>11.9</v>
      </c>
      <c r="BB445" s="118">
        <v>0</v>
      </c>
      <c r="BC445" s="118">
        <v>24.858000000000001</v>
      </c>
      <c r="BD445" s="118">
        <v>2.3199999999999998</v>
      </c>
      <c r="BE445" s="118">
        <v>0</v>
      </c>
      <c r="BF445" t="s">
        <v>515</v>
      </c>
      <c r="BG445" t="s">
        <v>515</v>
      </c>
      <c r="BH445" s="190">
        <v>442.28</v>
      </c>
      <c r="BI445" s="190">
        <v>395.70600000000002</v>
      </c>
      <c r="BJ445" s="190">
        <v>464.88799999999998</v>
      </c>
      <c r="BK445" s="190">
        <v>501.69</v>
      </c>
      <c r="BL445" s="190">
        <v>480.565</v>
      </c>
      <c r="BM445" s="190">
        <v>351.786</v>
      </c>
      <c r="BN445" s="190">
        <v>449.214</v>
      </c>
      <c r="BO445" s="190">
        <v>871.75800000000004</v>
      </c>
    </row>
    <row r="446" spans="1:67" x14ac:dyDescent="0.25">
      <c r="A446" s="25">
        <v>10445</v>
      </c>
      <c r="B446" t="s">
        <v>614</v>
      </c>
      <c r="C446" t="s">
        <v>614</v>
      </c>
      <c r="D446" s="27" t="s">
        <v>488</v>
      </c>
      <c r="E446" s="27">
        <v>12</v>
      </c>
      <c r="F446" s="118">
        <v>275</v>
      </c>
      <c r="G446" t="s">
        <v>20</v>
      </c>
      <c r="H446" t="s">
        <v>8</v>
      </c>
      <c r="I446">
        <v>4.4999999999999997E-3</v>
      </c>
      <c r="J446">
        <v>1.6890000000000001</v>
      </c>
      <c r="K446">
        <v>0.218</v>
      </c>
      <c r="L446" t="s">
        <v>515</v>
      </c>
      <c r="M446" s="140">
        <f t="shared" si="58"/>
        <v>0.05</v>
      </c>
      <c r="N446" s="140">
        <f t="shared" si="58"/>
        <v>1.6890000000000001</v>
      </c>
      <c r="O446" s="140">
        <f t="shared" si="58"/>
        <v>0.218</v>
      </c>
      <c r="P446" s="140" t="str">
        <f t="shared" si="49"/>
        <v>NULL</v>
      </c>
      <c r="Q446" s="165">
        <v>0.15</v>
      </c>
      <c r="R446" s="125">
        <v>21.243333333333336</v>
      </c>
      <c r="S446">
        <v>26.656666666666666</v>
      </c>
      <c r="T446" s="27">
        <v>3.5654680042067799</v>
      </c>
      <c r="U446" s="27">
        <v>1.3587158309221075</v>
      </c>
      <c r="V446" s="27" t="s">
        <v>515</v>
      </c>
      <c r="W446" t="s">
        <v>515</v>
      </c>
      <c r="X446" t="s">
        <v>515</v>
      </c>
      <c r="Y446">
        <f t="shared" si="59"/>
        <v>7</v>
      </c>
      <c r="Z446">
        <f t="shared" si="60"/>
        <v>30</v>
      </c>
      <c r="AA446">
        <f t="shared" si="61"/>
        <v>2024</v>
      </c>
      <c r="AB446" s="118" t="b">
        <v>0</v>
      </c>
      <c r="AC446" s="19">
        <v>45503</v>
      </c>
      <c r="AD446" s="19" t="s">
        <v>515</v>
      </c>
      <c r="AE446" t="s">
        <v>515</v>
      </c>
      <c r="AF446" s="19">
        <v>45503</v>
      </c>
      <c r="AG446" t="s">
        <v>515</v>
      </c>
      <c r="AH446" t="s">
        <v>515</v>
      </c>
      <c r="AI446" s="118">
        <v>740.6</v>
      </c>
      <c r="AJ446" s="118">
        <v>612.79999999999995</v>
      </c>
      <c r="AK446" s="118">
        <v>613.70000000000005</v>
      </c>
      <c r="AL446" s="118">
        <v>399</v>
      </c>
      <c r="AM446" s="118">
        <v>0.3</v>
      </c>
      <c r="AN446" s="118">
        <v>613.70000000000005</v>
      </c>
      <c r="AO446" s="118">
        <v>0.54800000000000004</v>
      </c>
      <c r="AP446" s="118">
        <v>0.63300000000000001</v>
      </c>
      <c r="AQ446" s="118">
        <v>0.77800000000000002</v>
      </c>
      <c r="AR446" s="118">
        <v>133.1</v>
      </c>
      <c r="AS446" s="118">
        <v>11</v>
      </c>
      <c r="AT446" s="118">
        <v>136.6</v>
      </c>
      <c r="AU446" s="118">
        <v>-86.762205379999997</v>
      </c>
      <c r="AV446" s="118">
        <v>40.782380209999999</v>
      </c>
      <c r="AW446" s="118">
        <v>194</v>
      </c>
      <c r="AX446" s="118">
        <v>152.6</v>
      </c>
      <c r="AY446" s="118">
        <v>8.18</v>
      </c>
      <c r="AZ446" s="118">
        <v>-93.7</v>
      </c>
      <c r="BA446" s="118">
        <v>11.9</v>
      </c>
      <c r="BB446" s="118">
        <v>0</v>
      </c>
      <c r="BC446" s="118">
        <v>24.925999999999998</v>
      </c>
      <c r="BD446" s="118">
        <v>1.69</v>
      </c>
      <c r="BE446" s="118">
        <v>0</v>
      </c>
      <c r="BF446" t="s">
        <v>515</v>
      </c>
      <c r="BG446" t="s">
        <v>515</v>
      </c>
      <c r="BH446" s="190">
        <v>446.238</v>
      </c>
      <c r="BI446" s="190">
        <v>432.32799999999997</v>
      </c>
      <c r="BJ446" s="190">
        <v>505.02100000000002</v>
      </c>
      <c r="BK446" s="190">
        <v>543.13400000000001</v>
      </c>
      <c r="BL446" s="190">
        <v>515.34500000000003</v>
      </c>
      <c r="BM446" s="190">
        <v>425.21300000000002</v>
      </c>
      <c r="BN446" s="190">
        <v>484.92</v>
      </c>
      <c r="BO446" s="190">
        <v>943.98800000000006</v>
      </c>
    </row>
    <row r="447" spans="1:67" x14ac:dyDescent="0.25">
      <c r="A447" s="25">
        <v>10446</v>
      </c>
      <c r="B447" t="s">
        <v>615</v>
      </c>
      <c r="C447" t="s">
        <v>615</v>
      </c>
      <c r="D447" s="27" t="s">
        <v>489</v>
      </c>
      <c r="E447" s="27">
        <v>14</v>
      </c>
      <c r="F447" s="118">
        <v>4225</v>
      </c>
      <c r="G447" t="s">
        <v>20</v>
      </c>
      <c r="H447" t="s">
        <v>8</v>
      </c>
      <c r="I447">
        <v>1.1299999999999999E-2</v>
      </c>
      <c r="J447">
        <v>1.7310000000000001</v>
      </c>
      <c r="K447">
        <v>0.32400000000000001</v>
      </c>
      <c r="L447" t="s">
        <v>515</v>
      </c>
      <c r="M447" s="140">
        <f t="shared" si="58"/>
        <v>0.05</v>
      </c>
      <c r="N447" s="140">
        <f t="shared" si="58"/>
        <v>1.7310000000000001</v>
      </c>
      <c r="O447" s="140">
        <f t="shared" si="58"/>
        <v>0.32400000000000001</v>
      </c>
      <c r="P447" s="140" t="str">
        <f t="shared" si="49"/>
        <v>NULL</v>
      </c>
      <c r="Q447" s="165">
        <v>0.15</v>
      </c>
      <c r="R447" s="125">
        <v>3.0933333333333333</v>
      </c>
      <c r="S447">
        <v>3.9266666666666663</v>
      </c>
      <c r="T447" s="27">
        <v>2.9445635466386215</v>
      </c>
      <c r="U447" s="27">
        <v>1.3010046110861073</v>
      </c>
      <c r="V447" s="27" t="s">
        <v>515</v>
      </c>
      <c r="W447" t="s">
        <v>515</v>
      </c>
      <c r="X447" t="s">
        <v>515</v>
      </c>
      <c r="Y447">
        <f t="shared" si="59"/>
        <v>7</v>
      </c>
      <c r="Z447">
        <f t="shared" si="60"/>
        <v>30</v>
      </c>
      <c r="AA447">
        <f t="shared" si="61"/>
        <v>2024</v>
      </c>
      <c r="AB447" s="118" t="b">
        <v>0</v>
      </c>
      <c r="AC447" s="19">
        <v>45503</v>
      </c>
      <c r="AD447" s="19" t="s">
        <v>515</v>
      </c>
      <c r="AE447" t="s">
        <v>515</v>
      </c>
      <c r="AF447" s="19">
        <v>45503</v>
      </c>
      <c r="AG447" t="s">
        <v>515</v>
      </c>
      <c r="AH447" t="s">
        <v>515</v>
      </c>
      <c r="AI447" s="118">
        <v>740.8</v>
      </c>
      <c r="AJ447" s="118">
        <v>618.79999999999995</v>
      </c>
      <c r="AK447" s="118">
        <v>628.29999999999995</v>
      </c>
      <c r="AL447" s="118">
        <v>408</v>
      </c>
      <c r="AM447" s="118">
        <v>0.3</v>
      </c>
      <c r="AN447" s="118">
        <v>629.29999999999995</v>
      </c>
      <c r="AO447" s="118">
        <v>0.41599999999999998</v>
      </c>
      <c r="AP447" s="118">
        <v>0.43099999999999999</v>
      </c>
      <c r="AQ447" s="118">
        <v>0.59099999999999997</v>
      </c>
      <c r="AR447" s="118">
        <v>91.9</v>
      </c>
      <c r="AS447" s="118">
        <v>7.69</v>
      </c>
      <c r="AT447" s="118">
        <v>94.3</v>
      </c>
      <c r="AU447" s="118">
        <v>-86.785247049999995</v>
      </c>
      <c r="AV447" s="118">
        <v>40.807313710000003</v>
      </c>
      <c r="AW447" s="118">
        <v>195.6</v>
      </c>
      <c r="AX447" s="118">
        <v>110.5</v>
      </c>
      <c r="AY447" s="118">
        <v>7.88</v>
      </c>
      <c r="AZ447" s="118">
        <v>-75.7</v>
      </c>
      <c r="BA447" s="118">
        <v>11.9</v>
      </c>
      <c r="BB447" s="118">
        <v>0</v>
      </c>
      <c r="BC447" s="118">
        <v>24.206</v>
      </c>
      <c r="BD447" s="118">
        <v>1.91</v>
      </c>
      <c r="BE447" s="118">
        <v>0</v>
      </c>
      <c r="BF447" t="s">
        <v>515</v>
      </c>
      <c r="BG447" t="s">
        <v>515</v>
      </c>
      <c r="BH447" s="190">
        <v>520.85299999999995</v>
      </c>
      <c r="BI447" s="190">
        <v>538.327</v>
      </c>
      <c r="BJ447" s="190">
        <v>610.27099999999996</v>
      </c>
      <c r="BK447" s="190">
        <v>664.04300000000001</v>
      </c>
      <c r="BL447" s="190">
        <v>655.10299999999995</v>
      </c>
      <c r="BM447" s="190">
        <v>559.78399999999999</v>
      </c>
      <c r="BN447" s="190">
        <v>606.548</v>
      </c>
      <c r="BO447" s="190">
        <v>1079.77</v>
      </c>
    </row>
    <row r="448" spans="1:67" x14ac:dyDescent="0.25">
      <c r="A448" s="25">
        <v>10447</v>
      </c>
      <c r="B448" t="s">
        <v>616</v>
      </c>
      <c r="C448" t="s">
        <v>616</v>
      </c>
      <c r="D448" s="27" t="s">
        <v>490</v>
      </c>
      <c r="E448" s="27">
        <v>15</v>
      </c>
      <c r="F448" s="118">
        <v>2905</v>
      </c>
      <c r="G448" t="s">
        <v>20</v>
      </c>
      <c r="H448" t="s">
        <v>8</v>
      </c>
      <c r="I448">
        <v>-5.0000000000000001E-4</v>
      </c>
      <c r="J448">
        <v>1.782</v>
      </c>
      <c r="K448">
        <v>0.23100000000000001</v>
      </c>
      <c r="L448" s="108">
        <v>1.2765957446808512E-2</v>
      </c>
      <c r="M448" s="140">
        <f t="shared" si="58"/>
        <v>0.05</v>
      </c>
      <c r="N448" s="140">
        <f t="shared" si="58"/>
        <v>1.782</v>
      </c>
      <c r="O448" s="140">
        <f t="shared" si="58"/>
        <v>0.23100000000000001</v>
      </c>
      <c r="P448" s="140">
        <f t="shared" si="49"/>
        <v>0.05</v>
      </c>
      <c r="Q448" s="165">
        <v>0.15</v>
      </c>
      <c r="R448" s="125">
        <v>5.57</v>
      </c>
      <c r="S448">
        <v>8.8866666666666667</v>
      </c>
      <c r="T448" s="27">
        <v>3.2732181862308876</v>
      </c>
      <c r="U448" s="27">
        <v>1.442861210892779</v>
      </c>
      <c r="V448" s="27" t="s">
        <v>515</v>
      </c>
      <c r="W448" t="s">
        <v>515</v>
      </c>
      <c r="X448" t="s">
        <v>515</v>
      </c>
      <c r="Y448">
        <f t="shared" si="59"/>
        <v>7</v>
      </c>
      <c r="Z448">
        <f t="shared" si="60"/>
        <v>30</v>
      </c>
      <c r="AA448">
        <f t="shared" si="61"/>
        <v>2024</v>
      </c>
      <c r="AB448" s="118" t="b">
        <v>0</v>
      </c>
      <c r="AC448" s="19">
        <v>45503</v>
      </c>
      <c r="AD448" s="19" t="s">
        <v>515</v>
      </c>
      <c r="AE448" t="s">
        <v>515</v>
      </c>
      <c r="AF448" s="19">
        <v>45503</v>
      </c>
      <c r="AG448" t="s">
        <v>515</v>
      </c>
      <c r="AH448" t="s">
        <v>515</v>
      </c>
      <c r="AI448" s="118">
        <v>740.65000000000009</v>
      </c>
      <c r="AJ448" s="118">
        <v>613.04999999999995</v>
      </c>
      <c r="AK448" s="118">
        <v>624</v>
      </c>
      <c r="AL448" s="118">
        <v>406</v>
      </c>
      <c r="AM448" s="118">
        <v>0.3</v>
      </c>
      <c r="AN448" s="118">
        <v>625.09999999999991</v>
      </c>
      <c r="AO448" s="118">
        <v>0.40899999999999997</v>
      </c>
      <c r="AP448" s="118">
        <v>0.4345</v>
      </c>
      <c r="AQ448" s="118">
        <v>0.58099999999999996</v>
      </c>
      <c r="AR448" s="118">
        <v>102.75</v>
      </c>
      <c r="AS448" s="118">
        <v>8.620000000000001</v>
      </c>
      <c r="AT448" s="118">
        <v>105.44999999999999</v>
      </c>
      <c r="AU448" s="118">
        <v>-86.777779629999998</v>
      </c>
      <c r="AV448" s="118">
        <v>40.799243930000003</v>
      </c>
      <c r="AW448" s="118">
        <v>194.5</v>
      </c>
      <c r="AX448" s="118">
        <v>194.2</v>
      </c>
      <c r="AY448" s="118">
        <v>7.93</v>
      </c>
      <c r="AZ448" s="118">
        <v>-78.75</v>
      </c>
      <c r="BA448" s="118">
        <v>11.9</v>
      </c>
      <c r="BB448" s="118">
        <v>0</v>
      </c>
      <c r="BC448" s="118">
        <v>24.0825</v>
      </c>
      <c r="BD448" s="118">
        <v>2.46</v>
      </c>
      <c r="BE448" s="118">
        <v>0</v>
      </c>
      <c r="BF448" t="s">
        <v>515</v>
      </c>
      <c r="BG448" t="s">
        <v>515</v>
      </c>
      <c r="BH448" s="190">
        <v>527.76599999999996</v>
      </c>
      <c r="BI448" s="190">
        <v>516.33799999999997</v>
      </c>
      <c r="BJ448" s="190">
        <v>594.10299999999995</v>
      </c>
      <c r="BK448" s="190">
        <v>646.22199999999998</v>
      </c>
      <c r="BL448" s="190">
        <v>646.27599999999995</v>
      </c>
      <c r="BM448" s="190">
        <v>536.85199999999998</v>
      </c>
      <c r="BN448" s="190">
        <v>580.75599999999997</v>
      </c>
      <c r="BO448" s="190">
        <v>1027.29</v>
      </c>
    </row>
    <row r="449" spans="1:67" x14ac:dyDescent="0.25">
      <c r="A449" s="25">
        <v>10448</v>
      </c>
      <c r="B449" t="s">
        <v>593</v>
      </c>
      <c r="C449" t="s">
        <v>593</v>
      </c>
      <c r="D449" s="27" t="s">
        <v>462</v>
      </c>
      <c r="E449" s="27">
        <v>1</v>
      </c>
      <c r="F449" s="118">
        <v>5999</v>
      </c>
      <c r="G449" t="s">
        <v>19</v>
      </c>
      <c r="H449" t="s">
        <v>8</v>
      </c>
      <c r="I449">
        <v>-2.3999999999999998E-3</v>
      </c>
      <c r="J449">
        <v>1.079</v>
      </c>
      <c r="K449">
        <v>-2E-3</v>
      </c>
      <c r="L449" s="111">
        <v>0.10406091370558378</v>
      </c>
      <c r="M449" s="140">
        <f t="shared" si="58"/>
        <v>0.05</v>
      </c>
      <c r="N449" s="140">
        <f t="shared" si="58"/>
        <v>1.079</v>
      </c>
      <c r="O449" s="140">
        <f t="shared" si="58"/>
        <v>0.05</v>
      </c>
      <c r="P449" s="140">
        <f t="shared" si="49"/>
        <v>0.10406091370558378</v>
      </c>
      <c r="Q449" s="165">
        <v>0.15</v>
      </c>
      <c r="R449" s="125">
        <v>25.853333333333335</v>
      </c>
      <c r="S449">
        <v>39.36</v>
      </c>
      <c r="T449">
        <v>2.5560183416919826</v>
      </c>
      <c r="U449">
        <v>0.93985472352581101</v>
      </c>
      <c r="V449" s="118" t="s">
        <v>515</v>
      </c>
      <c r="W449" t="s">
        <v>515</v>
      </c>
      <c r="X449" t="s">
        <v>515</v>
      </c>
      <c r="Y449">
        <f t="shared" si="59"/>
        <v>7</v>
      </c>
      <c r="Z449">
        <f t="shared" si="60"/>
        <v>31</v>
      </c>
      <c r="AA449">
        <f t="shared" si="61"/>
        <v>2024</v>
      </c>
      <c r="AB449" s="118" t="b">
        <v>0</v>
      </c>
      <c r="AC449" s="19">
        <v>45504</v>
      </c>
      <c r="AD449" s="19" t="s">
        <v>515</v>
      </c>
      <c r="AE449" t="s">
        <v>515</v>
      </c>
      <c r="AF449" s="19">
        <v>45504</v>
      </c>
      <c r="AG449" t="s">
        <v>515</v>
      </c>
      <c r="AH449" t="s">
        <v>515</v>
      </c>
      <c r="AI449" s="118">
        <v>741.7</v>
      </c>
      <c r="AJ449" s="118">
        <v>426.7</v>
      </c>
      <c r="AK449" s="118">
        <v>404.9</v>
      </c>
      <c r="AL449" s="118">
        <v>263</v>
      </c>
      <c r="AM449" s="118">
        <v>0.19</v>
      </c>
      <c r="AN449" s="118">
        <v>402.5</v>
      </c>
      <c r="AO449" s="118">
        <v>0.505</v>
      </c>
      <c r="AP449" s="118">
        <v>0.51700000000000002</v>
      </c>
      <c r="AQ449" s="118">
        <v>0.71499999999999997</v>
      </c>
      <c r="AR449" s="118">
        <v>146.5</v>
      </c>
      <c r="AS449" s="118">
        <v>11.49</v>
      </c>
      <c r="AT449" s="118">
        <v>150.1</v>
      </c>
      <c r="AU449" s="118">
        <v>-85.888437839999995</v>
      </c>
      <c r="AV449" s="118">
        <v>40.681490879999998</v>
      </c>
      <c r="AW449" s="118">
        <v>227.3</v>
      </c>
      <c r="AX449" s="118">
        <v>181.9</v>
      </c>
      <c r="AY449" s="118">
        <v>8.64</v>
      </c>
      <c r="AZ449" s="118">
        <v>-117.9</v>
      </c>
      <c r="BA449" s="118">
        <v>11.9</v>
      </c>
      <c r="BB449" s="118">
        <v>0</v>
      </c>
      <c r="BC449" s="118">
        <v>27.827999999999999</v>
      </c>
      <c r="BD449" s="118">
        <v>4.7300000000000004</v>
      </c>
      <c r="BE449" s="118">
        <v>0</v>
      </c>
      <c r="BF449" t="s">
        <v>515</v>
      </c>
      <c r="BG449" t="s">
        <v>515</v>
      </c>
      <c r="BH449" s="118">
        <v>225.107</v>
      </c>
      <c r="BI449" s="118">
        <v>267.72199999999998</v>
      </c>
      <c r="BJ449" s="118">
        <v>392.904</v>
      </c>
      <c r="BK449" s="118">
        <v>432.37</v>
      </c>
      <c r="BL449" s="118">
        <v>333.14100000000002</v>
      </c>
      <c r="BM449" s="118">
        <v>303.06099999999998</v>
      </c>
      <c r="BN449" s="118">
        <v>374.19200000000001</v>
      </c>
      <c r="BO449" s="118">
        <v>601.81799999999998</v>
      </c>
    </row>
    <row r="450" spans="1:67" x14ac:dyDescent="0.25">
      <c r="A450" s="25">
        <v>10449</v>
      </c>
      <c r="B450" t="s">
        <v>594</v>
      </c>
      <c r="C450" t="s">
        <v>594</v>
      </c>
      <c r="D450" s="27" t="s">
        <v>463</v>
      </c>
      <c r="E450" s="27">
        <v>2</v>
      </c>
      <c r="F450" s="118">
        <v>8861</v>
      </c>
      <c r="G450" t="s">
        <v>19</v>
      </c>
      <c r="H450" t="s">
        <v>8</v>
      </c>
      <c r="I450">
        <v>-2.2000000000000001E-3</v>
      </c>
      <c r="J450">
        <v>0.97799999999999998</v>
      </c>
      <c r="K450">
        <v>-3.0000000000000001E-3</v>
      </c>
      <c r="L450" s="111">
        <v>6.2817258883248725E-2</v>
      </c>
      <c r="M450" s="140">
        <f t="shared" ref="M450:O465" si="62">IF(I450&lt;0.1,0.05,I450)</f>
        <v>0.05</v>
      </c>
      <c r="N450" s="140">
        <f t="shared" si="62"/>
        <v>0.97799999999999998</v>
      </c>
      <c r="O450" s="140">
        <f t="shared" si="62"/>
        <v>0.05</v>
      </c>
      <c r="P450" s="140">
        <f t="shared" ref="P450:P513" si="63">IF(L450&lt;0.1,0.05,L450)</f>
        <v>0.05</v>
      </c>
      <c r="Q450" s="165">
        <v>0.15</v>
      </c>
      <c r="R450" s="125">
        <v>7.94</v>
      </c>
      <c r="S450">
        <v>7.4366666666666665</v>
      </c>
      <c r="T450">
        <v>2.666388132818279</v>
      </c>
      <c r="U450">
        <v>0.95454560293817592</v>
      </c>
      <c r="V450" s="118" t="s">
        <v>515</v>
      </c>
      <c r="W450" t="s">
        <v>515</v>
      </c>
      <c r="X450" t="s">
        <v>515</v>
      </c>
      <c r="Y450">
        <f t="shared" si="59"/>
        <v>7</v>
      </c>
      <c r="Z450">
        <f t="shared" si="60"/>
        <v>31</v>
      </c>
      <c r="AA450">
        <f t="shared" si="61"/>
        <v>2024</v>
      </c>
      <c r="AB450" s="118" t="b">
        <v>0</v>
      </c>
      <c r="AC450" s="19">
        <v>45504</v>
      </c>
      <c r="AD450" s="19" t="s">
        <v>515</v>
      </c>
      <c r="AE450" t="s">
        <v>515</v>
      </c>
      <c r="AF450" s="19">
        <v>45504</v>
      </c>
      <c r="AG450" t="s">
        <v>515</v>
      </c>
      <c r="AH450" t="s">
        <v>515</v>
      </c>
      <c r="AI450" s="118">
        <v>742</v>
      </c>
      <c r="AJ450" s="118">
        <v>428.4</v>
      </c>
      <c r="AK450" s="118">
        <v>407.6</v>
      </c>
      <c r="AL450" s="118">
        <v>265</v>
      </c>
      <c r="AM450" s="118">
        <v>0.19</v>
      </c>
      <c r="AN450" s="118">
        <v>405.4</v>
      </c>
      <c r="AO450" s="118">
        <v>0.54400000000000004</v>
      </c>
      <c r="AP450" s="118">
        <v>0.53700000000000003</v>
      </c>
      <c r="AQ450" s="118">
        <v>0.77100000000000002</v>
      </c>
      <c r="AR450" s="118">
        <v>136.80000000000001</v>
      </c>
      <c r="AS450" s="118">
        <v>10.76</v>
      </c>
      <c r="AT450" s="118">
        <v>140.19999999999999</v>
      </c>
      <c r="AU450" s="118">
        <v>-85.876832719999996</v>
      </c>
      <c r="AV450" s="118">
        <v>40.676903039999999</v>
      </c>
      <c r="AW450" s="118">
        <v>225.7</v>
      </c>
      <c r="AX450" s="118">
        <v>175.1</v>
      </c>
      <c r="AY450" s="118">
        <v>8.56</v>
      </c>
      <c r="AZ450" s="118">
        <v>-113.5</v>
      </c>
      <c r="BA450" s="118">
        <v>11.9</v>
      </c>
      <c r="BB450" s="118">
        <v>0</v>
      </c>
      <c r="BC450" s="118">
        <v>27.677</v>
      </c>
      <c r="BD450" s="118">
        <v>4.5999999999999996</v>
      </c>
      <c r="BE450" s="118">
        <v>0</v>
      </c>
      <c r="BF450" t="s">
        <v>515</v>
      </c>
      <c r="BG450" t="s">
        <v>515</v>
      </c>
      <c r="BH450" s="118">
        <v>185.892</v>
      </c>
      <c r="BI450" s="118">
        <v>220.14099999999999</v>
      </c>
      <c r="BJ450" s="118">
        <v>360.21699999999998</v>
      </c>
      <c r="BK450" s="118">
        <v>392.858</v>
      </c>
      <c r="BL450" s="118">
        <v>277.68700000000001</v>
      </c>
      <c r="BM450" s="118">
        <v>243.15100000000001</v>
      </c>
      <c r="BN450" s="118">
        <v>307.45800000000003</v>
      </c>
      <c r="BO450" s="118">
        <v>506.95</v>
      </c>
    </row>
    <row r="451" spans="1:67" x14ac:dyDescent="0.25">
      <c r="A451" s="25">
        <v>10450</v>
      </c>
      <c r="B451" t="s">
        <v>595</v>
      </c>
      <c r="C451" t="s">
        <v>595</v>
      </c>
      <c r="D451" s="27" t="s">
        <v>464</v>
      </c>
      <c r="E451" s="27">
        <v>3</v>
      </c>
      <c r="F451" s="118">
        <v>9921</v>
      </c>
      <c r="G451" t="s">
        <v>19</v>
      </c>
      <c r="H451" t="s">
        <v>8</v>
      </c>
      <c r="I451">
        <v>-3.7000000000000002E-3</v>
      </c>
      <c r="J451">
        <v>0.94699999999999995</v>
      </c>
      <c r="K451">
        <v>-2E-3</v>
      </c>
      <c r="L451" t="s">
        <v>515</v>
      </c>
      <c r="M451" s="140">
        <f t="shared" si="62"/>
        <v>0.05</v>
      </c>
      <c r="N451" s="140">
        <f t="shared" si="62"/>
        <v>0.94699999999999995</v>
      </c>
      <c r="O451" s="140">
        <f t="shared" si="62"/>
        <v>0.05</v>
      </c>
      <c r="P451" s="140" t="str">
        <f t="shared" si="63"/>
        <v>NULL</v>
      </c>
      <c r="Q451" s="165">
        <v>0.15</v>
      </c>
      <c r="R451" s="125">
        <v>5.9633333333333338</v>
      </c>
      <c r="S451">
        <v>8.1933333333333334</v>
      </c>
      <c r="T451">
        <v>2.4463416104785671</v>
      </c>
      <c r="U451">
        <v>0.87007304631707816</v>
      </c>
      <c r="V451" s="118" t="s">
        <v>515</v>
      </c>
      <c r="W451" t="s">
        <v>515</v>
      </c>
      <c r="X451" t="s">
        <v>515</v>
      </c>
      <c r="Y451">
        <f t="shared" si="59"/>
        <v>7</v>
      </c>
      <c r="Z451">
        <f t="shared" si="60"/>
        <v>31</v>
      </c>
      <c r="AA451">
        <f t="shared" si="61"/>
        <v>2024</v>
      </c>
      <c r="AB451" s="118" t="b">
        <v>0</v>
      </c>
      <c r="AC451" s="19">
        <v>45504</v>
      </c>
      <c r="AD451" s="19" t="s">
        <v>515</v>
      </c>
      <c r="AE451" t="s">
        <v>515</v>
      </c>
      <c r="AF451" s="19">
        <v>45504</v>
      </c>
      <c r="AG451" t="s">
        <v>515</v>
      </c>
      <c r="AH451" t="s">
        <v>515</v>
      </c>
      <c r="AI451" s="118">
        <v>742</v>
      </c>
      <c r="AJ451" s="118">
        <v>428.3</v>
      </c>
      <c r="AK451" s="118">
        <v>408.3</v>
      </c>
      <c r="AL451" s="118">
        <v>265</v>
      </c>
      <c r="AM451" s="118">
        <v>0.19</v>
      </c>
      <c r="AN451" s="118">
        <v>406.2</v>
      </c>
      <c r="AO451" s="118">
        <v>0.48499999999999999</v>
      </c>
      <c r="AP451" s="118">
        <v>0.42599999999999999</v>
      </c>
      <c r="AQ451" s="118">
        <v>0.68700000000000006</v>
      </c>
      <c r="AR451" s="118">
        <v>141.30000000000001</v>
      </c>
      <c r="AS451" s="118">
        <v>11.14</v>
      </c>
      <c r="AT451" s="118">
        <v>144.80000000000001</v>
      </c>
      <c r="AU451" s="118">
        <v>-85.870116289999999</v>
      </c>
      <c r="AV451" s="118">
        <v>40.67062026</v>
      </c>
      <c r="AW451" s="118">
        <v>225.2</v>
      </c>
      <c r="AX451" s="118">
        <v>197</v>
      </c>
      <c r="AY451" s="118">
        <v>8.56</v>
      </c>
      <c r="AZ451" s="118">
        <v>-113.3</v>
      </c>
      <c r="BA451" s="118">
        <v>11.9</v>
      </c>
      <c r="BB451" s="118">
        <v>0</v>
      </c>
      <c r="BC451" s="118">
        <v>27.565000000000001</v>
      </c>
      <c r="BD451" s="118">
        <v>4.12</v>
      </c>
      <c r="BE451" s="118">
        <v>0</v>
      </c>
      <c r="BF451" t="s">
        <v>515</v>
      </c>
      <c r="BG451" t="s">
        <v>515</v>
      </c>
      <c r="BH451" s="118">
        <v>183.7</v>
      </c>
      <c r="BI451" s="118">
        <v>218.846</v>
      </c>
      <c r="BJ451" s="118">
        <v>342.99799999999999</v>
      </c>
      <c r="BK451" s="118">
        <v>370.11399999999998</v>
      </c>
      <c r="BL451" s="118">
        <v>275.61900000000003</v>
      </c>
      <c r="BM451" s="118">
        <v>240.69900000000001</v>
      </c>
      <c r="BN451" s="118">
        <v>334.36599999999999</v>
      </c>
      <c r="BO451" s="118">
        <v>491.15899999999999</v>
      </c>
    </row>
    <row r="452" spans="1:67" x14ac:dyDescent="0.25">
      <c r="A452" s="25">
        <v>10451</v>
      </c>
      <c r="B452" t="s">
        <v>596</v>
      </c>
      <c r="C452" t="s">
        <v>596</v>
      </c>
      <c r="D452" s="27" t="s">
        <v>465</v>
      </c>
      <c r="E452" s="27">
        <v>4</v>
      </c>
      <c r="F452" s="118">
        <v>10891</v>
      </c>
      <c r="G452" t="s">
        <v>19</v>
      </c>
      <c r="H452" t="s">
        <v>8</v>
      </c>
      <c r="I452">
        <v>0</v>
      </c>
      <c r="J452">
        <v>0.83699999999999997</v>
      </c>
      <c r="K452">
        <v>0</v>
      </c>
      <c r="L452" t="s">
        <v>515</v>
      </c>
      <c r="M452" s="140">
        <f t="shared" si="62"/>
        <v>0.05</v>
      </c>
      <c r="N452" s="140">
        <f t="shared" si="62"/>
        <v>0.83699999999999997</v>
      </c>
      <c r="O452" s="140">
        <f t="shared" si="62"/>
        <v>0.05</v>
      </c>
      <c r="P452" s="140" t="str">
        <f t="shared" si="63"/>
        <v>NULL</v>
      </c>
      <c r="Q452" s="165">
        <v>0.15</v>
      </c>
      <c r="R452" s="125">
        <v>5.4933333333333332</v>
      </c>
      <c r="S452">
        <v>7.580000000000001</v>
      </c>
      <c r="T452">
        <v>2.5024794634219298</v>
      </c>
      <c r="U452">
        <v>0.62604121607835139</v>
      </c>
      <c r="V452" s="118" t="s">
        <v>515</v>
      </c>
      <c r="W452" t="s">
        <v>515</v>
      </c>
      <c r="X452" t="s">
        <v>515</v>
      </c>
      <c r="Y452">
        <f t="shared" si="59"/>
        <v>7</v>
      </c>
      <c r="Z452">
        <f t="shared" si="60"/>
        <v>31</v>
      </c>
      <c r="AA452">
        <f t="shared" si="61"/>
        <v>2024</v>
      </c>
      <c r="AB452" s="118" t="b">
        <v>0</v>
      </c>
      <c r="AC452" s="19">
        <v>45504</v>
      </c>
      <c r="AD452" s="19" t="s">
        <v>515</v>
      </c>
      <c r="AE452" t="s">
        <v>515</v>
      </c>
      <c r="AF452" s="19">
        <v>45504</v>
      </c>
      <c r="AG452" t="s">
        <v>515</v>
      </c>
      <c r="AH452" t="s">
        <v>515</v>
      </c>
      <c r="AI452" s="118">
        <v>741.8</v>
      </c>
      <c r="AJ452" s="118">
        <v>433.6</v>
      </c>
      <c r="AK452" s="118">
        <v>414.9</v>
      </c>
      <c r="AL452" s="118">
        <v>270</v>
      </c>
      <c r="AM452" s="118">
        <v>0.2</v>
      </c>
      <c r="AN452" s="118">
        <v>412.9</v>
      </c>
      <c r="AO452" s="118">
        <v>0.52500000000000002</v>
      </c>
      <c r="AP452" s="118">
        <v>0.497</v>
      </c>
      <c r="AQ452" s="118">
        <v>0.74399999999999999</v>
      </c>
      <c r="AR452" s="118">
        <v>139.9</v>
      </c>
      <c r="AS452" s="118">
        <v>11.06</v>
      </c>
      <c r="AT452" s="118">
        <v>143.30000000000001</v>
      </c>
      <c r="AU452" s="118">
        <v>-85.866443680000003</v>
      </c>
      <c r="AV452" s="118">
        <v>40.663147299999999</v>
      </c>
      <c r="AW452" s="118">
        <v>223.3</v>
      </c>
      <c r="AX452" s="118">
        <v>200.2</v>
      </c>
      <c r="AY452" s="118">
        <v>8.5500000000000007</v>
      </c>
      <c r="AZ452" s="118">
        <v>-112.9</v>
      </c>
      <c r="BA452" s="118">
        <v>11.9</v>
      </c>
      <c r="BB452" s="118">
        <v>0</v>
      </c>
      <c r="BC452" s="118">
        <v>27.361000000000001</v>
      </c>
      <c r="BD452" s="118">
        <v>4.41</v>
      </c>
      <c r="BE452" s="118">
        <v>0</v>
      </c>
      <c r="BF452" t="s">
        <v>515</v>
      </c>
      <c r="BG452" t="s">
        <v>515</v>
      </c>
      <c r="BH452" s="118">
        <v>186.07400000000001</v>
      </c>
      <c r="BI452" s="118">
        <v>226.77199999999999</v>
      </c>
      <c r="BJ452" s="118">
        <v>344.74</v>
      </c>
      <c r="BK452" s="118">
        <v>366.99099999999999</v>
      </c>
      <c r="BL452" s="118">
        <v>269.41699999999997</v>
      </c>
      <c r="BM452" s="118">
        <v>253.66900000000001</v>
      </c>
      <c r="BN452" s="118">
        <v>325.428</v>
      </c>
      <c r="BO452" s="118">
        <v>529.79999999999995</v>
      </c>
    </row>
    <row r="453" spans="1:67" x14ac:dyDescent="0.25">
      <c r="A453" s="25">
        <v>10452</v>
      </c>
      <c r="B453" t="s">
        <v>597</v>
      </c>
      <c r="C453" t="s">
        <v>597</v>
      </c>
      <c r="D453" s="27" t="s">
        <v>466</v>
      </c>
      <c r="E453" s="27">
        <v>5</v>
      </c>
      <c r="F453" s="118">
        <v>12821</v>
      </c>
      <c r="G453" t="s">
        <v>19</v>
      </c>
      <c r="H453" t="s">
        <v>8</v>
      </c>
      <c r="I453">
        <v>3.9100000000000003E-2</v>
      </c>
      <c r="J453">
        <v>0.70899999999999996</v>
      </c>
      <c r="K453">
        <v>4.0000000000000001E-3</v>
      </c>
      <c r="L453" s="111">
        <v>6.4403553299492391E-2</v>
      </c>
      <c r="M453" s="140">
        <f t="shared" si="62"/>
        <v>0.05</v>
      </c>
      <c r="N453" s="140">
        <f t="shared" si="62"/>
        <v>0.70899999999999996</v>
      </c>
      <c r="O453" s="140">
        <f t="shared" si="62"/>
        <v>0.05</v>
      </c>
      <c r="P453" s="140">
        <f t="shared" si="63"/>
        <v>0.05</v>
      </c>
      <c r="Q453" s="161">
        <v>8.77959292077857E-2</v>
      </c>
      <c r="R453" s="125">
        <v>13.326666666666668</v>
      </c>
      <c r="S453">
        <v>20.836666666666666</v>
      </c>
      <c r="T453">
        <v>2.585126858032984</v>
      </c>
      <c r="U453">
        <v>0.84109936747602521</v>
      </c>
      <c r="V453" s="118" t="s">
        <v>515</v>
      </c>
      <c r="W453" t="s">
        <v>515</v>
      </c>
      <c r="X453" t="s">
        <v>515</v>
      </c>
      <c r="Y453">
        <f t="shared" si="59"/>
        <v>7</v>
      </c>
      <c r="Z453">
        <f t="shared" si="60"/>
        <v>31</v>
      </c>
      <c r="AA453">
        <f t="shared" si="61"/>
        <v>2024</v>
      </c>
      <c r="AB453" s="118" t="b">
        <v>0</v>
      </c>
      <c r="AC453" s="19">
        <v>45504</v>
      </c>
      <c r="AD453" s="19" t="s">
        <v>515</v>
      </c>
      <c r="AE453" t="s">
        <v>515</v>
      </c>
      <c r="AF453" s="19">
        <v>45504</v>
      </c>
      <c r="AG453" t="s">
        <v>515</v>
      </c>
      <c r="AH453" t="s">
        <v>515</v>
      </c>
      <c r="AI453" s="118">
        <v>741.6</v>
      </c>
      <c r="AJ453" s="118">
        <v>444.8</v>
      </c>
      <c r="AK453" s="118">
        <v>424.4</v>
      </c>
      <c r="AL453" s="118">
        <v>276</v>
      </c>
      <c r="AM453" s="118">
        <v>0.2</v>
      </c>
      <c r="AN453" s="118">
        <v>422.2</v>
      </c>
      <c r="AO453" s="118">
        <v>0.53800000000000003</v>
      </c>
      <c r="AP453" s="118">
        <v>0.55100000000000005</v>
      </c>
      <c r="AQ453" s="118">
        <v>0.76200000000000001</v>
      </c>
      <c r="AR453" s="118">
        <v>137</v>
      </c>
      <c r="AS453" s="118">
        <v>10.8</v>
      </c>
      <c r="AT453" s="118">
        <v>140.4</v>
      </c>
      <c r="AU453" s="118">
        <v>-85.847722300000001</v>
      </c>
      <c r="AV453" s="118">
        <v>40.668686630000003</v>
      </c>
      <c r="AW453" s="118">
        <v>226.1</v>
      </c>
      <c r="AX453" s="118">
        <v>103.4</v>
      </c>
      <c r="AY453" s="118">
        <v>8.5</v>
      </c>
      <c r="AZ453" s="118">
        <v>-109.9</v>
      </c>
      <c r="BA453" s="118">
        <v>11.9</v>
      </c>
      <c r="BB453" s="118">
        <v>0</v>
      </c>
      <c r="BC453" s="118">
        <v>27.527999999999999</v>
      </c>
      <c r="BD453" s="118">
        <v>5.54</v>
      </c>
      <c r="BE453" s="118">
        <v>0</v>
      </c>
      <c r="BF453" t="s">
        <v>515</v>
      </c>
      <c r="BG453" t="s">
        <v>515</v>
      </c>
      <c r="BH453" s="118">
        <v>154.68899999999999</v>
      </c>
      <c r="BI453" s="118">
        <v>197.351</v>
      </c>
      <c r="BJ453" s="118">
        <v>315.70800000000003</v>
      </c>
      <c r="BK453" s="118">
        <v>338.98200000000003</v>
      </c>
      <c r="BL453" s="118">
        <v>241.45099999999999</v>
      </c>
      <c r="BM453" s="118">
        <v>226.45699999999999</v>
      </c>
      <c r="BN453" s="118">
        <v>318.12400000000002</v>
      </c>
      <c r="BO453" s="118">
        <v>559.70000000000005</v>
      </c>
    </row>
    <row r="454" spans="1:67" x14ac:dyDescent="0.25">
      <c r="A454" s="25">
        <v>10453</v>
      </c>
      <c r="B454" t="s">
        <v>598</v>
      </c>
      <c r="C454" t="s">
        <v>598</v>
      </c>
      <c r="D454" s="27" t="s">
        <v>467</v>
      </c>
      <c r="E454" s="27">
        <v>6</v>
      </c>
      <c r="F454" s="118">
        <v>14351</v>
      </c>
      <c r="G454" t="s">
        <v>19</v>
      </c>
      <c r="H454" t="s">
        <v>8</v>
      </c>
      <c r="I454">
        <v>9.06E-2</v>
      </c>
      <c r="J454">
        <v>0.69</v>
      </c>
      <c r="K454">
        <v>6.0000000000000001E-3</v>
      </c>
      <c r="L454" s="111">
        <v>2.1573604060913708E-2</v>
      </c>
      <c r="M454" s="140">
        <f t="shared" si="62"/>
        <v>0.05</v>
      </c>
      <c r="N454" s="140">
        <f t="shared" si="62"/>
        <v>0.69</v>
      </c>
      <c r="O454" s="140">
        <f t="shared" si="62"/>
        <v>0.05</v>
      </c>
      <c r="P454" s="140">
        <f t="shared" si="63"/>
        <v>0.05</v>
      </c>
      <c r="Q454" s="161">
        <v>0.34371314295176802</v>
      </c>
      <c r="R454" s="125">
        <v>12.649999999999999</v>
      </c>
      <c r="S454">
        <v>20.07</v>
      </c>
      <c r="T454">
        <v>2.523791055743017</v>
      </c>
      <c r="U454">
        <v>0.75091369108345241</v>
      </c>
      <c r="V454" s="118" t="s">
        <v>515</v>
      </c>
      <c r="W454" t="s">
        <v>515</v>
      </c>
      <c r="X454" t="s">
        <v>515</v>
      </c>
      <c r="Y454">
        <f t="shared" si="59"/>
        <v>7</v>
      </c>
      <c r="Z454">
        <f t="shared" si="60"/>
        <v>31</v>
      </c>
      <c r="AA454">
        <f t="shared" si="61"/>
        <v>2024</v>
      </c>
      <c r="AB454" s="118" t="b">
        <v>0</v>
      </c>
      <c r="AC454" s="19">
        <v>45504</v>
      </c>
      <c r="AD454" s="19" t="s">
        <v>515</v>
      </c>
      <c r="AE454" t="s">
        <v>515</v>
      </c>
      <c r="AF454" s="19">
        <v>45504</v>
      </c>
      <c r="AG454" t="s">
        <v>515</v>
      </c>
      <c r="AH454" t="s">
        <v>515</v>
      </c>
      <c r="AI454" s="118">
        <v>740.6</v>
      </c>
      <c r="AJ454" s="118">
        <v>445.7</v>
      </c>
      <c r="AK454" s="118">
        <v>423.1</v>
      </c>
      <c r="AL454" s="118">
        <v>275</v>
      </c>
      <c r="AM454" s="118">
        <v>0.2</v>
      </c>
      <c r="AN454" s="118">
        <v>420.7</v>
      </c>
      <c r="AO454" s="118">
        <v>0.5</v>
      </c>
      <c r="AP454" s="118">
        <v>0.5</v>
      </c>
      <c r="AQ454" s="118">
        <v>0.70799999999999996</v>
      </c>
      <c r="AR454" s="118">
        <v>147.4</v>
      </c>
      <c r="AS454" s="118">
        <v>11.57</v>
      </c>
      <c r="AT454" s="118">
        <v>151</v>
      </c>
      <c r="AU454" s="118">
        <v>-85.831848600000001</v>
      </c>
      <c r="AV454" s="118">
        <v>40.673695629999997</v>
      </c>
      <c r="AW454" s="118">
        <v>225.9</v>
      </c>
      <c r="AX454" s="118">
        <v>172.7</v>
      </c>
      <c r="AY454" s="118">
        <v>8.57</v>
      </c>
      <c r="AZ454" s="118">
        <v>-114.1</v>
      </c>
      <c r="BA454" s="118">
        <v>11.9</v>
      </c>
      <c r="BB454" s="118">
        <v>0</v>
      </c>
      <c r="BC454" s="118">
        <v>27.795999999999999</v>
      </c>
      <c r="BD454" s="118">
        <v>5.81</v>
      </c>
      <c r="BE454" s="118">
        <v>0</v>
      </c>
      <c r="BF454" t="s">
        <v>515</v>
      </c>
      <c r="BG454" t="s">
        <v>515</v>
      </c>
      <c r="BH454" s="118">
        <v>153.16399999999999</v>
      </c>
      <c r="BI454" s="118">
        <v>208.56</v>
      </c>
      <c r="BJ454" s="118">
        <v>337.90800000000002</v>
      </c>
      <c r="BK454" s="118">
        <v>374.96199999999999</v>
      </c>
      <c r="BL454" s="118">
        <v>257.35300000000001</v>
      </c>
      <c r="BM454" s="118">
        <v>244.905</v>
      </c>
      <c r="BN454" s="118">
        <v>342.30500000000001</v>
      </c>
      <c r="BO454" s="118">
        <v>526.12</v>
      </c>
    </row>
    <row r="455" spans="1:67" x14ac:dyDescent="0.25">
      <c r="A455" s="25">
        <v>10454</v>
      </c>
      <c r="B455" t="s">
        <v>599</v>
      </c>
      <c r="C455" t="s">
        <v>599</v>
      </c>
      <c r="D455" s="27" t="s">
        <v>468</v>
      </c>
      <c r="E455" s="27">
        <v>7</v>
      </c>
      <c r="F455" s="118">
        <v>6411</v>
      </c>
      <c r="G455" t="s">
        <v>19</v>
      </c>
      <c r="H455" t="s">
        <v>8</v>
      </c>
      <c r="I455">
        <v>1.6000000000000001E-3</v>
      </c>
      <c r="J455">
        <v>1.04</v>
      </c>
      <c r="K455">
        <v>-4.0000000000000001E-3</v>
      </c>
      <c r="L455" s="111">
        <v>4.8540609137055844E-2</v>
      </c>
      <c r="M455" s="140">
        <f t="shared" si="62"/>
        <v>0.05</v>
      </c>
      <c r="N455" s="140">
        <f t="shared" si="62"/>
        <v>1.04</v>
      </c>
      <c r="O455" s="140">
        <f t="shared" si="62"/>
        <v>0.05</v>
      </c>
      <c r="P455" s="140">
        <f t="shared" si="63"/>
        <v>0.05</v>
      </c>
      <c r="Q455" s="165">
        <v>0.15</v>
      </c>
      <c r="R455" s="125">
        <v>12.0375</v>
      </c>
      <c r="S455">
        <v>17.862499999999997</v>
      </c>
      <c r="T455">
        <v>2.4588166889104244</v>
      </c>
      <c r="U455">
        <v>0.66861756104196424</v>
      </c>
      <c r="V455" s="118" t="s">
        <v>515</v>
      </c>
      <c r="W455" t="s">
        <v>515</v>
      </c>
      <c r="X455" t="s">
        <v>515</v>
      </c>
      <c r="Y455">
        <f t="shared" si="59"/>
        <v>7</v>
      </c>
      <c r="Z455">
        <f t="shared" si="60"/>
        <v>31</v>
      </c>
      <c r="AA455">
        <f t="shared" si="61"/>
        <v>2024</v>
      </c>
      <c r="AB455" s="118" t="b">
        <v>0</v>
      </c>
      <c r="AC455" s="19">
        <v>45504</v>
      </c>
      <c r="AD455" s="19" t="s">
        <v>515</v>
      </c>
      <c r="AE455" t="s">
        <v>515</v>
      </c>
      <c r="AF455" s="19">
        <v>45504</v>
      </c>
      <c r="AG455" t="s">
        <v>515</v>
      </c>
      <c r="AH455" t="s">
        <v>515</v>
      </c>
      <c r="AI455" s="118">
        <v>740.3</v>
      </c>
      <c r="AJ455" s="118">
        <v>427.5</v>
      </c>
      <c r="AK455" s="118">
        <v>409</v>
      </c>
      <c r="AL455" s="118">
        <v>266</v>
      </c>
      <c r="AM455" s="118">
        <v>0.19</v>
      </c>
      <c r="AN455" s="118">
        <v>407</v>
      </c>
      <c r="AO455" s="118">
        <v>0.5</v>
      </c>
      <c r="AP455" s="118">
        <v>0.49299999999999999</v>
      </c>
      <c r="AQ455" s="118">
        <v>0.70799999999999996</v>
      </c>
      <c r="AR455" s="118">
        <v>131</v>
      </c>
      <c r="AS455" s="118">
        <v>10.36</v>
      </c>
      <c r="AT455" s="118">
        <v>134.19999999999999</v>
      </c>
      <c r="AU455" s="118">
        <v>-85.896255859999997</v>
      </c>
      <c r="AV455" s="118">
        <v>40.688228729999999</v>
      </c>
      <c r="AW455" s="118">
        <v>222</v>
      </c>
      <c r="AX455" s="118">
        <v>193.1</v>
      </c>
      <c r="AY455" s="118">
        <v>8.4700000000000006</v>
      </c>
      <c r="AZ455" s="118">
        <v>-107.7</v>
      </c>
      <c r="BA455" s="118">
        <v>11.9</v>
      </c>
      <c r="BB455" s="118">
        <v>0</v>
      </c>
      <c r="BC455" s="118">
        <v>27.375</v>
      </c>
      <c r="BD455" s="118">
        <v>4.07</v>
      </c>
      <c r="BE455" s="118">
        <v>0</v>
      </c>
      <c r="BF455" t="s">
        <v>515</v>
      </c>
      <c r="BG455" t="s">
        <v>515</v>
      </c>
      <c r="BH455" s="118">
        <v>174.334</v>
      </c>
      <c r="BI455" s="118">
        <v>201.387</v>
      </c>
      <c r="BJ455" s="118">
        <v>330.42099999999999</v>
      </c>
      <c r="BK455" s="118">
        <v>361.07499999999999</v>
      </c>
      <c r="BL455" s="118">
        <v>255.08699999999999</v>
      </c>
      <c r="BM455" s="118">
        <v>227.13</v>
      </c>
      <c r="BN455" s="118">
        <v>275.709</v>
      </c>
      <c r="BO455" s="118">
        <v>490.36500000000001</v>
      </c>
    </row>
    <row r="456" spans="1:67" x14ac:dyDescent="0.25">
      <c r="A456" s="25">
        <v>10455</v>
      </c>
      <c r="B456" t="s">
        <v>600</v>
      </c>
      <c r="C456" t="s">
        <v>600</v>
      </c>
      <c r="D456" s="27" t="s">
        <v>469</v>
      </c>
      <c r="E456" s="27">
        <v>8</v>
      </c>
      <c r="F456" s="118">
        <v>5401</v>
      </c>
      <c r="G456" t="s">
        <v>19</v>
      </c>
      <c r="H456" t="s">
        <v>8</v>
      </c>
      <c r="I456">
        <v>-2.9999999999999997E-4</v>
      </c>
      <c r="J456">
        <v>1.1379999999999999</v>
      </c>
      <c r="K456">
        <v>-4.0000000000000001E-3</v>
      </c>
      <c r="L456" s="111">
        <v>4.8540609137055844E-2</v>
      </c>
      <c r="M456" s="140">
        <f t="shared" si="62"/>
        <v>0.05</v>
      </c>
      <c r="N456" s="140">
        <f t="shared" si="62"/>
        <v>1.1379999999999999</v>
      </c>
      <c r="O456" s="140">
        <f t="shared" si="62"/>
        <v>0.05</v>
      </c>
      <c r="P456" s="140">
        <f t="shared" si="63"/>
        <v>0.05</v>
      </c>
      <c r="Q456" s="161">
        <v>5.6445123686393921E-2</v>
      </c>
      <c r="R456" s="125">
        <v>2.9299999999999997</v>
      </c>
      <c r="S456">
        <v>4.47</v>
      </c>
      <c r="T456">
        <v>2.4674799378214369</v>
      </c>
      <c r="U456">
        <v>0.98555968169761277</v>
      </c>
      <c r="V456" s="118" t="s">
        <v>515</v>
      </c>
      <c r="W456" t="s">
        <v>515</v>
      </c>
      <c r="X456" t="s">
        <v>515</v>
      </c>
      <c r="Y456">
        <f t="shared" si="59"/>
        <v>7</v>
      </c>
      <c r="Z456">
        <f t="shared" si="60"/>
        <v>31</v>
      </c>
      <c r="AA456">
        <f t="shared" si="61"/>
        <v>2024</v>
      </c>
      <c r="AB456" s="118" t="b">
        <v>0</v>
      </c>
      <c r="AC456" s="19">
        <v>45504</v>
      </c>
      <c r="AD456" s="19" t="s">
        <v>515</v>
      </c>
      <c r="AE456" t="s">
        <v>515</v>
      </c>
      <c r="AF456" s="19">
        <v>45504</v>
      </c>
      <c r="AG456" t="s">
        <v>515</v>
      </c>
      <c r="AH456" t="s">
        <v>515</v>
      </c>
      <c r="AI456" s="118">
        <v>740.2</v>
      </c>
      <c r="AJ456" s="118">
        <v>424.7</v>
      </c>
      <c r="AK456" s="118">
        <v>406.9</v>
      </c>
      <c r="AL456" s="118">
        <v>264</v>
      </c>
      <c r="AM456" s="118">
        <v>0.19</v>
      </c>
      <c r="AN456" s="118">
        <v>405</v>
      </c>
      <c r="AO456" s="118">
        <v>0.53400000000000003</v>
      </c>
      <c r="AP456" s="118">
        <v>0.53400000000000003</v>
      </c>
      <c r="AQ456" s="118">
        <v>0.75600000000000001</v>
      </c>
      <c r="AR456" s="118">
        <v>129.80000000000001</v>
      </c>
      <c r="AS456" s="118">
        <v>10.28</v>
      </c>
      <c r="AT456" s="118">
        <v>133</v>
      </c>
      <c r="AU456" s="118">
        <v>-85.908045490000006</v>
      </c>
      <c r="AV456" s="118">
        <v>40.691769909999998</v>
      </c>
      <c r="AW456" s="118">
        <v>222.9</v>
      </c>
      <c r="AX456" s="118">
        <v>149.80000000000001</v>
      </c>
      <c r="AY456" s="118">
        <v>8.4700000000000006</v>
      </c>
      <c r="AZ456" s="118">
        <v>-108</v>
      </c>
      <c r="BA456" s="118">
        <v>11.9</v>
      </c>
      <c r="BB456" s="118">
        <v>0</v>
      </c>
      <c r="BC456" s="118">
        <v>27.294</v>
      </c>
      <c r="BD456" s="118">
        <v>3.76</v>
      </c>
      <c r="BE456" s="118">
        <v>0</v>
      </c>
      <c r="BF456" t="s">
        <v>515</v>
      </c>
      <c r="BG456" t="s">
        <v>515</v>
      </c>
      <c r="BH456" s="118">
        <v>209.631</v>
      </c>
      <c r="BI456" s="118">
        <v>268.05900000000003</v>
      </c>
      <c r="BJ456" s="118">
        <v>407.928</v>
      </c>
      <c r="BK456" s="118">
        <v>448.68299999999999</v>
      </c>
      <c r="BL456" s="118">
        <v>311.74799999999999</v>
      </c>
      <c r="BM456" s="118">
        <v>301.322</v>
      </c>
      <c r="BN456" s="118">
        <v>336.875</v>
      </c>
      <c r="BO456" s="118">
        <v>567.173</v>
      </c>
    </row>
    <row r="457" spans="1:67" x14ac:dyDescent="0.25">
      <c r="A457" s="25">
        <v>10456</v>
      </c>
      <c r="B457" t="s">
        <v>601</v>
      </c>
      <c r="C457" t="s">
        <v>601</v>
      </c>
      <c r="D457" s="27" t="s">
        <v>470</v>
      </c>
      <c r="E457" s="27">
        <v>9</v>
      </c>
      <c r="F457" s="118">
        <v>4381</v>
      </c>
      <c r="G457" t="s">
        <v>19</v>
      </c>
      <c r="H457" t="s">
        <v>8</v>
      </c>
      <c r="I457">
        <v>3.3E-3</v>
      </c>
      <c r="J457">
        <v>1.1120000000000001</v>
      </c>
      <c r="K457">
        <v>-4.0000000000000001E-3</v>
      </c>
      <c r="L457" s="111">
        <v>0.33090101522842641</v>
      </c>
      <c r="M457" s="140">
        <f t="shared" si="62"/>
        <v>0.05</v>
      </c>
      <c r="N457" s="140">
        <f t="shared" si="62"/>
        <v>1.1120000000000001</v>
      </c>
      <c r="O457" s="140">
        <f t="shared" si="62"/>
        <v>0.05</v>
      </c>
      <c r="P457" s="140">
        <f t="shared" si="63"/>
        <v>0.33090101522842641</v>
      </c>
      <c r="Q457" s="165">
        <v>0.15</v>
      </c>
      <c r="R457" s="125">
        <v>4.4766666666666666</v>
      </c>
      <c r="S457">
        <v>7.5433333333333339</v>
      </c>
      <c r="T457">
        <v>2.49104397485939</v>
      </c>
      <c r="U457">
        <v>1.0104525607018977</v>
      </c>
      <c r="V457" s="118" t="s">
        <v>515</v>
      </c>
      <c r="W457" t="s">
        <v>515</v>
      </c>
      <c r="X457" t="s">
        <v>515</v>
      </c>
      <c r="Y457">
        <f t="shared" si="59"/>
        <v>7</v>
      </c>
      <c r="Z457">
        <f t="shared" si="60"/>
        <v>31</v>
      </c>
      <c r="AA457">
        <f t="shared" si="61"/>
        <v>2024</v>
      </c>
      <c r="AB457" s="118" t="b">
        <v>0</v>
      </c>
      <c r="AC457" s="19">
        <v>45504</v>
      </c>
      <c r="AD457" s="19" t="s">
        <v>515</v>
      </c>
      <c r="AE457" t="s">
        <v>515</v>
      </c>
      <c r="AF457" s="19">
        <v>45504</v>
      </c>
      <c r="AG457" t="s">
        <v>515</v>
      </c>
      <c r="AH457" t="s">
        <v>515</v>
      </c>
      <c r="AI457" s="118">
        <v>740.5</v>
      </c>
      <c r="AJ457" s="118">
        <v>423.6</v>
      </c>
      <c r="AK457" s="118">
        <v>403</v>
      </c>
      <c r="AL457" s="118">
        <v>262</v>
      </c>
      <c r="AM457" s="118">
        <v>0.19</v>
      </c>
      <c r="AN457" s="118">
        <v>400.8</v>
      </c>
      <c r="AO457" s="118">
        <v>0.51700000000000002</v>
      </c>
      <c r="AP457" s="118">
        <v>0.53100000000000003</v>
      </c>
      <c r="AQ457" s="118">
        <v>0.73299999999999998</v>
      </c>
      <c r="AR457" s="118">
        <v>135.5</v>
      </c>
      <c r="AS457" s="118">
        <v>10.65</v>
      </c>
      <c r="AT457" s="118">
        <v>138.80000000000001</v>
      </c>
      <c r="AU457" s="118">
        <v>-85.929936429999998</v>
      </c>
      <c r="AV457" s="118">
        <v>40.704245139999998</v>
      </c>
      <c r="AW457" s="118">
        <v>225.4</v>
      </c>
      <c r="AX457" s="118">
        <v>170.8</v>
      </c>
      <c r="AY457" s="118">
        <v>8.52</v>
      </c>
      <c r="AZ457" s="118">
        <v>-111</v>
      </c>
      <c r="BA457" s="118">
        <v>12</v>
      </c>
      <c r="BB457" s="118">
        <v>0</v>
      </c>
      <c r="BC457" s="118">
        <v>27.678000000000001</v>
      </c>
      <c r="BD457" s="118">
        <v>4.4800000000000004</v>
      </c>
      <c r="BE457" s="118">
        <v>0</v>
      </c>
      <c r="BF457" t="s">
        <v>515</v>
      </c>
      <c r="BG457" t="s">
        <v>515</v>
      </c>
      <c r="BH457" s="118">
        <v>196.13800000000001</v>
      </c>
      <c r="BI457" s="118">
        <v>278.54599999999999</v>
      </c>
      <c r="BJ457" s="118">
        <v>423.97899999999998</v>
      </c>
      <c r="BK457" s="118">
        <v>474.42500000000001</v>
      </c>
      <c r="BL457" s="118">
        <v>325.35500000000002</v>
      </c>
      <c r="BM457" s="118">
        <v>315.23399999999998</v>
      </c>
      <c r="BN457" s="118">
        <v>340.61700000000002</v>
      </c>
      <c r="BO457" s="118">
        <v>537.11400000000003</v>
      </c>
    </row>
    <row r="458" spans="1:67" x14ac:dyDescent="0.25">
      <c r="A458" s="25">
        <v>10457</v>
      </c>
      <c r="B458" t="s">
        <v>602</v>
      </c>
      <c r="C458" t="s">
        <v>602</v>
      </c>
      <c r="D458" s="27" t="s">
        <v>471</v>
      </c>
      <c r="E458" s="27">
        <v>10</v>
      </c>
      <c r="F458" s="118">
        <v>2851</v>
      </c>
      <c r="G458" t="s">
        <v>19</v>
      </c>
      <c r="H458" t="s">
        <v>8</v>
      </c>
      <c r="I458">
        <v>-4.5999999999999999E-3</v>
      </c>
      <c r="J458">
        <v>1.1020000000000001</v>
      </c>
      <c r="K458">
        <v>-3.0000000000000001E-3</v>
      </c>
      <c r="L458" s="111">
        <v>1.0748730964467008</v>
      </c>
      <c r="M458" s="140">
        <f t="shared" si="62"/>
        <v>0.05</v>
      </c>
      <c r="N458" s="140">
        <f t="shared" si="62"/>
        <v>1.1020000000000001</v>
      </c>
      <c r="O458" s="140">
        <f t="shared" si="62"/>
        <v>0.05</v>
      </c>
      <c r="P458" s="140">
        <f t="shared" si="63"/>
        <v>1.0748730964467008</v>
      </c>
      <c r="Q458" s="165">
        <v>0.15</v>
      </c>
      <c r="R458" s="125">
        <v>8.82</v>
      </c>
      <c r="S458">
        <v>14.965</v>
      </c>
      <c r="T458">
        <v>2.638145941368379</v>
      </c>
      <c r="U458">
        <v>1.0020869210365231</v>
      </c>
      <c r="V458" s="118" t="s">
        <v>515</v>
      </c>
      <c r="W458" t="s">
        <v>515</v>
      </c>
      <c r="X458" t="s">
        <v>515</v>
      </c>
      <c r="Y458">
        <f t="shared" si="59"/>
        <v>7</v>
      </c>
      <c r="Z458">
        <f t="shared" si="60"/>
        <v>31</v>
      </c>
      <c r="AA458">
        <f t="shared" si="61"/>
        <v>2024</v>
      </c>
      <c r="AB458" s="118" t="b">
        <v>0</v>
      </c>
      <c r="AC458" s="19">
        <v>45504</v>
      </c>
      <c r="AD458" s="19" t="s">
        <v>515</v>
      </c>
      <c r="AE458" t="s">
        <v>515</v>
      </c>
      <c r="AF458" s="19">
        <v>45504</v>
      </c>
      <c r="AG458" t="s">
        <v>515</v>
      </c>
      <c r="AH458" t="s">
        <v>515</v>
      </c>
      <c r="AI458" s="118">
        <v>740.4</v>
      </c>
      <c r="AJ458" s="118">
        <v>425.9</v>
      </c>
      <c r="AK458" s="118">
        <v>407.4</v>
      </c>
      <c r="AL458" s="118">
        <v>265</v>
      </c>
      <c r="AM458" s="118">
        <v>0.19</v>
      </c>
      <c r="AN458" s="118">
        <v>405.4</v>
      </c>
      <c r="AO458" s="118" t="s">
        <v>660</v>
      </c>
      <c r="AP458" s="118">
        <v>0.505</v>
      </c>
      <c r="AQ458" s="118">
        <v>0.72299999999999998</v>
      </c>
      <c r="AR458" s="118">
        <v>132.80000000000001</v>
      </c>
      <c r="AS458" s="118">
        <v>10.5</v>
      </c>
      <c r="AT458" s="118">
        <v>136</v>
      </c>
      <c r="AU458" s="118">
        <v>-85.920207149999996</v>
      </c>
      <c r="AV458" s="118">
        <v>40.693404710000003</v>
      </c>
      <c r="AW458" s="118">
        <v>227.6</v>
      </c>
      <c r="AX458" s="118">
        <v>168</v>
      </c>
      <c r="AY458" s="118">
        <v>8.5</v>
      </c>
      <c r="AZ458" s="118">
        <v>-109.7</v>
      </c>
      <c r="BA458" s="118">
        <v>11.9</v>
      </c>
      <c r="BB458" s="118">
        <v>0</v>
      </c>
      <c r="BC458" s="118">
        <v>27.381</v>
      </c>
      <c r="BD458" s="118">
        <v>3.82</v>
      </c>
      <c r="BE458" s="118">
        <v>0</v>
      </c>
      <c r="BF458" t="s">
        <v>515</v>
      </c>
      <c r="BG458" t="s">
        <v>515</v>
      </c>
      <c r="BH458" s="118">
        <v>217.255</v>
      </c>
      <c r="BI458" s="118">
        <v>279.26299999999998</v>
      </c>
      <c r="BJ458" s="118">
        <v>414.24200000000002</v>
      </c>
      <c r="BK458" s="118">
        <v>457.37700000000001</v>
      </c>
      <c r="BL458" s="118">
        <v>320.96699999999998</v>
      </c>
      <c r="BM458" s="118">
        <v>316.34300000000002</v>
      </c>
      <c r="BN458" s="118">
        <v>341.315</v>
      </c>
      <c r="BO458" s="118">
        <v>582.01400000000001</v>
      </c>
    </row>
    <row r="459" spans="1:67" x14ac:dyDescent="0.25">
      <c r="A459" s="25">
        <v>10458</v>
      </c>
      <c r="B459" t="s">
        <v>603</v>
      </c>
      <c r="C459" t="s">
        <v>603</v>
      </c>
      <c r="D459" s="27" t="s">
        <v>472</v>
      </c>
      <c r="E459" s="27">
        <v>11</v>
      </c>
      <c r="F459" s="118">
        <v>1731</v>
      </c>
      <c r="G459" t="s">
        <v>19</v>
      </c>
      <c r="H459" t="s">
        <v>8</v>
      </c>
      <c r="I459">
        <v>-4.1000000000000003E-3</v>
      </c>
      <c r="J459">
        <v>1.167</v>
      </c>
      <c r="K459">
        <v>-2E-3</v>
      </c>
      <c r="L459" s="111">
        <v>5.0126903553299504E-2</v>
      </c>
      <c r="M459" s="140">
        <f t="shared" si="62"/>
        <v>0.05</v>
      </c>
      <c r="N459" s="140">
        <f t="shared" si="62"/>
        <v>1.167</v>
      </c>
      <c r="O459" s="140">
        <f t="shared" si="62"/>
        <v>0.05</v>
      </c>
      <c r="P459" s="140">
        <f t="shared" si="63"/>
        <v>0.05</v>
      </c>
      <c r="Q459" s="165">
        <v>0.15</v>
      </c>
      <c r="R459" s="125">
        <v>8.1433333333333326</v>
      </c>
      <c r="S459">
        <v>11.76</v>
      </c>
      <c r="T459">
        <v>2.4177528890722266</v>
      </c>
      <c r="U459">
        <v>0.95699408284023668</v>
      </c>
      <c r="V459" s="118" t="s">
        <v>515</v>
      </c>
      <c r="W459" t="s">
        <v>515</v>
      </c>
      <c r="X459" t="s">
        <v>515</v>
      </c>
      <c r="Y459">
        <f t="shared" si="59"/>
        <v>7</v>
      </c>
      <c r="Z459">
        <f t="shared" si="60"/>
        <v>31</v>
      </c>
      <c r="AA459">
        <f t="shared" si="61"/>
        <v>2024</v>
      </c>
      <c r="AB459" s="118" t="b">
        <v>0</v>
      </c>
      <c r="AC459" s="19">
        <v>45504</v>
      </c>
      <c r="AD459" s="19" t="s">
        <v>515</v>
      </c>
      <c r="AE459" t="s">
        <v>515</v>
      </c>
      <c r="AF459" s="19">
        <v>45504</v>
      </c>
      <c r="AG459" t="s">
        <v>515</v>
      </c>
      <c r="AH459" t="s">
        <v>515</v>
      </c>
      <c r="AI459" s="118">
        <v>740.6</v>
      </c>
      <c r="AJ459" s="118">
        <v>423.6</v>
      </c>
      <c r="AK459" s="118">
        <v>404.9</v>
      </c>
      <c r="AL459" s="118">
        <v>263</v>
      </c>
      <c r="AM459" s="118">
        <v>0.19</v>
      </c>
      <c r="AN459" s="118">
        <v>402.9</v>
      </c>
      <c r="AO459" s="118">
        <v>0.5</v>
      </c>
      <c r="AP459" s="118">
        <v>0.47899999999999998</v>
      </c>
      <c r="AQ459" s="118">
        <v>0.70899999999999996</v>
      </c>
      <c r="AR459" s="118">
        <v>130</v>
      </c>
      <c r="AS459" s="118">
        <v>10.27</v>
      </c>
      <c r="AT459" s="118">
        <v>133.19999999999999</v>
      </c>
      <c r="AU459" s="118">
        <v>-85.938439169999995</v>
      </c>
      <c r="AV459" s="118">
        <v>40.710934469999998</v>
      </c>
      <c r="AW459" s="118">
        <v>224.5</v>
      </c>
      <c r="AX459" s="118">
        <v>194</v>
      </c>
      <c r="AY459" s="118">
        <v>8.49</v>
      </c>
      <c r="AZ459" s="118">
        <v>-108.8</v>
      </c>
      <c r="BA459" s="118">
        <v>12</v>
      </c>
      <c r="BB459" s="118">
        <v>0</v>
      </c>
      <c r="BC459" s="118">
        <v>27.407</v>
      </c>
      <c r="BD459" s="118">
        <v>4.0599999999999996</v>
      </c>
      <c r="BE459" s="118">
        <v>0</v>
      </c>
      <c r="BF459" t="s">
        <v>515</v>
      </c>
      <c r="BG459" t="s">
        <v>515</v>
      </c>
      <c r="BH459" s="118">
        <v>206.40100000000001</v>
      </c>
      <c r="BI459" s="118">
        <v>267.863</v>
      </c>
      <c r="BJ459" s="118">
        <v>415.12299999999999</v>
      </c>
      <c r="BK459" s="118">
        <v>461.45699999999999</v>
      </c>
      <c r="BL459" s="118">
        <v>318.94200000000001</v>
      </c>
      <c r="BM459" s="118">
        <v>299.48500000000001</v>
      </c>
      <c r="BN459" s="118">
        <v>330.57</v>
      </c>
      <c r="BO459" s="118">
        <v>530.96</v>
      </c>
    </row>
    <row r="460" spans="1:67" x14ac:dyDescent="0.25">
      <c r="A460" s="25">
        <v>10459</v>
      </c>
      <c r="B460" t="s">
        <v>604</v>
      </c>
      <c r="C460" t="s">
        <v>604</v>
      </c>
      <c r="D460" s="27" t="s">
        <v>473</v>
      </c>
      <c r="E460" s="27">
        <v>12</v>
      </c>
      <c r="F460" s="118">
        <v>661</v>
      </c>
      <c r="G460" t="s">
        <v>19</v>
      </c>
      <c r="H460" t="s">
        <v>8</v>
      </c>
      <c r="I460">
        <v>4.5999999999999999E-3</v>
      </c>
      <c r="J460">
        <v>1.091</v>
      </c>
      <c r="K460">
        <v>-1E-3</v>
      </c>
      <c r="L460" s="111">
        <v>3.7436548223350255E-2</v>
      </c>
      <c r="M460" s="140">
        <f t="shared" si="62"/>
        <v>0.05</v>
      </c>
      <c r="N460" s="140">
        <f t="shared" si="62"/>
        <v>1.091</v>
      </c>
      <c r="O460" s="140">
        <f t="shared" si="62"/>
        <v>0.05</v>
      </c>
      <c r="P460" s="140">
        <f t="shared" si="63"/>
        <v>0.05</v>
      </c>
      <c r="Q460" s="165">
        <v>0.15</v>
      </c>
      <c r="R460" s="125">
        <v>2.3233333333333337</v>
      </c>
      <c r="S460">
        <v>3.22</v>
      </c>
      <c r="T460">
        <v>2.3798078588419926</v>
      </c>
      <c r="U460">
        <v>0.97168496225260148</v>
      </c>
      <c r="V460" s="118" t="s">
        <v>515</v>
      </c>
      <c r="W460" t="s">
        <v>515</v>
      </c>
      <c r="X460" t="s">
        <v>515</v>
      </c>
      <c r="Y460">
        <f t="shared" si="59"/>
        <v>7</v>
      </c>
      <c r="Z460">
        <f t="shared" si="60"/>
        <v>31</v>
      </c>
      <c r="AA460">
        <f t="shared" si="61"/>
        <v>2024</v>
      </c>
      <c r="AB460" s="118" t="b">
        <v>0</v>
      </c>
      <c r="AC460" s="19">
        <v>45504</v>
      </c>
      <c r="AD460" s="19" t="s">
        <v>515</v>
      </c>
      <c r="AE460" t="s">
        <v>515</v>
      </c>
      <c r="AF460" s="19">
        <v>45504</v>
      </c>
      <c r="AG460" t="s">
        <v>515</v>
      </c>
      <c r="AH460" t="s">
        <v>515</v>
      </c>
      <c r="AI460" s="118">
        <v>741.1</v>
      </c>
      <c r="AJ460" s="118">
        <v>447.3</v>
      </c>
      <c r="AK460" s="118">
        <v>426.4</v>
      </c>
      <c r="AL460" s="118">
        <v>277</v>
      </c>
      <c r="AM460" s="118">
        <v>0.2</v>
      </c>
      <c r="AN460" s="118">
        <v>424.1</v>
      </c>
      <c r="AO460" s="118">
        <v>0.49199999999999999</v>
      </c>
      <c r="AP460" s="118">
        <v>0.48099999999999998</v>
      </c>
      <c r="AQ460" s="118">
        <v>0.69699999999999995</v>
      </c>
      <c r="AR460" s="118">
        <v>138.6</v>
      </c>
      <c r="AS460" s="118">
        <v>10.92</v>
      </c>
      <c r="AT460" s="118">
        <v>142</v>
      </c>
      <c r="AU460" s="118">
        <v>-85.841071389999996</v>
      </c>
      <c r="AV460" s="118">
        <v>40.672590999999997</v>
      </c>
      <c r="AW460" s="118">
        <v>226.9</v>
      </c>
      <c r="AX460" s="118">
        <v>179.3</v>
      </c>
      <c r="AY460" s="118">
        <v>8.52</v>
      </c>
      <c r="AZ460" s="118">
        <v>-111</v>
      </c>
      <c r="BA460" s="118">
        <v>11.9</v>
      </c>
      <c r="BB460" s="118">
        <v>0</v>
      </c>
      <c r="BC460" s="118">
        <v>27.574999999999999</v>
      </c>
      <c r="BD460" s="118">
        <v>6.09</v>
      </c>
      <c r="BE460" s="118">
        <v>0</v>
      </c>
      <c r="BF460" t="s">
        <v>515</v>
      </c>
      <c r="BG460" t="s">
        <v>515</v>
      </c>
      <c r="BH460" s="118"/>
      <c r="BI460" s="118"/>
      <c r="BJ460" s="118"/>
      <c r="BK460" s="118"/>
      <c r="BL460" s="118"/>
      <c r="BM460" s="118"/>
      <c r="BN460" s="118"/>
      <c r="BO460" s="118"/>
    </row>
    <row r="461" spans="1:67" x14ac:dyDescent="0.25">
      <c r="A461" s="25">
        <v>10460</v>
      </c>
      <c r="B461" t="s">
        <v>605</v>
      </c>
      <c r="C461" t="s">
        <v>605</v>
      </c>
      <c r="D461" s="27" t="s">
        <v>474</v>
      </c>
      <c r="E461" s="27">
        <v>13</v>
      </c>
      <c r="F461" s="118">
        <v>13553</v>
      </c>
      <c r="G461" t="s">
        <v>19</v>
      </c>
      <c r="H461" t="s">
        <v>8</v>
      </c>
      <c r="I461">
        <v>1.61E-2</v>
      </c>
      <c r="J461">
        <v>0.72799999999999998</v>
      </c>
      <c r="K461">
        <v>0</v>
      </c>
      <c r="L461" s="111">
        <v>0.19447969543147209</v>
      </c>
      <c r="M461" s="140">
        <f t="shared" si="62"/>
        <v>0.05</v>
      </c>
      <c r="N461" s="140">
        <f t="shared" si="62"/>
        <v>0.72799999999999998</v>
      </c>
      <c r="O461" s="140">
        <f t="shared" si="62"/>
        <v>0.05</v>
      </c>
      <c r="P461" s="140">
        <f t="shared" si="63"/>
        <v>0.19447969543147209</v>
      </c>
      <c r="Q461" s="165">
        <v>0.15</v>
      </c>
      <c r="R461" s="125">
        <v>6.02</v>
      </c>
      <c r="S461">
        <v>8.67</v>
      </c>
      <c r="T461">
        <v>2.5903248073795915</v>
      </c>
      <c r="U461">
        <v>0.56863796504114805</v>
      </c>
      <c r="V461" s="118" t="s">
        <v>515</v>
      </c>
      <c r="W461" t="s">
        <v>515</v>
      </c>
      <c r="X461" t="s">
        <v>515</v>
      </c>
      <c r="Y461">
        <f t="shared" si="59"/>
        <v>7</v>
      </c>
      <c r="Z461">
        <f t="shared" si="60"/>
        <v>31</v>
      </c>
      <c r="AA461">
        <f t="shared" si="61"/>
        <v>2024</v>
      </c>
      <c r="AB461" s="118" t="b">
        <v>0</v>
      </c>
      <c r="AC461" s="19">
        <v>45504</v>
      </c>
      <c r="AD461" s="19" t="s">
        <v>515</v>
      </c>
      <c r="AE461" t="s">
        <v>515</v>
      </c>
      <c r="AF461" s="19">
        <v>45504</v>
      </c>
      <c r="AG461" t="s">
        <v>515</v>
      </c>
      <c r="AH461" t="s">
        <v>515</v>
      </c>
      <c r="AI461" s="118">
        <v>741.1</v>
      </c>
      <c r="AJ461" s="118">
        <v>447.3</v>
      </c>
      <c r="AK461" s="118">
        <v>426.4</v>
      </c>
      <c r="AL461" s="118">
        <v>277</v>
      </c>
      <c r="AM461" s="118">
        <v>0.2</v>
      </c>
      <c r="AN461" s="118">
        <v>424.1</v>
      </c>
      <c r="AO461" s="118">
        <v>0.49199999999999999</v>
      </c>
      <c r="AP461" s="118">
        <v>0.48099999999999998</v>
      </c>
      <c r="AQ461" s="118">
        <v>0.69699999999999995</v>
      </c>
      <c r="AR461" s="118">
        <v>138.6</v>
      </c>
      <c r="AS461" s="118">
        <v>10.92</v>
      </c>
      <c r="AT461" s="118">
        <v>142</v>
      </c>
      <c r="AU461" s="118">
        <v>-85.841521130000004</v>
      </c>
      <c r="AV461" s="118">
        <v>40.672565839999997</v>
      </c>
      <c r="AW461" s="118">
        <v>226.9</v>
      </c>
      <c r="AX461" s="118">
        <v>179.3</v>
      </c>
      <c r="AY461" s="118">
        <v>8.52</v>
      </c>
      <c r="AZ461" s="118">
        <v>-111</v>
      </c>
      <c r="BA461" s="118">
        <v>11.9</v>
      </c>
      <c r="BB461" s="118">
        <v>0</v>
      </c>
      <c r="BC461" s="118">
        <v>27.574999999999999</v>
      </c>
      <c r="BD461" s="118">
        <v>6.09</v>
      </c>
      <c r="BE461" s="118">
        <v>0</v>
      </c>
      <c r="BF461" t="s">
        <v>515</v>
      </c>
      <c r="BG461" t="s">
        <v>515</v>
      </c>
      <c r="BH461" s="118">
        <v>158.00299999999999</v>
      </c>
      <c r="BI461" s="118">
        <v>210.34</v>
      </c>
      <c r="BJ461" s="118">
        <v>334.02</v>
      </c>
      <c r="BK461" s="118">
        <v>366.13499999999999</v>
      </c>
      <c r="BL461" s="118">
        <v>250.458</v>
      </c>
      <c r="BM461" s="118">
        <v>239.07</v>
      </c>
      <c r="BN461" s="118">
        <v>335.07100000000003</v>
      </c>
      <c r="BO461" s="118">
        <v>535.70299999999997</v>
      </c>
    </row>
    <row r="462" spans="1:67" x14ac:dyDescent="0.25">
      <c r="A462" s="25">
        <v>10461</v>
      </c>
      <c r="B462" t="s">
        <v>617</v>
      </c>
      <c r="C462" t="s">
        <v>617</v>
      </c>
      <c r="D462" s="27" t="s">
        <v>491</v>
      </c>
      <c r="E462" s="27">
        <v>1</v>
      </c>
      <c r="F462" s="118">
        <v>5210</v>
      </c>
      <c r="G462" t="s">
        <v>22</v>
      </c>
      <c r="H462" t="s">
        <v>8</v>
      </c>
      <c r="I462">
        <v>-0.50160000000000005</v>
      </c>
      <c r="J462">
        <v>1.71</v>
      </c>
      <c r="K462">
        <v>1E-3</v>
      </c>
      <c r="L462" s="109">
        <v>-3.27653997378768E-3</v>
      </c>
      <c r="M462" s="140">
        <f t="shared" si="62"/>
        <v>0.05</v>
      </c>
      <c r="N462" s="140">
        <f t="shared" si="62"/>
        <v>1.71</v>
      </c>
      <c r="O462" s="140">
        <f t="shared" si="62"/>
        <v>0.05</v>
      </c>
      <c r="P462" s="140">
        <f t="shared" si="63"/>
        <v>0.05</v>
      </c>
      <c r="Q462" s="166">
        <v>0.10470732159173468</v>
      </c>
      <c r="R462" s="125">
        <v>41.19</v>
      </c>
      <c r="S462">
        <v>25.786666666666665</v>
      </c>
      <c r="T462">
        <v>3.7785760280140366</v>
      </c>
      <c r="U462">
        <v>1.4024133850234646</v>
      </c>
      <c r="V462" s="118" t="s">
        <v>515</v>
      </c>
      <c r="W462" t="s">
        <v>515</v>
      </c>
      <c r="X462" t="s">
        <v>515</v>
      </c>
      <c r="Y462">
        <f t="shared" ref="Y462:Y473" si="64">MONTH(AC462)</f>
        <v>8</v>
      </c>
      <c r="Z462">
        <f t="shared" ref="Z462:Z473" si="65">DAY(AC462)</f>
        <v>5</v>
      </c>
      <c r="AA462">
        <f t="shared" ref="AA462:AA473" si="66">YEAR(AC462)</f>
        <v>2024</v>
      </c>
      <c r="AB462" s="118" t="b">
        <v>0</v>
      </c>
      <c r="AC462" s="19">
        <v>45509</v>
      </c>
      <c r="AD462" s="19" t="s">
        <v>515</v>
      </c>
      <c r="AE462" t="s">
        <v>515</v>
      </c>
      <c r="AF462" s="19">
        <v>45509</v>
      </c>
      <c r="AG462" t="s">
        <v>515</v>
      </c>
      <c r="AH462" t="s">
        <v>515</v>
      </c>
      <c r="AI462" s="118">
        <v>742.3</v>
      </c>
      <c r="AJ462" s="118">
        <v>355.2</v>
      </c>
      <c r="AK462" s="118">
        <v>338</v>
      </c>
      <c r="AL462" s="118">
        <v>220</v>
      </c>
      <c r="AM462" s="118">
        <v>0.16</v>
      </c>
      <c r="AN462" s="118">
        <v>336.1</v>
      </c>
      <c r="AO462" s="118">
        <v>0.49</v>
      </c>
      <c r="AP462" s="118">
        <v>0.48899999999999999</v>
      </c>
      <c r="AQ462" s="118">
        <v>0.69399999999999995</v>
      </c>
      <c r="AR462" s="118">
        <v>155.1</v>
      </c>
      <c r="AS462" s="118">
        <v>12.2</v>
      </c>
      <c r="AT462" s="118">
        <v>158.30000000000001</v>
      </c>
      <c r="AU462" s="118">
        <v>-85.645051519999996</v>
      </c>
      <c r="AV462" s="118">
        <v>40.772296269999998</v>
      </c>
      <c r="AW462" s="118">
        <v>226.1</v>
      </c>
      <c r="AX462" s="118">
        <v>223.8</v>
      </c>
      <c r="AY462" s="118">
        <v>8.56</v>
      </c>
      <c r="AZ462" s="118">
        <v>-117.7</v>
      </c>
      <c r="BA462" s="118">
        <v>11.9</v>
      </c>
      <c r="BB462" s="118">
        <v>0</v>
      </c>
      <c r="BC462" s="118">
        <v>27.663</v>
      </c>
      <c r="BD462" s="118">
        <v>4.78</v>
      </c>
      <c r="BE462" s="118">
        <v>0</v>
      </c>
      <c r="BF462" t="s">
        <v>515</v>
      </c>
      <c r="BG462" t="s">
        <v>515</v>
      </c>
      <c r="BH462" s="118">
        <v>306.822</v>
      </c>
      <c r="BI462" s="118">
        <v>319.16800000000001</v>
      </c>
      <c r="BJ462" s="118">
        <v>385.50400000000002</v>
      </c>
      <c r="BK462" s="118">
        <v>425.85199999999998</v>
      </c>
      <c r="BL462" s="118">
        <v>331.54399999999998</v>
      </c>
      <c r="BM462" s="118">
        <v>327.13099999999997</v>
      </c>
      <c r="BN462" s="118">
        <v>378.64299999999997</v>
      </c>
      <c r="BO462" s="118">
        <v>578.59199999999998</v>
      </c>
    </row>
    <row r="463" spans="1:67" x14ac:dyDescent="0.25">
      <c r="A463" s="25">
        <v>10462</v>
      </c>
      <c r="B463" t="s">
        <v>618</v>
      </c>
      <c r="C463" t="s">
        <v>618</v>
      </c>
      <c r="D463" s="27" t="s">
        <v>492</v>
      </c>
      <c r="E463" s="27">
        <v>2</v>
      </c>
      <c r="F463" s="118">
        <v>5430</v>
      </c>
      <c r="G463" t="s">
        <v>22</v>
      </c>
      <c r="H463" t="s">
        <v>8</v>
      </c>
      <c r="I463">
        <v>-0.50419999999999998</v>
      </c>
      <c r="J463">
        <v>1.716</v>
      </c>
      <c r="K463">
        <v>2E-3</v>
      </c>
      <c r="L463" s="109">
        <v>6.9078947368421068E-3</v>
      </c>
      <c r="M463" s="140">
        <f t="shared" si="62"/>
        <v>0.05</v>
      </c>
      <c r="N463" s="140">
        <f t="shared" si="62"/>
        <v>1.716</v>
      </c>
      <c r="O463" s="140">
        <f t="shared" si="62"/>
        <v>0.05</v>
      </c>
      <c r="P463" s="140">
        <f t="shared" si="63"/>
        <v>0.05</v>
      </c>
      <c r="Q463" s="166">
        <v>8.1577581933841486E-2</v>
      </c>
      <c r="R463" s="125">
        <v>48.23</v>
      </c>
      <c r="S463">
        <v>32.366666666666667</v>
      </c>
      <c r="T463">
        <v>3.5540246162405982</v>
      </c>
      <c r="U463">
        <v>1.3250822281167109</v>
      </c>
      <c r="V463" s="118" t="s">
        <v>515</v>
      </c>
      <c r="W463" t="s">
        <v>515</v>
      </c>
      <c r="X463" t="s">
        <v>515</v>
      </c>
      <c r="Y463">
        <f t="shared" si="64"/>
        <v>8</v>
      </c>
      <c r="Z463">
        <f t="shared" si="65"/>
        <v>5</v>
      </c>
      <c r="AA463">
        <f t="shared" si="66"/>
        <v>2024</v>
      </c>
      <c r="AB463" s="118" t="b">
        <v>0</v>
      </c>
      <c r="AC463" s="19">
        <v>45509</v>
      </c>
      <c r="AD463" s="19" t="s">
        <v>515</v>
      </c>
      <c r="AE463" t="s">
        <v>515</v>
      </c>
      <c r="AF463" s="19">
        <v>45509</v>
      </c>
      <c r="AG463" t="s">
        <v>515</v>
      </c>
      <c r="AH463" t="s">
        <v>515</v>
      </c>
      <c r="AI463" s="118">
        <v>743.2</v>
      </c>
      <c r="AJ463" s="118">
        <v>356.3</v>
      </c>
      <c r="AK463" s="118">
        <v>340</v>
      </c>
      <c r="AL463" s="118">
        <v>221</v>
      </c>
      <c r="AM463" s="118">
        <v>0.16</v>
      </c>
      <c r="AN463" s="118">
        <v>338.3</v>
      </c>
      <c r="AO463" s="118">
        <v>0.52</v>
      </c>
      <c r="AP463" s="118">
        <v>0.51300000000000001</v>
      </c>
      <c r="AQ463" s="118">
        <v>0.73699999999999999</v>
      </c>
      <c r="AR463" s="118">
        <v>149.69999999999999</v>
      </c>
      <c r="AS463" s="118">
        <v>11.81</v>
      </c>
      <c r="AT463" s="118">
        <v>152.80000000000001</v>
      </c>
      <c r="AU463" s="118">
        <v>-85.647150420000003</v>
      </c>
      <c r="AV463" s="118">
        <v>40.770774430000003</v>
      </c>
      <c r="AW463" s="118">
        <v>220.9</v>
      </c>
      <c r="AX463" s="118">
        <v>192.1</v>
      </c>
      <c r="AY463" s="118">
        <v>8.64</v>
      </c>
      <c r="AZ463" s="118">
        <v>-122.3</v>
      </c>
      <c r="BA463" s="118">
        <v>11.9</v>
      </c>
      <c r="BB463" s="118">
        <v>0</v>
      </c>
      <c r="BC463" s="118">
        <v>27.509</v>
      </c>
      <c r="BD463" s="118">
        <v>5.72</v>
      </c>
      <c r="BE463" s="118">
        <v>0</v>
      </c>
      <c r="BF463" t="s">
        <v>515</v>
      </c>
      <c r="BG463" t="s">
        <v>515</v>
      </c>
      <c r="BH463" s="118">
        <v>294.39499999999998</v>
      </c>
      <c r="BI463" s="118">
        <v>289.44099999999997</v>
      </c>
      <c r="BJ463" s="118">
        <v>379.92399999999998</v>
      </c>
      <c r="BK463" s="118">
        <v>421.46300000000002</v>
      </c>
      <c r="BL463" s="118">
        <v>320.85700000000003</v>
      </c>
      <c r="BM463" s="118">
        <v>314.30799999999999</v>
      </c>
      <c r="BN463" s="118">
        <v>364.93900000000002</v>
      </c>
      <c r="BO463" s="118">
        <v>583.846</v>
      </c>
    </row>
    <row r="464" spans="1:67" x14ac:dyDescent="0.25">
      <c r="A464" s="25">
        <v>10463</v>
      </c>
      <c r="B464" t="s">
        <v>619</v>
      </c>
      <c r="C464" t="s">
        <v>619</v>
      </c>
      <c r="D464" s="27" t="s">
        <v>493</v>
      </c>
      <c r="E464" s="27">
        <v>3</v>
      </c>
      <c r="F464" s="118">
        <v>4180</v>
      </c>
      <c r="G464" t="s">
        <v>22</v>
      </c>
      <c r="H464" t="s">
        <v>8</v>
      </c>
      <c r="I464">
        <v>-0.51149999999999995</v>
      </c>
      <c r="J464">
        <v>1.859</v>
      </c>
      <c r="K464">
        <v>1E-3</v>
      </c>
      <c r="L464" s="109">
        <v>-8.1913499344692005E-3</v>
      </c>
      <c r="M464" s="140">
        <f t="shared" si="62"/>
        <v>0.05</v>
      </c>
      <c r="N464" s="140">
        <f t="shared" si="62"/>
        <v>1.859</v>
      </c>
      <c r="O464" s="140">
        <f t="shared" si="62"/>
        <v>0.05</v>
      </c>
      <c r="P464" s="140">
        <f t="shared" si="63"/>
        <v>0.05</v>
      </c>
      <c r="Q464" s="166">
        <v>7.6129430220654215E-2</v>
      </c>
      <c r="R464" s="125">
        <v>25.256666666666671</v>
      </c>
      <c r="S464">
        <v>21.97</v>
      </c>
      <c r="T464">
        <v>3.43395198633397</v>
      </c>
      <c r="U464">
        <v>1.3907831054886759</v>
      </c>
      <c r="V464" s="118" t="s">
        <v>515</v>
      </c>
      <c r="W464" t="s">
        <v>515</v>
      </c>
      <c r="X464" t="s">
        <v>515</v>
      </c>
      <c r="Y464">
        <f t="shared" si="64"/>
        <v>8</v>
      </c>
      <c r="Z464">
        <f t="shared" si="65"/>
        <v>5</v>
      </c>
      <c r="AA464">
        <f t="shared" si="66"/>
        <v>2024</v>
      </c>
      <c r="AB464" s="118" t="b">
        <v>0</v>
      </c>
      <c r="AC464" s="19">
        <v>45509</v>
      </c>
      <c r="AD464" s="19" t="s">
        <v>515</v>
      </c>
      <c r="AE464" t="s">
        <v>515</v>
      </c>
      <c r="AF464" s="19">
        <v>45509</v>
      </c>
      <c r="AG464" t="s">
        <v>515</v>
      </c>
      <c r="AH464" t="s">
        <v>515</v>
      </c>
      <c r="AI464" s="118">
        <v>742.9</v>
      </c>
      <c r="AJ464" s="118">
        <v>368.6</v>
      </c>
      <c r="AK464" s="118">
        <v>351.6</v>
      </c>
      <c r="AL464" s="118">
        <v>229</v>
      </c>
      <c r="AM464" s="118">
        <v>0.17</v>
      </c>
      <c r="AN464" s="118">
        <v>349.7</v>
      </c>
      <c r="AO464" s="118">
        <v>0.53500000000000003</v>
      </c>
      <c r="AP464" s="118">
        <v>0.59699999999999998</v>
      </c>
      <c r="AQ464" s="118">
        <v>0.75800000000000001</v>
      </c>
      <c r="AR464" s="118">
        <v>130.30000000000001</v>
      </c>
      <c r="AS464" s="118">
        <v>10.28</v>
      </c>
      <c r="AT464" s="118">
        <v>133.1</v>
      </c>
      <c r="AU464" s="118">
        <v>-85.646588960000003</v>
      </c>
      <c r="AV464" s="118">
        <v>40.781075420000001</v>
      </c>
      <c r="AW464" s="118">
        <v>222.5</v>
      </c>
      <c r="AX464" s="118">
        <v>151.5</v>
      </c>
      <c r="AY464" s="118">
        <v>8.64</v>
      </c>
      <c r="AZ464" s="118">
        <v>-122.1</v>
      </c>
      <c r="BA464" s="118">
        <v>11.9</v>
      </c>
      <c r="BB464" s="118">
        <v>0</v>
      </c>
      <c r="BC464" s="118">
        <v>27.545000000000002</v>
      </c>
      <c r="BD464" s="118">
        <v>4.0999999999999996</v>
      </c>
      <c r="BE464" s="118">
        <v>0</v>
      </c>
      <c r="BF464" t="s">
        <v>515</v>
      </c>
      <c r="BG464" t="s">
        <v>515</v>
      </c>
      <c r="BH464" s="118">
        <v>312.46100000000001</v>
      </c>
      <c r="BI464" s="118">
        <v>324.36599999999999</v>
      </c>
      <c r="BJ464" s="118">
        <v>382.14</v>
      </c>
      <c r="BK464" s="118">
        <v>409.77199999999999</v>
      </c>
      <c r="BL464" s="118">
        <v>322.923</v>
      </c>
      <c r="BM464" s="118">
        <v>321.53899999999999</v>
      </c>
      <c r="BN464" s="118">
        <v>366.07</v>
      </c>
      <c r="BO464" s="118">
        <v>526.10400000000004</v>
      </c>
    </row>
    <row r="465" spans="1:67" x14ac:dyDescent="0.25">
      <c r="A465" s="25">
        <v>10464</v>
      </c>
      <c r="B465" t="s">
        <v>620</v>
      </c>
      <c r="C465" t="s">
        <v>620</v>
      </c>
      <c r="D465" s="27" t="s">
        <v>494</v>
      </c>
      <c r="E465" s="27">
        <v>4</v>
      </c>
      <c r="F465" s="118">
        <v>4980</v>
      </c>
      <c r="G465" t="s">
        <v>22</v>
      </c>
      <c r="H465" t="s">
        <v>8</v>
      </c>
      <c r="I465">
        <v>-0.49980000000000002</v>
      </c>
      <c r="J465">
        <v>1.766</v>
      </c>
      <c r="K465">
        <v>3.0000000000000001E-3</v>
      </c>
      <c r="L465" s="109">
        <v>-6.55307994757536E-3</v>
      </c>
      <c r="M465" s="140">
        <f t="shared" si="62"/>
        <v>0.05</v>
      </c>
      <c r="N465" s="140">
        <f t="shared" si="62"/>
        <v>1.766</v>
      </c>
      <c r="O465" s="140">
        <f t="shared" si="62"/>
        <v>0.05</v>
      </c>
      <c r="P465" s="140">
        <f t="shared" si="63"/>
        <v>0.05</v>
      </c>
      <c r="Q465" s="166">
        <v>9.3712366947740794E-2</v>
      </c>
      <c r="R465" s="125">
        <v>21.363333333333333</v>
      </c>
      <c r="S465">
        <v>26.193333333333332</v>
      </c>
      <c r="T465">
        <v>3.5888508768628675</v>
      </c>
      <c r="U465">
        <v>1.4319991838400328</v>
      </c>
      <c r="V465" s="118" t="s">
        <v>515</v>
      </c>
      <c r="W465" t="s">
        <v>515</v>
      </c>
      <c r="X465" t="s">
        <v>515</v>
      </c>
      <c r="Y465">
        <f t="shared" si="64"/>
        <v>8</v>
      </c>
      <c r="Z465">
        <f t="shared" si="65"/>
        <v>5</v>
      </c>
      <c r="AA465">
        <f t="shared" si="66"/>
        <v>2024</v>
      </c>
      <c r="AB465" s="118" t="b">
        <v>0</v>
      </c>
      <c r="AC465" s="19">
        <v>45509</v>
      </c>
      <c r="AD465" s="19" t="s">
        <v>515</v>
      </c>
      <c r="AE465" t="s">
        <v>515</v>
      </c>
      <c r="AF465" s="19">
        <v>45509</v>
      </c>
      <c r="AG465" t="s">
        <v>515</v>
      </c>
      <c r="AH465" t="s">
        <v>515</v>
      </c>
      <c r="AI465" s="118">
        <v>742.6</v>
      </c>
      <c r="AJ465" s="118">
        <v>368.8</v>
      </c>
      <c r="AK465" s="118">
        <v>351.8</v>
      </c>
      <c r="AL465" s="118">
        <v>229</v>
      </c>
      <c r="AM465" s="118">
        <v>0.17</v>
      </c>
      <c r="AN465" s="118">
        <v>349.9</v>
      </c>
      <c r="AO465" s="118">
        <v>0.502</v>
      </c>
      <c r="AP465" s="118">
        <v>0.498</v>
      </c>
      <c r="AQ465" s="118">
        <v>0.71199999999999997</v>
      </c>
      <c r="AR465" s="118">
        <v>130.4</v>
      </c>
      <c r="AS465" s="118">
        <v>10.28</v>
      </c>
      <c r="AT465" s="118">
        <v>133.1</v>
      </c>
      <c r="AU465" s="118">
        <v>-85.638733939999995</v>
      </c>
      <c r="AV465" s="118">
        <v>40.783930470000001</v>
      </c>
      <c r="AW465" s="118">
        <v>226.2</v>
      </c>
      <c r="AX465" s="118">
        <v>168.6</v>
      </c>
      <c r="AY465" s="118">
        <v>8.64</v>
      </c>
      <c r="AZ465" s="118">
        <v>-122.5</v>
      </c>
      <c r="BA465" s="118">
        <v>11.9</v>
      </c>
      <c r="BB465" s="118">
        <v>0</v>
      </c>
      <c r="BC465" s="118">
        <v>27.533000000000001</v>
      </c>
      <c r="BD465" s="118">
        <v>4.18</v>
      </c>
      <c r="BE465" s="118">
        <v>0</v>
      </c>
      <c r="BF465" t="s">
        <v>515</v>
      </c>
      <c r="BG465" t="s">
        <v>515</v>
      </c>
      <c r="BH465" s="118">
        <v>346.09899999999999</v>
      </c>
      <c r="BI465" s="118">
        <v>326.464</v>
      </c>
      <c r="BJ465" s="118">
        <v>404.11900000000003</v>
      </c>
      <c r="BK465" s="118">
        <v>432.959</v>
      </c>
      <c r="BL465" s="118">
        <v>343.95</v>
      </c>
      <c r="BM465" s="118">
        <v>343.56200000000001</v>
      </c>
      <c r="BN465" s="118">
        <v>395.78899999999999</v>
      </c>
      <c r="BO465" s="118">
        <v>625.55899999999997</v>
      </c>
    </row>
    <row r="466" spans="1:67" x14ac:dyDescent="0.25">
      <c r="A466" s="25">
        <v>10465</v>
      </c>
      <c r="B466" t="s">
        <v>621</v>
      </c>
      <c r="C466" t="s">
        <v>621</v>
      </c>
      <c r="D466" s="27" t="s">
        <v>495</v>
      </c>
      <c r="E466" s="27">
        <v>5</v>
      </c>
      <c r="F466" s="118">
        <v>6340</v>
      </c>
      <c r="G466" t="s">
        <v>22</v>
      </c>
      <c r="H466" t="s">
        <v>8</v>
      </c>
      <c r="I466">
        <v>-0.50609999999999999</v>
      </c>
      <c r="J466">
        <v>1.673</v>
      </c>
      <c r="K466">
        <v>3.0000000000000001E-3</v>
      </c>
      <c r="L466" s="109">
        <v>-6.55307994757536E-3</v>
      </c>
      <c r="M466" s="140">
        <f t="shared" ref="M466:O481" si="67">IF(I466&lt;0.1,0.05,I466)</f>
        <v>0.05</v>
      </c>
      <c r="N466" s="140">
        <f t="shared" si="67"/>
        <v>1.673</v>
      </c>
      <c r="O466" s="140">
        <f t="shared" si="67"/>
        <v>0.05</v>
      </c>
      <c r="P466" s="140">
        <f t="shared" si="63"/>
        <v>0.05</v>
      </c>
      <c r="Q466" s="166">
        <v>0.1414688469776979</v>
      </c>
      <c r="R466" s="125">
        <v>46.716666666666669</v>
      </c>
      <c r="S466">
        <v>4.1433333333333335</v>
      </c>
      <c r="T466">
        <v>3.4537041938510757</v>
      </c>
      <c r="U466">
        <v>1.3834376657824936</v>
      </c>
      <c r="V466" s="118" t="s">
        <v>515</v>
      </c>
      <c r="W466" t="s">
        <v>515</v>
      </c>
      <c r="X466" t="s">
        <v>515</v>
      </c>
      <c r="Y466">
        <f t="shared" si="64"/>
        <v>8</v>
      </c>
      <c r="Z466">
        <f t="shared" si="65"/>
        <v>5</v>
      </c>
      <c r="AA466">
        <f t="shared" si="66"/>
        <v>2024</v>
      </c>
      <c r="AB466" s="118" t="b">
        <v>0</v>
      </c>
      <c r="AC466" s="19">
        <v>45509</v>
      </c>
      <c r="AD466" s="19" t="s">
        <v>515</v>
      </c>
      <c r="AE466" t="s">
        <v>515</v>
      </c>
      <c r="AF466" s="19">
        <v>45509</v>
      </c>
      <c r="AG466" t="s">
        <v>515</v>
      </c>
      <c r="AH466" t="s">
        <v>515</v>
      </c>
      <c r="AI466" s="118">
        <v>741.4</v>
      </c>
      <c r="AJ466" s="118">
        <v>371.1</v>
      </c>
      <c r="AK466" s="118">
        <v>354.2</v>
      </c>
      <c r="AL466" s="118">
        <v>230</v>
      </c>
      <c r="AM466" s="118">
        <v>0.17</v>
      </c>
      <c r="AN466" s="118">
        <v>352.4</v>
      </c>
      <c r="AO466" s="118">
        <v>0.60199999999999998</v>
      </c>
      <c r="AP466" s="118">
        <v>0.59</v>
      </c>
      <c r="AQ466" s="118">
        <v>0.85399999999999998</v>
      </c>
      <c r="AR466" s="118">
        <v>130.19999999999999</v>
      </c>
      <c r="AS466" s="118">
        <v>10.28</v>
      </c>
      <c r="AT466" s="118">
        <v>132.9</v>
      </c>
      <c r="AU466" s="118">
        <v>-85.624036320000002</v>
      </c>
      <c r="AV466" s="118">
        <v>40.774560219999998</v>
      </c>
      <c r="AW466" s="118">
        <v>228.6</v>
      </c>
      <c r="AX466" s="118">
        <v>177.7</v>
      </c>
      <c r="AY466" s="118">
        <v>8.65</v>
      </c>
      <c r="AZ466" s="118">
        <v>-122.8</v>
      </c>
      <c r="BA466" s="118">
        <v>11.9</v>
      </c>
      <c r="BB466" s="118">
        <v>0</v>
      </c>
      <c r="BC466" s="118">
        <v>27.494</v>
      </c>
      <c r="BD466" s="118">
        <v>4.45</v>
      </c>
      <c r="BE466" s="118">
        <v>0</v>
      </c>
      <c r="BF466" t="s">
        <v>515</v>
      </c>
      <c r="BG466" t="s">
        <v>515</v>
      </c>
      <c r="BH466" s="118">
        <v>320.66399999999999</v>
      </c>
      <c r="BI466" s="118">
        <v>323.77699999999999</v>
      </c>
      <c r="BJ466" s="118">
        <v>391.98899999999998</v>
      </c>
      <c r="BK466" s="118">
        <v>409.06299999999999</v>
      </c>
      <c r="BL466" s="118">
        <v>335.96600000000001</v>
      </c>
      <c r="BM466" s="118">
        <v>316.13499999999999</v>
      </c>
      <c r="BN466" s="118">
        <v>405.02199999999999</v>
      </c>
      <c r="BO466" s="118">
        <v>703.37099999999998</v>
      </c>
    </row>
    <row r="467" spans="1:67" x14ac:dyDescent="0.25">
      <c r="A467" s="25">
        <v>10466</v>
      </c>
      <c r="B467" t="s">
        <v>622</v>
      </c>
      <c r="C467" t="s">
        <v>622</v>
      </c>
      <c r="D467" s="27" t="s">
        <v>496</v>
      </c>
      <c r="E467" s="27">
        <v>6</v>
      </c>
      <c r="F467" s="118">
        <v>7900</v>
      </c>
      <c r="G467" t="s">
        <v>22</v>
      </c>
      <c r="H467" t="s">
        <v>8</v>
      </c>
      <c r="I467">
        <v>-0.50800000000000001</v>
      </c>
      <c r="J467">
        <v>1.7909999999999999</v>
      </c>
      <c r="K467">
        <v>3.0000000000000001E-3</v>
      </c>
      <c r="L467" s="109">
        <v>3.6184210526315794E-3</v>
      </c>
      <c r="M467" s="140">
        <f t="shared" si="67"/>
        <v>0.05</v>
      </c>
      <c r="N467" s="140">
        <f t="shared" si="67"/>
        <v>1.7909999999999999</v>
      </c>
      <c r="O467" s="140">
        <f t="shared" si="67"/>
        <v>0.05</v>
      </c>
      <c r="P467" s="140">
        <f t="shared" si="63"/>
        <v>0.05</v>
      </c>
      <c r="Q467" s="165">
        <v>0.15</v>
      </c>
      <c r="R467" s="125">
        <v>44.1</v>
      </c>
      <c r="S467">
        <v>1.5133333333333334</v>
      </c>
      <c r="T467">
        <v>3.5155597910757033</v>
      </c>
      <c r="U467">
        <v>1.4177163844113447</v>
      </c>
      <c r="V467" s="118" t="s">
        <v>515</v>
      </c>
      <c r="W467" t="s">
        <v>515</v>
      </c>
      <c r="X467" t="s">
        <v>515</v>
      </c>
      <c r="Y467">
        <f t="shared" si="64"/>
        <v>8</v>
      </c>
      <c r="Z467">
        <f t="shared" si="65"/>
        <v>5</v>
      </c>
      <c r="AA467">
        <f t="shared" si="66"/>
        <v>2024</v>
      </c>
      <c r="AB467" s="118" t="b">
        <v>0</v>
      </c>
      <c r="AC467" s="19">
        <v>45509</v>
      </c>
      <c r="AD467" s="19" t="s">
        <v>515</v>
      </c>
      <c r="AE467" t="s">
        <v>515</v>
      </c>
      <c r="AF467" s="19">
        <v>45509</v>
      </c>
      <c r="AG467" t="s">
        <v>515</v>
      </c>
      <c r="AH467" t="s">
        <v>515</v>
      </c>
      <c r="AI467" s="118">
        <v>741.1</v>
      </c>
      <c r="AJ467" s="118">
        <v>372.1</v>
      </c>
      <c r="AK467" s="118">
        <v>356.2</v>
      </c>
      <c r="AL467" s="118">
        <v>232</v>
      </c>
      <c r="AM467" s="118">
        <v>0.17</v>
      </c>
      <c r="AN467" s="118">
        <v>354.5</v>
      </c>
      <c r="AO467" s="118">
        <v>0.65</v>
      </c>
      <c r="AP467" s="118">
        <v>0.61599999999999999</v>
      </c>
      <c r="AQ467" s="118">
        <v>0.92100000000000004</v>
      </c>
      <c r="AR467" s="118">
        <v>124.7</v>
      </c>
      <c r="AS467" s="118">
        <v>9.8699999999999992</v>
      </c>
      <c r="AT467" s="118">
        <v>127.3</v>
      </c>
      <c r="AU467" s="118">
        <v>-85.606134130000001</v>
      </c>
      <c r="AV467" s="118">
        <v>40.77494488</v>
      </c>
      <c r="AW467" s="118">
        <v>227.8</v>
      </c>
      <c r="AX467" s="118">
        <v>167.7</v>
      </c>
      <c r="AY467" s="118">
        <v>8.6300000000000008</v>
      </c>
      <c r="AZ467" s="118">
        <v>-121.4</v>
      </c>
      <c r="BA467" s="118">
        <v>11.9</v>
      </c>
      <c r="BB467" s="118">
        <v>0</v>
      </c>
      <c r="BC467" s="118">
        <v>27.34</v>
      </c>
      <c r="BD467" s="118">
        <v>3.55</v>
      </c>
      <c r="BE467" s="118">
        <v>0</v>
      </c>
      <c r="BF467" t="s">
        <v>515</v>
      </c>
      <c r="BG467" t="s">
        <v>515</v>
      </c>
      <c r="BH467" s="118">
        <v>313.45499999999998</v>
      </c>
      <c r="BI467" s="118">
        <v>320.49299999999999</v>
      </c>
      <c r="BJ467" s="118">
        <v>389.42700000000002</v>
      </c>
      <c r="BK467" s="118">
        <v>402.245</v>
      </c>
      <c r="BL467" s="118">
        <v>327.65800000000002</v>
      </c>
      <c r="BM467" s="118">
        <v>327.33800000000002</v>
      </c>
      <c r="BN467" s="118">
        <v>392.37799999999999</v>
      </c>
      <c r="BO467" s="118">
        <v>607.67399999999998</v>
      </c>
    </row>
    <row r="468" spans="1:67" x14ac:dyDescent="0.25">
      <c r="A468" s="25">
        <v>10467</v>
      </c>
      <c r="B468" t="s">
        <v>623</v>
      </c>
      <c r="C468" t="s">
        <v>623</v>
      </c>
      <c r="D468" s="27" t="s">
        <v>497</v>
      </c>
      <c r="E468" s="27">
        <v>7</v>
      </c>
      <c r="F468" s="118">
        <v>10610</v>
      </c>
      <c r="G468" t="s">
        <v>22</v>
      </c>
      <c r="H468" t="s">
        <v>8</v>
      </c>
      <c r="I468">
        <v>-0.50409999999999999</v>
      </c>
      <c r="J468">
        <v>1.5940000000000001</v>
      </c>
      <c r="K468">
        <v>-1E-3</v>
      </c>
      <c r="L468" s="109">
        <v>1.5131578947368421E-2</v>
      </c>
      <c r="M468" s="140">
        <f t="shared" si="67"/>
        <v>0.05</v>
      </c>
      <c r="N468" s="140">
        <f t="shared" si="67"/>
        <v>1.5940000000000001</v>
      </c>
      <c r="O468" s="140">
        <f t="shared" si="67"/>
        <v>0.05</v>
      </c>
      <c r="P468" s="140">
        <f t="shared" si="63"/>
        <v>0.05</v>
      </c>
      <c r="Q468" s="165">
        <v>0.15</v>
      </c>
      <c r="R468" s="125">
        <v>57.353333333333332</v>
      </c>
      <c r="S468">
        <v>6.1466666666666656</v>
      </c>
      <c r="T468">
        <v>3.5311536391155252</v>
      </c>
      <c r="U468">
        <v>1.3195731483370743</v>
      </c>
      <c r="V468" s="118" t="s">
        <v>515</v>
      </c>
      <c r="W468" t="s">
        <v>515</v>
      </c>
      <c r="X468" t="s">
        <v>515</v>
      </c>
      <c r="Y468">
        <f t="shared" si="64"/>
        <v>8</v>
      </c>
      <c r="Z468">
        <f t="shared" si="65"/>
        <v>5</v>
      </c>
      <c r="AA468">
        <f t="shared" si="66"/>
        <v>2024</v>
      </c>
      <c r="AB468" s="118" t="b">
        <v>0</v>
      </c>
      <c r="AC468" s="19">
        <v>45509</v>
      </c>
      <c r="AD468" s="19" t="s">
        <v>515</v>
      </c>
      <c r="AE468" t="s">
        <v>515</v>
      </c>
      <c r="AF468" s="19">
        <v>45509</v>
      </c>
      <c r="AG468" t="s">
        <v>515</v>
      </c>
      <c r="AH468" t="s">
        <v>515</v>
      </c>
      <c r="AI468" s="118">
        <v>741</v>
      </c>
      <c r="AJ468" s="118">
        <v>360</v>
      </c>
      <c r="AK468" s="118">
        <v>341.6</v>
      </c>
      <c r="AL468" s="118">
        <v>222</v>
      </c>
      <c r="AM468" s="118">
        <v>0.16</v>
      </c>
      <c r="AN468" s="118">
        <v>339.6</v>
      </c>
      <c r="AO468" s="118">
        <v>0.54500000000000004</v>
      </c>
      <c r="AP468" s="118">
        <v>0.60799999999999998</v>
      </c>
      <c r="AQ468" s="118">
        <v>0.77200000000000002</v>
      </c>
      <c r="AR468" s="118">
        <v>146.6</v>
      </c>
      <c r="AS468" s="118">
        <v>11.5</v>
      </c>
      <c r="AT468" s="118">
        <v>149.69999999999999</v>
      </c>
      <c r="AU468" s="118">
        <v>-85.580525960000003</v>
      </c>
      <c r="AV468" s="118">
        <v>40.775568530000001</v>
      </c>
      <c r="AW468" s="118">
        <v>230.7</v>
      </c>
      <c r="AX468" s="118">
        <v>165.5</v>
      </c>
      <c r="AY468" s="118">
        <v>8.77</v>
      </c>
      <c r="AZ468" s="118">
        <v>-129.9</v>
      </c>
      <c r="BA468" s="118">
        <v>11.9</v>
      </c>
      <c r="BB468" s="118">
        <v>0</v>
      </c>
      <c r="BC468" s="118">
        <v>27.829000000000001</v>
      </c>
      <c r="BD468" s="118">
        <v>4.42</v>
      </c>
      <c r="BE468" s="118">
        <v>0</v>
      </c>
      <c r="BF468" t="s">
        <v>515</v>
      </c>
      <c r="BG468" t="s">
        <v>515</v>
      </c>
      <c r="BH468" s="118">
        <v>285.58100000000002</v>
      </c>
      <c r="BI468" s="118">
        <v>281.084</v>
      </c>
      <c r="BJ468" s="118">
        <v>350.67</v>
      </c>
      <c r="BK468" s="118">
        <v>359.61399999999998</v>
      </c>
      <c r="BL468" s="118">
        <v>311.99700000000001</v>
      </c>
      <c r="BM468" s="118">
        <v>302.19299999999998</v>
      </c>
      <c r="BN468" s="118">
        <v>386.73399999999998</v>
      </c>
      <c r="BO468" s="118">
        <v>626.40899999999999</v>
      </c>
    </row>
    <row r="469" spans="1:67" x14ac:dyDescent="0.25">
      <c r="A469" s="25">
        <v>10468</v>
      </c>
      <c r="B469" t="s">
        <v>624</v>
      </c>
      <c r="C469" t="s">
        <v>624</v>
      </c>
      <c r="D469" s="27" t="s">
        <v>498</v>
      </c>
      <c r="E469" s="27">
        <v>8</v>
      </c>
      <c r="F469" s="118">
        <v>9370</v>
      </c>
      <c r="G469" t="s">
        <v>22</v>
      </c>
      <c r="H469" t="s">
        <v>8</v>
      </c>
      <c r="I469">
        <v>-0.50360000000000005</v>
      </c>
      <c r="J469">
        <v>1.8220000000000001</v>
      </c>
      <c r="K469">
        <v>0</v>
      </c>
      <c r="L469" s="109">
        <v>8.552631578947369E-3</v>
      </c>
      <c r="M469" s="140">
        <f t="shared" si="67"/>
        <v>0.05</v>
      </c>
      <c r="N469" s="140">
        <f t="shared" si="67"/>
        <v>1.8220000000000001</v>
      </c>
      <c r="O469" s="140">
        <f t="shared" si="67"/>
        <v>0.05</v>
      </c>
      <c r="P469" s="140">
        <f t="shared" si="63"/>
        <v>0.05</v>
      </c>
      <c r="Q469" s="166">
        <v>1.9501758935540237E-2</v>
      </c>
      <c r="R469" s="125">
        <v>63.080000000000005</v>
      </c>
      <c r="S469">
        <v>7.8733333333333322</v>
      </c>
      <c r="T469">
        <v>3.7021661726189077</v>
      </c>
      <c r="U469">
        <v>1.3748679861252806</v>
      </c>
      <c r="V469" s="118" t="s">
        <v>515</v>
      </c>
      <c r="W469" t="s">
        <v>515</v>
      </c>
      <c r="X469" t="s">
        <v>515</v>
      </c>
      <c r="Y469">
        <f t="shared" si="64"/>
        <v>8</v>
      </c>
      <c r="Z469">
        <f t="shared" si="65"/>
        <v>5</v>
      </c>
      <c r="AA469">
        <f t="shared" si="66"/>
        <v>2024</v>
      </c>
      <c r="AB469" s="118" t="b">
        <v>0</v>
      </c>
      <c r="AC469" s="19">
        <v>45509</v>
      </c>
      <c r="AD469" s="19" t="s">
        <v>515</v>
      </c>
      <c r="AE469" t="s">
        <v>515</v>
      </c>
      <c r="AF469" s="19">
        <v>45509</v>
      </c>
      <c r="AG469" t="s">
        <v>515</v>
      </c>
      <c r="AH469" t="s">
        <v>515</v>
      </c>
      <c r="AI469" s="118">
        <v>741.4</v>
      </c>
      <c r="AJ469" s="118">
        <v>367</v>
      </c>
      <c r="AK469" s="118">
        <v>349.5</v>
      </c>
      <c r="AL469" s="118">
        <v>227</v>
      </c>
      <c r="AM469" s="118">
        <v>0.17</v>
      </c>
      <c r="AN469" s="118">
        <v>347.7</v>
      </c>
      <c r="AO469" s="118">
        <v>0.61099999999999999</v>
      </c>
      <c r="AP469" s="118">
        <v>0.60299999999999998</v>
      </c>
      <c r="AQ469" s="118">
        <v>0.86599999999999999</v>
      </c>
      <c r="AR469" s="118">
        <v>145.30000000000001</v>
      </c>
      <c r="AS469" s="118">
        <v>11.44</v>
      </c>
      <c r="AT469" s="118">
        <v>148.30000000000001</v>
      </c>
      <c r="AU469" s="118">
        <v>-85.596868459999996</v>
      </c>
      <c r="AV469" s="118">
        <v>40.766858499999998</v>
      </c>
      <c r="AW469" s="118">
        <v>227.9</v>
      </c>
      <c r="AX469" s="118">
        <v>158.19999999999999</v>
      </c>
      <c r="AY469" s="118">
        <v>8.7799999999999994</v>
      </c>
      <c r="AZ469" s="118">
        <v>-130.6</v>
      </c>
      <c r="BA469" s="118">
        <v>11.9</v>
      </c>
      <c r="BB469" s="118">
        <v>0</v>
      </c>
      <c r="BC469" s="118">
        <v>27.62</v>
      </c>
      <c r="BD469" s="118">
        <v>3.9</v>
      </c>
      <c r="BE469" s="118">
        <v>0</v>
      </c>
      <c r="BF469" t="s">
        <v>515</v>
      </c>
      <c r="BG469" t="s">
        <v>515</v>
      </c>
      <c r="BH469" s="118">
        <v>287.44600000000003</v>
      </c>
      <c r="BI469" s="118">
        <v>268.262</v>
      </c>
      <c r="BJ469" s="118">
        <v>319.61900000000003</v>
      </c>
      <c r="BK469" s="118">
        <v>341.06700000000001</v>
      </c>
      <c r="BL469" s="118">
        <v>280.32299999999998</v>
      </c>
      <c r="BM469" s="118">
        <v>272.43799999999999</v>
      </c>
      <c r="BN469" s="118">
        <v>336.99900000000002</v>
      </c>
      <c r="BO469" s="118">
        <v>594.77499999999998</v>
      </c>
    </row>
    <row r="470" spans="1:67" x14ac:dyDescent="0.25">
      <c r="A470" s="25">
        <v>10469</v>
      </c>
      <c r="B470" t="s">
        <v>625</v>
      </c>
      <c r="C470" t="s">
        <v>625</v>
      </c>
      <c r="D470" s="27" t="s">
        <v>499</v>
      </c>
      <c r="E470" s="46">
        <v>9</v>
      </c>
      <c r="F470" s="118">
        <v>10331</v>
      </c>
      <c r="G470" t="s">
        <v>22</v>
      </c>
      <c r="H470" t="s">
        <v>8</v>
      </c>
      <c r="I470">
        <v>-0.50560000000000005</v>
      </c>
      <c r="J470">
        <v>1.7969999999999999</v>
      </c>
      <c r="K470">
        <v>3.0000000000000001E-3</v>
      </c>
      <c r="L470" s="109">
        <v>1.5131578947368421E-2</v>
      </c>
      <c r="M470" s="140">
        <f t="shared" si="67"/>
        <v>0.05</v>
      </c>
      <c r="N470" s="140">
        <f t="shared" si="67"/>
        <v>1.7969999999999999</v>
      </c>
      <c r="O470" s="140">
        <f t="shared" si="67"/>
        <v>0.05</v>
      </c>
      <c r="P470" s="140">
        <f t="shared" si="63"/>
        <v>0.05</v>
      </c>
      <c r="Q470" s="166">
        <v>5.6293224409747253E-2</v>
      </c>
      <c r="R470" s="125">
        <v>65.913333333333341</v>
      </c>
      <c r="S470">
        <v>18.533333333333335</v>
      </c>
      <c r="T470">
        <v>3.7401112028491417</v>
      </c>
      <c r="U470">
        <v>1.3224297082228116</v>
      </c>
      <c r="V470" s="118" t="s">
        <v>515</v>
      </c>
      <c r="W470" t="s">
        <v>515</v>
      </c>
      <c r="X470" t="s">
        <v>515</v>
      </c>
      <c r="Y470">
        <f t="shared" si="64"/>
        <v>8</v>
      </c>
      <c r="Z470">
        <f t="shared" si="65"/>
        <v>5</v>
      </c>
      <c r="AA470">
        <f t="shared" si="66"/>
        <v>2024</v>
      </c>
      <c r="AB470" s="118" t="b">
        <v>0</v>
      </c>
      <c r="AC470" s="19">
        <v>45509</v>
      </c>
      <c r="AD470" s="19" t="s">
        <v>515</v>
      </c>
      <c r="AE470" t="s">
        <v>515</v>
      </c>
      <c r="AF470" s="19">
        <v>45509</v>
      </c>
      <c r="AG470" t="s">
        <v>515</v>
      </c>
      <c r="AH470" t="s">
        <v>515</v>
      </c>
      <c r="AI470" s="118">
        <v>741.4</v>
      </c>
      <c r="AJ470" s="118">
        <v>371.9</v>
      </c>
      <c r="AK470" s="118">
        <v>354</v>
      </c>
      <c r="AL470" s="118">
        <v>230</v>
      </c>
      <c r="AM470" s="118">
        <v>0.17</v>
      </c>
      <c r="AN470" s="118">
        <v>352</v>
      </c>
      <c r="AO470" s="118">
        <v>0.65600000000000003</v>
      </c>
      <c r="AP470" s="118">
        <v>0.67600000000000005</v>
      </c>
      <c r="AQ470" s="118">
        <v>0.92900000000000005</v>
      </c>
      <c r="AR470" s="118">
        <v>135.80000000000001</v>
      </c>
      <c r="AS470" s="118">
        <v>10.69</v>
      </c>
      <c r="AT470" s="118">
        <v>138.6</v>
      </c>
      <c r="AU470" s="118">
        <v>-85.594853409999999</v>
      </c>
      <c r="AV470" s="118">
        <v>40.757165809999996</v>
      </c>
      <c r="AW470" s="118">
        <v>227.7</v>
      </c>
      <c r="AX470" s="118">
        <v>159.30000000000001</v>
      </c>
      <c r="AY470" s="118">
        <v>8.64</v>
      </c>
      <c r="AZ470" s="118">
        <v>-122.3</v>
      </c>
      <c r="BA470" s="118">
        <v>11.9</v>
      </c>
      <c r="BB470" s="118">
        <v>0</v>
      </c>
      <c r="BC470" s="118">
        <v>27.661999999999999</v>
      </c>
      <c r="BD470" s="118">
        <v>6.26</v>
      </c>
      <c r="BE470" s="118">
        <v>0</v>
      </c>
      <c r="BF470" t="s">
        <v>515</v>
      </c>
      <c r="BG470" t="s">
        <v>515</v>
      </c>
      <c r="BH470" s="118">
        <v>263.79599999999999</v>
      </c>
      <c r="BI470" s="118">
        <v>265.11399999999998</v>
      </c>
      <c r="BJ470" s="118">
        <v>341.40100000000001</v>
      </c>
      <c r="BK470" s="118">
        <v>360.44799999999998</v>
      </c>
      <c r="BL470" s="118">
        <v>288.04899999999998</v>
      </c>
      <c r="BM470" s="118">
        <v>264.97300000000001</v>
      </c>
      <c r="BN470" s="118">
        <v>361.65800000000002</v>
      </c>
      <c r="BO470" s="118">
        <v>621.76900000000001</v>
      </c>
    </row>
    <row r="471" spans="1:67" x14ac:dyDescent="0.25">
      <c r="A471" s="25">
        <v>10470</v>
      </c>
      <c r="B471" t="s">
        <v>626</v>
      </c>
      <c r="C471" t="s">
        <v>626</v>
      </c>
      <c r="D471" s="27" t="s">
        <v>500</v>
      </c>
      <c r="E471" s="46">
        <v>10</v>
      </c>
      <c r="F471" s="118">
        <v>11270</v>
      </c>
      <c r="G471" t="s">
        <v>22</v>
      </c>
      <c r="H471" t="s">
        <v>8</v>
      </c>
      <c r="I471">
        <v>-0.49280000000000002</v>
      </c>
      <c r="J471">
        <v>1.7</v>
      </c>
      <c r="K471">
        <v>1E-3</v>
      </c>
      <c r="L471" s="109">
        <v>8.552631578947369E-3</v>
      </c>
      <c r="M471" s="140">
        <f t="shared" si="67"/>
        <v>0.05</v>
      </c>
      <c r="N471" s="140">
        <f t="shared" si="67"/>
        <v>1.7</v>
      </c>
      <c r="O471" s="140">
        <f t="shared" si="67"/>
        <v>0.05</v>
      </c>
      <c r="P471" s="140">
        <f t="shared" si="63"/>
        <v>0.05</v>
      </c>
      <c r="Q471" s="166">
        <v>0.27599359118572286</v>
      </c>
      <c r="R471" s="125">
        <v>69.023333333333326</v>
      </c>
      <c r="S471">
        <v>15.673333333333334</v>
      </c>
      <c r="T471">
        <v>3.6065239046413327</v>
      </c>
      <c r="U471">
        <v>1.2922317894307285</v>
      </c>
      <c r="V471" s="118" t="s">
        <v>515</v>
      </c>
      <c r="W471" t="s">
        <v>515</v>
      </c>
      <c r="X471" t="s">
        <v>515</v>
      </c>
      <c r="Y471">
        <f t="shared" si="64"/>
        <v>8</v>
      </c>
      <c r="Z471">
        <f t="shared" si="65"/>
        <v>5</v>
      </c>
      <c r="AA471">
        <f t="shared" si="66"/>
        <v>2024</v>
      </c>
      <c r="AB471" s="118" t="b">
        <v>0</v>
      </c>
      <c r="AC471" s="19">
        <v>45509</v>
      </c>
      <c r="AD471" s="19" t="s">
        <v>515</v>
      </c>
      <c r="AE471" t="s">
        <v>515</v>
      </c>
      <c r="AF471" s="19">
        <v>45509</v>
      </c>
      <c r="AG471" t="s">
        <v>515</v>
      </c>
      <c r="AH471" t="s">
        <v>515</v>
      </c>
      <c r="AI471" s="118">
        <v>741.3</v>
      </c>
      <c r="AJ471" s="118">
        <v>372.9</v>
      </c>
      <c r="AK471" s="118">
        <v>352.6</v>
      </c>
      <c r="AL471" s="118">
        <v>229</v>
      </c>
      <c r="AM471" s="118">
        <v>0.17</v>
      </c>
      <c r="AN471" s="118">
        <v>350.4</v>
      </c>
      <c r="AO471" s="118">
        <v>0.622</v>
      </c>
      <c r="AP471" s="118">
        <v>0.63800000000000001</v>
      </c>
      <c r="AQ471" s="118">
        <v>0.88100000000000001</v>
      </c>
      <c r="AR471" s="118">
        <v>147.19999999999999</v>
      </c>
      <c r="AS471" s="118">
        <v>11.51</v>
      </c>
      <c r="AT471" s="118">
        <v>150.30000000000001</v>
      </c>
      <c r="AU471" s="118">
        <v>-85.582874129999993</v>
      </c>
      <c r="AV471" s="118">
        <v>40.755891669999997</v>
      </c>
      <c r="AW471" s="118">
        <v>228.4</v>
      </c>
      <c r="AX471" s="118">
        <v>164.2</v>
      </c>
      <c r="AY471" s="118">
        <v>8.76</v>
      </c>
      <c r="AZ471" s="118">
        <v>-129.30000000000001</v>
      </c>
      <c r="BA471" s="118">
        <v>11.9</v>
      </c>
      <c r="BB471" s="118">
        <v>0</v>
      </c>
      <c r="BC471" s="118">
        <v>28.010999999999999</v>
      </c>
      <c r="BD471" s="118">
        <v>5.14</v>
      </c>
      <c r="BE471" s="118">
        <v>0</v>
      </c>
      <c r="BF471" t="s">
        <v>515</v>
      </c>
      <c r="BG471" t="s">
        <v>515</v>
      </c>
      <c r="BH471" s="118">
        <v>271.00799999999998</v>
      </c>
      <c r="BI471" s="118">
        <v>297.221</v>
      </c>
      <c r="BJ471" s="118">
        <v>359.85700000000003</v>
      </c>
      <c r="BK471" s="118">
        <v>365.64600000000002</v>
      </c>
      <c r="BL471" s="118">
        <v>298.048</v>
      </c>
      <c r="BM471" s="118">
        <v>308.56099999999998</v>
      </c>
      <c r="BN471" s="118">
        <v>370.815</v>
      </c>
      <c r="BO471" s="118">
        <v>672.375</v>
      </c>
    </row>
    <row r="472" spans="1:67" x14ac:dyDescent="0.25">
      <c r="A472" s="25">
        <v>10471</v>
      </c>
      <c r="B472" t="s">
        <v>627</v>
      </c>
      <c r="C472" t="s">
        <v>627</v>
      </c>
      <c r="D472" s="27" t="s">
        <v>501</v>
      </c>
      <c r="E472" s="46">
        <v>13</v>
      </c>
      <c r="F472" s="118">
        <v>5180</v>
      </c>
      <c r="G472" t="s">
        <v>22</v>
      </c>
      <c r="H472" t="s">
        <v>8</v>
      </c>
      <c r="I472">
        <v>-0.51319999999999999</v>
      </c>
      <c r="J472">
        <v>1.92</v>
      </c>
      <c r="K472">
        <v>1E-3</v>
      </c>
      <c r="L472" s="109">
        <v>3.6184210526315794E-3</v>
      </c>
      <c r="M472" s="140">
        <f t="shared" si="67"/>
        <v>0.05</v>
      </c>
      <c r="N472" s="140">
        <f t="shared" si="67"/>
        <v>1.92</v>
      </c>
      <c r="O472" s="140">
        <f t="shared" si="67"/>
        <v>0.05</v>
      </c>
      <c r="P472" s="140">
        <f t="shared" si="63"/>
        <v>0.05</v>
      </c>
      <c r="Q472" s="166">
        <v>0.17822941768395634</v>
      </c>
      <c r="R472" s="125">
        <v>28.903333333333336</v>
      </c>
      <c r="S472">
        <v>18.153333333333332</v>
      </c>
      <c r="T472">
        <v>3.7281559193519449</v>
      </c>
      <c r="U472">
        <v>1.3918033054478678</v>
      </c>
      <c r="V472" s="118" t="s">
        <v>515</v>
      </c>
      <c r="W472" t="s">
        <v>515</v>
      </c>
      <c r="X472" t="s">
        <v>515</v>
      </c>
      <c r="Y472">
        <f t="shared" si="64"/>
        <v>8</v>
      </c>
      <c r="Z472">
        <f t="shared" si="65"/>
        <v>5</v>
      </c>
      <c r="AA472">
        <f t="shared" si="66"/>
        <v>2024</v>
      </c>
      <c r="AB472" s="118" t="b">
        <v>0</v>
      </c>
      <c r="AC472" s="19">
        <v>45509</v>
      </c>
      <c r="AD472" s="19" t="s">
        <v>515</v>
      </c>
      <c r="AE472" t="s">
        <v>515</v>
      </c>
      <c r="AF472" s="19">
        <v>45509</v>
      </c>
      <c r="AG472" t="s">
        <v>515</v>
      </c>
      <c r="AH472" t="s">
        <v>515</v>
      </c>
      <c r="AI472" s="118">
        <v>742</v>
      </c>
      <c r="AJ472" s="118">
        <v>371.6</v>
      </c>
      <c r="AK472" s="118">
        <v>354</v>
      </c>
      <c r="AL472" s="118">
        <v>230</v>
      </c>
      <c r="AM472" s="118">
        <v>0.17</v>
      </c>
      <c r="AN472" s="118">
        <v>352.1</v>
      </c>
      <c r="AO472" s="118">
        <v>0.56000000000000005</v>
      </c>
      <c r="AP472" s="118">
        <v>0.57499999999999996</v>
      </c>
      <c r="AQ472" s="118">
        <v>0.79400000000000004</v>
      </c>
      <c r="AR472" s="118">
        <v>128</v>
      </c>
      <c r="AS472" s="118">
        <v>10.08</v>
      </c>
      <c r="AT472" s="118">
        <v>130.6</v>
      </c>
      <c r="AU472" s="118">
        <v>-85.637500149999994</v>
      </c>
      <c r="AV472" s="118">
        <v>40.781062970000001</v>
      </c>
      <c r="AW472" s="118">
        <v>230.6</v>
      </c>
      <c r="AX472" s="118">
        <v>175.2</v>
      </c>
      <c r="AY472" s="118">
        <v>8.65</v>
      </c>
      <c r="AZ472" s="118">
        <v>-122.8</v>
      </c>
      <c r="BA472" s="118">
        <v>11.9</v>
      </c>
      <c r="BB472" s="118">
        <v>0</v>
      </c>
      <c r="BC472" s="118">
        <v>27.6</v>
      </c>
      <c r="BD472" s="118">
        <v>3.95</v>
      </c>
      <c r="BE472" s="118">
        <v>0</v>
      </c>
      <c r="BF472" t="s">
        <v>515</v>
      </c>
      <c r="BG472" t="s">
        <v>515</v>
      </c>
      <c r="BH472" s="118">
        <v>334.548</v>
      </c>
      <c r="BI472" s="118">
        <v>333.49099999999999</v>
      </c>
      <c r="BJ472" s="118">
        <v>403.173</v>
      </c>
      <c r="BK472" s="118">
        <v>419.37900000000002</v>
      </c>
      <c r="BL472" s="118">
        <v>348.71899999999999</v>
      </c>
      <c r="BM472" s="118">
        <v>344.62599999999998</v>
      </c>
      <c r="BN472" s="118">
        <v>394.61200000000002</v>
      </c>
      <c r="BO472" s="118">
        <v>585.61300000000006</v>
      </c>
    </row>
    <row r="473" spans="1:67" x14ac:dyDescent="0.25">
      <c r="A473" s="25">
        <v>10472</v>
      </c>
      <c r="B473" t="s">
        <v>628</v>
      </c>
      <c r="C473" t="s">
        <v>628</v>
      </c>
      <c r="D473" s="27" t="s">
        <v>502</v>
      </c>
      <c r="E473" s="46">
        <v>14</v>
      </c>
      <c r="F473" s="118">
        <v>1040</v>
      </c>
      <c r="G473" t="s">
        <v>22</v>
      </c>
      <c r="H473" t="s">
        <v>8</v>
      </c>
      <c r="I473">
        <v>-0.51659999999999995</v>
      </c>
      <c r="J473">
        <v>1.917</v>
      </c>
      <c r="K473">
        <v>4.0000000000000001E-3</v>
      </c>
      <c r="L473" s="109">
        <v>-8.1913499344692005E-3</v>
      </c>
      <c r="M473" s="140">
        <f t="shared" si="67"/>
        <v>0.05</v>
      </c>
      <c r="N473" s="140">
        <f t="shared" si="67"/>
        <v>1.917</v>
      </c>
      <c r="O473" s="140">
        <f t="shared" si="67"/>
        <v>0.05</v>
      </c>
      <c r="P473" s="140">
        <f t="shared" si="63"/>
        <v>0.05</v>
      </c>
      <c r="Q473" s="166">
        <v>0.22917145333723327</v>
      </c>
      <c r="R473" s="125">
        <v>22.623333333333335</v>
      </c>
      <c r="S473">
        <v>20.239999999999998</v>
      </c>
      <c r="T473">
        <v>3.3313791192275821</v>
      </c>
      <c r="U473">
        <v>1.3136559885737606</v>
      </c>
      <c r="V473" s="118" t="s">
        <v>515</v>
      </c>
      <c r="W473" t="s">
        <v>515</v>
      </c>
      <c r="X473" t="s">
        <v>515</v>
      </c>
      <c r="Y473">
        <f t="shared" si="64"/>
        <v>8</v>
      </c>
      <c r="Z473">
        <f t="shared" si="65"/>
        <v>5</v>
      </c>
      <c r="AA473">
        <f t="shared" si="66"/>
        <v>2024</v>
      </c>
      <c r="AB473" s="118" t="b">
        <v>0</v>
      </c>
      <c r="AC473" s="19">
        <v>45509</v>
      </c>
      <c r="AD473" s="19" t="s">
        <v>515</v>
      </c>
      <c r="AE473" t="s">
        <v>515</v>
      </c>
      <c r="AF473" s="19">
        <v>45509</v>
      </c>
      <c r="AG473" t="s">
        <v>515</v>
      </c>
      <c r="AH473" t="s">
        <v>515</v>
      </c>
      <c r="AI473" s="118">
        <v>740.5</v>
      </c>
      <c r="AJ473" s="118">
        <v>375.2</v>
      </c>
      <c r="AK473" s="118">
        <v>357</v>
      </c>
      <c r="AL473" s="118">
        <v>232</v>
      </c>
      <c r="AM473" s="118">
        <v>0.17</v>
      </c>
      <c r="AN473" s="118">
        <v>355</v>
      </c>
      <c r="AO473" s="118">
        <v>0.621</v>
      </c>
      <c r="AP473" s="118">
        <v>0.64800000000000002</v>
      </c>
      <c r="AQ473" s="118">
        <v>0.88100000000000001</v>
      </c>
      <c r="AR473" s="118">
        <v>132.80000000000001</v>
      </c>
      <c r="AS473" s="118">
        <v>10.45</v>
      </c>
      <c r="AT473" s="118">
        <v>135.6</v>
      </c>
      <c r="AU473" s="118">
        <v>-85.667890909999997</v>
      </c>
      <c r="AV473" s="118">
        <v>40.8002343</v>
      </c>
      <c r="AW473" s="118">
        <v>229.9</v>
      </c>
      <c r="AX473" s="118">
        <v>150.80000000000001</v>
      </c>
      <c r="AY473" s="118">
        <v>8.68</v>
      </c>
      <c r="AZ473" s="118">
        <v>-124.5</v>
      </c>
      <c r="BA473" s="118">
        <v>11.9</v>
      </c>
      <c r="BB473" s="118">
        <v>0</v>
      </c>
      <c r="BC473" s="118">
        <v>27.670999999999999</v>
      </c>
      <c r="BD473" s="118">
        <v>4.42</v>
      </c>
      <c r="BE473" s="118">
        <v>0</v>
      </c>
      <c r="BF473" t="s">
        <v>515</v>
      </c>
      <c r="BG473" t="s">
        <v>515</v>
      </c>
      <c r="BH473" s="118">
        <v>319.13099999999997</v>
      </c>
      <c r="BI473" s="118">
        <v>323.41500000000002</v>
      </c>
      <c r="BJ473" s="118">
        <v>397.29700000000003</v>
      </c>
      <c r="BK473" s="118">
        <v>408.505</v>
      </c>
      <c r="BL473" s="118">
        <v>335.8</v>
      </c>
      <c r="BM473" s="118">
        <v>334.17500000000001</v>
      </c>
      <c r="BN473" s="118">
        <v>381.08100000000002</v>
      </c>
      <c r="BO473" s="118">
        <v>585.32500000000005</v>
      </c>
    </row>
    <row r="474" spans="1:67" x14ac:dyDescent="0.25">
      <c r="A474" s="25">
        <v>10473</v>
      </c>
      <c r="B474" t="s">
        <v>632</v>
      </c>
      <c r="C474" t="s">
        <v>632</v>
      </c>
      <c r="D474" s="27" t="s">
        <v>503</v>
      </c>
      <c r="E474" s="46">
        <v>1</v>
      </c>
      <c r="F474" s="118">
        <v>6865</v>
      </c>
      <c r="G474" t="s">
        <v>20</v>
      </c>
      <c r="H474" t="s">
        <v>8</v>
      </c>
      <c r="I474">
        <v>8.3000000000000001E-3</v>
      </c>
      <c r="J474">
        <v>3.3000000000000002E-2</v>
      </c>
      <c r="K474">
        <v>0.26200000000000001</v>
      </c>
      <c r="L474" s="63">
        <v>2.6950354609929082E-2</v>
      </c>
      <c r="M474" s="140">
        <f t="shared" si="67"/>
        <v>0.05</v>
      </c>
      <c r="N474" s="140">
        <f t="shared" si="67"/>
        <v>0.05</v>
      </c>
      <c r="O474" s="140">
        <f t="shared" si="67"/>
        <v>0.26200000000000001</v>
      </c>
      <c r="P474" s="140">
        <f t="shared" si="63"/>
        <v>0.05</v>
      </c>
      <c r="Q474" s="161">
        <v>0.17222774566793209</v>
      </c>
      <c r="R474" s="125">
        <v>86.5833333333333</v>
      </c>
      <c r="S474">
        <v>10.456666666666667</v>
      </c>
      <c r="T474" s="27">
        <v>3.3955788366637005</v>
      </c>
      <c r="U474" s="27">
        <v>0.46267851734952625</v>
      </c>
      <c r="V474" s="27" t="s">
        <v>515</v>
      </c>
      <c r="W474" t="s">
        <v>515</v>
      </c>
      <c r="X474" t="s">
        <v>515</v>
      </c>
      <c r="Y474">
        <f t="shared" ref="Y474:Y484" si="68">MONTH(AC474)</f>
        <v>8</v>
      </c>
      <c r="Z474">
        <f t="shared" ref="Z474:Z484" si="69">DAY(AC474)</f>
        <v>14</v>
      </c>
      <c r="AA474">
        <f t="shared" ref="AA474:AA484" si="70">YEAR(AC474)</f>
        <v>2024</v>
      </c>
      <c r="AB474" s="118" t="b">
        <v>0</v>
      </c>
      <c r="AC474" s="19">
        <v>45518</v>
      </c>
      <c r="AD474" s="19" t="s">
        <v>515</v>
      </c>
      <c r="AE474" t="s">
        <v>515</v>
      </c>
      <c r="AF474" s="19">
        <v>45518</v>
      </c>
      <c r="AG474" t="s">
        <v>515</v>
      </c>
      <c r="AH474" t="s">
        <v>515</v>
      </c>
      <c r="AI474" s="118">
        <v>747.8</v>
      </c>
      <c r="AJ474" s="118">
        <v>555.79999999999995</v>
      </c>
      <c r="AK474" s="118">
        <v>551.20000000000005</v>
      </c>
      <c r="AL474" s="118">
        <v>358</v>
      </c>
      <c r="AM474" s="118">
        <v>0.27</v>
      </c>
      <c r="AN474" s="118">
        <v>550.70000000000005</v>
      </c>
      <c r="AO474" s="118">
        <v>0.45200000000000001</v>
      </c>
      <c r="AP474" s="118">
        <v>0.45800000000000002</v>
      </c>
      <c r="AQ474" s="118">
        <v>0.64</v>
      </c>
      <c r="AR474" s="118">
        <v>182.2</v>
      </c>
      <c r="AS474" s="118">
        <v>14.91</v>
      </c>
      <c r="AT474" s="118">
        <v>185.3</v>
      </c>
      <c r="AU474" s="118">
        <v>-86.807147639999997</v>
      </c>
      <c r="AV474" s="118">
        <v>40.835024840000003</v>
      </c>
      <c r="AW474" s="118">
        <v>196.9</v>
      </c>
      <c r="AX474" s="118">
        <v>187</v>
      </c>
      <c r="AY474" s="118">
        <v>8.1</v>
      </c>
      <c r="AZ474" s="118">
        <v>-94.3</v>
      </c>
      <c r="BA474" s="118">
        <v>11.9</v>
      </c>
      <c r="BB474" s="118">
        <v>0</v>
      </c>
      <c r="BC474" s="118">
        <v>25.439</v>
      </c>
      <c r="BD474" s="118">
        <v>6.96</v>
      </c>
      <c r="BE474" s="118">
        <v>0</v>
      </c>
      <c r="BF474" t="s">
        <v>515</v>
      </c>
      <c r="BG474" t="s">
        <v>515</v>
      </c>
      <c r="BH474" s="190">
        <v>142.05199999999999</v>
      </c>
      <c r="BI474" s="190">
        <v>183.9</v>
      </c>
      <c r="BJ474" s="190">
        <v>260.68599999999998</v>
      </c>
      <c r="BK474" s="190">
        <v>293.47199999999998</v>
      </c>
      <c r="BL474" s="190">
        <v>261.02800000000002</v>
      </c>
      <c r="BM474" s="190">
        <v>204.702</v>
      </c>
      <c r="BN474" s="190">
        <v>284.77999999999997</v>
      </c>
      <c r="BO474" s="190">
        <v>497.99200000000002</v>
      </c>
    </row>
    <row r="475" spans="1:67" x14ac:dyDescent="0.25">
      <c r="A475" s="25">
        <v>10474</v>
      </c>
      <c r="B475" t="s">
        <v>633</v>
      </c>
      <c r="C475" t="s">
        <v>633</v>
      </c>
      <c r="D475" s="27" t="s">
        <v>504</v>
      </c>
      <c r="E475" s="46">
        <v>5</v>
      </c>
      <c r="F475" s="118">
        <v>6425</v>
      </c>
      <c r="G475" t="s">
        <v>20</v>
      </c>
      <c r="H475" t="s">
        <v>8</v>
      </c>
      <c r="I475">
        <v>1.6799999999999999E-2</v>
      </c>
      <c r="J475">
        <v>0.24199999999999999</v>
      </c>
      <c r="K475">
        <v>0.28199999999999997</v>
      </c>
      <c r="L475" s="63">
        <v>8.037825059101656E-3</v>
      </c>
      <c r="M475" s="140">
        <f t="shared" si="67"/>
        <v>0.05</v>
      </c>
      <c r="N475" s="140">
        <f t="shared" si="67"/>
        <v>0.24199999999999999</v>
      </c>
      <c r="O475" s="140">
        <f t="shared" si="67"/>
        <v>0.28199999999999997</v>
      </c>
      <c r="P475" s="140">
        <f t="shared" si="63"/>
        <v>0.05</v>
      </c>
      <c r="Q475" s="161">
        <v>0.19689401323955968</v>
      </c>
      <c r="R475" s="125">
        <v>61.546666666666674</v>
      </c>
      <c r="S475">
        <v>12.199999999999998</v>
      </c>
      <c r="T475" s="27">
        <v>3.2110266159695815</v>
      </c>
      <c r="U475" s="27">
        <v>0.53816721434479775</v>
      </c>
      <c r="V475" s="27" t="s">
        <v>515</v>
      </c>
      <c r="W475" t="s">
        <v>515</v>
      </c>
      <c r="X475" t="s">
        <v>515</v>
      </c>
      <c r="Y475">
        <f t="shared" si="68"/>
        <v>8</v>
      </c>
      <c r="Z475">
        <f t="shared" si="69"/>
        <v>14</v>
      </c>
      <c r="AA475">
        <f t="shared" si="70"/>
        <v>2024</v>
      </c>
      <c r="AB475" s="118" t="b">
        <v>0</v>
      </c>
      <c r="AC475" s="19">
        <v>45518</v>
      </c>
      <c r="AD475" s="19" t="s">
        <v>515</v>
      </c>
      <c r="AE475" t="s">
        <v>515</v>
      </c>
      <c r="AF475" s="19">
        <v>45518</v>
      </c>
      <c r="AG475" t="s">
        <v>515</v>
      </c>
      <c r="AH475" t="s">
        <v>515</v>
      </c>
      <c r="AI475" s="118">
        <v>747.9</v>
      </c>
      <c r="AJ475" s="118">
        <v>535.79999999999995</v>
      </c>
      <c r="AK475" s="118">
        <v>534.70000000000005</v>
      </c>
      <c r="AL475" s="118">
        <v>348</v>
      </c>
      <c r="AM475" s="118">
        <v>0.26</v>
      </c>
      <c r="AN475" s="118">
        <v>534.5</v>
      </c>
      <c r="AO475" s="118">
        <v>0.38</v>
      </c>
      <c r="AP475" s="118">
        <v>0.36699999999999999</v>
      </c>
      <c r="AQ475" s="118">
        <v>0.53900000000000003</v>
      </c>
      <c r="AR475" s="118">
        <v>220.4</v>
      </c>
      <c r="AS475" s="118">
        <v>18.149999999999999</v>
      </c>
      <c r="AT475" s="118">
        <v>224.1</v>
      </c>
      <c r="AU475" s="118">
        <v>-86.795836289999997</v>
      </c>
      <c r="AV475" s="118">
        <v>40.823874850000003</v>
      </c>
      <c r="AW475" s="118">
        <v>198.3</v>
      </c>
      <c r="AX475" s="118">
        <v>214.4</v>
      </c>
      <c r="AY475" s="118">
        <v>8.2100000000000009</v>
      </c>
      <c r="AZ475" s="118">
        <v>-100.9</v>
      </c>
      <c r="BA475" s="118">
        <v>11.9</v>
      </c>
      <c r="BB475" s="118">
        <v>0</v>
      </c>
      <c r="BC475" s="118">
        <v>25.114000000000001</v>
      </c>
      <c r="BD475" s="118">
        <v>4.6100000000000003</v>
      </c>
      <c r="BE475" s="118">
        <v>0</v>
      </c>
      <c r="BF475" t="s">
        <v>515</v>
      </c>
      <c r="BG475" t="s">
        <v>515</v>
      </c>
      <c r="BH475" s="190">
        <v>211.44</v>
      </c>
      <c r="BI475" s="190">
        <v>292.61399999999998</v>
      </c>
      <c r="BJ475" s="190">
        <v>373.71499999999997</v>
      </c>
      <c r="BK475" s="190">
        <v>386.95100000000002</v>
      </c>
      <c r="BL475" s="190">
        <v>362.12200000000001</v>
      </c>
      <c r="BM475" s="190">
        <v>323.40300000000002</v>
      </c>
      <c r="BN475" s="190">
        <v>376.78199999999998</v>
      </c>
      <c r="BO475" s="190">
        <v>553.97799999999995</v>
      </c>
    </row>
    <row r="476" spans="1:67" x14ac:dyDescent="0.25">
      <c r="A476" s="25">
        <v>10475</v>
      </c>
      <c r="B476" t="s">
        <v>634</v>
      </c>
      <c r="C476" t="s">
        <v>634</v>
      </c>
      <c r="D476" s="27" t="s">
        <v>483</v>
      </c>
      <c r="E476" s="46">
        <v>6</v>
      </c>
      <c r="F476" s="118">
        <v>8245</v>
      </c>
      <c r="G476" t="s">
        <v>20</v>
      </c>
      <c r="H476" t="s">
        <v>8</v>
      </c>
      <c r="I476">
        <v>1.6E-2</v>
      </c>
      <c r="J476">
        <v>1.43</v>
      </c>
      <c r="K476">
        <v>0.30199999999999999</v>
      </c>
      <c r="L476" s="63">
        <v>6.4617809298660369E-3</v>
      </c>
      <c r="M476" s="140">
        <f t="shared" si="67"/>
        <v>0.05</v>
      </c>
      <c r="N476" s="140">
        <f t="shared" si="67"/>
        <v>1.43</v>
      </c>
      <c r="O476" s="140">
        <f t="shared" si="67"/>
        <v>0.30199999999999999</v>
      </c>
      <c r="P476" s="140">
        <f t="shared" si="63"/>
        <v>0.05</v>
      </c>
      <c r="Q476" s="161">
        <v>0.12339582928472528</v>
      </c>
      <c r="R476" s="125">
        <v>1.47</v>
      </c>
      <c r="S476">
        <v>0.66333333333333333</v>
      </c>
      <c r="T476" s="27">
        <v>2.5759647277728339</v>
      </c>
      <c r="U476" s="27">
        <v>0.77230122964448589</v>
      </c>
      <c r="V476" s="27" t="s">
        <v>515</v>
      </c>
      <c r="W476" t="s">
        <v>515</v>
      </c>
      <c r="X476" t="s">
        <v>515</v>
      </c>
      <c r="Y476">
        <f t="shared" si="68"/>
        <v>8</v>
      </c>
      <c r="Z476">
        <f t="shared" si="69"/>
        <v>14</v>
      </c>
      <c r="AA476">
        <f t="shared" si="70"/>
        <v>2024</v>
      </c>
      <c r="AB476" s="118" t="b">
        <v>0</v>
      </c>
      <c r="AC476" s="19">
        <v>45518</v>
      </c>
      <c r="AD476" s="19" t="s">
        <v>515</v>
      </c>
      <c r="AE476" t="s">
        <v>515</v>
      </c>
      <c r="AF476" s="19">
        <v>45518</v>
      </c>
      <c r="AG476" t="s">
        <v>515</v>
      </c>
      <c r="AH476" t="s">
        <v>515</v>
      </c>
      <c r="AI476" s="118">
        <v>747.7</v>
      </c>
      <c r="AJ476" s="118">
        <v>626</v>
      </c>
      <c r="AK476" s="118">
        <v>646.4</v>
      </c>
      <c r="AL476" s="118">
        <v>420</v>
      </c>
      <c r="AM476" s="118">
        <v>0.31</v>
      </c>
      <c r="AN476" s="118">
        <v>648.5</v>
      </c>
      <c r="AO476" s="118">
        <v>0.45600000000000002</v>
      </c>
      <c r="AP476" s="118">
        <v>0.45</v>
      </c>
      <c r="AQ476" s="118">
        <v>0.64800000000000002</v>
      </c>
      <c r="AR476" s="118">
        <v>103.4</v>
      </c>
      <c r="AS476" s="118">
        <v>8.7899999999999991</v>
      </c>
      <c r="AT476" s="118">
        <v>105.2</v>
      </c>
      <c r="AU476" s="118">
        <v>-86.781764559999999</v>
      </c>
      <c r="AV476" s="118">
        <v>40.834882550000003</v>
      </c>
      <c r="AW476" s="118">
        <v>196.4</v>
      </c>
      <c r="AX476" s="118">
        <v>181.9</v>
      </c>
      <c r="AY476" s="118">
        <v>7.98</v>
      </c>
      <c r="AZ476" s="118">
        <v>-87.1</v>
      </c>
      <c r="BA476" s="118">
        <v>11.9</v>
      </c>
      <c r="BB476" s="118">
        <v>0</v>
      </c>
      <c r="BC476" s="118">
        <v>23.346</v>
      </c>
      <c r="BD476" s="118">
        <v>2.57</v>
      </c>
      <c r="BE476" s="118">
        <v>0</v>
      </c>
      <c r="BF476" t="s">
        <v>515</v>
      </c>
      <c r="BG476" t="s">
        <v>515</v>
      </c>
      <c r="BH476" s="190"/>
      <c r="BI476" s="190"/>
      <c r="BJ476" s="190"/>
      <c r="BK476" s="190"/>
      <c r="BL476" s="190"/>
      <c r="BM476" s="190"/>
      <c r="BN476" s="190"/>
      <c r="BO476" s="190"/>
    </row>
    <row r="477" spans="1:67" x14ac:dyDescent="0.25">
      <c r="A477" s="25">
        <v>10476</v>
      </c>
      <c r="B477" t="s">
        <v>635</v>
      </c>
      <c r="C477" t="s">
        <v>635</v>
      </c>
      <c r="D477" s="27" t="s">
        <v>484</v>
      </c>
      <c r="E477" s="46">
        <v>8</v>
      </c>
      <c r="F477" s="118">
        <v>5065</v>
      </c>
      <c r="G477" t="s">
        <v>20</v>
      </c>
      <c r="H477" t="s">
        <v>8</v>
      </c>
      <c r="I477">
        <v>1.09E-2</v>
      </c>
      <c r="J477">
        <v>1.3149999999999999</v>
      </c>
      <c r="K477">
        <v>0.29399999999999998</v>
      </c>
      <c r="L477" s="63">
        <v>8.037825059101656E-3</v>
      </c>
      <c r="M477" s="140">
        <f t="shared" si="67"/>
        <v>0.05</v>
      </c>
      <c r="N477" s="140">
        <f t="shared" si="67"/>
        <v>1.3149999999999999</v>
      </c>
      <c r="O477" s="140">
        <f t="shared" si="67"/>
        <v>0.29399999999999998</v>
      </c>
      <c r="P477" s="140">
        <f t="shared" si="63"/>
        <v>0.05</v>
      </c>
      <c r="Q477" s="161">
        <v>0.1166413793181294</v>
      </c>
      <c r="R477" s="125">
        <v>20.299999999999997</v>
      </c>
      <c r="S477">
        <v>3.06</v>
      </c>
      <c r="T477" s="27">
        <v>2.6902354178464525</v>
      </c>
      <c r="U477" s="27">
        <v>0.71871320068954281</v>
      </c>
      <c r="V477" s="27" t="s">
        <v>515</v>
      </c>
      <c r="W477" t="s">
        <v>515</v>
      </c>
      <c r="X477" t="s">
        <v>515</v>
      </c>
      <c r="Y477">
        <f t="shared" si="68"/>
        <v>8</v>
      </c>
      <c r="Z477">
        <f t="shared" si="69"/>
        <v>14</v>
      </c>
      <c r="AA477">
        <f t="shared" si="70"/>
        <v>2024</v>
      </c>
      <c r="AB477" s="118" t="b">
        <v>0</v>
      </c>
      <c r="AC477" s="19">
        <v>45518</v>
      </c>
      <c r="AD477" s="19" t="s">
        <v>515</v>
      </c>
      <c r="AE477" t="s">
        <v>515</v>
      </c>
      <c r="AF477" s="19">
        <v>45518</v>
      </c>
      <c r="AG477" t="s">
        <v>515</v>
      </c>
      <c r="AH477" t="s">
        <v>515</v>
      </c>
      <c r="AI477" s="118">
        <v>747.8</v>
      </c>
      <c r="AJ477" s="118">
        <v>620.20000000000005</v>
      </c>
      <c r="AK477" s="118">
        <v>633</v>
      </c>
      <c r="AL477" s="118">
        <v>411</v>
      </c>
      <c r="AM477" s="118">
        <v>0.31</v>
      </c>
      <c r="AN477" s="118">
        <v>634.29999999999995</v>
      </c>
      <c r="AO477" s="118">
        <v>0.32500000000000001</v>
      </c>
      <c r="AP477" s="118">
        <v>0.32600000000000001</v>
      </c>
      <c r="AQ477" s="118">
        <v>0.46200000000000002</v>
      </c>
      <c r="AR477" s="118">
        <v>127</v>
      </c>
      <c r="AS477" s="118">
        <v>10.69</v>
      </c>
      <c r="AT477" s="118">
        <v>129.19999999999999</v>
      </c>
      <c r="AU477" s="118">
        <v>-86.794299730000006</v>
      </c>
      <c r="AV477" s="118">
        <v>40.81108966</v>
      </c>
      <c r="AW477" s="118">
        <v>201.4</v>
      </c>
      <c r="AX477" s="118">
        <v>216.2</v>
      </c>
      <c r="AY477" s="118">
        <v>8.08</v>
      </c>
      <c r="AZ477" s="118">
        <v>-92.9</v>
      </c>
      <c r="BA477" s="118">
        <v>12</v>
      </c>
      <c r="BB477" s="118">
        <v>0</v>
      </c>
      <c r="BC477" s="118">
        <v>23.939</v>
      </c>
      <c r="BD477" s="118">
        <v>3.54</v>
      </c>
      <c r="BE477" s="118">
        <v>0</v>
      </c>
      <c r="BF477" t="s">
        <v>515</v>
      </c>
      <c r="BG477" t="s">
        <v>515</v>
      </c>
      <c r="BH477" s="190">
        <v>132.45500000000001</v>
      </c>
      <c r="BI477" s="190">
        <v>178.499</v>
      </c>
      <c r="BJ477" s="190">
        <v>208.06100000000001</v>
      </c>
      <c r="BK477" s="190">
        <v>210.857</v>
      </c>
      <c r="BL477" s="190">
        <v>174.685</v>
      </c>
      <c r="BM477" s="190">
        <v>152.71700000000001</v>
      </c>
      <c r="BN477" s="190">
        <v>144.93199999999999</v>
      </c>
      <c r="BO477" s="190">
        <v>427.548</v>
      </c>
    </row>
    <row r="478" spans="1:67" x14ac:dyDescent="0.25">
      <c r="A478" s="25">
        <v>10477</v>
      </c>
      <c r="B478" t="s">
        <v>636</v>
      </c>
      <c r="C478" t="s">
        <v>636</v>
      </c>
      <c r="D478" s="27" t="s">
        <v>485</v>
      </c>
      <c r="E478" s="46">
        <v>9</v>
      </c>
      <c r="F478" s="118">
        <v>3385</v>
      </c>
      <c r="G478" t="s">
        <v>20</v>
      </c>
      <c r="H478" t="s">
        <v>8</v>
      </c>
      <c r="I478">
        <v>1.4800000000000001E-2</v>
      </c>
      <c r="J478">
        <v>0.88400000000000001</v>
      </c>
      <c r="K478">
        <v>0.251</v>
      </c>
      <c r="L478" s="63">
        <v>9.6138691883372752E-3</v>
      </c>
      <c r="M478" s="140">
        <f t="shared" si="67"/>
        <v>0.05</v>
      </c>
      <c r="N478" s="140">
        <f t="shared" si="67"/>
        <v>0.88400000000000001</v>
      </c>
      <c r="O478" s="140">
        <f t="shared" si="67"/>
        <v>0.251</v>
      </c>
      <c r="P478" s="140">
        <f t="shared" si="63"/>
        <v>0.05</v>
      </c>
      <c r="Q478" s="161">
        <v>0.12233010762680738</v>
      </c>
      <c r="R478" s="125">
        <v>68.373333333333335</v>
      </c>
      <c r="S478">
        <v>3.5100000000000002</v>
      </c>
      <c r="T478" s="27">
        <v>2.961754712401909</v>
      </c>
      <c r="U478" s="27">
        <v>0.83184871556617701</v>
      </c>
      <c r="V478" s="27" t="s">
        <v>515</v>
      </c>
      <c r="W478" t="s">
        <v>515</v>
      </c>
      <c r="X478" t="s">
        <v>515</v>
      </c>
      <c r="Y478">
        <f t="shared" si="68"/>
        <v>8</v>
      </c>
      <c r="Z478">
        <f t="shared" si="69"/>
        <v>14</v>
      </c>
      <c r="AA478">
        <f t="shared" si="70"/>
        <v>2024</v>
      </c>
      <c r="AB478" s="118" t="b">
        <v>0</v>
      </c>
      <c r="AC478" s="19">
        <v>45518</v>
      </c>
      <c r="AD478" s="19" t="s">
        <v>515</v>
      </c>
      <c r="AE478" t="s">
        <v>515</v>
      </c>
      <c r="AF478" s="19">
        <v>45518</v>
      </c>
      <c r="AG478" t="s">
        <v>515</v>
      </c>
      <c r="AH478" t="s">
        <v>515</v>
      </c>
      <c r="AI478" s="118">
        <v>747.7</v>
      </c>
      <c r="AJ478" s="118">
        <v>570.9</v>
      </c>
      <c r="AK478" s="118">
        <v>570.70000000000005</v>
      </c>
      <c r="AL478" s="118">
        <v>371</v>
      </c>
      <c r="AM478" s="118">
        <v>0.28000000000000003</v>
      </c>
      <c r="AN478" s="118">
        <v>570.70000000000005</v>
      </c>
      <c r="AO478" s="118">
        <v>0.45200000000000001</v>
      </c>
      <c r="AP478" s="118">
        <v>0.45500000000000002</v>
      </c>
      <c r="AQ478" s="118">
        <v>0.64200000000000002</v>
      </c>
      <c r="AR478" s="118">
        <v>215.3</v>
      </c>
      <c r="AS478" s="118">
        <v>17.760000000000002</v>
      </c>
      <c r="AT478" s="118">
        <v>218.9</v>
      </c>
      <c r="AU478" s="118">
        <v>-86.774830640000005</v>
      </c>
      <c r="AV478" s="118">
        <v>40.804242270000003</v>
      </c>
      <c r="AW478" s="118">
        <v>194.8</v>
      </c>
      <c r="AX478" s="118">
        <v>192.1</v>
      </c>
      <c r="AY478" s="118">
        <v>8.1300000000000008</v>
      </c>
      <c r="AZ478" s="118">
        <v>-96.3</v>
      </c>
      <c r="BA478" s="118">
        <v>11.9</v>
      </c>
      <c r="BB478" s="118">
        <v>0</v>
      </c>
      <c r="BC478" s="118">
        <v>25.016999999999999</v>
      </c>
      <c r="BD478" s="118">
        <v>3.95</v>
      </c>
      <c r="BE478" s="118">
        <v>0</v>
      </c>
      <c r="BF478" t="s">
        <v>515</v>
      </c>
      <c r="BG478" t="s">
        <v>515</v>
      </c>
      <c r="BH478" s="190">
        <v>170.666</v>
      </c>
      <c r="BI478" s="190">
        <v>182.49700000000001</v>
      </c>
      <c r="BJ478" s="190">
        <v>269.71499999999997</v>
      </c>
      <c r="BK478" s="190">
        <v>294.91300000000001</v>
      </c>
      <c r="BL478" s="190">
        <v>270.77999999999997</v>
      </c>
      <c r="BM478" s="190">
        <v>200.94499999999999</v>
      </c>
      <c r="BN478" s="190">
        <v>292.72399999999999</v>
      </c>
      <c r="BO478" s="190">
        <v>593.21</v>
      </c>
    </row>
    <row r="479" spans="1:67" x14ac:dyDescent="0.25">
      <c r="A479" s="25">
        <v>10478</v>
      </c>
      <c r="B479" t="s">
        <v>637</v>
      </c>
      <c r="C479" t="s">
        <v>637</v>
      </c>
      <c r="D479" s="27" t="s">
        <v>486</v>
      </c>
      <c r="E479" s="46">
        <v>10</v>
      </c>
      <c r="F479" s="118">
        <v>2205</v>
      </c>
      <c r="G479" t="s">
        <v>20</v>
      </c>
      <c r="H479" t="s">
        <v>8</v>
      </c>
      <c r="I479">
        <v>1.67E-2</v>
      </c>
      <c r="J479">
        <v>1.0169999999999999</v>
      </c>
      <c r="K479">
        <v>0.26700000000000002</v>
      </c>
      <c r="L479" s="63">
        <v>1.2765957446808512E-2</v>
      </c>
      <c r="M479" s="140">
        <f t="shared" si="67"/>
        <v>0.05</v>
      </c>
      <c r="N479" s="140">
        <f t="shared" si="67"/>
        <v>1.0169999999999999</v>
      </c>
      <c r="O479" s="140">
        <f t="shared" si="67"/>
        <v>0.26700000000000002</v>
      </c>
      <c r="P479" s="140">
        <f t="shared" si="63"/>
        <v>0.05</v>
      </c>
      <c r="Q479" s="161">
        <v>0.11774901030700957</v>
      </c>
      <c r="R479" s="125">
        <v>48.636666666666663</v>
      </c>
      <c r="S479">
        <v>7.8466666666666667</v>
      </c>
      <c r="T479" s="27">
        <v>2.051222932340965</v>
      </c>
      <c r="U479" s="27">
        <v>0.62710168388694143</v>
      </c>
      <c r="V479" s="27" t="s">
        <v>515</v>
      </c>
      <c r="W479" t="s">
        <v>515</v>
      </c>
      <c r="X479" t="s">
        <v>515</v>
      </c>
      <c r="Y479">
        <f t="shared" si="68"/>
        <v>8</v>
      </c>
      <c r="Z479">
        <f t="shared" si="69"/>
        <v>14</v>
      </c>
      <c r="AA479">
        <f t="shared" si="70"/>
        <v>2024</v>
      </c>
      <c r="AB479" s="118" t="b">
        <v>0</v>
      </c>
      <c r="AC479" s="19">
        <v>45518</v>
      </c>
      <c r="AD479" s="19" t="s">
        <v>515</v>
      </c>
      <c r="AE479" t="s">
        <v>515</v>
      </c>
      <c r="AF479" s="19">
        <v>45518</v>
      </c>
      <c r="AG479" t="s">
        <v>515</v>
      </c>
      <c r="AH479" t="s">
        <v>515</v>
      </c>
      <c r="AI479" s="118">
        <v>747.8</v>
      </c>
      <c r="AJ479" s="118">
        <v>581.70000000000005</v>
      </c>
      <c r="AK479" s="118">
        <v>582.79999999999995</v>
      </c>
      <c r="AL479" s="118">
        <v>379</v>
      </c>
      <c r="AM479" s="118">
        <v>0.28000000000000003</v>
      </c>
      <c r="AN479" s="118">
        <v>582.9</v>
      </c>
      <c r="AO479" s="118">
        <v>0.32600000000000001</v>
      </c>
      <c r="AP479" s="118">
        <v>0.316</v>
      </c>
      <c r="AQ479" s="118">
        <v>0.46200000000000002</v>
      </c>
      <c r="AR479" s="118">
        <v>201.7</v>
      </c>
      <c r="AS479" s="118">
        <v>16.670000000000002</v>
      </c>
      <c r="AT479" s="118">
        <v>205.1</v>
      </c>
      <c r="AU479" s="118">
        <v>-86.774344880000001</v>
      </c>
      <c r="AV479" s="118">
        <v>40.794689409999997</v>
      </c>
      <c r="AW479" s="118">
        <v>196.2</v>
      </c>
      <c r="AX479" s="118">
        <v>237.7</v>
      </c>
      <c r="AY479" s="118">
        <v>8.1199999999999992</v>
      </c>
      <c r="AZ479" s="118">
        <v>-95.5</v>
      </c>
      <c r="BA479" s="118">
        <v>11.9</v>
      </c>
      <c r="BB479" s="118">
        <v>0</v>
      </c>
      <c r="BC479" s="118">
        <v>24.902999999999999</v>
      </c>
      <c r="BD479" s="118">
        <v>3.31</v>
      </c>
      <c r="BE479" s="118">
        <v>0</v>
      </c>
      <c r="BF479" t="s">
        <v>515</v>
      </c>
      <c r="BG479" t="s">
        <v>515</v>
      </c>
      <c r="BH479" s="190">
        <v>166.71199999999999</v>
      </c>
      <c r="BI479" s="190">
        <v>187.905</v>
      </c>
      <c r="BJ479" s="190">
        <v>253.71299999999999</v>
      </c>
      <c r="BK479" s="190">
        <v>271.35199999999998</v>
      </c>
      <c r="BL479" s="190">
        <v>255.874</v>
      </c>
      <c r="BM479" s="190">
        <v>196.96</v>
      </c>
      <c r="BN479" s="190">
        <v>264.01100000000002</v>
      </c>
      <c r="BO479" s="190">
        <v>459.42599999999999</v>
      </c>
    </row>
    <row r="480" spans="1:67" x14ac:dyDescent="0.25">
      <c r="A480" s="25">
        <v>10479</v>
      </c>
      <c r="B480" t="s">
        <v>638</v>
      </c>
      <c r="C480" t="s">
        <v>638</v>
      </c>
      <c r="D480" s="27" t="s">
        <v>487</v>
      </c>
      <c r="E480" s="46">
        <v>11</v>
      </c>
      <c r="F480" s="118">
        <v>1385</v>
      </c>
      <c r="G480" t="s">
        <v>20</v>
      </c>
      <c r="H480" t="s">
        <v>8</v>
      </c>
      <c r="I480">
        <v>2.2100000000000002E-2</v>
      </c>
      <c r="J480">
        <v>0.79800000000000004</v>
      </c>
      <c r="K480">
        <v>0.3</v>
      </c>
      <c r="L480" s="63">
        <v>1.4342001576044129E-2</v>
      </c>
      <c r="M480" s="140">
        <f t="shared" si="67"/>
        <v>0.05</v>
      </c>
      <c r="N480" s="140">
        <f t="shared" si="67"/>
        <v>0.79800000000000004</v>
      </c>
      <c r="O480" s="140">
        <f t="shared" si="67"/>
        <v>0.3</v>
      </c>
      <c r="P480" s="140">
        <f t="shared" si="63"/>
        <v>0.05</v>
      </c>
      <c r="Q480" s="161">
        <v>9.9389825610324806E-2</v>
      </c>
      <c r="R480" s="125">
        <v>43</v>
      </c>
      <c r="S480">
        <v>7.83</v>
      </c>
      <c r="T480" s="27">
        <v>2.7145052989240361</v>
      </c>
      <c r="U480" s="27">
        <v>0.67230207984240986</v>
      </c>
      <c r="V480" s="27" t="s">
        <v>515</v>
      </c>
      <c r="W480" t="s">
        <v>515</v>
      </c>
      <c r="X480" t="s">
        <v>515</v>
      </c>
      <c r="Y480">
        <f t="shared" si="68"/>
        <v>8</v>
      </c>
      <c r="Z480">
        <f t="shared" si="69"/>
        <v>14</v>
      </c>
      <c r="AA480">
        <f t="shared" si="70"/>
        <v>2024</v>
      </c>
      <c r="AB480" s="118" t="b">
        <v>0</v>
      </c>
      <c r="AC480" s="19">
        <v>45518</v>
      </c>
      <c r="AD480" s="19" t="s">
        <v>515</v>
      </c>
      <c r="AE480" t="s">
        <v>515</v>
      </c>
      <c r="AF480" s="19">
        <v>45518</v>
      </c>
      <c r="AG480" t="s">
        <v>515</v>
      </c>
      <c r="AH480" t="s">
        <v>515</v>
      </c>
      <c r="AI480" s="118">
        <v>747.7</v>
      </c>
      <c r="AJ480" s="118">
        <v>563.79999999999995</v>
      </c>
      <c r="AK480" s="118">
        <v>568.4</v>
      </c>
      <c r="AL480" s="118">
        <v>369</v>
      </c>
      <c r="AM480" s="118">
        <v>0.27</v>
      </c>
      <c r="AN480" s="118">
        <v>568.9</v>
      </c>
      <c r="AO480" s="118">
        <v>0.379</v>
      </c>
      <c r="AP480" s="118">
        <v>0.376</v>
      </c>
      <c r="AQ480" s="118">
        <v>0.53800000000000003</v>
      </c>
      <c r="AR480" s="118">
        <v>193.2</v>
      </c>
      <c r="AS480" s="118">
        <v>16.059999999999999</v>
      </c>
      <c r="AT480" s="118">
        <v>196.4</v>
      </c>
      <c r="AU480" s="118">
        <v>-86.772130180000005</v>
      </c>
      <c r="AV480" s="118">
        <v>40.78862204</v>
      </c>
      <c r="AW480" s="118">
        <v>201.6</v>
      </c>
      <c r="AX480" s="118">
        <v>209.6</v>
      </c>
      <c r="AY480" s="118">
        <v>7.99</v>
      </c>
      <c r="AZ480" s="118">
        <v>-87.8</v>
      </c>
      <c r="BA480" s="118">
        <v>11.9</v>
      </c>
      <c r="BB480" s="118">
        <v>0</v>
      </c>
      <c r="BC480" s="118">
        <v>24.574999999999999</v>
      </c>
      <c r="BD480" s="118">
        <v>3.94</v>
      </c>
      <c r="BE480" s="118">
        <v>0</v>
      </c>
      <c r="BF480" t="s">
        <v>515</v>
      </c>
      <c r="BG480" t="s">
        <v>515</v>
      </c>
      <c r="BH480" s="190">
        <v>154.51400000000001</v>
      </c>
      <c r="BI480" s="190">
        <v>184.82599999999999</v>
      </c>
      <c r="BJ480" s="190">
        <v>249.26300000000001</v>
      </c>
      <c r="BK480" s="190">
        <v>272.39800000000002</v>
      </c>
      <c r="BL480" s="190">
        <v>261.161</v>
      </c>
      <c r="BM480" s="190">
        <v>195.94200000000001</v>
      </c>
      <c r="BN480" s="190">
        <v>274.37200000000001</v>
      </c>
      <c r="BO480" s="190">
        <v>456.43200000000002</v>
      </c>
    </row>
    <row r="481" spans="1:67" x14ac:dyDescent="0.25">
      <c r="A481" s="25">
        <v>10480</v>
      </c>
      <c r="B481" t="s">
        <v>639</v>
      </c>
      <c r="C481" t="s">
        <v>639</v>
      </c>
      <c r="D481" s="27" t="s">
        <v>488</v>
      </c>
      <c r="E481" s="46">
        <v>12</v>
      </c>
      <c r="F481" s="118">
        <v>275</v>
      </c>
      <c r="G481" t="s">
        <v>20</v>
      </c>
      <c r="H481" t="s">
        <v>8</v>
      </c>
      <c r="I481">
        <v>1.2999999999999999E-2</v>
      </c>
      <c r="J481">
        <v>1.0469999999999999</v>
      </c>
      <c r="K481">
        <v>0.27600000000000002</v>
      </c>
      <c r="L481" s="63">
        <v>8.037825059101656E-3</v>
      </c>
      <c r="M481" s="140">
        <f t="shared" si="67"/>
        <v>0.05</v>
      </c>
      <c r="N481" s="140">
        <f t="shared" si="67"/>
        <v>1.0469999999999999</v>
      </c>
      <c r="O481" s="140">
        <f t="shared" si="67"/>
        <v>0.27600000000000002</v>
      </c>
      <c r="P481" s="140">
        <f t="shared" si="63"/>
        <v>0.05</v>
      </c>
      <c r="Q481" s="161">
        <v>7.0473545801244611E-2</v>
      </c>
      <c r="R481" s="125">
        <v>38.050000000000004</v>
      </c>
      <c r="S481">
        <v>7.4766666666666666</v>
      </c>
      <c r="T481" s="27">
        <v>3.4092306447698411</v>
      </c>
      <c r="U481" s="27">
        <v>0.9153887330910162</v>
      </c>
      <c r="V481" s="27" t="s">
        <v>515</v>
      </c>
      <c r="W481" t="s">
        <v>515</v>
      </c>
      <c r="X481" t="s">
        <v>515</v>
      </c>
      <c r="Y481">
        <f t="shared" si="68"/>
        <v>8</v>
      </c>
      <c r="Z481">
        <f t="shared" si="69"/>
        <v>14</v>
      </c>
      <c r="AA481">
        <f t="shared" si="70"/>
        <v>2024</v>
      </c>
      <c r="AB481" s="118" t="b">
        <v>0</v>
      </c>
      <c r="AC481" s="19">
        <v>45518</v>
      </c>
      <c r="AD481" s="19" t="s">
        <v>515</v>
      </c>
      <c r="AE481" t="s">
        <v>515</v>
      </c>
      <c r="AF481" s="19">
        <v>45518</v>
      </c>
      <c r="AG481" t="s">
        <v>515</v>
      </c>
      <c r="AH481" t="s">
        <v>515</v>
      </c>
      <c r="AI481" s="118">
        <v>747.8</v>
      </c>
      <c r="AJ481" s="118">
        <v>574.1</v>
      </c>
      <c r="AK481" s="118">
        <v>581.79999999999995</v>
      </c>
      <c r="AL481" s="118">
        <v>378</v>
      </c>
      <c r="AM481" s="118">
        <v>0.28000000000000003</v>
      </c>
      <c r="AN481" s="118">
        <v>582.6</v>
      </c>
      <c r="AO481" s="118">
        <v>0.30199999999999999</v>
      </c>
      <c r="AP481" s="118">
        <v>0.31</v>
      </c>
      <c r="AQ481" s="118">
        <v>0.42899999999999999</v>
      </c>
      <c r="AR481" s="118">
        <v>189.3</v>
      </c>
      <c r="AS481" s="118">
        <v>15.82</v>
      </c>
      <c r="AT481" s="118">
        <v>192.5</v>
      </c>
      <c r="AU481" s="118">
        <v>-86.762205379999997</v>
      </c>
      <c r="AV481" s="118">
        <v>40.782380209999999</v>
      </c>
      <c r="AW481" s="118">
        <v>197.3</v>
      </c>
      <c r="AX481" s="118">
        <v>230</v>
      </c>
      <c r="AY481" s="118">
        <v>8.1199999999999992</v>
      </c>
      <c r="AZ481" s="118">
        <v>-95.3</v>
      </c>
      <c r="BA481" s="118">
        <v>11.9</v>
      </c>
      <c r="BB481" s="118">
        <v>0</v>
      </c>
      <c r="BC481" s="118">
        <v>24.305</v>
      </c>
      <c r="BD481" s="118">
        <v>3.53</v>
      </c>
      <c r="BE481" s="118">
        <v>0</v>
      </c>
      <c r="BF481" t="s">
        <v>515</v>
      </c>
      <c r="BG481" t="s">
        <v>515</v>
      </c>
      <c r="BH481" s="190">
        <v>131.35300000000001</v>
      </c>
      <c r="BI481" s="190">
        <v>161.654</v>
      </c>
      <c r="BJ481" s="190">
        <v>225.453</v>
      </c>
      <c r="BK481" s="190">
        <v>245.93199999999999</v>
      </c>
      <c r="BL481" s="190">
        <v>234.97300000000001</v>
      </c>
      <c r="BM481" s="190">
        <v>174.42</v>
      </c>
      <c r="BN481" s="190">
        <v>239.95099999999999</v>
      </c>
      <c r="BO481" s="190">
        <v>456.24099999999999</v>
      </c>
    </row>
    <row r="482" spans="1:67" x14ac:dyDescent="0.25">
      <c r="A482" s="25">
        <v>10481</v>
      </c>
      <c r="B482" t="s">
        <v>640</v>
      </c>
      <c r="C482" t="s">
        <v>640</v>
      </c>
      <c r="D482" s="27" t="s">
        <v>489</v>
      </c>
      <c r="E482" s="46">
        <v>14</v>
      </c>
      <c r="F482" s="118">
        <v>4225</v>
      </c>
      <c r="G482" t="s">
        <v>20</v>
      </c>
      <c r="H482" t="s">
        <v>8</v>
      </c>
      <c r="I482">
        <v>8.2000000000000007E-3</v>
      </c>
      <c r="J482">
        <v>1.2090000000000001</v>
      </c>
      <c r="K482">
        <v>0.311</v>
      </c>
      <c r="L482" s="63">
        <v>1.1189913317572893E-2</v>
      </c>
      <c r="M482" s="140">
        <f t="shared" ref="M482:O497" si="71">IF(I482&lt;0.1,0.05,I482)</f>
        <v>0.05</v>
      </c>
      <c r="N482" s="140">
        <f t="shared" si="71"/>
        <v>1.2090000000000001</v>
      </c>
      <c r="O482" s="140">
        <f t="shared" si="71"/>
        <v>0.311</v>
      </c>
      <c r="P482" s="140">
        <f t="shared" si="63"/>
        <v>0.05</v>
      </c>
      <c r="Q482" s="165">
        <v>0.15</v>
      </c>
      <c r="R482" s="125">
        <v>37.333333333333336</v>
      </c>
      <c r="S482">
        <v>4.54</v>
      </c>
      <c r="T482" s="27">
        <v>2.8999002238222364</v>
      </c>
      <c r="U482" s="27">
        <v>0.96502845364925405</v>
      </c>
      <c r="V482" s="27" t="s">
        <v>515</v>
      </c>
      <c r="W482" t="s">
        <v>515</v>
      </c>
      <c r="X482" t="s">
        <v>515</v>
      </c>
      <c r="Y482">
        <f t="shared" si="68"/>
        <v>8</v>
      </c>
      <c r="Z482">
        <f t="shared" si="69"/>
        <v>14</v>
      </c>
      <c r="AA482">
        <f t="shared" si="70"/>
        <v>2024</v>
      </c>
      <c r="AB482" s="118" t="b">
        <v>0</v>
      </c>
      <c r="AC482" s="19">
        <v>45518</v>
      </c>
      <c r="AD482" s="19" t="s">
        <v>515</v>
      </c>
      <c r="AE482" t="s">
        <v>515</v>
      </c>
      <c r="AF482" s="19">
        <v>45518</v>
      </c>
      <c r="AG482" t="s">
        <v>515</v>
      </c>
      <c r="AH482" t="s">
        <v>515</v>
      </c>
      <c r="AI482" s="118">
        <v>748</v>
      </c>
      <c r="AJ482" s="118">
        <v>618.70000000000005</v>
      </c>
      <c r="AK482" s="118">
        <v>626.5</v>
      </c>
      <c r="AL482" s="118">
        <v>407</v>
      </c>
      <c r="AM482" s="118">
        <v>0.3</v>
      </c>
      <c r="AN482" s="118">
        <v>627.29999999999995</v>
      </c>
      <c r="AO482" s="118">
        <v>0.379</v>
      </c>
      <c r="AP482" s="118">
        <v>0.38100000000000001</v>
      </c>
      <c r="AQ482" s="118">
        <v>0.53800000000000003</v>
      </c>
      <c r="AR482" s="118">
        <v>144.4</v>
      </c>
      <c r="AS482" s="118">
        <v>12.05</v>
      </c>
      <c r="AT482" s="118">
        <v>146.80000000000001</v>
      </c>
      <c r="AU482" s="118">
        <v>-86.785247049999995</v>
      </c>
      <c r="AV482" s="118">
        <v>40.807313710000003</v>
      </c>
      <c r="AW482" s="118">
        <v>195.3</v>
      </c>
      <c r="AX482" s="118">
        <v>196.6</v>
      </c>
      <c r="AY482" s="118">
        <v>8.1999999999999993</v>
      </c>
      <c r="AZ482" s="118">
        <v>-100</v>
      </c>
      <c r="BA482" s="118">
        <v>11.9</v>
      </c>
      <c r="BB482" s="118">
        <v>0</v>
      </c>
      <c r="BC482" s="118">
        <v>24.344000000000001</v>
      </c>
      <c r="BD482" s="118">
        <v>3.28</v>
      </c>
      <c r="BE482" s="118">
        <v>0</v>
      </c>
      <c r="BF482" t="s">
        <v>515</v>
      </c>
      <c r="BG482" t="s">
        <v>515</v>
      </c>
      <c r="BH482" s="190">
        <v>163.078</v>
      </c>
      <c r="BI482" s="190">
        <v>220.54499999999999</v>
      </c>
      <c r="BJ482" s="190">
        <v>294.233</v>
      </c>
      <c r="BK482" s="190">
        <v>315.87900000000002</v>
      </c>
      <c r="BL482" s="190">
        <v>278.17500000000001</v>
      </c>
      <c r="BM482" s="190">
        <v>228.90199999999999</v>
      </c>
      <c r="BN482" s="190">
        <v>237.547</v>
      </c>
      <c r="BO482" s="190">
        <v>462.327</v>
      </c>
    </row>
    <row r="483" spans="1:67" x14ac:dyDescent="0.25">
      <c r="A483" s="25">
        <v>10482</v>
      </c>
      <c r="B483" t="s">
        <v>641</v>
      </c>
      <c r="C483" t="s">
        <v>641</v>
      </c>
      <c r="D483" s="27">
        <v>4115</v>
      </c>
      <c r="E483" s="46">
        <v>15</v>
      </c>
      <c r="F483" s="118">
        <v>2905</v>
      </c>
      <c r="G483" t="s">
        <v>20</v>
      </c>
      <c r="H483" t="s">
        <v>8</v>
      </c>
      <c r="I483">
        <v>1.7299999999999999E-2</v>
      </c>
      <c r="J483">
        <v>1.0029999999999999</v>
      </c>
      <c r="K483">
        <v>0.29299999999999998</v>
      </c>
      <c r="L483" s="63">
        <v>1.7494089834515367E-2</v>
      </c>
      <c r="M483" s="140">
        <f t="shared" si="71"/>
        <v>0.05</v>
      </c>
      <c r="N483" s="140">
        <f t="shared" si="71"/>
        <v>1.0029999999999999</v>
      </c>
      <c r="O483" s="140">
        <f t="shared" si="71"/>
        <v>0.29299999999999998</v>
      </c>
      <c r="P483" s="140">
        <f t="shared" si="63"/>
        <v>0.05</v>
      </c>
      <c r="Q483" s="161">
        <v>0.16389833669166579</v>
      </c>
      <c r="R483" s="125">
        <v>69.086666666666659</v>
      </c>
      <c r="S483">
        <v>8.1766666666666676</v>
      </c>
      <c r="T483" s="27">
        <v>3.3188927540921718</v>
      </c>
      <c r="U483" s="27">
        <v>0.88996351036606525</v>
      </c>
      <c r="V483" s="27" t="s">
        <v>515</v>
      </c>
      <c r="W483" t="s">
        <v>515</v>
      </c>
      <c r="X483" t="s">
        <v>515</v>
      </c>
      <c r="Y483">
        <f t="shared" si="68"/>
        <v>8</v>
      </c>
      <c r="Z483">
        <f t="shared" si="69"/>
        <v>14</v>
      </c>
      <c r="AA483">
        <f t="shared" si="70"/>
        <v>2024</v>
      </c>
      <c r="AB483" s="118" t="b">
        <v>0</v>
      </c>
      <c r="AC483" s="19">
        <v>45518</v>
      </c>
      <c r="AD483" s="19" t="s">
        <v>515</v>
      </c>
      <c r="AE483" t="s">
        <v>515</v>
      </c>
      <c r="AF483" s="19">
        <v>45518</v>
      </c>
      <c r="AG483" t="s">
        <v>515</v>
      </c>
      <c r="AH483" t="s">
        <v>515</v>
      </c>
      <c r="AI483" s="118">
        <v>747.8</v>
      </c>
      <c r="AJ483" s="118">
        <v>580.5</v>
      </c>
      <c r="AK483" s="118">
        <v>582.6</v>
      </c>
      <c r="AL483" s="118">
        <v>379</v>
      </c>
      <c r="AM483" s="118">
        <v>0.28000000000000003</v>
      </c>
      <c r="AN483" s="118">
        <v>582.79999999999995</v>
      </c>
      <c r="AO483" s="118">
        <v>0.377</v>
      </c>
      <c r="AP483" s="118">
        <v>0.36799999999999999</v>
      </c>
      <c r="AQ483" s="118">
        <v>0.53500000000000003</v>
      </c>
      <c r="AR483" s="118">
        <v>198</v>
      </c>
      <c r="AS483" s="118">
        <v>16.39</v>
      </c>
      <c r="AT483" s="118">
        <v>201.3</v>
      </c>
      <c r="AU483" s="118">
        <v>-86.777779629999998</v>
      </c>
      <c r="AV483" s="118">
        <v>40.799243930000003</v>
      </c>
      <c r="AW483" s="118">
        <v>196</v>
      </c>
      <c r="AX483" s="118">
        <v>205.4</v>
      </c>
      <c r="AY483" s="118">
        <v>8.16</v>
      </c>
      <c r="AZ483" s="118">
        <v>-97.7</v>
      </c>
      <c r="BA483" s="118">
        <v>11.9</v>
      </c>
      <c r="BB483" s="118">
        <v>0</v>
      </c>
      <c r="BC483" s="118">
        <v>24.814</v>
      </c>
      <c r="BD483" s="118">
        <v>3.76</v>
      </c>
      <c r="BE483" s="118">
        <v>0</v>
      </c>
      <c r="BF483" t="s">
        <v>515</v>
      </c>
      <c r="BG483" t="s">
        <v>515</v>
      </c>
      <c r="BH483" s="190">
        <v>171.27099999999999</v>
      </c>
      <c r="BI483" s="190">
        <v>189.72200000000001</v>
      </c>
      <c r="BJ483" s="190">
        <v>260.40499999999997</v>
      </c>
      <c r="BK483" s="190">
        <v>288.86399999999998</v>
      </c>
      <c r="BL483" s="190">
        <v>247.74700000000001</v>
      </c>
      <c r="BM483" s="190">
        <v>196.62299999999999</v>
      </c>
      <c r="BN483" s="190">
        <v>223.74299999999999</v>
      </c>
      <c r="BO483" s="190">
        <v>481.41699999999997</v>
      </c>
    </row>
    <row r="484" spans="1:67" x14ac:dyDescent="0.25">
      <c r="A484" s="25">
        <v>10483</v>
      </c>
      <c r="B484" t="s">
        <v>672</v>
      </c>
      <c r="C484" t="s">
        <v>672</v>
      </c>
      <c r="D484" s="27" t="s">
        <v>462</v>
      </c>
      <c r="E484" s="46">
        <v>1</v>
      </c>
      <c r="F484" s="118">
        <v>5999</v>
      </c>
      <c r="G484" t="s">
        <v>19</v>
      </c>
      <c r="H484" t="s">
        <v>8</v>
      </c>
      <c r="I484">
        <v>3.3999999999999998E-3</v>
      </c>
      <c r="J484">
        <v>8.3000000000000004E-2</v>
      </c>
      <c r="K484">
        <v>4.3999999999999997E-2</v>
      </c>
      <c r="L484" t="s">
        <v>515</v>
      </c>
      <c r="M484" s="140">
        <f t="shared" si="71"/>
        <v>0.05</v>
      </c>
      <c r="N484" s="140">
        <f t="shared" si="71"/>
        <v>0.05</v>
      </c>
      <c r="O484" s="140">
        <f t="shared" si="71"/>
        <v>0.05</v>
      </c>
      <c r="P484" s="140" t="str">
        <f t="shared" si="63"/>
        <v>NULL</v>
      </c>
      <c r="Q484" s="161">
        <v>0.3584226784785568</v>
      </c>
      <c r="R484" s="125">
        <v>34.326666666666668</v>
      </c>
      <c r="S484">
        <v>21.113333333333333</v>
      </c>
      <c r="T484">
        <v>2.3569368817169205</v>
      </c>
      <c r="U484">
        <v>0.38243786982248518</v>
      </c>
      <c r="V484" s="118" t="s">
        <v>515</v>
      </c>
      <c r="W484" t="s">
        <v>515</v>
      </c>
      <c r="X484" t="s">
        <v>515</v>
      </c>
      <c r="Y484">
        <f t="shared" si="68"/>
        <v>9</v>
      </c>
      <c r="Z484">
        <f t="shared" si="69"/>
        <v>12</v>
      </c>
      <c r="AA484">
        <f t="shared" si="70"/>
        <v>2024</v>
      </c>
      <c r="AB484" s="118" t="b">
        <v>0</v>
      </c>
      <c r="AC484" s="19">
        <v>45547</v>
      </c>
      <c r="AD484" s="19" t="s">
        <v>515</v>
      </c>
      <c r="AE484" t="s">
        <v>515</v>
      </c>
      <c r="AF484" s="19">
        <v>45547</v>
      </c>
      <c r="AG484" t="s">
        <v>515</v>
      </c>
      <c r="AH484" t="s">
        <v>515</v>
      </c>
      <c r="AI484" s="118">
        <v>743.2</v>
      </c>
      <c r="AJ484" s="118">
        <v>420.7</v>
      </c>
      <c r="AK484" s="118">
        <v>425.5</v>
      </c>
      <c r="AL484" s="118">
        <v>277</v>
      </c>
      <c r="AM484" s="118">
        <v>0.2</v>
      </c>
      <c r="AN484" s="118">
        <v>425.9</v>
      </c>
      <c r="AO484" s="118">
        <v>0.47499999999999998</v>
      </c>
      <c r="AP484" s="118">
        <v>0.45600000000000002</v>
      </c>
      <c r="AQ484" s="118">
        <v>0.67400000000000004</v>
      </c>
      <c r="AR484" s="118">
        <v>108.2</v>
      </c>
      <c r="AS484" s="118">
        <v>9.0299999999999994</v>
      </c>
      <c r="AT484" s="118">
        <v>110.4</v>
      </c>
      <c r="AU484" s="118">
        <v>-85.888892580000004</v>
      </c>
      <c r="AV484" s="118">
        <v>40.681489630000002</v>
      </c>
      <c r="AW484" s="118">
        <v>226.3</v>
      </c>
      <c r="AX484" s="118">
        <v>28.5</v>
      </c>
      <c r="AY484" s="118">
        <v>8.31</v>
      </c>
      <c r="AZ484" s="118">
        <v>-101.3</v>
      </c>
      <c r="BA484" s="118">
        <v>12.1</v>
      </c>
      <c r="BB484" s="118">
        <v>0</v>
      </c>
      <c r="BC484" s="118">
        <v>24.42</v>
      </c>
      <c r="BD484" s="118">
        <v>4.78</v>
      </c>
      <c r="BE484" s="118">
        <v>0</v>
      </c>
      <c r="BF484" t="s">
        <v>515</v>
      </c>
      <c r="BG484" t="s">
        <v>515</v>
      </c>
      <c r="BH484" s="118">
        <v>221.22499999999999</v>
      </c>
      <c r="BI484" s="118">
        <v>192.13</v>
      </c>
      <c r="BJ484" s="118">
        <v>294.279</v>
      </c>
      <c r="BK484" s="118">
        <v>351.46699999999998</v>
      </c>
      <c r="BL484" s="118">
        <v>279.62700000000001</v>
      </c>
      <c r="BM484" s="118">
        <v>226.34100000000001</v>
      </c>
      <c r="BN484" s="118">
        <v>305.98</v>
      </c>
      <c r="BO484" s="118">
        <v>440.33300000000003</v>
      </c>
    </row>
    <row r="485" spans="1:67" x14ac:dyDescent="0.25">
      <c r="A485" s="25">
        <v>10484</v>
      </c>
      <c r="B485" s="28" t="s">
        <v>674</v>
      </c>
      <c r="C485" s="23" t="s">
        <v>674</v>
      </c>
      <c r="D485" s="56" t="s">
        <v>463</v>
      </c>
      <c r="E485" s="70">
        <v>2</v>
      </c>
      <c r="F485" s="118">
        <v>8861</v>
      </c>
      <c r="G485" s="23" t="s">
        <v>19</v>
      </c>
      <c r="H485" s="23" t="s">
        <v>8</v>
      </c>
      <c r="I485">
        <v>-5.7999999999999996E-3</v>
      </c>
      <c r="J485">
        <v>5.5E-2</v>
      </c>
      <c r="K485">
        <v>-3.2000000000000001E-2</v>
      </c>
      <c r="L485" t="s">
        <v>515</v>
      </c>
      <c r="M485" s="140">
        <f t="shared" si="71"/>
        <v>0.05</v>
      </c>
      <c r="N485" s="140">
        <f t="shared" si="71"/>
        <v>0.05</v>
      </c>
      <c r="O485" s="140">
        <f t="shared" si="71"/>
        <v>0.05</v>
      </c>
      <c r="P485" s="140" t="str">
        <f t="shared" si="63"/>
        <v>NULL</v>
      </c>
      <c r="Q485" s="161">
        <v>0.42306217627462239</v>
      </c>
      <c r="R485" s="125">
        <v>32.99</v>
      </c>
      <c r="S485">
        <v>13.160000000000002</v>
      </c>
      <c r="T485">
        <v>2.5305483898936068</v>
      </c>
      <c r="U485">
        <v>0.28957926953682928</v>
      </c>
      <c r="V485" s="118" t="s">
        <v>515</v>
      </c>
      <c r="W485" t="s">
        <v>515</v>
      </c>
      <c r="X485" t="s">
        <v>515</v>
      </c>
      <c r="Y485">
        <f t="shared" ref="Y485:Y497" si="72">MONTH(AC485)</f>
        <v>9</v>
      </c>
      <c r="Z485">
        <f t="shared" ref="Z485:Z497" si="73">DAY(AC485)</f>
        <v>12</v>
      </c>
      <c r="AA485">
        <f t="shared" ref="AA485:AA497" si="74">YEAR(AC485)</f>
        <v>2024</v>
      </c>
      <c r="AB485" s="118" t="b">
        <v>0</v>
      </c>
      <c r="AC485" s="19">
        <v>45547</v>
      </c>
      <c r="AD485" s="19" t="s">
        <v>515</v>
      </c>
      <c r="AE485" t="s">
        <v>515</v>
      </c>
      <c r="AF485" s="19">
        <v>45547</v>
      </c>
      <c r="AG485" t="s">
        <v>515</v>
      </c>
      <c r="AH485" t="s">
        <v>515</v>
      </c>
      <c r="AI485" s="118">
        <v>742.9</v>
      </c>
      <c r="AJ485" s="118">
        <v>415.7</v>
      </c>
      <c r="AK485" s="118">
        <v>419.3</v>
      </c>
      <c r="AL485" s="118">
        <v>273</v>
      </c>
      <c r="AM485" s="118">
        <v>0.2</v>
      </c>
      <c r="AN485" s="118">
        <v>419.7</v>
      </c>
      <c r="AO485" s="118">
        <v>0.66</v>
      </c>
      <c r="AP485" s="118">
        <v>0.68</v>
      </c>
      <c r="AQ485" s="118">
        <v>0.93600000000000005</v>
      </c>
      <c r="AR485" s="118">
        <v>151.30000000000001</v>
      </c>
      <c r="AS485" s="118">
        <v>12.59</v>
      </c>
      <c r="AT485" s="118">
        <v>154.30000000000001</v>
      </c>
      <c r="AU485" s="118">
        <v>-85.877191120000006</v>
      </c>
      <c r="AV485" s="118">
        <v>40.676843499999997</v>
      </c>
      <c r="AW485" s="118">
        <v>222.8</v>
      </c>
      <c r="AX485" s="118">
        <v>44.5</v>
      </c>
      <c r="AY485" s="118">
        <v>8.65</v>
      </c>
      <c r="AZ485" s="118">
        <v>-120.8</v>
      </c>
      <c r="BA485" s="118">
        <v>12.1</v>
      </c>
      <c r="BB485" s="118">
        <v>0</v>
      </c>
      <c r="BC485" s="118">
        <v>24.550999999999998</v>
      </c>
      <c r="BD485" s="118">
        <v>3.44</v>
      </c>
      <c r="BE485" s="118">
        <v>0</v>
      </c>
      <c r="BF485" t="s">
        <v>515</v>
      </c>
      <c r="BG485" t="s">
        <v>515</v>
      </c>
      <c r="BH485" s="118">
        <v>211.846</v>
      </c>
      <c r="BI485" s="118">
        <v>184.387</v>
      </c>
      <c r="BJ485" s="118">
        <v>286.74400000000003</v>
      </c>
      <c r="BK485" s="118">
        <v>355.34100000000001</v>
      </c>
      <c r="BL485" s="118">
        <v>273.13799999999998</v>
      </c>
      <c r="BM485" s="118">
        <v>213.393</v>
      </c>
      <c r="BN485" s="118">
        <v>292.88400000000001</v>
      </c>
      <c r="BO485" s="118">
        <v>413.339</v>
      </c>
    </row>
    <row r="486" spans="1:67" x14ac:dyDescent="0.25">
      <c r="A486" s="25">
        <v>10485</v>
      </c>
      <c r="B486" t="s">
        <v>662</v>
      </c>
      <c r="C486" t="s">
        <v>662</v>
      </c>
      <c r="D486" s="27" t="s">
        <v>464</v>
      </c>
      <c r="E486" s="46">
        <v>3</v>
      </c>
      <c r="F486" s="118">
        <v>9921</v>
      </c>
      <c r="G486" t="s">
        <v>19</v>
      </c>
      <c r="H486" t="s">
        <v>8</v>
      </c>
      <c r="I486">
        <v>-4.0000000000000001E-3</v>
      </c>
      <c r="J486">
        <v>7.2999999999999995E-2</v>
      </c>
      <c r="K486">
        <v>0.04</v>
      </c>
      <c r="L486" t="s">
        <v>515</v>
      </c>
      <c r="M486" s="140">
        <f t="shared" si="71"/>
        <v>0.05</v>
      </c>
      <c r="N486" s="140">
        <f t="shared" si="71"/>
        <v>0.05</v>
      </c>
      <c r="O486" s="140">
        <f t="shared" si="71"/>
        <v>0.05</v>
      </c>
      <c r="P486" s="140" t="str">
        <f t="shared" si="63"/>
        <v>NULL</v>
      </c>
      <c r="Q486" s="161">
        <v>0.38920281579978688</v>
      </c>
      <c r="R486" s="125">
        <v>10.976666666666667</v>
      </c>
      <c r="S486">
        <v>0.97666666666666668</v>
      </c>
      <c r="T486">
        <v>2.5113159773111602</v>
      </c>
      <c r="U486">
        <v>0.36282962660681495</v>
      </c>
      <c r="V486" s="118" t="s">
        <v>515</v>
      </c>
      <c r="W486" t="s">
        <v>515</v>
      </c>
      <c r="X486" t="s">
        <v>515</v>
      </c>
      <c r="Y486">
        <f t="shared" si="72"/>
        <v>9</v>
      </c>
      <c r="Z486">
        <f t="shared" si="73"/>
        <v>12</v>
      </c>
      <c r="AA486">
        <f t="shared" si="74"/>
        <v>2024</v>
      </c>
      <c r="AB486" s="118" t="b">
        <v>0</v>
      </c>
      <c r="AC486" s="19">
        <v>45547</v>
      </c>
      <c r="AD486" s="19" t="s">
        <v>515</v>
      </c>
      <c r="AE486" t="s">
        <v>515</v>
      </c>
      <c r="AF486" s="19">
        <v>45547</v>
      </c>
      <c r="AG486" t="s">
        <v>515</v>
      </c>
      <c r="AH486" t="s">
        <v>515</v>
      </c>
      <c r="AI486" s="118">
        <v>742.9</v>
      </c>
      <c r="AJ486" s="118">
        <v>422.8</v>
      </c>
      <c r="AK486" s="118">
        <v>422.3</v>
      </c>
      <c r="AL486" s="118">
        <v>274</v>
      </c>
      <c r="AM486" s="118">
        <v>0.2</v>
      </c>
      <c r="AN486" s="118">
        <v>422.2</v>
      </c>
      <c r="AO486" s="118">
        <v>0.436</v>
      </c>
      <c r="AP486" s="118">
        <v>0.56499999999999995</v>
      </c>
      <c r="AQ486" s="118">
        <v>0.61799999999999999</v>
      </c>
      <c r="AR486" s="118">
        <v>140</v>
      </c>
      <c r="AS486" s="118">
        <v>11.54</v>
      </c>
      <c r="AT486" s="118">
        <v>142.80000000000001</v>
      </c>
      <c r="AU486" s="118">
        <v>-85.870482910000007</v>
      </c>
      <c r="AV486" s="118">
        <v>40.670789169999999</v>
      </c>
      <c r="AW486" s="118">
        <v>224</v>
      </c>
      <c r="AX486" s="118">
        <v>35.9</v>
      </c>
      <c r="AY486" s="118">
        <v>8.6</v>
      </c>
      <c r="AZ486" s="118">
        <v>-118.2</v>
      </c>
      <c r="BA486" s="118">
        <v>12.1</v>
      </c>
      <c r="BB486" s="118">
        <v>0</v>
      </c>
      <c r="BC486" s="118">
        <v>25.061</v>
      </c>
      <c r="BD486" s="118">
        <v>3.66</v>
      </c>
      <c r="BE486" s="118">
        <v>0</v>
      </c>
      <c r="BF486" t="s">
        <v>515</v>
      </c>
      <c r="BG486" t="s">
        <v>515</v>
      </c>
      <c r="BH486" s="118">
        <v>213.96199999999999</v>
      </c>
      <c r="BI486" s="118">
        <v>194.41200000000001</v>
      </c>
      <c r="BJ486" s="118">
        <v>307.13900000000001</v>
      </c>
      <c r="BK486" s="118">
        <v>372.37</v>
      </c>
      <c r="BL486" s="118">
        <v>282.30799999999999</v>
      </c>
      <c r="BM486" s="118">
        <v>225.47200000000001</v>
      </c>
      <c r="BN486" s="118">
        <v>291.98</v>
      </c>
      <c r="BO486" s="118">
        <v>388.73500000000001</v>
      </c>
    </row>
    <row r="487" spans="1:67" x14ac:dyDescent="0.25">
      <c r="A487" s="25">
        <v>10486</v>
      </c>
      <c r="B487" t="s">
        <v>669</v>
      </c>
      <c r="C487" t="s">
        <v>669</v>
      </c>
      <c r="D487" s="27" t="s">
        <v>465</v>
      </c>
      <c r="E487" s="46">
        <v>4</v>
      </c>
      <c r="F487" s="118">
        <v>10891</v>
      </c>
      <c r="G487" t="s">
        <v>19</v>
      </c>
      <c r="H487" t="s">
        <v>8</v>
      </c>
      <c r="I487">
        <v>-3.2000000000000002E-3</v>
      </c>
      <c r="J487">
        <v>6.3E-2</v>
      </c>
      <c r="K487">
        <v>0.04</v>
      </c>
      <c r="L487" t="s">
        <v>515</v>
      </c>
      <c r="M487" s="140">
        <f t="shared" si="71"/>
        <v>0.05</v>
      </c>
      <c r="N487" s="140">
        <f t="shared" si="71"/>
        <v>0.05</v>
      </c>
      <c r="O487" s="140">
        <f t="shared" si="71"/>
        <v>0.05</v>
      </c>
      <c r="P487" s="140" t="str">
        <f t="shared" si="63"/>
        <v>NULL</v>
      </c>
      <c r="Q487" s="161">
        <v>0.41280759413621682</v>
      </c>
      <c r="R487" s="125">
        <v>16.91</v>
      </c>
      <c r="S487">
        <v>22.753333333333334</v>
      </c>
      <c r="T487">
        <v>2.5695330099931617</v>
      </c>
      <c r="U487">
        <v>0.38025464190981439</v>
      </c>
      <c r="V487" s="118" t="s">
        <v>515</v>
      </c>
      <c r="W487" t="s">
        <v>515</v>
      </c>
      <c r="X487" t="s">
        <v>515</v>
      </c>
      <c r="Y487">
        <f t="shared" si="72"/>
        <v>9</v>
      </c>
      <c r="Z487">
        <f t="shared" si="73"/>
        <v>12</v>
      </c>
      <c r="AA487">
        <f t="shared" si="74"/>
        <v>2024</v>
      </c>
      <c r="AB487" s="118" t="b">
        <v>0</v>
      </c>
      <c r="AC487" s="19">
        <v>45547</v>
      </c>
      <c r="AD487" s="19" t="s">
        <v>515</v>
      </c>
      <c r="AE487" t="s">
        <v>515</v>
      </c>
      <c r="AF487" s="19">
        <v>45547</v>
      </c>
      <c r="AG487" t="s">
        <v>515</v>
      </c>
      <c r="AH487" t="s">
        <v>515</v>
      </c>
      <c r="AI487" s="118">
        <v>742.5</v>
      </c>
      <c r="AJ487" s="118">
        <v>428.8</v>
      </c>
      <c r="AK487" s="118">
        <v>430.7</v>
      </c>
      <c r="AL487" s="118">
        <v>280</v>
      </c>
      <c r="AM487" s="118">
        <v>0.21</v>
      </c>
      <c r="AN487" s="118">
        <v>430.9</v>
      </c>
      <c r="AO487" s="118">
        <v>0.49399999999999999</v>
      </c>
      <c r="AP487" s="118">
        <v>0.497</v>
      </c>
      <c r="AQ487" s="118">
        <v>0.70099999999999996</v>
      </c>
      <c r="AR487" s="118">
        <v>160.4</v>
      </c>
      <c r="AS487" s="118">
        <v>13.3</v>
      </c>
      <c r="AT487" s="118">
        <v>163.6</v>
      </c>
      <c r="AU487" s="118">
        <v>-85.866744699999998</v>
      </c>
      <c r="AV487" s="118">
        <v>40.663222869999998</v>
      </c>
      <c r="AW487" s="118">
        <v>223.1</v>
      </c>
      <c r="AX487" s="118">
        <v>33.6</v>
      </c>
      <c r="AY487" s="118">
        <v>8.73</v>
      </c>
      <c r="AZ487" s="118">
        <v>-125.8</v>
      </c>
      <c r="BA487" s="118">
        <v>12.1</v>
      </c>
      <c r="BB487" s="118">
        <v>0</v>
      </c>
      <c r="BC487" s="118">
        <v>24.771999999999998</v>
      </c>
      <c r="BD487" s="118">
        <v>3.86</v>
      </c>
      <c r="BE487" s="118">
        <v>0</v>
      </c>
      <c r="BF487" t="s">
        <v>515</v>
      </c>
      <c r="BG487" t="s">
        <v>515</v>
      </c>
      <c r="BH487" s="118">
        <v>218.00700000000001</v>
      </c>
      <c r="BI487" s="118">
        <v>181.62799999999999</v>
      </c>
      <c r="BJ487" s="118">
        <v>292.18799999999999</v>
      </c>
      <c r="BK487" s="118">
        <v>365.47300000000001</v>
      </c>
      <c r="BL487" s="118">
        <v>267.084</v>
      </c>
      <c r="BM487" s="118">
        <v>217.03299999999999</v>
      </c>
      <c r="BN487" s="118">
        <v>286.20800000000003</v>
      </c>
      <c r="BO487" s="118">
        <v>406.14499999999998</v>
      </c>
    </row>
    <row r="488" spans="1:67" x14ac:dyDescent="0.25">
      <c r="A488" s="25">
        <v>10487</v>
      </c>
      <c r="B488" t="s">
        <v>666</v>
      </c>
      <c r="C488" t="s">
        <v>666</v>
      </c>
      <c r="D488" s="27" t="s">
        <v>466</v>
      </c>
      <c r="E488" s="46">
        <v>5</v>
      </c>
      <c r="F488" s="118">
        <v>12821</v>
      </c>
      <c r="G488" t="s">
        <v>19</v>
      </c>
      <c r="H488" t="s">
        <v>8</v>
      </c>
      <c r="I488">
        <v>-1.17E-2</v>
      </c>
      <c r="J488">
        <v>7.3999999999999996E-2</v>
      </c>
      <c r="K488">
        <v>6.2E-2</v>
      </c>
      <c r="L488" t="s">
        <v>515</v>
      </c>
      <c r="M488" s="140">
        <f t="shared" si="71"/>
        <v>0.05</v>
      </c>
      <c r="N488" s="140">
        <f t="shared" si="71"/>
        <v>0.05</v>
      </c>
      <c r="O488" s="140">
        <f t="shared" si="71"/>
        <v>0.05</v>
      </c>
      <c r="P488" s="140" t="str">
        <f t="shared" si="63"/>
        <v>NULL</v>
      </c>
      <c r="Q488" s="161">
        <v>0.29435794096450085</v>
      </c>
      <c r="R488" s="125">
        <v>16.239999999999998</v>
      </c>
      <c r="S488">
        <v>1.3566666666666667</v>
      </c>
      <c r="T488">
        <v>2.5144347469191235</v>
      </c>
      <c r="U488">
        <v>0.38294796980208123</v>
      </c>
      <c r="V488" s="118" t="s">
        <v>515</v>
      </c>
      <c r="W488" t="s">
        <v>515</v>
      </c>
      <c r="X488" t="s">
        <v>515</v>
      </c>
      <c r="Y488">
        <f t="shared" si="72"/>
        <v>9</v>
      </c>
      <c r="Z488">
        <f t="shared" si="73"/>
        <v>12</v>
      </c>
      <c r="AA488">
        <f t="shared" si="74"/>
        <v>2024</v>
      </c>
      <c r="AB488" s="118" t="b">
        <v>0</v>
      </c>
      <c r="AC488" s="19">
        <v>45547</v>
      </c>
      <c r="AD488" s="19" t="s">
        <v>515</v>
      </c>
      <c r="AE488" t="s">
        <v>515</v>
      </c>
      <c r="AF488" s="19">
        <v>45547</v>
      </c>
      <c r="AG488" t="s">
        <v>515</v>
      </c>
      <c r="AH488" t="s">
        <v>515</v>
      </c>
      <c r="AI488" s="118">
        <v>742.4</v>
      </c>
      <c r="AJ488" s="118">
        <v>441.6</v>
      </c>
      <c r="AK488" s="118">
        <v>442.1</v>
      </c>
      <c r="AL488" s="118">
        <v>287</v>
      </c>
      <c r="AM488" s="118">
        <v>0.21</v>
      </c>
      <c r="AN488" s="118">
        <v>442.1</v>
      </c>
      <c r="AO488" s="118">
        <v>0.501</v>
      </c>
      <c r="AP488" s="118">
        <v>0.52800000000000002</v>
      </c>
      <c r="AQ488" s="118">
        <v>0.71099999999999997</v>
      </c>
      <c r="AR488" s="118">
        <v>172.5</v>
      </c>
      <c r="AS488" s="118">
        <v>14.25</v>
      </c>
      <c r="AT488" s="118">
        <v>175.9</v>
      </c>
      <c r="AU488" s="118">
        <v>-85.847719589999997</v>
      </c>
      <c r="AV488" s="118">
        <v>40.668682189999998</v>
      </c>
      <c r="AW488" s="118">
        <v>223.6</v>
      </c>
      <c r="AX488" s="118">
        <v>31.6</v>
      </c>
      <c r="AY488" s="118">
        <v>8.8000000000000007</v>
      </c>
      <c r="AZ488" s="118">
        <v>-130.1</v>
      </c>
      <c r="BA488" s="118">
        <v>12.1</v>
      </c>
      <c r="BB488" s="118">
        <v>0</v>
      </c>
      <c r="BC488" s="118">
        <v>24.945</v>
      </c>
      <c r="BD488" s="118">
        <v>4.87</v>
      </c>
      <c r="BE488" s="118">
        <v>0</v>
      </c>
      <c r="BF488" t="s">
        <v>515</v>
      </c>
      <c r="BG488" t="s">
        <v>515</v>
      </c>
      <c r="BH488" s="118">
        <v>216.34700000000001</v>
      </c>
      <c r="BI488" s="118">
        <v>196.64</v>
      </c>
      <c r="BJ488" s="118">
        <v>317.69499999999999</v>
      </c>
      <c r="BK488" s="118">
        <v>405.51799999999997</v>
      </c>
      <c r="BL488" s="118">
        <v>297.00099999999998</v>
      </c>
      <c r="BM488" s="118">
        <v>233.77500000000001</v>
      </c>
      <c r="BN488" s="118">
        <v>314.572</v>
      </c>
      <c r="BO488" s="118">
        <v>447.16199999999998</v>
      </c>
    </row>
    <row r="489" spans="1:67" x14ac:dyDescent="0.25">
      <c r="A489" s="25">
        <v>10488</v>
      </c>
      <c r="B489" t="s">
        <v>668</v>
      </c>
      <c r="C489" t="s">
        <v>668</v>
      </c>
      <c r="D489" s="27" t="s">
        <v>467</v>
      </c>
      <c r="E489" s="46">
        <v>6</v>
      </c>
      <c r="F489" s="118">
        <v>14351</v>
      </c>
      <c r="G489" t="s">
        <v>19</v>
      </c>
      <c r="H489" t="s">
        <v>8</v>
      </c>
      <c r="I489">
        <v>-8.6999999999999994E-3</v>
      </c>
      <c r="J489">
        <v>6.7000000000000004E-2</v>
      </c>
      <c r="K489">
        <v>5.1999999999999998E-2</v>
      </c>
      <c r="L489" t="s">
        <v>515</v>
      </c>
      <c r="M489" s="140">
        <f t="shared" si="71"/>
        <v>0.05</v>
      </c>
      <c r="N489" s="140">
        <f t="shared" si="71"/>
        <v>0.05</v>
      </c>
      <c r="O489" s="140">
        <f t="shared" si="71"/>
        <v>0.05</v>
      </c>
      <c r="P489" s="140" t="str">
        <f t="shared" si="63"/>
        <v>NULL</v>
      </c>
      <c r="Q489" s="161">
        <v>0.35390388181158788</v>
      </c>
      <c r="R489" s="125">
        <v>7.3766666666666678</v>
      </c>
      <c r="S489">
        <v>2.2033333333333331</v>
      </c>
      <c r="T489">
        <v>2.4946825394020156</v>
      </c>
      <c r="U489">
        <v>0.36348255458069784</v>
      </c>
      <c r="V489" s="118" t="s">
        <v>515</v>
      </c>
      <c r="W489" t="s">
        <v>515</v>
      </c>
      <c r="X489" t="s">
        <v>515</v>
      </c>
      <c r="Y489">
        <f t="shared" si="72"/>
        <v>9</v>
      </c>
      <c r="Z489">
        <f t="shared" si="73"/>
        <v>12</v>
      </c>
      <c r="AA489">
        <f t="shared" si="74"/>
        <v>2024</v>
      </c>
      <c r="AB489" s="118" t="b">
        <v>0</v>
      </c>
      <c r="AC489" s="19">
        <v>45547</v>
      </c>
      <c r="AD489" s="19" t="s">
        <v>515</v>
      </c>
      <c r="AE489" t="s">
        <v>515</v>
      </c>
      <c r="AF489" s="19">
        <v>45547</v>
      </c>
      <c r="AG489" t="s">
        <v>515</v>
      </c>
      <c r="AH489" t="s">
        <v>515</v>
      </c>
      <c r="AI489" s="118" t="s">
        <v>1779</v>
      </c>
      <c r="AJ489" s="118" t="s">
        <v>1779</v>
      </c>
      <c r="AK489" s="118" t="s">
        <v>1779</v>
      </c>
      <c r="AL489" s="118" t="s">
        <v>1779</v>
      </c>
      <c r="AM489" s="118" t="s">
        <v>1779</v>
      </c>
      <c r="AN489" s="118" t="s">
        <v>1779</v>
      </c>
      <c r="AO489" s="118" t="s">
        <v>1779</v>
      </c>
      <c r="AP489" s="118" t="s">
        <v>1779</v>
      </c>
      <c r="AQ489" s="118" t="s">
        <v>1779</v>
      </c>
      <c r="AR489" s="118" t="s">
        <v>1779</v>
      </c>
      <c r="AS489" s="118" t="s">
        <v>1779</v>
      </c>
      <c r="AT489" s="118" t="s">
        <v>1779</v>
      </c>
      <c r="AU489" s="118">
        <v>-85.831979649999994</v>
      </c>
      <c r="AV489" s="118">
        <v>40.673674419999998</v>
      </c>
      <c r="AW489" s="118" t="s">
        <v>1779</v>
      </c>
      <c r="AX489" s="118" t="s">
        <v>1779</v>
      </c>
      <c r="AY489" s="118" t="s">
        <v>1779</v>
      </c>
      <c r="AZ489" s="118" t="s">
        <v>1779</v>
      </c>
      <c r="BA489" s="118" t="s">
        <v>1779</v>
      </c>
      <c r="BB489" s="118" t="s">
        <v>1779</v>
      </c>
      <c r="BC489" s="118" t="s">
        <v>1779</v>
      </c>
      <c r="BD489" s="118" t="s">
        <v>1779</v>
      </c>
      <c r="BE489" s="118" t="s">
        <v>1779</v>
      </c>
      <c r="BF489" t="s">
        <v>515</v>
      </c>
      <c r="BG489" t="s">
        <v>515</v>
      </c>
      <c r="BH489" s="118">
        <v>200.80600000000001</v>
      </c>
      <c r="BI489" s="118">
        <v>195.19300000000001</v>
      </c>
      <c r="BJ489" s="118">
        <v>323.767</v>
      </c>
      <c r="BK489" s="118">
        <v>416.88</v>
      </c>
      <c r="BL489" s="118">
        <v>304.15199999999999</v>
      </c>
      <c r="BM489" s="118">
        <v>242.24299999999999</v>
      </c>
      <c r="BN489" s="118">
        <v>318.09399999999999</v>
      </c>
      <c r="BO489" s="118">
        <v>404.48700000000002</v>
      </c>
    </row>
    <row r="490" spans="1:67" x14ac:dyDescent="0.25">
      <c r="A490" s="25">
        <v>10489</v>
      </c>
      <c r="B490" t="s">
        <v>665</v>
      </c>
      <c r="C490" t="s">
        <v>665</v>
      </c>
      <c r="D490" s="27" t="s">
        <v>468</v>
      </c>
      <c r="E490" s="46">
        <v>7</v>
      </c>
      <c r="F490" s="118">
        <v>6411</v>
      </c>
      <c r="G490" t="s">
        <v>19</v>
      </c>
      <c r="H490" t="s">
        <v>8</v>
      </c>
      <c r="I490">
        <v>0.30199999999999999</v>
      </c>
      <c r="J490">
        <v>0.10100000000000001</v>
      </c>
      <c r="K490">
        <v>0.108</v>
      </c>
      <c r="L490" t="s">
        <v>515</v>
      </c>
      <c r="M490" s="140">
        <f t="shared" si="71"/>
        <v>0.30199999999999999</v>
      </c>
      <c r="N490" s="140">
        <f t="shared" si="71"/>
        <v>0.10100000000000001</v>
      </c>
      <c r="O490" s="140">
        <f t="shared" si="71"/>
        <v>0.108</v>
      </c>
      <c r="P490" s="140" t="str">
        <f t="shared" si="63"/>
        <v>NULL</v>
      </c>
      <c r="Q490" s="161">
        <v>0.3582605412040839</v>
      </c>
      <c r="R490" s="125">
        <v>26.813333333333333</v>
      </c>
      <c r="S490">
        <v>3.7933333333333334</v>
      </c>
      <c r="T490">
        <v>2.7530206219284019</v>
      </c>
      <c r="U490">
        <v>0.66011589471536425</v>
      </c>
      <c r="V490" s="118" t="s">
        <v>515</v>
      </c>
      <c r="W490" t="s">
        <v>515</v>
      </c>
      <c r="X490" t="s">
        <v>515</v>
      </c>
      <c r="Y490">
        <f t="shared" si="72"/>
        <v>9</v>
      </c>
      <c r="Z490">
        <f t="shared" si="73"/>
        <v>12</v>
      </c>
      <c r="AA490">
        <f t="shared" si="74"/>
        <v>2024</v>
      </c>
      <c r="AB490" s="118" t="b">
        <v>0</v>
      </c>
      <c r="AC490" s="19">
        <v>45547</v>
      </c>
      <c r="AD490" s="19" t="s">
        <v>515</v>
      </c>
      <c r="AE490" t="s">
        <v>515</v>
      </c>
      <c r="AF490" s="19">
        <v>45547</v>
      </c>
      <c r="AG490" t="s">
        <v>515</v>
      </c>
      <c r="AH490" t="s">
        <v>515</v>
      </c>
      <c r="AI490" s="118">
        <v>744.4</v>
      </c>
      <c r="AJ490" s="118">
        <v>415.3</v>
      </c>
      <c r="AK490" s="118">
        <v>429.3</v>
      </c>
      <c r="AL490" s="118">
        <v>279</v>
      </c>
      <c r="AM490" s="118">
        <v>0.21</v>
      </c>
      <c r="AN490" s="118">
        <v>430.7</v>
      </c>
      <c r="AO490" s="118">
        <v>0.39900000000000002</v>
      </c>
      <c r="AP490" s="118">
        <v>0.30299999999999999</v>
      </c>
      <c r="AQ490" s="118">
        <v>0.56599999999999995</v>
      </c>
      <c r="AR490" s="118">
        <v>67.2</v>
      </c>
      <c r="AS490" s="118">
        <v>5.73</v>
      </c>
      <c r="AT490" s="118">
        <v>68.5</v>
      </c>
      <c r="AU490" s="118">
        <v>-85.896565350000003</v>
      </c>
      <c r="AV490" s="118">
        <v>40.687834090000003</v>
      </c>
      <c r="AW490" s="118">
        <v>221.4</v>
      </c>
      <c r="AX490" s="118">
        <v>81.3</v>
      </c>
      <c r="AY490" s="118">
        <v>7.75</v>
      </c>
      <c r="AZ490" s="118">
        <v>-68.099999999999994</v>
      </c>
      <c r="BA490" s="118">
        <v>12.1</v>
      </c>
      <c r="BB490" s="118">
        <v>0</v>
      </c>
      <c r="BC490" s="118">
        <v>23.291</v>
      </c>
      <c r="BD490" s="118">
        <v>3.55</v>
      </c>
      <c r="BE490" s="118">
        <v>0</v>
      </c>
      <c r="BF490" t="s">
        <v>515</v>
      </c>
      <c r="BG490" t="s">
        <v>515</v>
      </c>
      <c r="BH490" s="118">
        <v>209.81800000000001</v>
      </c>
      <c r="BI490" s="118">
        <v>190.392</v>
      </c>
      <c r="BJ490" s="118">
        <v>273.20499999999998</v>
      </c>
      <c r="BK490" s="118">
        <v>324.55799999999999</v>
      </c>
      <c r="BL490" s="118">
        <v>245.72200000000001</v>
      </c>
      <c r="BM490" s="118">
        <v>204.607</v>
      </c>
      <c r="BN490" s="118">
        <v>267.233</v>
      </c>
      <c r="BO490" s="118">
        <v>357.19299999999998</v>
      </c>
    </row>
    <row r="491" spans="1:67" x14ac:dyDescent="0.25">
      <c r="A491" s="25">
        <v>10490</v>
      </c>
      <c r="B491" t="s">
        <v>670</v>
      </c>
      <c r="C491" t="s">
        <v>670</v>
      </c>
      <c r="D491" s="27" t="s">
        <v>469</v>
      </c>
      <c r="E491" s="46">
        <v>8</v>
      </c>
      <c r="F491" s="118">
        <v>5401</v>
      </c>
      <c r="G491" t="s">
        <v>19</v>
      </c>
      <c r="H491" t="s">
        <v>8</v>
      </c>
      <c r="I491">
        <v>6.7999999999999996E-3</v>
      </c>
      <c r="J491">
        <v>7.8E-2</v>
      </c>
      <c r="K491">
        <v>7.0000000000000007E-2</v>
      </c>
      <c r="L491" t="s">
        <v>515</v>
      </c>
      <c r="M491" s="140">
        <f t="shared" si="71"/>
        <v>0.05</v>
      </c>
      <c r="N491" s="140">
        <f t="shared" si="71"/>
        <v>0.05</v>
      </c>
      <c r="O491" s="140">
        <f t="shared" si="71"/>
        <v>0.05</v>
      </c>
      <c r="P491" s="140" t="str">
        <f t="shared" si="63"/>
        <v>NULL</v>
      </c>
      <c r="Q491" s="161">
        <v>0.4191289565477625</v>
      </c>
      <c r="R491" s="125">
        <v>36.923333333333332</v>
      </c>
      <c r="S491">
        <v>6.6333333333333329</v>
      </c>
      <c r="T491">
        <v>2.5799289086863766</v>
      </c>
      <c r="U491">
        <v>0.30080146908794125</v>
      </c>
      <c r="V491" s="118" t="s">
        <v>515</v>
      </c>
      <c r="W491" t="s">
        <v>515</v>
      </c>
      <c r="X491" t="s">
        <v>515</v>
      </c>
      <c r="Y491">
        <f t="shared" si="72"/>
        <v>9</v>
      </c>
      <c r="Z491">
        <f t="shared" si="73"/>
        <v>12</v>
      </c>
      <c r="AA491">
        <f t="shared" si="74"/>
        <v>2024</v>
      </c>
      <c r="AB491" s="118" t="b">
        <v>0</v>
      </c>
      <c r="AC491" s="19">
        <v>45547</v>
      </c>
      <c r="AD491" s="19" t="s">
        <v>515</v>
      </c>
      <c r="AE491" t="s">
        <v>515</v>
      </c>
      <c r="AF491" s="19">
        <v>45547</v>
      </c>
      <c r="AG491" t="s">
        <v>515</v>
      </c>
      <c r="AH491" t="s">
        <v>515</v>
      </c>
      <c r="AI491" s="118">
        <v>744.3</v>
      </c>
      <c r="AJ491" s="118">
        <v>414.5</v>
      </c>
      <c r="AK491" s="118">
        <v>424.5</v>
      </c>
      <c r="AL491" s="118">
        <v>276</v>
      </c>
      <c r="AM491" s="118">
        <v>0.2</v>
      </c>
      <c r="AN491" s="118">
        <v>425.5</v>
      </c>
      <c r="AO491" s="118">
        <v>0.42899999999999999</v>
      </c>
      <c r="AP491" s="118">
        <v>0.32</v>
      </c>
      <c r="AQ491" s="118">
        <v>0.60799999999999998</v>
      </c>
      <c r="AR491" s="118">
        <v>95.2</v>
      </c>
      <c r="AS491" s="118">
        <v>8.0399999999999991</v>
      </c>
      <c r="AT491" s="118">
        <v>97.1</v>
      </c>
      <c r="AU491" s="118">
        <v>-85.908397890000003</v>
      </c>
      <c r="AV491" s="118">
        <v>40.691622180000003</v>
      </c>
      <c r="AW491" s="118">
        <v>222.4</v>
      </c>
      <c r="AX491" s="118">
        <v>46.9</v>
      </c>
      <c r="AY491" s="118">
        <v>8.16</v>
      </c>
      <c r="AZ491" s="118">
        <v>-91.9</v>
      </c>
      <c r="BA491" s="118">
        <v>12.1</v>
      </c>
      <c r="BB491" s="118">
        <v>0</v>
      </c>
      <c r="BC491" s="118">
        <v>23.774999999999999</v>
      </c>
      <c r="BD491" s="118">
        <v>2.2200000000000002</v>
      </c>
      <c r="BE491" s="118">
        <v>0</v>
      </c>
      <c r="BF491" t="s">
        <v>515</v>
      </c>
      <c r="BG491" t="s">
        <v>515</v>
      </c>
      <c r="BH491" s="118">
        <v>218.626</v>
      </c>
      <c r="BI491" s="118">
        <v>197.78800000000001</v>
      </c>
      <c r="BJ491" s="118">
        <v>276.40899999999999</v>
      </c>
      <c r="BK491" s="118">
        <v>303.976</v>
      </c>
      <c r="BL491" s="118">
        <v>247.47399999999999</v>
      </c>
      <c r="BM491" s="118">
        <v>207.80199999999999</v>
      </c>
      <c r="BN491" s="118">
        <v>277.846</v>
      </c>
      <c r="BO491" s="118">
        <v>394.6</v>
      </c>
    </row>
    <row r="492" spans="1:67" x14ac:dyDescent="0.25">
      <c r="A492" s="25">
        <v>10491</v>
      </c>
      <c r="B492" t="s">
        <v>663</v>
      </c>
      <c r="C492" t="s">
        <v>663</v>
      </c>
      <c r="D492" s="27" t="s">
        <v>470</v>
      </c>
      <c r="E492" s="46">
        <v>9</v>
      </c>
      <c r="F492" s="118">
        <v>4381</v>
      </c>
      <c r="G492" t="s">
        <v>19</v>
      </c>
      <c r="H492" t="s">
        <v>8</v>
      </c>
      <c r="I492">
        <v>-7.6E-3</v>
      </c>
      <c r="J492">
        <v>7.0999999999999994E-2</v>
      </c>
      <c r="K492">
        <v>4.2000000000000003E-2</v>
      </c>
      <c r="L492" t="s">
        <v>515</v>
      </c>
      <c r="M492" s="140">
        <f t="shared" si="71"/>
        <v>0.05</v>
      </c>
      <c r="N492" s="140">
        <f t="shared" si="71"/>
        <v>0.05</v>
      </c>
      <c r="O492" s="140">
        <f t="shared" si="71"/>
        <v>0.05</v>
      </c>
      <c r="P492" s="140" t="str">
        <f t="shared" si="63"/>
        <v>NULL</v>
      </c>
      <c r="Q492" s="161">
        <v>0.44788959654047</v>
      </c>
      <c r="R492" s="125">
        <v>34.120000000000005</v>
      </c>
      <c r="S492">
        <v>20.063333333333333</v>
      </c>
      <c r="T492">
        <v>2.4650542281263537</v>
      </c>
      <c r="U492">
        <v>0.29685669591239883</v>
      </c>
      <c r="V492" s="118" t="s">
        <v>515</v>
      </c>
      <c r="W492" t="s">
        <v>515</v>
      </c>
      <c r="X492" t="s">
        <v>515</v>
      </c>
      <c r="Y492">
        <f t="shared" si="72"/>
        <v>9</v>
      </c>
      <c r="Z492">
        <f t="shared" si="73"/>
        <v>12</v>
      </c>
      <c r="AA492">
        <f t="shared" si="74"/>
        <v>2024</v>
      </c>
      <c r="AB492" s="118" t="b">
        <v>0</v>
      </c>
      <c r="AC492" s="19">
        <v>45547</v>
      </c>
      <c r="AD492" s="19" t="s">
        <v>515</v>
      </c>
      <c r="AE492" t="s">
        <v>515</v>
      </c>
      <c r="AF492" s="19">
        <v>45547</v>
      </c>
      <c r="AG492" t="s">
        <v>515</v>
      </c>
      <c r="AH492" t="s">
        <v>515</v>
      </c>
      <c r="AI492" s="118">
        <v>743.7</v>
      </c>
      <c r="AJ492" s="118">
        <v>415.1</v>
      </c>
      <c r="AK492" s="118">
        <v>416.2</v>
      </c>
      <c r="AL492" s="118">
        <v>271</v>
      </c>
      <c r="AM492" s="118">
        <v>0.2</v>
      </c>
      <c r="AN492" s="118">
        <v>416.3</v>
      </c>
      <c r="AO492" s="118">
        <v>0.34799999999999998</v>
      </c>
      <c r="AP492" s="118">
        <v>0.55100000000000005</v>
      </c>
      <c r="AQ492" s="118">
        <v>0.49399999999999999</v>
      </c>
      <c r="AR492" s="118">
        <v>138.5</v>
      </c>
      <c r="AS492" s="118">
        <v>11.46</v>
      </c>
      <c r="AT492" s="118">
        <v>141.19999999999999</v>
      </c>
      <c r="AU492" s="118">
        <v>-85.930163379999996</v>
      </c>
      <c r="AV492" s="118">
        <v>40.704155909999997</v>
      </c>
      <c r="AW492" s="118">
        <v>218.6</v>
      </c>
      <c r="AX492" s="118">
        <v>14.1</v>
      </c>
      <c r="AY492" s="118">
        <v>8.58</v>
      </c>
      <c r="AZ492" s="118">
        <v>-116.8</v>
      </c>
      <c r="BA492" s="118">
        <v>12.1</v>
      </c>
      <c r="BB492" s="118">
        <v>0</v>
      </c>
      <c r="BC492" s="118">
        <v>24.861999999999998</v>
      </c>
      <c r="BD492" s="118">
        <v>3.4</v>
      </c>
      <c r="BE492" s="118">
        <v>0</v>
      </c>
      <c r="BF492" t="s">
        <v>515</v>
      </c>
      <c r="BG492" t="s">
        <v>515</v>
      </c>
      <c r="BH492" s="118">
        <v>243.08699999999999</v>
      </c>
      <c r="BI492" s="118">
        <v>233.01</v>
      </c>
      <c r="BJ492" s="118">
        <v>301.24400000000003</v>
      </c>
      <c r="BK492" s="118">
        <v>338.64699999999999</v>
      </c>
      <c r="BL492" s="118">
        <v>267.39699999999999</v>
      </c>
      <c r="BM492" s="118">
        <v>233.357</v>
      </c>
      <c r="BN492" s="118">
        <v>298.55799999999999</v>
      </c>
      <c r="BO492" s="118">
        <v>403.69900000000001</v>
      </c>
    </row>
    <row r="493" spans="1:67" x14ac:dyDescent="0.25">
      <c r="A493" s="25">
        <v>10492</v>
      </c>
      <c r="B493" t="s">
        <v>667</v>
      </c>
      <c r="C493" t="s">
        <v>667</v>
      </c>
      <c r="D493" s="27" t="s">
        <v>471</v>
      </c>
      <c r="E493" s="46">
        <v>10</v>
      </c>
      <c r="F493" s="118">
        <v>2851</v>
      </c>
      <c r="G493" t="s">
        <v>19</v>
      </c>
      <c r="H493" t="s">
        <v>8</v>
      </c>
      <c r="I493">
        <v>-5.3E-3</v>
      </c>
      <c r="J493">
        <v>6.4000000000000001E-2</v>
      </c>
      <c r="K493">
        <v>4.1000000000000002E-2</v>
      </c>
      <c r="L493" t="s">
        <v>515</v>
      </c>
      <c r="M493" s="140">
        <f t="shared" si="71"/>
        <v>0.05</v>
      </c>
      <c r="N493" s="140">
        <f t="shared" si="71"/>
        <v>0.05</v>
      </c>
      <c r="O493" s="140">
        <f t="shared" si="71"/>
        <v>0.05</v>
      </c>
      <c r="P493" s="140" t="str">
        <f t="shared" si="63"/>
        <v>NULL</v>
      </c>
      <c r="Q493" s="161">
        <v>0.36853153225184276</v>
      </c>
      <c r="R493" s="125">
        <v>26.900000000000002</v>
      </c>
      <c r="S493">
        <v>3.9866666666666668</v>
      </c>
      <c r="T493">
        <v>2.3169126717480433</v>
      </c>
      <c r="U493">
        <v>0.28222022716452427</v>
      </c>
      <c r="V493" s="118" t="s">
        <v>515</v>
      </c>
      <c r="W493" t="s">
        <v>515</v>
      </c>
      <c r="X493" t="s">
        <v>515</v>
      </c>
      <c r="Y493">
        <f t="shared" si="72"/>
        <v>9</v>
      </c>
      <c r="Z493">
        <f t="shared" si="73"/>
        <v>12</v>
      </c>
      <c r="AA493">
        <f t="shared" si="74"/>
        <v>2024</v>
      </c>
      <c r="AB493" s="118" t="b">
        <v>0</v>
      </c>
      <c r="AC493" s="19">
        <v>45547</v>
      </c>
      <c r="AD493" s="19" t="s">
        <v>515</v>
      </c>
      <c r="AE493" t="s">
        <v>515</v>
      </c>
      <c r="AF493" s="19">
        <v>45547</v>
      </c>
      <c r="AG493" t="s">
        <v>515</v>
      </c>
      <c r="AH493" t="s">
        <v>515</v>
      </c>
      <c r="AI493" s="118">
        <v>744.3</v>
      </c>
      <c r="AJ493" s="118">
        <v>415.1</v>
      </c>
      <c r="AK493" s="118">
        <v>424.1</v>
      </c>
      <c r="AL493" s="118">
        <v>276</v>
      </c>
      <c r="AM493" s="118">
        <v>0.2</v>
      </c>
      <c r="AN493" s="118">
        <v>425</v>
      </c>
      <c r="AO493" s="118">
        <v>0.501</v>
      </c>
      <c r="AP493" s="118">
        <v>0.57699999999999996</v>
      </c>
      <c r="AQ493" s="118">
        <v>0.71099999999999997</v>
      </c>
      <c r="AR493" s="118">
        <v>96.6</v>
      </c>
      <c r="AS493" s="118">
        <v>8.14</v>
      </c>
      <c r="AT493" s="118">
        <v>98.5</v>
      </c>
      <c r="AU493" s="118">
        <v>-85.920288220000003</v>
      </c>
      <c r="AV493" s="118">
        <v>40.69342194</v>
      </c>
      <c r="AW493" s="118">
        <v>220.4</v>
      </c>
      <c r="AX493" s="118">
        <v>41.2</v>
      </c>
      <c r="AY493" s="118">
        <v>8.15</v>
      </c>
      <c r="AZ493" s="118">
        <v>-91.7</v>
      </c>
      <c r="BA493" s="118">
        <v>12.1</v>
      </c>
      <c r="BB493" s="118">
        <v>0</v>
      </c>
      <c r="BC493" s="118">
        <v>23.885000000000002</v>
      </c>
      <c r="BD493" s="118">
        <v>2.66</v>
      </c>
      <c r="BE493" s="118">
        <v>0</v>
      </c>
      <c r="BF493" t="s">
        <v>515</v>
      </c>
      <c r="BG493" t="s">
        <v>515</v>
      </c>
      <c r="BH493" s="118">
        <v>231.70400000000001</v>
      </c>
      <c r="BI493" s="118">
        <v>244.54499999999999</v>
      </c>
      <c r="BJ493" s="118">
        <v>317.83499999999998</v>
      </c>
      <c r="BK493" s="118">
        <v>362.35599999999999</v>
      </c>
      <c r="BL493" s="118">
        <v>278.46499999999997</v>
      </c>
      <c r="BM493" s="118">
        <v>241.892</v>
      </c>
      <c r="BN493" s="118">
        <v>294.45100000000002</v>
      </c>
      <c r="BO493" s="118">
        <v>420.892</v>
      </c>
    </row>
    <row r="494" spans="1:67" x14ac:dyDescent="0.25">
      <c r="A494" s="25">
        <v>10493</v>
      </c>
      <c r="B494" t="s">
        <v>661</v>
      </c>
      <c r="C494" t="s">
        <v>661</v>
      </c>
      <c r="D494" s="27" t="s">
        <v>472</v>
      </c>
      <c r="E494" s="46">
        <v>11</v>
      </c>
      <c r="F494" s="118">
        <v>1731</v>
      </c>
      <c r="G494" t="s">
        <v>19</v>
      </c>
      <c r="H494" t="s">
        <v>8</v>
      </c>
      <c r="I494">
        <v>-1.6000000000000001E-3</v>
      </c>
      <c r="J494">
        <v>7.2999999999999995E-2</v>
      </c>
      <c r="K494">
        <v>4.4999999999999998E-2</v>
      </c>
      <c r="L494" t="s">
        <v>515</v>
      </c>
      <c r="M494" s="140">
        <f t="shared" si="71"/>
        <v>0.05</v>
      </c>
      <c r="N494" s="140">
        <f t="shared" si="71"/>
        <v>0.05</v>
      </c>
      <c r="O494" s="140">
        <f t="shared" si="71"/>
        <v>0.05</v>
      </c>
      <c r="P494" s="140" t="str">
        <f t="shared" si="63"/>
        <v>NULL</v>
      </c>
      <c r="Q494" s="161">
        <v>0.38725942788022782</v>
      </c>
      <c r="R494" s="125">
        <v>20.326666666666664</v>
      </c>
      <c r="S494">
        <v>1.2433333333333334</v>
      </c>
      <c r="T494">
        <v>2.4073569903790117</v>
      </c>
      <c r="U494">
        <v>0.35607590287696389</v>
      </c>
      <c r="V494" s="118" t="s">
        <v>515</v>
      </c>
      <c r="W494" t="s">
        <v>515</v>
      </c>
      <c r="X494" t="s">
        <v>515</v>
      </c>
      <c r="Y494">
        <f t="shared" si="72"/>
        <v>9</v>
      </c>
      <c r="Z494">
        <f t="shared" si="73"/>
        <v>12</v>
      </c>
      <c r="AA494">
        <f t="shared" si="74"/>
        <v>2024</v>
      </c>
      <c r="AB494" s="118" t="b">
        <v>0</v>
      </c>
      <c r="AC494" s="19">
        <v>45547</v>
      </c>
      <c r="AD494" s="19" t="s">
        <v>515</v>
      </c>
      <c r="AE494" t="s">
        <v>515</v>
      </c>
      <c r="AF494" s="19">
        <v>45547</v>
      </c>
      <c r="AG494" t="s">
        <v>515</v>
      </c>
      <c r="AH494" t="s">
        <v>515</v>
      </c>
      <c r="AI494" s="118">
        <v>743.9</v>
      </c>
      <c r="AJ494" s="118">
        <v>407.9</v>
      </c>
      <c r="AK494" s="118">
        <v>409.6</v>
      </c>
      <c r="AL494" s="118">
        <v>266</v>
      </c>
      <c r="AM494" s="118">
        <v>0.2</v>
      </c>
      <c r="AN494" s="118">
        <v>409.8</v>
      </c>
      <c r="AO494" s="118">
        <v>0.51700000000000002</v>
      </c>
      <c r="AP494" s="118">
        <v>0.81599999999999995</v>
      </c>
      <c r="AQ494" s="118">
        <v>0.73299999999999998</v>
      </c>
      <c r="AR494" s="118">
        <v>154.1</v>
      </c>
      <c r="AS494" s="118">
        <v>12.76</v>
      </c>
      <c r="AT494" s="118">
        <v>157.1</v>
      </c>
      <c r="AU494" s="118">
        <v>-85.938684039999998</v>
      </c>
      <c r="AV494" s="118">
        <v>40.710971909999998</v>
      </c>
      <c r="AW494" s="118">
        <v>221.8</v>
      </c>
      <c r="AX494" s="118">
        <v>35.4</v>
      </c>
      <c r="AY494" s="118">
        <v>8.6199999999999992</v>
      </c>
      <c r="AZ494" s="118">
        <v>-119.6</v>
      </c>
      <c r="BA494" s="118">
        <v>12.1</v>
      </c>
      <c r="BB494" s="118">
        <v>0</v>
      </c>
      <c r="BC494" s="118">
        <v>24.774999999999999</v>
      </c>
      <c r="BD494" s="118">
        <v>3.67</v>
      </c>
      <c r="BE494" s="118">
        <v>0</v>
      </c>
      <c r="BF494" t="s">
        <v>515</v>
      </c>
      <c r="BG494" t="s">
        <v>515</v>
      </c>
      <c r="BH494" s="118">
        <v>249.09200000000001</v>
      </c>
      <c r="BI494" s="118">
        <v>229.744</v>
      </c>
      <c r="BJ494" s="118">
        <v>301.18099999999998</v>
      </c>
      <c r="BK494" s="118">
        <v>337.70100000000002</v>
      </c>
      <c r="BL494" s="118">
        <v>270.17399999999998</v>
      </c>
      <c r="BM494" s="118">
        <v>232.12700000000001</v>
      </c>
      <c r="BN494" s="118">
        <v>297.80799999999999</v>
      </c>
      <c r="BO494" s="118">
        <v>410.07400000000001</v>
      </c>
    </row>
    <row r="495" spans="1:67" x14ac:dyDescent="0.25">
      <c r="A495" s="25">
        <v>10494</v>
      </c>
      <c r="B495" t="s">
        <v>671</v>
      </c>
      <c r="C495" t="s">
        <v>671</v>
      </c>
      <c r="D495" s="27" t="s">
        <v>473</v>
      </c>
      <c r="E495" s="46">
        <v>12</v>
      </c>
      <c r="F495" s="118">
        <v>661</v>
      </c>
      <c r="G495" t="s">
        <v>19</v>
      </c>
      <c r="H495" t="s">
        <v>8</v>
      </c>
      <c r="I495">
        <v>4.3E-3</v>
      </c>
      <c r="J495">
        <v>0.14399999999999999</v>
      </c>
      <c r="K495">
        <v>6.3E-2</v>
      </c>
      <c r="L495" t="s">
        <v>515</v>
      </c>
      <c r="M495" s="140">
        <f t="shared" si="71"/>
        <v>0.05</v>
      </c>
      <c r="N495" s="140">
        <f t="shared" si="71"/>
        <v>0.14399999999999999</v>
      </c>
      <c r="O495" s="140">
        <f t="shared" si="71"/>
        <v>0.05</v>
      </c>
      <c r="P495" s="140" t="str">
        <f t="shared" si="63"/>
        <v>NULL</v>
      </c>
      <c r="Q495" s="161">
        <v>0.26707086336659086</v>
      </c>
      <c r="R495" s="125">
        <v>18.626666666666669</v>
      </c>
      <c r="S495">
        <v>1.41</v>
      </c>
      <c r="T495">
        <v>2.4536187395638178</v>
      </c>
      <c r="U495">
        <v>0.36397225056111004</v>
      </c>
      <c r="V495" s="118" t="s">
        <v>515</v>
      </c>
      <c r="W495" t="s">
        <v>515</v>
      </c>
      <c r="X495" t="s">
        <v>515</v>
      </c>
      <c r="Y495">
        <f t="shared" si="72"/>
        <v>9</v>
      </c>
      <c r="Z495">
        <f t="shared" si="73"/>
        <v>12</v>
      </c>
      <c r="AA495">
        <f t="shared" si="74"/>
        <v>2024</v>
      </c>
      <c r="AB495" s="118" t="b">
        <v>0</v>
      </c>
      <c r="AC495" s="19">
        <v>45547</v>
      </c>
      <c r="AD495" s="19" t="s">
        <v>515</v>
      </c>
      <c r="AE495" t="s">
        <v>515</v>
      </c>
      <c r="AF495" s="19">
        <v>45547</v>
      </c>
      <c r="AG495" t="s">
        <v>515</v>
      </c>
      <c r="AH495" t="s">
        <v>515</v>
      </c>
      <c r="AI495" s="118">
        <v>744.1</v>
      </c>
      <c r="AJ495" s="118">
        <v>408</v>
      </c>
      <c r="AK495" s="118">
        <v>412.9</v>
      </c>
      <c r="AL495" s="118">
        <v>268</v>
      </c>
      <c r="AM495" s="118">
        <v>0.2</v>
      </c>
      <c r="AN495" s="118">
        <v>413.4</v>
      </c>
      <c r="AO495" s="118">
        <v>0.60199999999999998</v>
      </c>
      <c r="AP495" s="118">
        <v>0.60499999999999998</v>
      </c>
      <c r="AQ495" s="118">
        <v>0.85399999999999998</v>
      </c>
      <c r="AR495" s="118">
        <v>158.80000000000001</v>
      </c>
      <c r="AS495" s="118">
        <v>13.26</v>
      </c>
      <c r="AT495" s="118">
        <v>161.9</v>
      </c>
      <c r="AU495" s="118">
        <v>-85.951000649999997</v>
      </c>
      <c r="AV495" s="118">
        <v>40.711607979999997</v>
      </c>
      <c r="AW495" s="118">
        <v>227.9</v>
      </c>
      <c r="AX495" s="118">
        <v>30.5</v>
      </c>
      <c r="AY495" s="118">
        <v>8.64</v>
      </c>
      <c r="AZ495" s="118">
        <v>-120.7</v>
      </c>
      <c r="BA495" s="118">
        <v>12.1</v>
      </c>
      <c r="BB495" s="118">
        <v>0</v>
      </c>
      <c r="BC495" s="118">
        <v>24.372</v>
      </c>
      <c r="BD495" s="118">
        <v>2.91</v>
      </c>
      <c r="BE495" s="118">
        <v>0</v>
      </c>
      <c r="BF495" t="s">
        <v>515</v>
      </c>
      <c r="BG495" t="s">
        <v>515</v>
      </c>
      <c r="BH495" s="118">
        <v>228.24299999999999</v>
      </c>
      <c r="BI495" s="118">
        <v>230.93299999999999</v>
      </c>
      <c r="BJ495" s="118">
        <v>329.90899999999999</v>
      </c>
      <c r="BK495" s="118">
        <v>376.142</v>
      </c>
      <c r="BL495" s="118">
        <v>306.32400000000001</v>
      </c>
      <c r="BM495" s="118">
        <v>237.87200000000001</v>
      </c>
      <c r="BN495" s="118">
        <v>334.16199999999998</v>
      </c>
      <c r="BO495" s="118">
        <v>339.42899999999997</v>
      </c>
    </row>
    <row r="496" spans="1:67" x14ac:dyDescent="0.25">
      <c r="A496" s="47">
        <v>10495</v>
      </c>
      <c r="B496" s="51" t="s">
        <v>664</v>
      </c>
      <c r="C496" s="51" t="s">
        <v>664</v>
      </c>
      <c r="D496" s="132" t="s">
        <v>474</v>
      </c>
      <c r="E496" s="133">
        <v>13</v>
      </c>
      <c r="F496" s="118">
        <v>13553</v>
      </c>
      <c r="G496" s="51" t="s">
        <v>19</v>
      </c>
      <c r="H496" s="51" t="s">
        <v>8</v>
      </c>
      <c r="I496" s="51">
        <v>-3.8E-3</v>
      </c>
      <c r="J496" s="51">
        <v>7.0000000000000007E-2</v>
      </c>
      <c r="K496" s="51">
        <v>4.1000000000000002E-2</v>
      </c>
      <c r="L496" s="51" t="s">
        <v>515</v>
      </c>
      <c r="M496" s="141">
        <f t="shared" si="71"/>
        <v>0.05</v>
      </c>
      <c r="N496" s="141">
        <f t="shared" si="71"/>
        <v>0.05</v>
      </c>
      <c r="O496" s="141">
        <f t="shared" si="71"/>
        <v>0.05</v>
      </c>
      <c r="P496" s="141" t="str">
        <f t="shared" si="63"/>
        <v>NULL</v>
      </c>
      <c r="Q496" s="164">
        <v>0.33612507180850809</v>
      </c>
      <c r="R496" s="130">
        <v>22.26</v>
      </c>
      <c r="S496" s="51">
        <v>6.12</v>
      </c>
      <c r="T496" s="51">
        <v>2.5201524912003901</v>
      </c>
      <c r="U496" s="51">
        <v>0.37522165544446712</v>
      </c>
      <c r="V496" s="51" t="s">
        <v>515</v>
      </c>
      <c r="W496" s="51" t="s">
        <v>515</v>
      </c>
      <c r="X496" s="51" t="s">
        <v>515</v>
      </c>
      <c r="Y496" s="51">
        <f t="shared" si="72"/>
        <v>9</v>
      </c>
      <c r="Z496" s="51">
        <f t="shared" si="73"/>
        <v>12</v>
      </c>
      <c r="AA496" s="51">
        <f t="shared" si="74"/>
        <v>2024</v>
      </c>
      <c r="AB496" s="51" t="b">
        <v>0</v>
      </c>
      <c r="AC496" s="52">
        <v>45547</v>
      </c>
      <c r="AD496" s="189" t="s">
        <v>515</v>
      </c>
      <c r="AE496" t="s">
        <v>515</v>
      </c>
      <c r="AF496" s="52">
        <v>45547</v>
      </c>
      <c r="AG496" t="s">
        <v>515</v>
      </c>
      <c r="AH496" t="s">
        <v>515</v>
      </c>
      <c r="AI496" s="118" t="s">
        <v>1779</v>
      </c>
      <c r="AJ496" s="118" t="s">
        <v>1779</v>
      </c>
      <c r="AK496" s="118" t="s">
        <v>1779</v>
      </c>
      <c r="AL496" s="118" t="s">
        <v>1779</v>
      </c>
      <c r="AM496" s="118" t="s">
        <v>1779</v>
      </c>
      <c r="AN496" s="118" t="s">
        <v>1779</v>
      </c>
      <c r="AO496" s="118" t="s">
        <v>1779</v>
      </c>
      <c r="AP496" s="118" t="s">
        <v>1779</v>
      </c>
      <c r="AQ496" s="118" t="s">
        <v>1779</v>
      </c>
      <c r="AR496" s="118" t="s">
        <v>1779</v>
      </c>
      <c r="AS496" s="118" t="s">
        <v>1779</v>
      </c>
      <c r="AT496" s="118" t="s">
        <v>1779</v>
      </c>
      <c r="AU496" s="118">
        <v>-85.84154934</v>
      </c>
      <c r="AV496" s="118">
        <v>40.672506980000001</v>
      </c>
      <c r="AW496" s="118" t="s">
        <v>1779</v>
      </c>
      <c r="AX496" s="118" t="s">
        <v>1779</v>
      </c>
      <c r="AY496" s="118" t="s">
        <v>1779</v>
      </c>
      <c r="AZ496" s="118" t="s">
        <v>1779</v>
      </c>
      <c r="BA496" s="118" t="s">
        <v>1779</v>
      </c>
      <c r="BB496" s="118" t="s">
        <v>1779</v>
      </c>
      <c r="BC496" s="118" t="s">
        <v>1779</v>
      </c>
      <c r="BD496" s="118" t="s">
        <v>1779</v>
      </c>
      <c r="BE496" s="118" t="s">
        <v>1779</v>
      </c>
      <c r="BF496" t="s">
        <v>515</v>
      </c>
      <c r="BG496" t="s">
        <v>515</v>
      </c>
      <c r="BH496" s="118">
        <v>203.62299999999999</v>
      </c>
      <c r="BI496" s="118">
        <v>195.392</v>
      </c>
      <c r="BJ496" s="118">
        <v>321.11399999999998</v>
      </c>
      <c r="BK496" s="118">
        <v>407.18299999999999</v>
      </c>
      <c r="BL496" s="118">
        <v>303.84500000000003</v>
      </c>
      <c r="BM496" s="118">
        <v>237.13200000000001</v>
      </c>
      <c r="BN496" s="118">
        <v>323.44600000000003</v>
      </c>
      <c r="BO496" s="118">
        <v>428.89699999999999</v>
      </c>
    </row>
    <row r="497" spans="1:59" x14ac:dyDescent="0.25">
      <c r="A497" s="25">
        <v>10496</v>
      </c>
      <c r="B497" s="131" t="s">
        <v>685</v>
      </c>
      <c r="C497" s="131" t="s">
        <v>685</v>
      </c>
      <c r="D497" s="27" t="s">
        <v>462</v>
      </c>
      <c r="E497" s="46">
        <v>1</v>
      </c>
      <c r="F497" s="118">
        <v>5999</v>
      </c>
      <c r="G497" t="s">
        <v>19</v>
      </c>
      <c r="H497" s="118" t="s">
        <v>8</v>
      </c>
      <c r="I497">
        <v>1.24E-2</v>
      </c>
      <c r="J497">
        <v>3.266</v>
      </c>
      <c r="K497">
        <v>2.9000000000000001E-2</v>
      </c>
      <c r="L497" s="63">
        <v>0.105</v>
      </c>
      <c r="M497" s="140">
        <f t="shared" si="71"/>
        <v>0.05</v>
      </c>
      <c r="N497" s="140">
        <f t="shared" si="71"/>
        <v>3.266</v>
      </c>
      <c r="O497" s="140">
        <f t="shared" si="71"/>
        <v>0.05</v>
      </c>
      <c r="P497" s="140">
        <f t="shared" si="63"/>
        <v>0.105</v>
      </c>
      <c r="Q497" s="161" t="s">
        <v>676</v>
      </c>
      <c r="R497" s="125">
        <v>11.033333333333333</v>
      </c>
      <c r="S497" s="125">
        <v>1.1299999999999999</v>
      </c>
      <c r="T497" t="s">
        <v>515</v>
      </c>
      <c r="U497" t="s">
        <v>515</v>
      </c>
      <c r="V497" s="161" t="s">
        <v>676</v>
      </c>
      <c r="W497" t="s">
        <v>515</v>
      </c>
      <c r="X497" t="s">
        <v>515</v>
      </c>
      <c r="Y497" s="140">
        <f t="shared" si="72"/>
        <v>5</v>
      </c>
      <c r="Z497" s="140">
        <f t="shared" si="73"/>
        <v>10</v>
      </c>
      <c r="AA497" s="140">
        <f t="shared" si="74"/>
        <v>2025</v>
      </c>
      <c r="AB497" s="118" t="b">
        <v>0</v>
      </c>
      <c r="AC497" s="19">
        <v>45787</v>
      </c>
      <c r="AD497" s="19" t="s">
        <v>515</v>
      </c>
      <c r="AE497" s="195">
        <v>0.49334490740740738</v>
      </c>
      <c r="AF497" s="196">
        <v>45787</v>
      </c>
      <c r="AG497" s="29">
        <v>250510</v>
      </c>
      <c r="AH497" s="29">
        <v>0</v>
      </c>
      <c r="AI497" s="29">
        <v>745.8</v>
      </c>
      <c r="AJ497" s="29">
        <v>436.5</v>
      </c>
      <c r="AK497" s="29">
        <v>493.4</v>
      </c>
      <c r="AL497" s="29">
        <v>321</v>
      </c>
      <c r="AM497" s="29">
        <v>0.24</v>
      </c>
      <c r="AN497" s="29">
        <v>498.5</v>
      </c>
      <c r="AO497" s="29">
        <v>0.74099999999999999</v>
      </c>
      <c r="AP497" s="29">
        <v>0.754</v>
      </c>
      <c r="AQ497" s="29">
        <v>1.052</v>
      </c>
      <c r="AR497" s="29">
        <v>115.5</v>
      </c>
      <c r="AS497" s="29">
        <v>10.7</v>
      </c>
      <c r="AT497" s="29">
        <v>117.1</v>
      </c>
      <c r="AU497" s="29">
        <v>40.681759999999997</v>
      </c>
      <c r="AV497" s="29">
        <v>-85.888440000000003</v>
      </c>
      <c r="AW497" s="29">
        <v>222.8</v>
      </c>
      <c r="AX497" s="29">
        <v>196.3</v>
      </c>
      <c r="AY497" s="29">
        <v>8.25</v>
      </c>
      <c r="AZ497" s="29">
        <v>-109.3</v>
      </c>
      <c r="BA497" s="29">
        <v>12.1</v>
      </c>
      <c r="BB497" s="29">
        <v>0</v>
      </c>
      <c r="BC497" s="29">
        <v>18.965</v>
      </c>
      <c r="BD497" s="29">
        <v>10.210000000000001</v>
      </c>
      <c r="BE497" s="29">
        <v>0</v>
      </c>
      <c r="BF497" s="138">
        <v>45787.493344907409</v>
      </c>
      <c r="BG497" s="29" t="s">
        <v>1717</v>
      </c>
    </row>
    <row r="498" spans="1:59" x14ac:dyDescent="0.25">
      <c r="A498" s="25">
        <v>10497</v>
      </c>
      <c r="B498" s="113" t="s">
        <v>686</v>
      </c>
      <c r="C498" s="119" t="s">
        <v>686</v>
      </c>
      <c r="D498" s="56" t="s">
        <v>463</v>
      </c>
      <c r="E498" s="46">
        <v>2</v>
      </c>
      <c r="F498" s="118">
        <v>8861</v>
      </c>
      <c r="G498" t="s">
        <v>19</v>
      </c>
      <c r="H498" s="118" t="s">
        <v>8</v>
      </c>
      <c r="I498">
        <v>-6.1999999999999998E-3</v>
      </c>
      <c r="J498">
        <v>3.028</v>
      </c>
      <c r="K498">
        <v>3.0000000000000001E-3</v>
      </c>
      <c r="L498" s="63">
        <v>4.7E-2</v>
      </c>
      <c r="M498" s="140">
        <f t="shared" ref="M498:O513" si="75">IF(I498&lt;0.1,0.05,I498)</f>
        <v>0.05</v>
      </c>
      <c r="N498" s="140">
        <f t="shared" si="75"/>
        <v>3.028</v>
      </c>
      <c r="O498" s="140">
        <f t="shared" si="75"/>
        <v>0.05</v>
      </c>
      <c r="P498" s="140">
        <f t="shared" si="63"/>
        <v>0.05</v>
      </c>
      <c r="Q498" s="161" t="s">
        <v>676</v>
      </c>
      <c r="R498" s="125">
        <v>15.965</v>
      </c>
      <c r="S498" s="125">
        <v>1.7349999999999999</v>
      </c>
      <c r="T498" t="s">
        <v>515</v>
      </c>
      <c r="U498" t="s">
        <v>515</v>
      </c>
      <c r="V498" s="161" t="s">
        <v>676</v>
      </c>
      <c r="W498" t="s">
        <v>515</v>
      </c>
      <c r="X498" t="s">
        <v>515</v>
      </c>
      <c r="Y498" s="140">
        <f t="shared" ref="Y498:Y561" si="76">MONTH(AC498)</f>
        <v>5</v>
      </c>
      <c r="Z498" s="140">
        <f t="shared" ref="Z498:Z561" si="77">DAY(AC498)</f>
        <v>10</v>
      </c>
      <c r="AA498" s="140">
        <f t="shared" ref="AA498:AA561" si="78">YEAR(AC498)</f>
        <v>2025</v>
      </c>
      <c r="AB498" s="118" t="b">
        <v>0</v>
      </c>
      <c r="AC498" s="19">
        <v>45787</v>
      </c>
      <c r="AD498" s="19" t="s">
        <v>515</v>
      </c>
      <c r="AE498" s="195">
        <v>0.50399305555555551</v>
      </c>
      <c r="AF498" s="196">
        <v>45787</v>
      </c>
      <c r="AG498" s="29">
        <v>250510</v>
      </c>
      <c r="AH498" s="29">
        <v>0</v>
      </c>
      <c r="AI498" s="29">
        <v>745.6</v>
      </c>
      <c r="AJ498" s="29">
        <v>503</v>
      </c>
      <c r="AK498" s="29">
        <v>576.1</v>
      </c>
      <c r="AL498" s="29">
        <v>374</v>
      </c>
      <c r="AM498" s="29">
        <v>0.28000000000000003</v>
      </c>
      <c r="AN498" s="29">
        <v>582.6</v>
      </c>
      <c r="AO498" s="29">
        <v>0.40500000000000003</v>
      </c>
      <c r="AP498" s="29">
        <v>0.42499999999999999</v>
      </c>
      <c r="AQ498" s="29">
        <v>0.57499999999999996</v>
      </c>
      <c r="AR498" s="29">
        <v>117.3</v>
      </c>
      <c r="AS498" s="29">
        <v>11</v>
      </c>
      <c r="AT498" s="29">
        <v>119</v>
      </c>
      <c r="AU498" s="29">
        <v>40.676839999999999</v>
      </c>
      <c r="AV498" s="29">
        <v>-85.876919999999998</v>
      </c>
      <c r="AW498" s="29">
        <v>222.5</v>
      </c>
      <c r="AX498" s="29">
        <v>175.6</v>
      </c>
      <c r="AY498" s="29">
        <v>8.2799999999999994</v>
      </c>
      <c r="AZ498" s="29">
        <v>-110.9</v>
      </c>
      <c r="BA498" s="29">
        <v>12.1</v>
      </c>
      <c r="BB498" s="29">
        <v>0</v>
      </c>
      <c r="BC498" s="29">
        <v>18.353999999999999</v>
      </c>
      <c r="BD498" s="29">
        <v>4.17</v>
      </c>
      <c r="BE498" s="29">
        <v>0</v>
      </c>
      <c r="BF498" s="138">
        <v>45787.503993055558</v>
      </c>
      <c r="BG498" s="29" t="s">
        <v>1716</v>
      </c>
    </row>
    <row r="499" spans="1:59" ht="15" customHeight="1" x14ac:dyDescent="0.25">
      <c r="A499" s="25">
        <v>10498</v>
      </c>
      <c r="B499" s="113" t="s">
        <v>687</v>
      </c>
      <c r="C499" s="119" t="s">
        <v>687</v>
      </c>
      <c r="D499" s="27" t="s">
        <v>464</v>
      </c>
      <c r="E499" s="46">
        <v>3</v>
      </c>
      <c r="F499" s="118">
        <v>9921</v>
      </c>
      <c r="G499" t="s">
        <v>19</v>
      </c>
      <c r="H499" s="118" t="s">
        <v>8</v>
      </c>
      <c r="I499">
        <v>-1.29E-2</v>
      </c>
      <c r="J499">
        <v>3.258</v>
      </c>
      <c r="K499">
        <v>2E-3</v>
      </c>
      <c r="L499" s="63">
        <v>4.4999999999999998E-2</v>
      </c>
      <c r="M499" s="140">
        <f t="shared" si="75"/>
        <v>0.05</v>
      </c>
      <c r="N499" s="140">
        <f t="shared" si="75"/>
        <v>3.258</v>
      </c>
      <c r="O499" s="140">
        <f t="shared" si="75"/>
        <v>0.05</v>
      </c>
      <c r="P499" s="140">
        <f t="shared" si="63"/>
        <v>0.05</v>
      </c>
      <c r="Q499" s="161" t="s">
        <v>676</v>
      </c>
      <c r="R499" s="125">
        <v>7.7633333333333328</v>
      </c>
      <c r="S499" s="125">
        <v>1.5266666666666666</v>
      </c>
      <c r="T499" t="s">
        <v>515</v>
      </c>
      <c r="U499" t="s">
        <v>515</v>
      </c>
      <c r="V499" s="161" t="s">
        <v>676</v>
      </c>
      <c r="W499" t="s">
        <v>515</v>
      </c>
      <c r="X499" t="s">
        <v>515</v>
      </c>
      <c r="Y499" s="140">
        <f t="shared" si="76"/>
        <v>5</v>
      </c>
      <c r="Z499" s="140">
        <f t="shared" si="77"/>
        <v>10</v>
      </c>
      <c r="AA499" s="140">
        <f t="shared" si="78"/>
        <v>2025</v>
      </c>
      <c r="AB499" s="118" t="b">
        <v>0</v>
      </c>
      <c r="AC499" s="19">
        <v>45787</v>
      </c>
      <c r="AD499" s="19" t="s">
        <v>515</v>
      </c>
      <c r="AE499" s="195">
        <v>0.52861111111111114</v>
      </c>
      <c r="AF499" s="196">
        <v>45787</v>
      </c>
      <c r="AG499" s="29">
        <v>250510</v>
      </c>
      <c r="AH499" s="29">
        <v>0</v>
      </c>
      <c r="AI499" s="29">
        <v>745.3</v>
      </c>
      <c r="AJ499" s="29">
        <v>517.20000000000005</v>
      </c>
      <c r="AK499" s="29">
        <v>585.79999999999995</v>
      </c>
      <c r="AL499" s="29">
        <v>381</v>
      </c>
      <c r="AM499" s="29">
        <v>0.28000000000000003</v>
      </c>
      <c r="AN499" s="29">
        <v>592</v>
      </c>
      <c r="AO499" s="29">
        <v>0.54600000000000004</v>
      </c>
      <c r="AP499" s="29">
        <v>0.53100000000000003</v>
      </c>
      <c r="AQ499" s="29">
        <v>0.77500000000000002</v>
      </c>
      <c r="AR499" s="29">
        <v>126.2</v>
      </c>
      <c r="AS499" s="29">
        <v>11.72</v>
      </c>
      <c r="AT499" s="29">
        <v>128.1</v>
      </c>
      <c r="AU499" s="29">
        <v>40.670589999999997</v>
      </c>
      <c r="AV499" s="29">
        <v>-85.870369999999994</v>
      </c>
      <c r="AW499" s="29">
        <v>219.1</v>
      </c>
      <c r="AX499" s="29">
        <v>178.7</v>
      </c>
      <c r="AY499" s="29">
        <v>8.2799999999999994</v>
      </c>
      <c r="AZ499" s="29">
        <v>-110.6</v>
      </c>
      <c r="BA499" s="29">
        <v>12.1</v>
      </c>
      <c r="BB499" s="29">
        <v>0</v>
      </c>
      <c r="BC499" s="29">
        <v>18.870999999999999</v>
      </c>
      <c r="BD499" s="29">
        <v>4.34</v>
      </c>
      <c r="BE499" s="29">
        <v>0</v>
      </c>
      <c r="BF499" s="138">
        <v>45787.528611111113</v>
      </c>
      <c r="BG499" s="29" t="s">
        <v>1715</v>
      </c>
    </row>
    <row r="500" spans="1:59" x14ac:dyDescent="0.25">
      <c r="A500" s="25">
        <v>10499</v>
      </c>
      <c r="B500" s="113" t="s">
        <v>688</v>
      </c>
      <c r="C500" s="119" t="s">
        <v>688</v>
      </c>
      <c r="D500" s="27" t="s">
        <v>465</v>
      </c>
      <c r="E500" s="46">
        <v>4</v>
      </c>
      <c r="F500" s="118">
        <v>10891</v>
      </c>
      <c r="G500" t="s">
        <v>19</v>
      </c>
      <c r="H500" s="118" t="s">
        <v>8</v>
      </c>
      <c r="I500">
        <v>-4.1000000000000003E-3</v>
      </c>
      <c r="J500">
        <v>3.2730000000000001</v>
      </c>
      <c r="K500">
        <v>4.0000000000000001E-3</v>
      </c>
      <c r="L500" s="63">
        <v>5.8000000000000003E-2</v>
      </c>
      <c r="M500" s="140">
        <f t="shared" si="75"/>
        <v>0.05</v>
      </c>
      <c r="N500" s="140">
        <f t="shared" si="75"/>
        <v>3.2730000000000001</v>
      </c>
      <c r="O500" s="140">
        <f t="shared" si="75"/>
        <v>0.05</v>
      </c>
      <c r="P500" s="140">
        <f t="shared" si="63"/>
        <v>0.05</v>
      </c>
      <c r="Q500" s="161" t="s">
        <v>676</v>
      </c>
      <c r="R500" s="125">
        <v>11.64</v>
      </c>
      <c r="S500" s="125">
        <v>2</v>
      </c>
      <c r="T500" t="s">
        <v>515</v>
      </c>
      <c r="U500" t="s">
        <v>515</v>
      </c>
      <c r="V500" s="161" t="s">
        <v>676</v>
      </c>
      <c r="W500" t="s">
        <v>515</v>
      </c>
      <c r="X500" t="s">
        <v>515</v>
      </c>
      <c r="Y500" s="140">
        <f t="shared" si="76"/>
        <v>5</v>
      </c>
      <c r="Z500" s="140">
        <f t="shared" si="77"/>
        <v>10</v>
      </c>
      <c r="AA500" s="140">
        <f t="shared" si="78"/>
        <v>2025</v>
      </c>
      <c r="AB500" s="118" t="b">
        <v>0</v>
      </c>
      <c r="AC500" s="19">
        <v>45787</v>
      </c>
      <c r="AD500" s="19" t="s">
        <v>515</v>
      </c>
      <c r="AE500" s="195">
        <v>0.53523148148148147</v>
      </c>
      <c r="AF500" s="196">
        <v>45787</v>
      </c>
      <c r="AG500" s="29">
        <v>250510</v>
      </c>
      <c r="AH500" s="29">
        <v>0</v>
      </c>
      <c r="AI500" s="29">
        <v>745.3</v>
      </c>
      <c r="AJ500" s="29">
        <v>526</v>
      </c>
      <c r="AK500" s="29">
        <v>591.79999999999995</v>
      </c>
      <c r="AL500" s="29">
        <v>385</v>
      </c>
      <c r="AM500" s="29">
        <v>0.28999999999999998</v>
      </c>
      <c r="AN500" s="29">
        <v>597.79999999999995</v>
      </c>
      <c r="AO500" s="29">
        <v>0.46100000000000002</v>
      </c>
      <c r="AP500" s="29">
        <v>0.45</v>
      </c>
      <c r="AQ500" s="29">
        <v>0.65500000000000003</v>
      </c>
      <c r="AR500" s="29">
        <v>141.6</v>
      </c>
      <c r="AS500" s="29">
        <v>13.06</v>
      </c>
      <c r="AT500" s="29">
        <v>143.6</v>
      </c>
      <c r="AU500" s="29">
        <v>40.663020000000003</v>
      </c>
      <c r="AV500" s="29">
        <v>-85.866429999999994</v>
      </c>
      <c r="AW500" s="29">
        <v>219.8</v>
      </c>
      <c r="AX500" s="29">
        <v>184.9</v>
      </c>
      <c r="AY500" s="29">
        <v>8.44</v>
      </c>
      <c r="AZ500" s="29">
        <v>-120.1</v>
      </c>
      <c r="BA500" s="29">
        <v>12.1</v>
      </c>
      <c r="BB500" s="29">
        <v>0</v>
      </c>
      <c r="BC500" s="29">
        <v>19.175999999999998</v>
      </c>
      <c r="BD500" s="29">
        <v>5.9</v>
      </c>
      <c r="BE500" s="29">
        <v>0</v>
      </c>
      <c r="BF500" s="138">
        <v>45787.535231481481</v>
      </c>
      <c r="BG500" s="29" t="s">
        <v>1714</v>
      </c>
    </row>
    <row r="501" spans="1:59" x14ac:dyDescent="0.25">
      <c r="A501" s="25">
        <v>10500</v>
      </c>
      <c r="B501" s="113" t="s">
        <v>689</v>
      </c>
      <c r="C501" s="119" t="s">
        <v>689</v>
      </c>
      <c r="D501" s="27" t="s">
        <v>466</v>
      </c>
      <c r="E501" s="46">
        <v>5</v>
      </c>
      <c r="F501" s="118">
        <v>12821</v>
      </c>
      <c r="G501" t="s">
        <v>19</v>
      </c>
      <c r="H501" s="118" t="s">
        <v>8</v>
      </c>
      <c r="I501">
        <v>1.24E-2</v>
      </c>
      <c r="J501">
        <v>3.7919999999999998</v>
      </c>
      <c r="K501">
        <v>8.0000000000000002E-3</v>
      </c>
      <c r="L501" s="63">
        <v>9.8000000000000004E-2</v>
      </c>
      <c r="M501" s="140">
        <f t="shared" si="75"/>
        <v>0.05</v>
      </c>
      <c r="N501" s="140">
        <f t="shared" si="75"/>
        <v>3.7919999999999998</v>
      </c>
      <c r="O501" s="140">
        <f t="shared" si="75"/>
        <v>0.05</v>
      </c>
      <c r="P501" s="140">
        <f t="shared" si="63"/>
        <v>0.05</v>
      </c>
      <c r="Q501" s="161" t="s">
        <v>676</v>
      </c>
      <c r="R501" s="125">
        <v>22.285</v>
      </c>
      <c r="S501" s="125">
        <v>2.0949999999999998</v>
      </c>
      <c r="T501" t="s">
        <v>515</v>
      </c>
      <c r="U501" t="s">
        <v>515</v>
      </c>
      <c r="V501" s="161" t="s">
        <v>676</v>
      </c>
      <c r="W501" t="s">
        <v>515</v>
      </c>
      <c r="X501" t="s">
        <v>515</v>
      </c>
      <c r="Y501" s="140">
        <f t="shared" si="76"/>
        <v>5</v>
      </c>
      <c r="Z501" s="140">
        <f t="shared" si="77"/>
        <v>10</v>
      </c>
      <c r="AA501" s="140">
        <f t="shared" si="78"/>
        <v>2025</v>
      </c>
      <c r="AB501" s="118" t="b">
        <v>0</v>
      </c>
      <c r="AC501" s="19">
        <v>45787</v>
      </c>
      <c r="AD501" s="19" t="s">
        <v>515</v>
      </c>
      <c r="AE501" s="195">
        <v>0.54645833333333338</v>
      </c>
      <c r="AF501" s="196">
        <v>45787</v>
      </c>
      <c r="AG501" s="29">
        <v>250510</v>
      </c>
      <c r="AH501" s="29">
        <v>0</v>
      </c>
      <c r="AI501" s="29">
        <v>745.1</v>
      </c>
      <c r="AJ501" s="29">
        <v>532</v>
      </c>
      <c r="AK501" s="29">
        <v>596.1</v>
      </c>
      <c r="AL501" s="29">
        <v>387</v>
      </c>
      <c r="AM501" s="29">
        <v>0.28999999999999998</v>
      </c>
      <c r="AN501" s="29">
        <v>602</v>
      </c>
      <c r="AO501" s="29">
        <v>0.378</v>
      </c>
      <c r="AP501" s="29">
        <v>0.376</v>
      </c>
      <c r="AQ501" s="29">
        <v>0.53600000000000003</v>
      </c>
      <c r="AR501" s="29">
        <v>141.1</v>
      </c>
      <c r="AS501" s="29">
        <v>12.97</v>
      </c>
      <c r="AT501" s="29">
        <v>143.1</v>
      </c>
      <c r="AU501" s="29">
        <v>40.668840000000003</v>
      </c>
      <c r="AV501" s="29">
        <v>-85.847499999999997</v>
      </c>
      <c r="AW501" s="29">
        <v>220.8</v>
      </c>
      <c r="AX501" s="29">
        <v>192.7</v>
      </c>
      <c r="AY501" s="29">
        <v>8.48</v>
      </c>
      <c r="AZ501" s="29">
        <v>-122.4</v>
      </c>
      <c r="BA501" s="29">
        <v>12.1</v>
      </c>
      <c r="BB501" s="29">
        <v>0</v>
      </c>
      <c r="BC501" s="29">
        <v>19.37</v>
      </c>
      <c r="BD501" s="29">
        <v>6.81</v>
      </c>
      <c r="BE501" s="29">
        <v>0</v>
      </c>
      <c r="BF501" s="138">
        <v>45787.546458333331</v>
      </c>
      <c r="BG501" s="29" t="s">
        <v>1713</v>
      </c>
    </row>
    <row r="502" spans="1:59" x14ac:dyDescent="0.25">
      <c r="A502" s="25">
        <v>10501</v>
      </c>
      <c r="B502" s="113" t="s">
        <v>690</v>
      </c>
      <c r="C502" s="119" t="s">
        <v>690</v>
      </c>
      <c r="D502" s="27" t="s">
        <v>467</v>
      </c>
      <c r="E502" s="46">
        <v>6</v>
      </c>
      <c r="F502" s="118">
        <v>14351</v>
      </c>
      <c r="G502" t="s">
        <v>19</v>
      </c>
      <c r="H502" s="118" t="s">
        <v>8</v>
      </c>
      <c r="I502">
        <v>-4.1999999999999997E-3</v>
      </c>
      <c r="J502">
        <v>4.2949999999999999</v>
      </c>
      <c r="K502">
        <v>2.5000000000000001E-2</v>
      </c>
      <c r="L502" s="63">
        <v>0.08</v>
      </c>
      <c r="M502" s="140">
        <f t="shared" si="75"/>
        <v>0.05</v>
      </c>
      <c r="N502" s="140">
        <f t="shared" si="75"/>
        <v>4.2949999999999999</v>
      </c>
      <c r="O502" s="140">
        <f t="shared" si="75"/>
        <v>0.05</v>
      </c>
      <c r="P502" s="140">
        <f t="shared" si="63"/>
        <v>0.05</v>
      </c>
      <c r="Q502" s="161" t="s">
        <v>676</v>
      </c>
      <c r="R502" s="125">
        <v>6.5466666666666669</v>
      </c>
      <c r="S502" s="125">
        <v>1.6966666666666665</v>
      </c>
      <c r="T502" t="s">
        <v>515</v>
      </c>
      <c r="U502" t="s">
        <v>515</v>
      </c>
      <c r="V502" s="161" t="s">
        <v>676</v>
      </c>
      <c r="W502" t="s">
        <v>515</v>
      </c>
      <c r="X502" t="s">
        <v>515</v>
      </c>
      <c r="Y502" s="140">
        <f t="shared" si="76"/>
        <v>5</v>
      </c>
      <c r="Z502" s="140">
        <f t="shared" si="77"/>
        <v>10</v>
      </c>
      <c r="AA502" s="140">
        <f t="shared" si="78"/>
        <v>2025</v>
      </c>
      <c r="AB502" s="118" t="b">
        <v>0</v>
      </c>
      <c r="AC502" s="19">
        <v>45787</v>
      </c>
      <c r="AD502" s="19" t="s">
        <v>515</v>
      </c>
      <c r="AE502" s="195">
        <v>0.5647106481481482</v>
      </c>
      <c r="AF502" s="196">
        <v>45787</v>
      </c>
      <c r="AG502" s="29">
        <v>250510</v>
      </c>
      <c r="AH502" s="29">
        <v>0</v>
      </c>
      <c r="AI502" s="29">
        <v>745</v>
      </c>
      <c r="AJ502" s="29">
        <v>533.70000000000005</v>
      </c>
      <c r="AK502" s="29">
        <v>599</v>
      </c>
      <c r="AL502" s="29">
        <v>389</v>
      </c>
      <c r="AM502" s="29">
        <v>0.28999999999999998</v>
      </c>
      <c r="AN502" s="29">
        <v>605</v>
      </c>
      <c r="AO502" s="29">
        <v>0.36699999999999999</v>
      </c>
      <c r="AP502" s="29">
        <v>0.35599999999999998</v>
      </c>
      <c r="AQ502" s="29">
        <v>0.52200000000000002</v>
      </c>
      <c r="AR502" s="29">
        <v>114.7</v>
      </c>
      <c r="AS502" s="29">
        <v>10.56</v>
      </c>
      <c r="AT502" s="29">
        <v>116.3</v>
      </c>
      <c r="AU502" s="29">
        <v>40.673729999999999</v>
      </c>
      <c r="AV502" s="29">
        <v>-85.831779999999995</v>
      </c>
      <c r="AW502" s="29">
        <v>221.3</v>
      </c>
      <c r="AX502" s="29">
        <v>174.4</v>
      </c>
      <c r="AY502" s="29">
        <v>8.15</v>
      </c>
      <c r="AZ502" s="29">
        <v>-103.2</v>
      </c>
      <c r="BA502" s="29">
        <v>12.1</v>
      </c>
      <c r="BB502" s="29">
        <v>0</v>
      </c>
      <c r="BC502" s="29">
        <v>19.283999999999999</v>
      </c>
      <c r="BD502" s="29">
        <v>9.34</v>
      </c>
      <c r="BE502" s="29">
        <v>0</v>
      </c>
      <c r="BF502" s="138">
        <v>45787.564710648148</v>
      </c>
      <c r="BG502" s="29" t="s">
        <v>1712</v>
      </c>
    </row>
    <row r="503" spans="1:59" x14ac:dyDescent="0.25">
      <c r="A503" s="25">
        <v>10502</v>
      </c>
      <c r="B503" s="113" t="s">
        <v>691</v>
      </c>
      <c r="C503" s="119" t="s">
        <v>691</v>
      </c>
      <c r="D503" s="27" t="s">
        <v>468</v>
      </c>
      <c r="E503" s="46">
        <v>7</v>
      </c>
      <c r="F503" s="118">
        <v>6411</v>
      </c>
      <c r="G503" t="s">
        <v>19</v>
      </c>
      <c r="H503" s="118" t="s">
        <v>8</v>
      </c>
      <c r="I503">
        <v>4.1799999999999997E-2</v>
      </c>
      <c r="J503">
        <v>3.1080000000000001</v>
      </c>
      <c r="K503">
        <v>5.1999999999999998E-2</v>
      </c>
      <c r="L503" s="63">
        <v>0.13200000000000001</v>
      </c>
      <c r="M503" s="140">
        <f t="shared" si="75"/>
        <v>0.05</v>
      </c>
      <c r="N503" s="140">
        <f t="shared" si="75"/>
        <v>3.1080000000000001</v>
      </c>
      <c r="O503" s="140">
        <f t="shared" si="75"/>
        <v>0.05</v>
      </c>
      <c r="P503" s="140">
        <f t="shared" si="63"/>
        <v>0.13200000000000001</v>
      </c>
      <c r="Q503" s="161" t="s">
        <v>676</v>
      </c>
      <c r="R503" s="125">
        <v>8.82</v>
      </c>
      <c r="S503" s="125">
        <v>1.6233333333333333</v>
      </c>
      <c r="T503" t="s">
        <v>515</v>
      </c>
      <c r="U503" t="s">
        <v>515</v>
      </c>
      <c r="V503" s="161" t="s">
        <v>676</v>
      </c>
      <c r="W503" t="s">
        <v>515</v>
      </c>
      <c r="X503" t="s">
        <v>515</v>
      </c>
      <c r="Y503" s="140">
        <f t="shared" si="76"/>
        <v>5</v>
      </c>
      <c r="Z503" s="140">
        <f t="shared" si="77"/>
        <v>10</v>
      </c>
      <c r="AA503" s="140">
        <f t="shared" si="78"/>
        <v>2025</v>
      </c>
      <c r="AB503" s="118" t="b">
        <v>0</v>
      </c>
      <c r="AC503" s="19">
        <v>45787</v>
      </c>
      <c r="AD503" s="19" t="s">
        <v>515</v>
      </c>
      <c r="AE503" s="195">
        <v>0.48379629629629628</v>
      </c>
      <c r="AF503" s="196">
        <v>45787</v>
      </c>
      <c r="AG503" s="29">
        <v>250510</v>
      </c>
      <c r="AH503" s="29">
        <v>0</v>
      </c>
      <c r="AI503" s="29">
        <v>745.8</v>
      </c>
      <c r="AJ503" s="29">
        <v>402.8</v>
      </c>
      <c r="AK503" s="29">
        <v>461.6</v>
      </c>
      <c r="AL503" s="29">
        <v>300</v>
      </c>
      <c r="AM503" s="29">
        <v>0.22</v>
      </c>
      <c r="AN503" s="29">
        <v>466.8</v>
      </c>
      <c r="AO503" s="29">
        <v>0.77600000000000002</v>
      </c>
      <c r="AP503" s="29">
        <v>0.77600000000000002</v>
      </c>
      <c r="AQ503" s="29">
        <v>1.103</v>
      </c>
      <c r="AR503" s="29">
        <v>106.7</v>
      </c>
      <c r="AS503" s="29">
        <v>10.029999999999999</v>
      </c>
      <c r="AT503" s="29">
        <v>108.3</v>
      </c>
      <c r="AU503" s="29">
        <v>40.687840000000001</v>
      </c>
      <c r="AV503" s="29">
        <v>-85.896339999999995</v>
      </c>
      <c r="AW503" s="29">
        <v>226.5</v>
      </c>
      <c r="AX503" s="29">
        <v>176.5</v>
      </c>
      <c r="AY503" s="29">
        <v>8.16</v>
      </c>
      <c r="AZ503" s="29">
        <v>-103.6</v>
      </c>
      <c r="BA503" s="29">
        <v>12.1</v>
      </c>
      <c r="BB503" s="29">
        <v>0</v>
      </c>
      <c r="BC503" s="29">
        <v>18.329000000000001</v>
      </c>
      <c r="BD503" s="29">
        <v>13.25</v>
      </c>
      <c r="BE503" s="29">
        <v>0</v>
      </c>
      <c r="BF503" s="138">
        <v>45787.483796296299</v>
      </c>
      <c r="BG503" s="29" t="s">
        <v>1724</v>
      </c>
    </row>
    <row r="504" spans="1:59" x14ac:dyDescent="0.25">
      <c r="A504" s="25">
        <v>10503</v>
      </c>
      <c r="B504" s="113" t="s">
        <v>692</v>
      </c>
      <c r="C504" s="119" t="s">
        <v>692</v>
      </c>
      <c r="D504" s="27" t="s">
        <v>469</v>
      </c>
      <c r="E504" s="46">
        <v>8</v>
      </c>
      <c r="F504" s="118">
        <v>5401</v>
      </c>
      <c r="G504" t="s">
        <v>19</v>
      </c>
      <c r="H504" s="118" t="s">
        <v>8</v>
      </c>
      <c r="I504">
        <v>5.2699999999999997E-2</v>
      </c>
      <c r="J504">
        <v>3.0720000000000001</v>
      </c>
      <c r="K504">
        <v>8.2000000000000003E-2</v>
      </c>
      <c r="L504" s="63">
        <v>0.151</v>
      </c>
      <c r="M504" s="140">
        <f t="shared" si="75"/>
        <v>0.05</v>
      </c>
      <c r="N504" s="140">
        <f t="shared" si="75"/>
        <v>3.0720000000000001</v>
      </c>
      <c r="O504" s="140">
        <f t="shared" si="75"/>
        <v>0.05</v>
      </c>
      <c r="P504" s="140">
        <f t="shared" si="63"/>
        <v>0.151</v>
      </c>
      <c r="Q504" s="161" t="s">
        <v>676</v>
      </c>
      <c r="R504" s="125">
        <v>5.54</v>
      </c>
      <c r="S504" s="125">
        <v>0.88</v>
      </c>
      <c r="T504" t="s">
        <v>515</v>
      </c>
      <c r="U504" t="s">
        <v>515</v>
      </c>
      <c r="V504" s="161" t="s">
        <v>676</v>
      </c>
      <c r="W504" t="s">
        <v>515</v>
      </c>
      <c r="X504" t="s">
        <v>515</v>
      </c>
      <c r="Y504" s="140">
        <f t="shared" si="76"/>
        <v>5</v>
      </c>
      <c r="Z504" s="140">
        <f t="shared" si="77"/>
        <v>10</v>
      </c>
      <c r="AA504" s="140">
        <f t="shared" si="78"/>
        <v>2025</v>
      </c>
      <c r="AB504" s="118" t="b">
        <v>0</v>
      </c>
      <c r="AC504" s="19">
        <v>45787</v>
      </c>
      <c r="AD504" s="19" t="s">
        <v>515</v>
      </c>
      <c r="AE504" s="195">
        <v>0.47240740740740739</v>
      </c>
      <c r="AF504" s="196">
        <v>45787</v>
      </c>
      <c r="AG504" s="29">
        <v>250510</v>
      </c>
      <c r="AH504" s="29">
        <v>0</v>
      </c>
      <c r="AI504" s="29">
        <v>745.9</v>
      </c>
      <c r="AJ504" s="29">
        <v>363.8</v>
      </c>
      <c r="AK504" s="29">
        <v>417.6</v>
      </c>
      <c r="AL504" s="29">
        <v>271</v>
      </c>
      <c r="AM504" s="29">
        <v>0.2</v>
      </c>
      <c r="AN504" s="29">
        <v>422.4</v>
      </c>
      <c r="AO504" s="29">
        <v>0.69799999999999995</v>
      </c>
      <c r="AP504" s="29">
        <v>0.71</v>
      </c>
      <c r="AQ504" s="29">
        <v>0.99099999999999999</v>
      </c>
      <c r="AR504" s="29">
        <v>103.4</v>
      </c>
      <c r="AS504" s="29">
        <v>9.73</v>
      </c>
      <c r="AT504" s="29">
        <v>104.9</v>
      </c>
      <c r="AU504" s="29">
        <v>40.691690000000001</v>
      </c>
      <c r="AV504" s="29">
        <v>-85.908100000000005</v>
      </c>
      <c r="AW504" s="29">
        <v>219.5</v>
      </c>
      <c r="AX504" s="29">
        <v>168.3</v>
      </c>
      <c r="AY504" s="29">
        <v>8.0299999999999994</v>
      </c>
      <c r="AZ504" s="29">
        <v>-96</v>
      </c>
      <c r="BA504" s="29">
        <v>12.1</v>
      </c>
      <c r="BB504" s="29">
        <v>0</v>
      </c>
      <c r="BC504" s="29">
        <v>18.251000000000001</v>
      </c>
      <c r="BD504" s="29">
        <v>20.149999999999999</v>
      </c>
      <c r="BE504" s="29">
        <v>0</v>
      </c>
      <c r="BF504" s="138">
        <v>45787.472407407404</v>
      </c>
      <c r="BG504" s="29" t="s">
        <v>1722</v>
      </c>
    </row>
    <row r="505" spans="1:59" x14ac:dyDescent="0.25">
      <c r="A505" s="25">
        <v>10504</v>
      </c>
      <c r="B505" s="113" t="s">
        <v>693</v>
      </c>
      <c r="C505" s="119" t="s">
        <v>693</v>
      </c>
      <c r="D505" s="27" t="s">
        <v>470</v>
      </c>
      <c r="E505" s="46">
        <v>9</v>
      </c>
      <c r="F505" s="118">
        <v>4381</v>
      </c>
      <c r="G505" t="s">
        <v>19</v>
      </c>
      <c r="H505" s="118" t="s">
        <v>8</v>
      </c>
      <c r="I505">
        <v>4.7100000000000003E-2</v>
      </c>
      <c r="J505">
        <v>3.3119999999999998</v>
      </c>
      <c r="K505">
        <v>0.11799999999999999</v>
      </c>
      <c r="L505" s="63">
        <v>0.186</v>
      </c>
      <c r="M505" s="140">
        <f t="shared" si="75"/>
        <v>0.05</v>
      </c>
      <c r="N505" s="140">
        <f t="shared" si="75"/>
        <v>3.3119999999999998</v>
      </c>
      <c r="O505" s="140">
        <f t="shared" si="75"/>
        <v>0.11799999999999999</v>
      </c>
      <c r="P505" s="140">
        <f t="shared" si="63"/>
        <v>0.186</v>
      </c>
      <c r="Q505" s="161" t="s">
        <v>676</v>
      </c>
      <c r="R505" s="125">
        <v>2.77</v>
      </c>
      <c r="S505" s="125">
        <v>0.67500000000000004</v>
      </c>
      <c r="T505" t="s">
        <v>515</v>
      </c>
      <c r="U505" t="s">
        <v>515</v>
      </c>
      <c r="V505" s="161" t="s">
        <v>676</v>
      </c>
      <c r="W505" t="s">
        <v>515</v>
      </c>
      <c r="X505" t="s">
        <v>515</v>
      </c>
      <c r="Y505" s="140">
        <f t="shared" si="76"/>
        <v>5</v>
      </c>
      <c r="Z505" s="140">
        <f t="shared" si="77"/>
        <v>10</v>
      </c>
      <c r="AA505" s="140">
        <f t="shared" si="78"/>
        <v>2025</v>
      </c>
      <c r="AB505" s="118" t="b">
        <v>0</v>
      </c>
      <c r="AC505" s="19">
        <v>45787</v>
      </c>
      <c r="AD505" s="19" t="s">
        <v>515</v>
      </c>
      <c r="AE505" s="195">
        <v>0.44878472222222221</v>
      </c>
      <c r="AF505" s="196">
        <v>45787</v>
      </c>
      <c r="AG505" s="29">
        <v>250510</v>
      </c>
      <c r="AH505" s="29">
        <v>0</v>
      </c>
      <c r="AI505" s="29">
        <v>746</v>
      </c>
      <c r="AJ505" s="29">
        <v>321.5</v>
      </c>
      <c r="AK505" s="29">
        <v>370.4</v>
      </c>
      <c r="AL505" s="29">
        <v>241</v>
      </c>
      <c r="AM505" s="29">
        <v>0.18</v>
      </c>
      <c r="AN505" s="29">
        <v>374.8</v>
      </c>
      <c r="AO505" s="29">
        <v>0.59099999999999997</v>
      </c>
      <c r="AP505" s="29">
        <v>0.57399999999999995</v>
      </c>
      <c r="AQ505" s="29">
        <v>0.83899999999999997</v>
      </c>
      <c r="AR505" s="29">
        <v>97.4</v>
      </c>
      <c r="AS505" s="29">
        <v>9.1999999999999993</v>
      </c>
      <c r="AT505" s="29">
        <v>98.8</v>
      </c>
      <c r="AU505" s="29">
        <v>40.704099999999997</v>
      </c>
      <c r="AV505" s="29">
        <v>-85.929789999999997</v>
      </c>
      <c r="AW505" s="29">
        <v>220.3</v>
      </c>
      <c r="AX505" s="29">
        <v>180.3</v>
      </c>
      <c r="AY505" s="29">
        <v>7.84</v>
      </c>
      <c r="AZ505" s="29">
        <v>-85.4</v>
      </c>
      <c r="BA505" s="29">
        <v>12.1</v>
      </c>
      <c r="BB505" s="29">
        <v>0</v>
      </c>
      <c r="BC505" s="29">
        <v>18.077999999999999</v>
      </c>
      <c r="BD505" s="29">
        <v>28.39</v>
      </c>
      <c r="BE505" s="29">
        <v>0</v>
      </c>
      <c r="BF505" s="138">
        <v>45787.448784722219</v>
      </c>
      <c r="BG505" s="29" t="s">
        <v>1718</v>
      </c>
    </row>
    <row r="506" spans="1:59" x14ac:dyDescent="0.25">
      <c r="A506" s="25">
        <v>10505</v>
      </c>
      <c r="B506" s="113" t="s">
        <v>694</v>
      </c>
      <c r="C506" s="119" t="s">
        <v>694</v>
      </c>
      <c r="D506" s="27" t="s">
        <v>471</v>
      </c>
      <c r="E506" s="46">
        <v>10</v>
      </c>
      <c r="F506" s="118">
        <v>2851</v>
      </c>
      <c r="G506" t="s">
        <v>19</v>
      </c>
      <c r="H506" s="118" t="s">
        <v>8</v>
      </c>
      <c r="I506">
        <v>5.45E-2</v>
      </c>
      <c r="J506">
        <v>3.2850000000000001</v>
      </c>
      <c r="K506">
        <v>0.125</v>
      </c>
      <c r="L506" s="63">
        <v>0.16600000000000001</v>
      </c>
      <c r="M506" s="140">
        <f t="shared" si="75"/>
        <v>0.05</v>
      </c>
      <c r="N506" s="140">
        <f t="shared" si="75"/>
        <v>3.2850000000000001</v>
      </c>
      <c r="O506" s="140">
        <f t="shared" si="75"/>
        <v>0.125</v>
      </c>
      <c r="P506" s="140">
        <f t="shared" si="63"/>
        <v>0.16600000000000001</v>
      </c>
      <c r="Q506" s="161" t="s">
        <v>676</v>
      </c>
      <c r="R506" s="125">
        <v>5.503333333333333</v>
      </c>
      <c r="S506" s="125">
        <v>1.01</v>
      </c>
      <c r="T506" t="s">
        <v>515</v>
      </c>
      <c r="U506" t="s">
        <v>515</v>
      </c>
      <c r="V506" s="161" t="s">
        <v>676</v>
      </c>
      <c r="W506" t="s">
        <v>515</v>
      </c>
      <c r="X506" t="s">
        <v>515</v>
      </c>
      <c r="Y506" s="140">
        <f t="shared" si="76"/>
        <v>5</v>
      </c>
      <c r="Z506" s="140">
        <f t="shared" si="77"/>
        <v>10</v>
      </c>
      <c r="AA506" s="140">
        <f t="shared" si="78"/>
        <v>2025</v>
      </c>
      <c r="AB506" s="118" t="b">
        <v>0</v>
      </c>
      <c r="AC506" s="19">
        <v>45787</v>
      </c>
      <c r="AD506" s="19" t="s">
        <v>515</v>
      </c>
      <c r="AE506" s="195">
        <v>0.45917824074074076</v>
      </c>
      <c r="AF506" s="196">
        <v>45787</v>
      </c>
      <c r="AG506" s="29">
        <v>250510</v>
      </c>
      <c r="AH506" s="29">
        <v>0</v>
      </c>
      <c r="AI506" s="29">
        <v>746.1</v>
      </c>
      <c r="AJ506" s="29">
        <v>331.3</v>
      </c>
      <c r="AK506" s="29">
        <v>387</v>
      </c>
      <c r="AL506" s="29">
        <v>252</v>
      </c>
      <c r="AM506" s="29">
        <v>0.19</v>
      </c>
      <c r="AN506" s="29">
        <v>391.8</v>
      </c>
      <c r="AO506" s="29">
        <v>0.79200000000000004</v>
      </c>
      <c r="AP506" s="29">
        <v>0.80600000000000005</v>
      </c>
      <c r="AQ506" s="29">
        <v>1.125</v>
      </c>
      <c r="AR506" s="29">
        <v>95.4</v>
      </c>
      <c r="AS506" s="29">
        <v>9.1199999999999992</v>
      </c>
      <c r="AT506" s="29">
        <v>96.8</v>
      </c>
      <c r="AU506" s="29">
        <v>40.693080000000002</v>
      </c>
      <c r="AV506" s="29">
        <v>-85.919939999999997</v>
      </c>
      <c r="AW506" s="29">
        <v>218.2</v>
      </c>
      <c r="AX506" s="29">
        <v>202.8</v>
      </c>
      <c r="AY506" s="29">
        <v>7.89</v>
      </c>
      <c r="AZ506" s="29">
        <v>-87.8</v>
      </c>
      <c r="BA506" s="29">
        <v>12.1</v>
      </c>
      <c r="BB506" s="29">
        <v>0</v>
      </c>
      <c r="BC506" s="29">
        <v>17.47</v>
      </c>
      <c r="BD506" s="29">
        <v>26.12</v>
      </c>
      <c r="BE506" s="29">
        <v>0</v>
      </c>
      <c r="BF506" s="138">
        <v>45787.459178240744</v>
      </c>
      <c r="BG506" s="29" t="s">
        <v>1725</v>
      </c>
    </row>
    <row r="507" spans="1:59" x14ac:dyDescent="0.25">
      <c r="A507" s="25">
        <v>10506</v>
      </c>
      <c r="B507" s="113" t="s">
        <v>695</v>
      </c>
      <c r="C507" s="119" t="s">
        <v>695</v>
      </c>
      <c r="D507" s="27" t="s">
        <v>472</v>
      </c>
      <c r="E507" s="46">
        <v>11</v>
      </c>
      <c r="F507" s="118">
        <v>1731</v>
      </c>
      <c r="G507" t="s">
        <v>19</v>
      </c>
      <c r="H507" s="118" t="s">
        <v>8</v>
      </c>
      <c r="I507">
        <v>5.4600000000000003E-2</v>
      </c>
      <c r="J507">
        <v>3.4449999999999998</v>
      </c>
      <c r="K507">
        <v>0.127</v>
      </c>
      <c r="L507" s="63">
        <v>0.20200000000000001</v>
      </c>
      <c r="M507" s="140">
        <f t="shared" si="75"/>
        <v>0.05</v>
      </c>
      <c r="N507" s="140">
        <f t="shared" si="75"/>
        <v>3.4449999999999998</v>
      </c>
      <c r="O507" s="140">
        <f t="shared" si="75"/>
        <v>0.127</v>
      </c>
      <c r="P507" s="140">
        <f t="shared" si="63"/>
        <v>0.20200000000000001</v>
      </c>
      <c r="Q507" s="161" t="s">
        <v>676</v>
      </c>
      <c r="R507" s="125">
        <v>1.46</v>
      </c>
      <c r="S507" s="125">
        <v>0.71499999999999997</v>
      </c>
      <c r="T507" t="s">
        <v>515</v>
      </c>
      <c r="U507" t="s">
        <v>515</v>
      </c>
      <c r="V507" s="161" t="s">
        <v>676</v>
      </c>
      <c r="W507" t="s">
        <v>515</v>
      </c>
      <c r="X507" t="s">
        <v>515</v>
      </c>
      <c r="Y507" s="140">
        <f t="shared" si="76"/>
        <v>5</v>
      </c>
      <c r="Z507" s="140">
        <f t="shared" si="77"/>
        <v>10</v>
      </c>
      <c r="AA507" s="140">
        <f t="shared" si="78"/>
        <v>2025</v>
      </c>
      <c r="AB507" s="118" t="b">
        <v>0</v>
      </c>
      <c r="AC507" s="19">
        <v>45787</v>
      </c>
      <c r="AD507" s="19" t="s">
        <v>515</v>
      </c>
      <c r="AE507" s="195">
        <v>0.43712962962962965</v>
      </c>
      <c r="AF507" s="196">
        <v>45787</v>
      </c>
      <c r="AG507" s="29">
        <v>250510</v>
      </c>
      <c r="AH507" s="29">
        <v>0</v>
      </c>
      <c r="AI507" s="29">
        <v>745.9</v>
      </c>
      <c r="AJ507" s="29">
        <v>318</v>
      </c>
      <c r="AK507" s="29">
        <v>365.3</v>
      </c>
      <c r="AL507" s="29">
        <v>237</v>
      </c>
      <c r="AM507" s="29">
        <v>0.18</v>
      </c>
      <c r="AN507" s="29">
        <v>369.5</v>
      </c>
      <c r="AO507" s="29">
        <v>0.54700000000000004</v>
      </c>
      <c r="AP507" s="29">
        <v>0.55400000000000005</v>
      </c>
      <c r="AQ507" s="29">
        <v>0.77700000000000002</v>
      </c>
      <c r="AR507" s="29">
        <v>92</v>
      </c>
      <c r="AS507" s="29">
        <v>8.67</v>
      </c>
      <c r="AT507" s="29">
        <v>93.4</v>
      </c>
      <c r="AU507" s="29">
        <v>40.710990000000002</v>
      </c>
      <c r="AV507" s="29">
        <v>-85.938450000000003</v>
      </c>
      <c r="AW507" s="29">
        <v>219.4</v>
      </c>
      <c r="AX507" s="29">
        <v>165.8</v>
      </c>
      <c r="AY507" s="29">
        <v>7.79</v>
      </c>
      <c r="AZ507" s="29">
        <v>-82.4</v>
      </c>
      <c r="BA507" s="29">
        <v>12.1</v>
      </c>
      <c r="BB507" s="29">
        <v>0</v>
      </c>
      <c r="BC507" s="29">
        <v>18.216000000000001</v>
      </c>
      <c r="BD507" s="29">
        <v>29.7</v>
      </c>
      <c r="BE507" s="29">
        <v>0</v>
      </c>
      <c r="BF507" s="138">
        <v>45787.43712962963</v>
      </c>
      <c r="BG507" s="29" t="s">
        <v>1719</v>
      </c>
    </row>
    <row r="508" spans="1:59" ht="15" customHeight="1" x14ac:dyDescent="0.25">
      <c r="A508" s="25">
        <v>10507</v>
      </c>
      <c r="B508" s="113" t="s">
        <v>696</v>
      </c>
      <c r="C508" s="119" t="s">
        <v>696</v>
      </c>
      <c r="D508" s="27" t="s">
        <v>473</v>
      </c>
      <c r="E508" s="46">
        <v>12</v>
      </c>
      <c r="F508" s="118">
        <v>661</v>
      </c>
      <c r="G508" t="s">
        <v>19</v>
      </c>
      <c r="H508" s="118" t="s">
        <v>8</v>
      </c>
      <c r="I508">
        <v>4.5699999999999998E-2</v>
      </c>
      <c r="J508">
        <v>3.262</v>
      </c>
      <c r="K508">
        <v>0.126</v>
      </c>
      <c r="L508" s="63">
        <v>0.20799999999999999</v>
      </c>
      <c r="M508" s="140">
        <f t="shared" si="75"/>
        <v>0.05</v>
      </c>
      <c r="N508" s="140">
        <f t="shared" si="75"/>
        <v>3.262</v>
      </c>
      <c r="O508" s="140">
        <f t="shared" si="75"/>
        <v>0.126</v>
      </c>
      <c r="P508" s="140">
        <f t="shared" si="63"/>
        <v>0.20799999999999999</v>
      </c>
      <c r="Q508" s="161" t="s">
        <v>676</v>
      </c>
      <c r="R508" s="125">
        <v>1.7066666666666668</v>
      </c>
      <c r="S508" s="125">
        <v>0.62333333333333341</v>
      </c>
      <c r="T508" t="s">
        <v>515</v>
      </c>
      <c r="U508" t="s">
        <v>515</v>
      </c>
      <c r="V508" s="161" t="s">
        <v>676</v>
      </c>
      <c r="W508" t="s">
        <v>515</v>
      </c>
      <c r="X508" t="s">
        <v>515</v>
      </c>
      <c r="Y508" s="140">
        <f t="shared" si="76"/>
        <v>5</v>
      </c>
      <c r="Z508" s="140">
        <f t="shared" si="77"/>
        <v>10</v>
      </c>
      <c r="AA508" s="140">
        <f t="shared" si="78"/>
        <v>2025</v>
      </c>
      <c r="AB508" s="118" t="b">
        <v>0</v>
      </c>
      <c r="AC508" s="19">
        <v>45787</v>
      </c>
      <c r="AD508" s="19" t="s">
        <v>515</v>
      </c>
      <c r="AE508" s="195">
        <v>0.42231481481481481</v>
      </c>
      <c r="AF508" s="196">
        <v>45787</v>
      </c>
      <c r="AG508" s="29">
        <v>250510</v>
      </c>
      <c r="AH508" s="29">
        <v>0</v>
      </c>
      <c r="AI508" s="29">
        <v>745.9</v>
      </c>
      <c r="AJ508" s="29">
        <v>314</v>
      </c>
      <c r="AK508" s="29">
        <v>362.7</v>
      </c>
      <c r="AL508" s="29">
        <v>236</v>
      </c>
      <c r="AM508" s="29">
        <v>0.17</v>
      </c>
      <c r="AN508" s="29">
        <v>367</v>
      </c>
      <c r="AO508" s="29">
        <v>0.64800000000000002</v>
      </c>
      <c r="AP508" s="29">
        <v>0.64200000000000002</v>
      </c>
      <c r="AQ508" s="29">
        <v>0.92</v>
      </c>
      <c r="AR508" s="29">
        <v>93.6</v>
      </c>
      <c r="AS508" s="29">
        <v>8.85</v>
      </c>
      <c r="AT508" s="29">
        <v>94.9</v>
      </c>
      <c r="AU508" s="29">
        <v>40.711509999999997</v>
      </c>
      <c r="AV508" s="29">
        <v>-85.950850000000003</v>
      </c>
      <c r="AW508" s="29">
        <v>216.9</v>
      </c>
      <c r="AX508" s="29">
        <v>165.2</v>
      </c>
      <c r="AY508" s="29">
        <v>7.79</v>
      </c>
      <c r="AZ508" s="29">
        <v>-82.1</v>
      </c>
      <c r="BA508" s="29">
        <v>12.1</v>
      </c>
      <c r="BB508" s="29">
        <v>0</v>
      </c>
      <c r="BC508" s="29">
        <v>17.971</v>
      </c>
      <c r="BD508" s="29">
        <v>32.17</v>
      </c>
      <c r="BE508" s="29">
        <v>0</v>
      </c>
      <c r="BF508" s="138">
        <v>45787.422314814816</v>
      </c>
      <c r="BG508" s="29" t="s">
        <v>1720</v>
      </c>
    </row>
    <row r="509" spans="1:59" x14ac:dyDescent="0.25">
      <c r="A509" s="25">
        <v>10508</v>
      </c>
      <c r="B509" s="113" t="s">
        <v>697</v>
      </c>
      <c r="C509" s="119" t="s">
        <v>697</v>
      </c>
      <c r="D509" s="27" t="s">
        <v>474</v>
      </c>
      <c r="E509" s="46">
        <v>13</v>
      </c>
      <c r="F509" s="118">
        <v>13553</v>
      </c>
      <c r="G509" t="s">
        <v>19</v>
      </c>
      <c r="H509" s="118" t="s">
        <v>8</v>
      </c>
      <c r="I509">
        <v>-9.1000000000000004E-3</v>
      </c>
      <c r="J509">
        <v>4.0570000000000004</v>
      </c>
      <c r="K509">
        <v>0.01</v>
      </c>
      <c r="L509" s="63">
        <v>8.2000000000000003E-2</v>
      </c>
      <c r="M509" s="140">
        <f t="shared" si="75"/>
        <v>0.05</v>
      </c>
      <c r="N509" s="140">
        <f t="shared" si="75"/>
        <v>4.0570000000000004</v>
      </c>
      <c r="O509" s="140">
        <f t="shared" si="75"/>
        <v>0.05</v>
      </c>
      <c r="P509" s="140">
        <f t="shared" si="63"/>
        <v>0.05</v>
      </c>
      <c r="Q509" s="161" t="s">
        <v>676</v>
      </c>
      <c r="R509" s="125">
        <v>15.88</v>
      </c>
      <c r="S509" s="125">
        <v>3.0066666666666664</v>
      </c>
      <c r="T509" t="s">
        <v>515</v>
      </c>
      <c r="U509" t="s">
        <v>515</v>
      </c>
      <c r="V509" s="161" t="s">
        <v>676</v>
      </c>
      <c r="W509" t="s">
        <v>515</v>
      </c>
      <c r="X509" t="s">
        <v>515</v>
      </c>
      <c r="Y509" s="140">
        <f t="shared" si="76"/>
        <v>5</v>
      </c>
      <c r="Z509" s="140">
        <f t="shared" si="77"/>
        <v>10</v>
      </c>
      <c r="AA509" s="140">
        <f t="shared" si="78"/>
        <v>2025</v>
      </c>
      <c r="AB509" s="118" t="b">
        <v>0</v>
      </c>
      <c r="AC509" s="19">
        <v>45787</v>
      </c>
      <c r="AD509" s="19" t="s">
        <v>515</v>
      </c>
      <c r="AE509" s="195">
        <v>0.55508101851851854</v>
      </c>
      <c r="AF509" s="196">
        <v>45787</v>
      </c>
      <c r="AG509" s="29">
        <v>250510</v>
      </c>
      <c r="AH509" s="29">
        <v>0</v>
      </c>
      <c r="AI509" s="29">
        <v>745</v>
      </c>
      <c r="AJ509" s="29">
        <v>534.4</v>
      </c>
      <c r="AK509" s="29">
        <v>600.29999999999995</v>
      </c>
      <c r="AL509" s="29">
        <v>390</v>
      </c>
      <c r="AM509" s="29">
        <v>0.28999999999999998</v>
      </c>
      <c r="AN509" s="29">
        <v>606.29999999999995</v>
      </c>
      <c r="AO509" s="29">
        <v>0.435</v>
      </c>
      <c r="AP509" s="29">
        <v>0.437</v>
      </c>
      <c r="AQ509" s="29">
        <v>0.61799999999999999</v>
      </c>
      <c r="AR509" s="29">
        <v>128.1</v>
      </c>
      <c r="AS509" s="29">
        <v>11.81</v>
      </c>
      <c r="AT509" s="29">
        <v>130</v>
      </c>
      <c r="AU509" s="29">
        <v>40.672640000000001</v>
      </c>
      <c r="AV509" s="29">
        <v>-85.841290000000001</v>
      </c>
      <c r="AW509" s="29">
        <v>219.8</v>
      </c>
      <c r="AX509" s="29">
        <v>187.7</v>
      </c>
      <c r="AY509" s="29">
        <v>8.35</v>
      </c>
      <c r="AZ509" s="29">
        <v>-114.8</v>
      </c>
      <c r="BA509" s="29">
        <v>12.1</v>
      </c>
      <c r="BB509" s="29">
        <v>0</v>
      </c>
      <c r="BC509" s="29">
        <v>19.259</v>
      </c>
      <c r="BD509" s="29">
        <v>7.5</v>
      </c>
      <c r="BE509" s="29">
        <v>0</v>
      </c>
      <c r="BF509" s="138">
        <v>45787.555081018516</v>
      </c>
      <c r="BG509" s="29" t="s">
        <v>1721</v>
      </c>
    </row>
    <row r="510" spans="1:59" x14ac:dyDescent="0.25">
      <c r="A510" s="25">
        <v>10509</v>
      </c>
      <c r="B510" s="114" t="s">
        <v>698</v>
      </c>
      <c r="C510" s="120" t="s">
        <v>698</v>
      </c>
      <c r="D510" s="27">
        <v>5101</v>
      </c>
      <c r="E510" s="46">
        <v>1</v>
      </c>
      <c r="F510" s="118" t="s">
        <v>515</v>
      </c>
      <c r="G510" t="s">
        <v>684</v>
      </c>
      <c r="H510" s="118" t="s">
        <v>8</v>
      </c>
      <c r="I510">
        <v>3.1800000000000002E-2</v>
      </c>
      <c r="J510">
        <v>2.5710000000000002</v>
      </c>
      <c r="K510">
        <v>-1E-3</v>
      </c>
      <c r="L510" s="118">
        <v>1.9E-2</v>
      </c>
      <c r="M510" s="140">
        <f t="shared" si="75"/>
        <v>0.05</v>
      </c>
      <c r="N510" s="140">
        <f t="shared" si="75"/>
        <v>2.5710000000000002</v>
      </c>
      <c r="O510" s="140">
        <f t="shared" si="75"/>
        <v>0.05</v>
      </c>
      <c r="P510" s="140">
        <f t="shared" si="63"/>
        <v>0.05</v>
      </c>
      <c r="Q510" s="157">
        <v>0.22402208413351465</v>
      </c>
      <c r="R510" s="125">
        <v>8.56</v>
      </c>
      <c r="S510" s="125">
        <v>2.3933333333333331</v>
      </c>
      <c r="T510" t="s">
        <v>515</v>
      </c>
      <c r="U510" t="s">
        <v>515</v>
      </c>
      <c r="V510" s="146">
        <v>0.9</v>
      </c>
      <c r="W510" s="118">
        <v>39.748964044951101</v>
      </c>
      <c r="X510" s="118">
        <v>-87.073747451137294</v>
      </c>
      <c r="Y510" s="140">
        <f t="shared" si="76"/>
        <v>7</v>
      </c>
      <c r="Z510" s="140">
        <f t="shared" si="77"/>
        <v>8</v>
      </c>
      <c r="AA510" s="140">
        <f t="shared" si="78"/>
        <v>2025</v>
      </c>
      <c r="AB510" s="118" t="b">
        <v>0</v>
      </c>
      <c r="AC510" s="19">
        <v>45846</v>
      </c>
      <c r="AD510" s="181" t="s">
        <v>1587</v>
      </c>
      <c r="AE510" s="213">
        <v>0.37725694444444446</v>
      </c>
      <c r="AF510" s="214">
        <v>45846</v>
      </c>
      <c r="AG510" s="212">
        <v>250708</v>
      </c>
      <c r="AH510" s="212">
        <v>0</v>
      </c>
      <c r="AI510" s="212">
        <v>745.9</v>
      </c>
      <c r="AJ510" s="212">
        <v>418.8</v>
      </c>
      <c r="AK510" s="212">
        <v>386.6</v>
      </c>
      <c r="AL510" s="212">
        <v>251</v>
      </c>
      <c r="AM510" s="212">
        <v>0.18</v>
      </c>
      <c r="AN510" s="212">
        <v>383</v>
      </c>
      <c r="AO510" s="212">
        <v>0.33</v>
      </c>
      <c r="AP510" s="212">
        <v>0.32700000000000001</v>
      </c>
      <c r="AQ510" s="212">
        <v>0.46700000000000003</v>
      </c>
      <c r="AR510" s="212">
        <v>95.4</v>
      </c>
      <c r="AS510" s="212">
        <v>7.29</v>
      </c>
      <c r="AT510" s="212">
        <v>97.2</v>
      </c>
      <c r="AU510" s="212">
        <v>39.748959999999997</v>
      </c>
      <c r="AV510" s="212">
        <v>-87.073740000000001</v>
      </c>
      <c r="AW510" s="212">
        <v>199.1</v>
      </c>
      <c r="AX510" s="212">
        <v>219.3</v>
      </c>
      <c r="AY510" s="212">
        <v>7.8</v>
      </c>
      <c r="AZ510" s="212">
        <v>-82.9</v>
      </c>
      <c r="BA510" s="212">
        <v>12</v>
      </c>
      <c r="BB510" s="212">
        <v>0</v>
      </c>
      <c r="BC510" s="212">
        <v>29.36</v>
      </c>
      <c r="BD510" s="212">
        <v>2.98</v>
      </c>
      <c r="BE510" s="212">
        <v>0</v>
      </c>
      <c r="BF510" s="215">
        <v>45846.377256944441</v>
      </c>
      <c r="BG510" s="212" t="s">
        <v>1729</v>
      </c>
    </row>
    <row r="511" spans="1:59" x14ac:dyDescent="0.25">
      <c r="A511" s="25">
        <v>10510</v>
      </c>
      <c r="B511" s="114" t="s">
        <v>699</v>
      </c>
      <c r="C511" s="120" t="s">
        <v>699</v>
      </c>
      <c r="D511" s="27">
        <v>5102</v>
      </c>
      <c r="E511" s="46">
        <v>2</v>
      </c>
      <c r="F511" s="118" t="s">
        <v>515</v>
      </c>
      <c r="G511" t="s">
        <v>684</v>
      </c>
      <c r="H511" s="118" t="s">
        <v>8</v>
      </c>
      <c r="I511">
        <v>0.1193</v>
      </c>
      <c r="J511">
        <v>2.2709999999999999</v>
      </c>
      <c r="K511">
        <v>1E-3</v>
      </c>
      <c r="L511" s="118">
        <v>2.8000000000000001E-2</v>
      </c>
      <c r="M511" s="140">
        <f t="shared" si="75"/>
        <v>0.1193</v>
      </c>
      <c r="N511" s="140">
        <f t="shared" si="75"/>
        <v>2.2709999999999999</v>
      </c>
      <c r="O511" s="140">
        <f t="shared" si="75"/>
        <v>0.05</v>
      </c>
      <c r="P511" s="140">
        <f t="shared" si="63"/>
        <v>0.05</v>
      </c>
      <c r="Q511" s="157">
        <v>0.21002272021687676</v>
      </c>
      <c r="R511" s="125">
        <v>8.25</v>
      </c>
      <c r="S511" s="125">
        <v>2.8200000000000003</v>
      </c>
      <c r="T511" t="s">
        <v>515</v>
      </c>
      <c r="U511" t="s">
        <v>515</v>
      </c>
      <c r="V511" s="118">
        <v>0.75</v>
      </c>
      <c r="W511" s="118">
        <v>39.755295243048103</v>
      </c>
      <c r="X511" s="118">
        <v>-87.056769790645305</v>
      </c>
      <c r="Y511" s="140">
        <f t="shared" si="76"/>
        <v>7</v>
      </c>
      <c r="Z511" s="140">
        <f t="shared" si="77"/>
        <v>8</v>
      </c>
      <c r="AA511" s="140">
        <f t="shared" si="78"/>
        <v>2025</v>
      </c>
      <c r="AB511" s="118" t="b">
        <v>0</v>
      </c>
      <c r="AC511" s="19">
        <v>45846</v>
      </c>
      <c r="AD511" s="181" t="s">
        <v>1588</v>
      </c>
      <c r="AE511" s="213">
        <v>0.39475694444444442</v>
      </c>
      <c r="AF511" s="214">
        <v>45846</v>
      </c>
      <c r="AG511" s="212">
        <v>250708</v>
      </c>
      <c r="AH511" s="212">
        <v>0</v>
      </c>
      <c r="AI511" s="212">
        <v>745.8</v>
      </c>
      <c r="AJ511" s="212">
        <v>424.4</v>
      </c>
      <c r="AK511" s="212">
        <v>390.5</v>
      </c>
      <c r="AL511" s="212">
        <v>254</v>
      </c>
      <c r="AM511" s="212">
        <v>0.18</v>
      </c>
      <c r="AN511" s="212">
        <v>386.7</v>
      </c>
      <c r="AO511" s="212">
        <v>0.28699999999999998</v>
      </c>
      <c r="AP511" s="212">
        <v>0.29799999999999999</v>
      </c>
      <c r="AQ511" s="212">
        <v>0.40699999999999997</v>
      </c>
      <c r="AR511" s="212">
        <v>93</v>
      </c>
      <c r="AS511" s="212">
        <v>7.08</v>
      </c>
      <c r="AT511" s="212">
        <v>94.8</v>
      </c>
      <c r="AU511" s="212">
        <v>39.755240000000001</v>
      </c>
      <c r="AV511" s="212">
        <v>-87.056730000000002</v>
      </c>
      <c r="AW511" s="212">
        <v>206.1</v>
      </c>
      <c r="AX511" s="212">
        <v>184</v>
      </c>
      <c r="AY511" s="212">
        <v>7.76</v>
      </c>
      <c r="AZ511" s="212">
        <v>-80.400000000000006</v>
      </c>
      <c r="BA511" s="212">
        <v>11.9</v>
      </c>
      <c r="BB511" s="212">
        <v>0</v>
      </c>
      <c r="BC511" s="212">
        <v>29.55</v>
      </c>
      <c r="BD511" s="212">
        <v>3.76</v>
      </c>
      <c r="BE511" s="212">
        <v>0</v>
      </c>
      <c r="BF511" s="215">
        <v>45846.394756944443</v>
      </c>
      <c r="BG511" s="212" t="s">
        <v>1730</v>
      </c>
    </row>
    <row r="512" spans="1:59" x14ac:dyDescent="0.25">
      <c r="A512" s="25">
        <v>10511</v>
      </c>
      <c r="B512" s="114" t="s">
        <v>700</v>
      </c>
      <c r="C512" s="120" t="s">
        <v>700</v>
      </c>
      <c r="D512" s="27">
        <v>5103</v>
      </c>
      <c r="E512" s="46">
        <v>3</v>
      </c>
      <c r="F512" s="118" t="s">
        <v>515</v>
      </c>
      <c r="G512" t="s">
        <v>684</v>
      </c>
      <c r="H512" s="118" t="s">
        <v>8</v>
      </c>
      <c r="I512">
        <v>-2.4400000000000002E-2</v>
      </c>
      <c r="J512">
        <v>1.92</v>
      </c>
      <c r="K512">
        <v>-1E-3</v>
      </c>
      <c r="L512" s="118">
        <v>1.2E-2</v>
      </c>
      <c r="M512" s="140">
        <f t="shared" si="75"/>
        <v>0.05</v>
      </c>
      <c r="N512" s="140">
        <f t="shared" si="75"/>
        <v>1.92</v>
      </c>
      <c r="O512" s="140">
        <f t="shared" si="75"/>
        <v>0.05</v>
      </c>
      <c r="P512" s="140">
        <f t="shared" si="63"/>
        <v>0.05</v>
      </c>
      <c r="Q512" s="157">
        <v>0.23801925111522509</v>
      </c>
      <c r="R512" s="125">
        <v>11.83</v>
      </c>
      <c r="S512" s="125">
        <v>2.6166666666666667</v>
      </c>
      <c r="T512" t="s">
        <v>515</v>
      </c>
      <c r="U512" t="s">
        <v>515</v>
      </c>
      <c r="V512" s="146">
        <v>0.75</v>
      </c>
      <c r="W512" s="118">
        <v>39.720774291742501</v>
      </c>
      <c r="X512" s="118">
        <v>-87.070605276533499</v>
      </c>
      <c r="Y512" s="140">
        <f t="shared" si="76"/>
        <v>7</v>
      </c>
      <c r="Z512" s="140">
        <f t="shared" si="77"/>
        <v>8</v>
      </c>
      <c r="AA512" s="140">
        <f t="shared" si="78"/>
        <v>2025</v>
      </c>
      <c r="AB512" s="118" t="b">
        <v>0</v>
      </c>
      <c r="AC512" s="19">
        <v>45846</v>
      </c>
      <c r="AD512" s="181" t="s">
        <v>1589</v>
      </c>
      <c r="AE512" s="213">
        <v>0.41921296296296295</v>
      </c>
      <c r="AF512" s="214">
        <v>45846</v>
      </c>
      <c r="AG512" s="212">
        <v>250708</v>
      </c>
      <c r="AH512" s="212">
        <v>0</v>
      </c>
      <c r="AI512" s="212">
        <v>745.9</v>
      </c>
      <c r="AJ512" s="212">
        <v>376.5</v>
      </c>
      <c r="AK512" s="212">
        <v>345.5</v>
      </c>
      <c r="AL512" s="212">
        <v>225</v>
      </c>
      <c r="AM512" s="212">
        <v>0.16</v>
      </c>
      <c r="AN512" s="212">
        <v>342.1</v>
      </c>
      <c r="AO512" s="212">
        <v>0.44600000000000001</v>
      </c>
      <c r="AP512" s="212">
        <v>0.439</v>
      </c>
      <c r="AQ512" s="212">
        <v>0.63200000000000001</v>
      </c>
      <c r="AR512" s="212">
        <v>113.2</v>
      </c>
      <c r="AS512" s="212">
        <v>8.59</v>
      </c>
      <c r="AT512" s="212">
        <v>115.4</v>
      </c>
      <c r="AU512" s="212">
        <v>39.720759999999999</v>
      </c>
      <c r="AV512" s="212">
        <v>-87.070670000000007</v>
      </c>
      <c r="AW512" s="212">
        <v>203.6</v>
      </c>
      <c r="AX512" s="212">
        <v>175.5</v>
      </c>
      <c r="AY512" s="212">
        <v>8.2899999999999991</v>
      </c>
      <c r="AZ512" s="212">
        <v>-112.3</v>
      </c>
      <c r="BA512" s="212">
        <v>11.9</v>
      </c>
      <c r="BB512" s="212">
        <v>0</v>
      </c>
      <c r="BC512" s="212">
        <v>29.699000000000002</v>
      </c>
      <c r="BD512" s="212">
        <v>2.41</v>
      </c>
      <c r="BE512" s="212">
        <v>0</v>
      </c>
      <c r="BF512" s="215">
        <v>45846.419212962966</v>
      </c>
      <c r="BG512" s="212" t="s">
        <v>1731</v>
      </c>
    </row>
    <row r="513" spans="1:59" x14ac:dyDescent="0.25">
      <c r="A513" s="25">
        <v>10512</v>
      </c>
      <c r="B513" s="114" t="s">
        <v>701</v>
      </c>
      <c r="C513" s="120" t="s">
        <v>701</v>
      </c>
      <c r="D513" s="27">
        <v>5104</v>
      </c>
      <c r="E513" s="46">
        <v>4</v>
      </c>
      <c r="F513" s="118" t="s">
        <v>515</v>
      </c>
      <c r="G513" t="s">
        <v>684</v>
      </c>
      <c r="H513" s="118" t="s">
        <v>8</v>
      </c>
      <c r="I513">
        <v>-1.0200000000000001E-2</v>
      </c>
      <c r="J513">
        <v>1.8029999999999999</v>
      </c>
      <c r="K513">
        <v>-1E-3</v>
      </c>
      <c r="L513" s="118">
        <v>1.4E-2</v>
      </c>
      <c r="M513" s="140">
        <f t="shared" si="75"/>
        <v>0.05</v>
      </c>
      <c r="N513" s="140">
        <f t="shared" si="75"/>
        <v>1.8029999999999999</v>
      </c>
      <c r="O513" s="140">
        <f t="shared" si="75"/>
        <v>0.05</v>
      </c>
      <c r="P513" s="140">
        <f t="shared" si="63"/>
        <v>0.05</v>
      </c>
      <c r="Q513" s="157">
        <v>0.22812475283512729</v>
      </c>
      <c r="R513" s="125">
        <v>16.47</v>
      </c>
      <c r="S513" s="125">
        <v>2.11</v>
      </c>
      <c r="T513" t="s">
        <v>515</v>
      </c>
      <c r="U513" t="s">
        <v>515</v>
      </c>
      <c r="V513" s="146">
        <v>0.75</v>
      </c>
      <c r="W513" s="118">
        <v>39.737724990630802</v>
      </c>
      <c r="X513" s="118">
        <v>-87.083459599274306</v>
      </c>
      <c r="Y513" s="140">
        <f t="shared" si="76"/>
        <v>7</v>
      </c>
      <c r="Z513" s="140">
        <f t="shared" si="77"/>
        <v>8</v>
      </c>
      <c r="AA513" s="140">
        <f t="shared" si="78"/>
        <v>2025</v>
      </c>
      <c r="AB513" s="118" t="b">
        <v>0</v>
      </c>
      <c r="AC513" s="19">
        <v>45846</v>
      </c>
      <c r="AD513" s="181" t="s">
        <v>1590</v>
      </c>
      <c r="AE513" s="213">
        <v>0.44942129629629629</v>
      </c>
      <c r="AF513" s="214">
        <v>45846</v>
      </c>
      <c r="AG513" s="212">
        <v>250708</v>
      </c>
      <c r="AH513" s="212">
        <v>0</v>
      </c>
      <c r="AI513" s="212">
        <v>745.9</v>
      </c>
      <c r="AJ513" s="212">
        <v>368.6</v>
      </c>
      <c r="AK513" s="212">
        <v>337.3</v>
      </c>
      <c r="AL513" s="212">
        <v>219</v>
      </c>
      <c r="AM513" s="212">
        <v>0.16</v>
      </c>
      <c r="AN513" s="212">
        <v>333.8</v>
      </c>
      <c r="AO513" s="212">
        <v>0.443</v>
      </c>
      <c r="AP513" s="212">
        <v>0.44900000000000001</v>
      </c>
      <c r="AQ513" s="212">
        <v>0.628</v>
      </c>
      <c r="AR513" s="212">
        <v>120.5</v>
      </c>
      <c r="AS513" s="212">
        <v>9.1199999999999992</v>
      </c>
      <c r="AT513" s="212">
        <v>122.8</v>
      </c>
      <c r="AU513" s="212">
        <v>39.737720000000003</v>
      </c>
      <c r="AV513" s="212">
        <v>-87.083460000000002</v>
      </c>
      <c r="AW513" s="212">
        <v>201.9</v>
      </c>
      <c r="AX513" s="212">
        <v>186.6</v>
      </c>
      <c r="AY513" s="212">
        <v>8.35</v>
      </c>
      <c r="AZ513" s="212">
        <v>-116.1</v>
      </c>
      <c r="BA513" s="212">
        <v>11.9</v>
      </c>
      <c r="BB513" s="212">
        <v>0</v>
      </c>
      <c r="BC513" s="212">
        <v>29.855</v>
      </c>
      <c r="BD513" s="212">
        <v>2.57</v>
      </c>
      <c r="BE513" s="212">
        <v>0</v>
      </c>
      <c r="BF513" s="215">
        <v>45846.449421296296</v>
      </c>
      <c r="BG513" s="212" t="s">
        <v>1732</v>
      </c>
    </row>
    <row r="514" spans="1:59" x14ac:dyDescent="0.25">
      <c r="A514" s="25">
        <v>10513</v>
      </c>
      <c r="B514" s="114" t="s">
        <v>702</v>
      </c>
      <c r="C514" s="120" t="s">
        <v>702</v>
      </c>
      <c r="D514" s="27">
        <v>5105</v>
      </c>
      <c r="E514" s="46">
        <v>5</v>
      </c>
      <c r="F514" s="118" t="s">
        <v>515</v>
      </c>
      <c r="G514" t="s">
        <v>684</v>
      </c>
      <c r="H514" s="118" t="s">
        <v>8</v>
      </c>
      <c r="I514">
        <v>-1.9699999999999999E-2</v>
      </c>
      <c r="J514">
        <v>2.2029999999999998</v>
      </c>
      <c r="K514">
        <v>-1E-3</v>
      </c>
      <c r="L514" s="118">
        <v>0.01</v>
      </c>
      <c r="M514" s="140">
        <f t="shared" ref="M514:O529" si="79">IF(I514&lt;0.1,0.05,I514)</f>
        <v>0.05</v>
      </c>
      <c r="N514" s="140">
        <f t="shared" si="79"/>
        <v>2.2029999999999998</v>
      </c>
      <c r="O514" s="140">
        <f t="shared" si="79"/>
        <v>0.05</v>
      </c>
      <c r="P514" s="140">
        <f t="shared" ref="P514:P577" si="80">IF(L514&lt;0.1,0.05,L514)</f>
        <v>0.05</v>
      </c>
      <c r="Q514" s="157">
        <v>0.22542531461380969</v>
      </c>
      <c r="R514" s="125">
        <v>15.183333333333332</v>
      </c>
      <c r="S514" s="125">
        <v>2.9033333333333329</v>
      </c>
      <c r="T514" t="s">
        <v>515</v>
      </c>
      <c r="U514" t="s">
        <v>515</v>
      </c>
      <c r="V514" s="146">
        <v>0.6</v>
      </c>
      <c r="W514" s="118">
        <v>39.732573472263702</v>
      </c>
      <c r="X514" s="118">
        <v>-87.065876971214905</v>
      </c>
      <c r="Y514" s="140">
        <f t="shared" si="76"/>
        <v>7</v>
      </c>
      <c r="Z514" s="140">
        <f t="shared" si="77"/>
        <v>8</v>
      </c>
      <c r="AA514" s="140">
        <f t="shared" si="78"/>
        <v>2025</v>
      </c>
      <c r="AB514" s="118" t="b">
        <v>0</v>
      </c>
      <c r="AC514" s="19">
        <v>45846</v>
      </c>
      <c r="AD514" s="181" t="s">
        <v>1591</v>
      </c>
      <c r="AE514" s="213">
        <v>0.4699652777777778</v>
      </c>
      <c r="AF514" s="214">
        <v>45846</v>
      </c>
      <c r="AG514" s="212">
        <v>250708</v>
      </c>
      <c r="AH514" s="212">
        <v>0</v>
      </c>
      <c r="AI514" s="212">
        <v>745.8</v>
      </c>
      <c r="AJ514" s="212">
        <v>403.2</v>
      </c>
      <c r="AK514" s="212">
        <v>368.1</v>
      </c>
      <c r="AL514" s="212">
        <v>239</v>
      </c>
      <c r="AM514" s="212">
        <v>0.17</v>
      </c>
      <c r="AN514" s="212">
        <v>364.2</v>
      </c>
      <c r="AO514" s="212">
        <v>0.38200000000000001</v>
      </c>
      <c r="AP514" s="212">
        <v>0.39400000000000002</v>
      </c>
      <c r="AQ514" s="212">
        <v>0.54100000000000004</v>
      </c>
      <c r="AR514" s="212">
        <v>113.5</v>
      </c>
      <c r="AS514" s="212">
        <v>8.57</v>
      </c>
      <c r="AT514" s="212">
        <v>115.7</v>
      </c>
      <c r="AU514" s="212">
        <v>39.732570000000003</v>
      </c>
      <c r="AV514" s="212">
        <v>-87.065860000000001</v>
      </c>
      <c r="AW514" s="212">
        <v>202.2</v>
      </c>
      <c r="AX514" s="212">
        <v>172.8</v>
      </c>
      <c r="AY514" s="212">
        <v>8.18</v>
      </c>
      <c r="AZ514" s="212">
        <v>-105.8</v>
      </c>
      <c r="BA514" s="212">
        <v>11.9</v>
      </c>
      <c r="BB514" s="212">
        <v>0</v>
      </c>
      <c r="BC514" s="212">
        <v>29.986999999999998</v>
      </c>
      <c r="BD514" s="212">
        <v>2.2799999999999998</v>
      </c>
      <c r="BE514" s="212">
        <v>0</v>
      </c>
      <c r="BF514" s="215">
        <v>45846.469965277778</v>
      </c>
      <c r="BG514" s="212" t="s">
        <v>1733</v>
      </c>
    </row>
    <row r="515" spans="1:59" x14ac:dyDescent="0.25">
      <c r="A515" s="25">
        <v>10514</v>
      </c>
      <c r="B515" s="114" t="s">
        <v>703</v>
      </c>
      <c r="C515" s="120" t="s">
        <v>703</v>
      </c>
      <c r="D515" s="27">
        <v>5106</v>
      </c>
      <c r="E515" s="46">
        <v>6</v>
      </c>
      <c r="F515" s="118" t="s">
        <v>515</v>
      </c>
      <c r="G515" t="s">
        <v>684</v>
      </c>
      <c r="H515" s="118" t="s">
        <v>8</v>
      </c>
      <c r="I515">
        <v>-2.7000000000000001E-3</v>
      </c>
      <c r="J515">
        <v>2.5750000000000002</v>
      </c>
      <c r="K515">
        <v>-1E-3</v>
      </c>
      <c r="L515" s="118">
        <v>2.4E-2</v>
      </c>
      <c r="M515" s="140">
        <f t="shared" si="79"/>
        <v>0.05</v>
      </c>
      <c r="N515" s="140">
        <f t="shared" si="79"/>
        <v>2.5750000000000002</v>
      </c>
      <c r="O515" s="140">
        <f t="shared" si="79"/>
        <v>0.05</v>
      </c>
      <c r="P515" s="140">
        <f t="shared" si="80"/>
        <v>0.05</v>
      </c>
      <c r="Q515" s="157">
        <v>0.2236629464686449</v>
      </c>
      <c r="R515" s="125">
        <v>28.24666666666667</v>
      </c>
      <c r="S515" s="125">
        <v>3.8066666666666662</v>
      </c>
      <c r="T515" t="s">
        <v>515</v>
      </c>
      <c r="U515" t="s">
        <v>515</v>
      </c>
      <c r="V515" s="146">
        <v>0.7</v>
      </c>
      <c r="W515" s="118">
        <v>39.7455718413526</v>
      </c>
      <c r="X515" s="118">
        <v>-87.0670318179004</v>
      </c>
      <c r="Y515" s="140">
        <f t="shared" si="76"/>
        <v>7</v>
      </c>
      <c r="Z515" s="140">
        <f t="shared" si="77"/>
        <v>8</v>
      </c>
      <c r="AA515" s="140">
        <f t="shared" si="78"/>
        <v>2025</v>
      </c>
      <c r="AB515" s="118" t="b">
        <v>0</v>
      </c>
      <c r="AC515" s="19">
        <v>45846</v>
      </c>
      <c r="AD515" s="181" t="s">
        <v>1592</v>
      </c>
      <c r="AE515" s="213">
        <v>0.49365740740740743</v>
      </c>
      <c r="AF515" s="214">
        <v>45846</v>
      </c>
      <c r="AG515" s="212">
        <v>250708</v>
      </c>
      <c r="AH515" s="212">
        <v>0</v>
      </c>
      <c r="AI515" s="212">
        <v>745.8</v>
      </c>
      <c r="AJ515" s="212">
        <v>420.7</v>
      </c>
      <c r="AK515" s="212">
        <v>384</v>
      </c>
      <c r="AL515" s="212">
        <v>250</v>
      </c>
      <c r="AM515" s="212">
        <v>0.18</v>
      </c>
      <c r="AN515" s="212">
        <v>379.9</v>
      </c>
      <c r="AO515" s="212">
        <v>0.28899999999999998</v>
      </c>
      <c r="AP515" s="212">
        <v>0.28999999999999998</v>
      </c>
      <c r="AQ515" s="212">
        <v>0.40899999999999997</v>
      </c>
      <c r="AR515" s="212">
        <v>115.8</v>
      </c>
      <c r="AS515" s="212">
        <v>8.74</v>
      </c>
      <c r="AT515" s="212">
        <v>118</v>
      </c>
      <c r="AU515" s="212">
        <v>39.745519999999999</v>
      </c>
      <c r="AV515" s="212">
        <v>-87.067070000000001</v>
      </c>
      <c r="AW515" s="212">
        <v>201</v>
      </c>
      <c r="AX515" s="212">
        <v>175.9</v>
      </c>
      <c r="AY515" s="212">
        <v>8.1199999999999992</v>
      </c>
      <c r="AZ515" s="212">
        <v>-101.9</v>
      </c>
      <c r="BA515" s="212">
        <v>11.9</v>
      </c>
      <c r="BB515" s="212">
        <v>0</v>
      </c>
      <c r="BC515" s="212">
        <v>30.010999999999999</v>
      </c>
      <c r="BD515" s="212">
        <v>3.21</v>
      </c>
      <c r="BE515" s="212">
        <v>0</v>
      </c>
      <c r="BF515" s="215">
        <v>45846.493657407409</v>
      </c>
      <c r="BG515" s="212" t="s">
        <v>1734</v>
      </c>
    </row>
    <row r="516" spans="1:59" x14ac:dyDescent="0.25">
      <c r="A516" s="25">
        <v>10515</v>
      </c>
      <c r="B516" s="115" t="s">
        <v>704</v>
      </c>
      <c r="C516" s="121" t="s">
        <v>704</v>
      </c>
      <c r="D516" s="27">
        <v>4105</v>
      </c>
      <c r="E516" s="27">
        <v>5</v>
      </c>
      <c r="F516" s="118">
        <v>6425</v>
      </c>
      <c r="G516" t="s">
        <v>20</v>
      </c>
      <c r="H516" s="118" t="s">
        <v>8</v>
      </c>
      <c r="I516">
        <v>8.3099999999999993E-2</v>
      </c>
      <c r="J516">
        <v>-0.13200000000000001</v>
      </c>
      <c r="K516">
        <v>3.4000000000000002E-2</v>
      </c>
      <c r="L516" s="118">
        <v>0.153</v>
      </c>
      <c r="M516" s="140">
        <f t="shared" si="79"/>
        <v>0.05</v>
      </c>
      <c r="N516" s="140">
        <f t="shared" si="79"/>
        <v>0.05</v>
      </c>
      <c r="O516" s="140">
        <f t="shared" si="79"/>
        <v>0.05</v>
      </c>
      <c r="P516" s="140">
        <f t="shared" si="80"/>
        <v>0.153</v>
      </c>
      <c r="Q516" s="157">
        <v>0.18701800870362817</v>
      </c>
      <c r="R516" s="125">
        <v>40.263333333333328</v>
      </c>
      <c r="S516" s="125">
        <v>12.233333333333334</v>
      </c>
      <c r="T516" t="s">
        <v>515</v>
      </c>
      <c r="U516" t="s">
        <v>515</v>
      </c>
      <c r="V516" s="146">
        <v>0.6</v>
      </c>
      <c r="W516" s="118">
        <v>40.8238714359764</v>
      </c>
      <c r="X516" s="118">
        <v>-86.795928657788707</v>
      </c>
      <c r="Y516" s="140">
        <f t="shared" si="76"/>
        <v>7</v>
      </c>
      <c r="Z516" s="140">
        <f t="shared" si="77"/>
        <v>14</v>
      </c>
      <c r="AA516" s="140">
        <f t="shared" si="78"/>
        <v>2025</v>
      </c>
      <c r="AB516" s="118" t="b">
        <v>0</v>
      </c>
      <c r="AC516" s="19">
        <v>45852</v>
      </c>
      <c r="AD516" s="181" t="s">
        <v>1598</v>
      </c>
      <c r="AE516" s="216">
        <v>0.4748263888888889</v>
      </c>
      <c r="AF516" s="217">
        <v>45852</v>
      </c>
      <c r="AG516" s="110">
        <v>250714</v>
      </c>
      <c r="AH516" s="110">
        <v>0</v>
      </c>
      <c r="AI516" s="110">
        <v>745.8</v>
      </c>
      <c r="AJ516" s="110">
        <v>526.9</v>
      </c>
      <c r="AK516" s="110">
        <v>484</v>
      </c>
      <c r="AL516" s="110">
        <v>315</v>
      </c>
      <c r="AM516" s="110">
        <v>0.23</v>
      </c>
      <c r="AN516" s="110">
        <v>479.3</v>
      </c>
      <c r="AO516" s="110">
        <v>0.39200000000000002</v>
      </c>
      <c r="AP516" s="110">
        <v>0.4</v>
      </c>
      <c r="AQ516" s="110">
        <v>0.55600000000000005</v>
      </c>
      <c r="AR516" s="110">
        <v>156.1</v>
      </c>
      <c r="AS516" s="110">
        <v>11.86</v>
      </c>
      <c r="AT516" s="110">
        <v>159.30000000000001</v>
      </c>
      <c r="AU516" s="110">
        <v>40.823860000000003</v>
      </c>
      <c r="AV516" s="110">
        <v>-86.795879999999997</v>
      </c>
      <c r="AW516" s="110">
        <v>195.2</v>
      </c>
      <c r="AX516" s="110">
        <v>126.7</v>
      </c>
      <c r="AY516" s="110">
        <v>8.2799999999999994</v>
      </c>
      <c r="AZ516" s="110">
        <v>-111.7</v>
      </c>
      <c r="BA516" s="110">
        <v>12</v>
      </c>
      <c r="BB516" s="110">
        <v>0</v>
      </c>
      <c r="BC516" s="110">
        <v>29.632999999999999</v>
      </c>
      <c r="BD516" s="110">
        <v>5.54</v>
      </c>
      <c r="BE516" s="110">
        <v>0</v>
      </c>
      <c r="BF516" s="218">
        <v>45852.474826388891</v>
      </c>
      <c r="BG516" s="110" t="s">
        <v>1735</v>
      </c>
    </row>
    <row r="517" spans="1:59" x14ac:dyDescent="0.25">
      <c r="A517" s="25">
        <v>10516</v>
      </c>
      <c r="B517" s="115" t="s">
        <v>705</v>
      </c>
      <c r="C517" s="121" t="s">
        <v>705</v>
      </c>
      <c r="D517" s="27">
        <v>4106</v>
      </c>
      <c r="E517" s="27">
        <v>6</v>
      </c>
      <c r="F517" s="118">
        <v>8245</v>
      </c>
      <c r="G517" t="s">
        <v>20</v>
      </c>
      <c r="H517" s="118" t="s">
        <v>8</v>
      </c>
      <c r="I517">
        <v>0.1138</v>
      </c>
      <c r="J517">
        <v>-0.24</v>
      </c>
      <c r="K517">
        <v>1E-3</v>
      </c>
      <c r="L517" s="118">
        <v>0.13400000000000001</v>
      </c>
      <c r="M517" s="140">
        <f t="shared" si="79"/>
        <v>0.1138</v>
      </c>
      <c r="N517" s="140">
        <f t="shared" si="79"/>
        <v>0.05</v>
      </c>
      <c r="O517" s="140">
        <f t="shared" si="79"/>
        <v>0.05</v>
      </c>
      <c r="P517" s="140">
        <f t="shared" si="80"/>
        <v>0.13400000000000001</v>
      </c>
      <c r="Q517" s="157">
        <v>0.20009214555477556</v>
      </c>
      <c r="R517" s="125">
        <v>154.30333333333331</v>
      </c>
      <c r="S517" s="125">
        <v>-9.1750000000000007</v>
      </c>
      <c r="T517" t="s">
        <v>515</v>
      </c>
      <c r="U517" t="s">
        <v>515</v>
      </c>
      <c r="V517" s="146">
        <v>0.2</v>
      </c>
      <c r="W517" s="118">
        <v>40.835002728246103</v>
      </c>
      <c r="X517" s="118">
        <v>-86.781824032977497</v>
      </c>
      <c r="Y517" s="140">
        <f t="shared" si="76"/>
        <v>7</v>
      </c>
      <c r="Z517" s="140">
        <f t="shared" si="77"/>
        <v>14</v>
      </c>
      <c r="AA517" s="140">
        <f t="shared" si="78"/>
        <v>2025</v>
      </c>
      <c r="AB517" s="118" t="b">
        <v>0</v>
      </c>
      <c r="AC517" s="19">
        <v>45852</v>
      </c>
      <c r="AD517" s="181" t="s">
        <v>1595</v>
      </c>
      <c r="AE517" s="216">
        <v>0.45851851851851849</v>
      </c>
      <c r="AF517" s="217">
        <v>45852</v>
      </c>
      <c r="AG517" s="110">
        <v>250714</v>
      </c>
      <c r="AH517" s="110">
        <v>0</v>
      </c>
      <c r="AI517" s="110">
        <v>745.7</v>
      </c>
      <c r="AJ517" s="110">
        <v>544.6</v>
      </c>
      <c r="AK517" s="110">
        <v>513.70000000000005</v>
      </c>
      <c r="AL517" s="110">
        <v>334</v>
      </c>
      <c r="AM517" s="110">
        <v>0.25</v>
      </c>
      <c r="AN517" s="110">
        <v>510.3</v>
      </c>
      <c r="AO517" s="110">
        <v>0.41</v>
      </c>
      <c r="AP517" s="110">
        <v>0.40300000000000002</v>
      </c>
      <c r="AQ517" s="110">
        <v>0.58099999999999996</v>
      </c>
      <c r="AR517" s="110">
        <v>179</v>
      </c>
      <c r="AS517" s="110">
        <v>13.96</v>
      </c>
      <c r="AT517" s="110">
        <v>182.6</v>
      </c>
      <c r="AU517" s="110">
        <v>40.834989999999998</v>
      </c>
      <c r="AV517" s="110">
        <v>-86.781850000000006</v>
      </c>
      <c r="AW517" s="110">
        <v>197</v>
      </c>
      <c r="AX517" s="110">
        <v>143.6</v>
      </c>
      <c r="AY517" s="110">
        <v>8.44</v>
      </c>
      <c r="AZ517" s="110">
        <v>-121</v>
      </c>
      <c r="BA517" s="110">
        <v>11.9</v>
      </c>
      <c r="BB517" s="110">
        <v>0</v>
      </c>
      <c r="BC517" s="110">
        <v>28.152000000000001</v>
      </c>
      <c r="BD517" s="110">
        <v>31.16</v>
      </c>
      <c r="BE517" s="110">
        <v>0</v>
      </c>
      <c r="BF517" s="218">
        <v>45852.458518518521</v>
      </c>
      <c r="BG517" s="110" t="s">
        <v>1736</v>
      </c>
    </row>
    <row r="518" spans="1:59" x14ac:dyDescent="0.25">
      <c r="A518" s="25">
        <v>10517</v>
      </c>
      <c r="B518" s="115" t="s">
        <v>706</v>
      </c>
      <c r="C518" s="121" t="s">
        <v>706</v>
      </c>
      <c r="D518" s="27">
        <v>4108</v>
      </c>
      <c r="E518" s="27">
        <v>8</v>
      </c>
      <c r="F518" s="118">
        <v>5065</v>
      </c>
      <c r="G518" t="s">
        <v>20</v>
      </c>
      <c r="H518" s="118" t="s">
        <v>8</v>
      </c>
      <c r="I518">
        <v>-2.0299999999999999E-2</v>
      </c>
      <c r="J518">
        <v>-0.224</v>
      </c>
      <c r="K518">
        <v>1E-3</v>
      </c>
      <c r="L518" s="118">
        <v>0.16900000000000001</v>
      </c>
      <c r="M518" s="140">
        <f t="shared" si="79"/>
        <v>0.05</v>
      </c>
      <c r="N518" s="140">
        <f t="shared" si="79"/>
        <v>0.05</v>
      </c>
      <c r="O518" s="140">
        <f t="shared" si="79"/>
        <v>0.05</v>
      </c>
      <c r="P518" s="140">
        <f t="shared" si="80"/>
        <v>0.16900000000000001</v>
      </c>
      <c r="Q518" s="157">
        <v>0.19869153359422648</v>
      </c>
      <c r="R518" s="125">
        <v>77.296666666666681</v>
      </c>
      <c r="S518" s="125">
        <v>8.1733333333333338</v>
      </c>
      <c r="T518" t="s">
        <v>515</v>
      </c>
      <c r="U518" t="s">
        <v>515</v>
      </c>
      <c r="V518" s="146">
        <v>0.3</v>
      </c>
      <c r="W518" s="118">
        <v>40.811155293176199</v>
      </c>
      <c r="X518" s="118">
        <v>-86.794320949388805</v>
      </c>
      <c r="Y518" s="140">
        <f t="shared" si="76"/>
        <v>7</v>
      </c>
      <c r="Z518" s="140">
        <f t="shared" si="77"/>
        <v>14</v>
      </c>
      <c r="AA518" s="140">
        <f t="shared" si="78"/>
        <v>2025</v>
      </c>
      <c r="AB518" s="118" t="b">
        <v>0</v>
      </c>
      <c r="AC518" s="19">
        <v>45852</v>
      </c>
      <c r="AD518" s="181" t="s">
        <v>1594</v>
      </c>
      <c r="AE518" s="216">
        <v>0.4377314814814815</v>
      </c>
      <c r="AF518" s="217">
        <v>45852</v>
      </c>
      <c r="AG518" s="110">
        <v>250714</v>
      </c>
      <c r="AH518" s="110">
        <v>0</v>
      </c>
      <c r="AI518" s="110">
        <v>745.9</v>
      </c>
      <c r="AJ518" s="110">
        <v>535.6</v>
      </c>
      <c r="AK518" s="110">
        <v>498.8</v>
      </c>
      <c r="AL518" s="110">
        <v>324</v>
      </c>
      <c r="AM518" s="110">
        <v>0.24</v>
      </c>
      <c r="AN518" s="110">
        <v>494.7</v>
      </c>
      <c r="AO518" s="110">
        <v>0.38400000000000001</v>
      </c>
      <c r="AP518" s="110">
        <v>0.36399999999999999</v>
      </c>
      <c r="AQ518" s="110">
        <v>0.54400000000000004</v>
      </c>
      <c r="AR518" s="110">
        <v>162.5</v>
      </c>
      <c r="AS518" s="110">
        <v>12.51</v>
      </c>
      <c r="AT518" s="110">
        <v>165.8</v>
      </c>
      <c r="AU518" s="110">
        <v>40.811140000000002</v>
      </c>
      <c r="AV518" s="110">
        <v>-86.794380000000004</v>
      </c>
      <c r="AW518" s="110">
        <v>198.8</v>
      </c>
      <c r="AX518" s="110">
        <v>134.4</v>
      </c>
      <c r="AY518" s="110">
        <v>8.35</v>
      </c>
      <c r="AZ518" s="110">
        <v>-115.5</v>
      </c>
      <c r="BA518" s="110">
        <v>12</v>
      </c>
      <c r="BB518" s="110">
        <v>0</v>
      </c>
      <c r="BC518" s="110">
        <v>28.870999999999999</v>
      </c>
      <c r="BD518" s="110">
        <v>25.75</v>
      </c>
      <c r="BE518" s="110">
        <v>0</v>
      </c>
      <c r="BF518" s="218">
        <v>45852.437731481485</v>
      </c>
      <c r="BG518" s="110" t="s">
        <v>1737</v>
      </c>
    </row>
    <row r="519" spans="1:59" x14ac:dyDescent="0.25">
      <c r="A519" s="25">
        <v>10518</v>
      </c>
      <c r="B519" s="115" t="s">
        <v>707</v>
      </c>
      <c r="C519" s="121" t="s">
        <v>707</v>
      </c>
      <c r="D519" s="27">
        <v>4109</v>
      </c>
      <c r="E519" s="27">
        <v>9</v>
      </c>
      <c r="F519" s="118">
        <v>3385</v>
      </c>
      <c r="G519" t="s">
        <v>20</v>
      </c>
      <c r="H519" s="118" t="s">
        <v>8</v>
      </c>
      <c r="I519">
        <v>8.7499999999999994E-2</v>
      </c>
      <c r="J519">
        <v>-0.13400000000000001</v>
      </c>
      <c r="K519">
        <v>2E-3</v>
      </c>
      <c r="L519" s="118">
        <v>0.109</v>
      </c>
      <c r="M519" s="140">
        <f t="shared" si="79"/>
        <v>0.05</v>
      </c>
      <c r="N519" s="140">
        <f t="shared" si="79"/>
        <v>0.05</v>
      </c>
      <c r="O519" s="140">
        <f t="shared" si="79"/>
        <v>0.05</v>
      </c>
      <c r="P519" s="140">
        <f t="shared" si="80"/>
        <v>0.109</v>
      </c>
      <c r="Q519" s="157">
        <v>0.23145600201519695</v>
      </c>
      <c r="R519" s="125">
        <v>57.136666666666677</v>
      </c>
      <c r="S519" s="125">
        <v>11.593333333333334</v>
      </c>
      <c r="T519" t="s">
        <v>515</v>
      </c>
      <c r="U519" t="s">
        <v>515</v>
      </c>
      <c r="V519" s="146">
        <v>0.6</v>
      </c>
      <c r="W519" s="118">
        <v>40.804210980481102</v>
      </c>
      <c r="X519" s="118">
        <v>-86.774823876043101</v>
      </c>
      <c r="Y519" s="140">
        <f t="shared" si="76"/>
        <v>7</v>
      </c>
      <c r="Z519" s="140">
        <f t="shared" si="77"/>
        <v>14</v>
      </c>
      <c r="AA519" s="140">
        <f t="shared" si="78"/>
        <v>2025</v>
      </c>
      <c r="AB519" s="118" t="b">
        <v>0</v>
      </c>
      <c r="AC519" s="19">
        <v>45852</v>
      </c>
      <c r="AD519" s="181" t="s">
        <v>1597</v>
      </c>
      <c r="AE519" s="216">
        <v>0.41212962962962962</v>
      </c>
      <c r="AF519" s="217">
        <v>45852</v>
      </c>
      <c r="AG519" s="110">
        <v>250714</v>
      </c>
      <c r="AH519" s="110">
        <v>0</v>
      </c>
      <c r="AI519" s="110">
        <v>745.8</v>
      </c>
      <c r="AJ519" s="110">
        <v>553.20000000000005</v>
      </c>
      <c r="AK519" s="110">
        <v>515</v>
      </c>
      <c r="AL519" s="110">
        <v>335</v>
      </c>
      <c r="AM519" s="110">
        <v>0.25</v>
      </c>
      <c r="AN519" s="110">
        <v>510.8</v>
      </c>
      <c r="AO519" s="110">
        <v>0.35299999999999998</v>
      </c>
      <c r="AP519" s="110">
        <v>0.35099999999999998</v>
      </c>
      <c r="AQ519" s="110">
        <v>0.5</v>
      </c>
      <c r="AR519" s="110">
        <v>129.19999999999999</v>
      </c>
      <c r="AS519" s="110">
        <v>9.9499999999999993</v>
      </c>
      <c r="AT519" s="110">
        <v>131.80000000000001</v>
      </c>
      <c r="AU519" s="110">
        <v>40.80415</v>
      </c>
      <c r="AV519" s="110">
        <v>-86.774829999999994</v>
      </c>
      <c r="AW519" s="110">
        <v>198.1</v>
      </c>
      <c r="AX519" s="110">
        <v>122.2</v>
      </c>
      <c r="AY519" s="110">
        <v>8.07</v>
      </c>
      <c r="AZ519" s="110">
        <v>-99</v>
      </c>
      <c r="BA519" s="110">
        <v>11.9</v>
      </c>
      <c r="BB519" s="110">
        <v>0</v>
      </c>
      <c r="BC519" s="110">
        <v>28.888999999999999</v>
      </c>
      <c r="BD519" s="110">
        <v>11.67</v>
      </c>
      <c r="BE519" s="110">
        <v>0</v>
      </c>
      <c r="BF519" s="218">
        <v>45852.412129629629</v>
      </c>
      <c r="BG519" s="110" t="s">
        <v>1739</v>
      </c>
    </row>
    <row r="520" spans="1:59" x14ac:dyDescent="0.25">
      <c r="A520" s="25">
        <v>10519</v>
      </c>
      <c r="B520" s="115" t="s">
        <v>708</v>
      </c>
      <c r="C520" s="121" t="s">
        <v>708</v>
      </c>
      <c r="D520" s="27">
        <v>4110</v>
      </c>
      <c r="E520" s="27">
        <v>10</v>
      </c>
      <c r="F520" s="118">
        <v>2205</v>
      </c>
      <c r="G520" t="s">
        <v>20</v>
      </c>
      <c r="H520" s="118" t="s">
        <v>8</v>
      </c>
      <c r="I520">
        <v>0.14699999999999999</v>
      </c>
      <c r="J520">
        <v>-0.122</v>
      </c>
      <c r="K520">
        <v>4.0000000000000001E-3</v>
      </c>
      <c r="L520" s="118">
        <v>0.158</v>
      </c>
      <c r="M520" s="140">
        <f t="shared" si="79"/>
        <v>0.14699999999999999</v>
      </c>
      <c r="N520" s="140">
        <f t="shared" si="79"/>
        <v>0.05</v>
      </c>
      <c r="O520" s="140">
        <f t="shared" si="79"/>
        <v>0.05</v>
      </c>
      <c r="P520" s="140">
        <f t="shared" si="80"/>
        <v>0.158</v>
      </c>
      <c r="Q520" s="157">
        <v>0.20369248900200457</v>
      </c>
      <c r="R520" s="125">
        <v>41.803333333333335</v>
      </c>
      <c r="S520" s="125">
        <v>10.853333333333333</v>
      </c>
      <c r="T520" t="s">
        <v>515</v>
      </c>
      <c r="U520" t="s">
        <v>515</v>
      </c>
      <c r="V520" s="146">
        <v>0.35</v>
      </c>
      <c r="W520" s="118">
        <v>40.794696088480897</v>
      </c>
      <c r="X520" s="118">
        <v>-86.774487164151097</v>
      </c>
      <c r="Y520" s="140">
        <f t="shared" si="76"/>
        <v>7</v>
      </c>
      <c r="Z520" s="140">
        <f t="shared" si="77"/>
        <v>14</v>
      </c>
      <c r="AA520" s="140">
        <f t="shared" si="78"/>
        <v>2025</v>
      </c>
      <c r="AB520" s="118" t="b">
        <v>0</v>
      </c>
      <c r="AC520" s="19">
        <v>45852</v>
      </c>
      <c r="AD520" s="181" t="s">
        <v>1595</v>
      </c>
      <c r="AE520" s="216">
        <v>0.38542824074074072</v>
      </c>
      <c r="AF520" s="217">
        <v>45852</v>
      </c>
      <c r="AG520" s="110">
        <v>250714</v>
      </c>
      <c r="AH520" s="110">
        <v>0</v>
      </c>
      <c r="AI520" s="110">
        <v>745.4</v>
      </c>
      <c r="AJ520" s="110">
        <v>545.6</v>
      </c>
      <c r="AK520" s="110">
        <v>506.5</v>
      </c>
      <c r="AL520" s="110">
        <v>329</v>
      </c>
      <c r="AM520" s="110">
        <v>0.24</v>
      </c>
      <c r="AN520" s="110">
        <v>502.2</v>
      </c>
      <c r="AO520" s="110">
        <v>0.20200000000000001</v>
      </c>
      <c r="AP520" s="110">
        <v>0.21199999999999999</v>
      </c>
      <c r="AQ520" s="110">
        <v>0.28699999999999998</v>
      </c>
      <c r="AR520" s="110">
        <v>130.4</v>
      </c>
      <c r="AS520" s="110">
        <v>10.01</v>
      </c>
      <c r="AT520" s="110">
        <v>133.1</v>
      </c>
      <c r="AU520" s="110">
        <v>40.79468</v>
      </c>
      <c r="AV520" s="110">
        <v>-86.774439999999998</v>
      </c>
      <c r="AW520" s="110">
        <v>196.1</v>
      </c>
      <c r="AX520" s="110">
        <v>135.19999999999999</v>
      </c>
      <c r="AY520" s="110">
        <v>8.1199999999999992</v>
      </c>
      <c r="AZ520" s="110">
        <v>-102</v>
      </c>
      <c r="BA520" s="110">
        <v>12</v>
      </c>
      <c r="BB520" s="110">
        <v>0</v>
      </c>
      <c r="BC520" s="110">
        <v>29.047999999999998</v>
      </c>
      <c r="BD520" s="110">
        <v>13.37</v>
      </c>
      <c r="BE520" s="110">
        <v>0</v>
      </c>
      <c r="BF520" s="218">
        <v>45852.385428240741</v>
      </c>
      <c r="BG520" s="110" t="s">
        <v>1741</v>
      </c>
    </row>
    <row r="521" spans="1:59" x14ac:dyDescent="0.25">
      <c r="A521" s="25">
        <v>10520</v>
      </c>
      <c r="B521" s="115" t="s">
        <v>709</v>
      </c>
      <c r="C521" s="121" t="s">
        <v>709</v>
      </c>
      <c r="D521" s="27">
        <v>4111</v>
      </c>
      <c r="E521" s="27">
        <v>11</v>
      </c>
      <c r="F521" s="118">
        <v>1385</v>
      </c>
      <c r="G521" t="s">
        <v>20</v>
      </c>
      <c r="H521" s="118" t="s">
        <v>8</v>
      </c>
      <c r="I521">
        <v>1.2E-2</v>
      </c>
      <c r="J521">
        <v>-8.8999999999999996E-2</v>
      </c>
      <c r="K521">
        <v>0.01</v>
      </c>
      <c r="L521" s="118">
        <v>0.11600000000000001</v>
      </c>
      <c r="M521" s="140">
        <f t="shared" si="79"/>
        <v>0.05</v>
      </c>
      <c r="N521" s="140">
        <f t="shared" si="79"/>
        <v>0.05</v>
      </c>
      <c r="O521" s="140">
        <f t="shared" si="79"/>
        <v>0.05</v>
      </c>
      <c r="P521" s="140">
        <f t="shared" si="80"/>
        <v>0.11600000000000001</v>
      </c>
      <c r="Q521" s="157">
        <v>0.19175098466259977</v>
      </c>
      <c r="R521" s="125">
        <v>46.963333333333338</v>
      </c>
      <c r="S521" s="125">
        <v>9.7866666666666671</v>
      </c>
      <c r="T521" t="s">
        <v>515</v>
      </c>
      <c r="U521" t="s">
        <v>515</v>
      </c>
      <c r="V521" s="146">
        <v>0.6</v>
      </c>
      <c r="W521" s="118">
        <v>40.788720926107999</v>
      </c>
      <c r="X521" s="118">
        <v>-86.772164345616005</v>
      </c>
      <c r="Y521" s="140">
        <f t="shared" si="76"/>
        <v>7</v>
      </c>
      <c r="Z521" s="140">
        <f t="shared" si="77"/>
        <v>14</v>
      </c>
      <c r="AA521" s="140">
        <f t="shared" si="78"/>
        <v>2025</v>
      </c>
      <c r="AB521" s="118" t="b">
        <v>0</v>
      </c>
      <c r="AC521" s="19">
        <v>45852</v>
      </c>
      <c r="AD521" s="181" t="s">
        <v>1593</v>
      </c>
      <c r="AE521" s="216">
        <v>0.35517361111111112</v>
      </c>
      <c r="AF521" s="217">
        <v>45852</v>
      </c>
      <c r="AG521" s="110">
        <v>250714</v>
      </c>
      <c r="AH521" s="110">
        <v>0</v>
      </c>
      <c r="AI521" s="110">
        <v>745.6</v>
      </c>
      <c r="AJ521" s="110">
        <v>569.9</v>
      </c>
      <c r="AK521" s="110">
        <v>532</v>
      </c>
      <c r="AL521" s="110">
        <v>346</v>
      </c>
      <c r="AM521" s="110">
        <v>0.25</v>
      </c>
      <c r="AN521" s="110">
        <v>527.9</v>
      </c>
      <c r="AO521" s="110">
        <v>0.312</v>
      </c>
      <c r="AP521" s="110">
        <v>0.32500000000000001</v>
      </c>
      <c r="AQ521" s="110">
        <v>0.442</v>
      </c>
      <c r="AR521" s="110">
        <v>153.19999999999999</v>
      </c>
      <c r="AS521" s="110">
        <v>11.83</v>
      </c>
      <c r="AT521" s="110">
        <v>156.30000000000001</v>
      </c>
      <c r="AU521" s="110">
        <v>40.78875</v>
      </c>
      <c r="AV521" s="110">
        <v>-86.772220000000004</v>
      </c>
      <c r="AW521" s="110">
        <v>196.2</v>
      </c>
      <c r="AX521" s="110">
        <v>179.3</v>
      </c>
      <c r="AY521" s="110">
        <v>8.17</v>
      </c>
      <c r="AZ521" s="110">
        <v>-104.9</v>
      </c>
      <c r="BA521" s="110">
        <v>11.9</v>
      </c>
      <c r="BB521" s="110">
        <v>0</v>
      </c>
      <c r="BC521" s="110">
        <v>28.73</v>
      </c>
      <c r="BD521" s="110">
        <v>7.04</v>
      </c>
      <c r="BE521" s="110">
        <v>0</v>
      </c>
      <c r="BF521" s="218">
        <v>45852.355173611111</v>
      </c>
      <c r="BG521" s="110" t="s">
        <v>1742</v>
      </c>
    </row>
    <row r="522" spans="1:59" x14ac:dyDescent="0.25">
      <c r="A522" s="25">
        <v>10521</v>
      </c>
      <c r="B522" s="115" t="s">
        <v>710</v>
      </c>
      <c r="C522" s="121" t="s">
        <v>710</v>
      </c>
      <c r="D522" s="27">
        <v>4112</v>
      </c>
      <c r="E522" s="27">
        <v>12</v>
      </c>
      <c r="F522" s="118">
        <v>275</v>
      </c>
      <c r="G522" t="s">
        <v>20</v>
      </c>
      <c r="H522" s="118" t="s">
        <v>8</v>
      </c>
      <c r="I522">
        <v>0.05</v>
      </c>
      <c r="J522">
        <v>3.6999999999999998E-2</v>
      </c>
      <c r="K522">
        <v>1E-3</v>
      </c>
      <c r="L522" s="118">
        <v>7.6999999999999999E-2</v>
      </c>
      <c r="M522" s="140">
        <f t="shared" si="79"/>
        <v>0.05</v>
      </c>
      <c r="N522" s="140">
        <f t="shared" si="79"/>
        <v>0.05</v>
      </c>
      <c r="O522" s="140">
        <f t="shared" si="79"/>
        <v>0.05</v>
      </c>
      <c r="P522" s="140">
        <f t="shared" si="80"/>
        <v>0.05</v>
      </c>
      <c r="Q522" s="157">
        <v>0.20814581515688318</v>
      </c>
      <c r="R522" s="125">
        <v>38.81</v>
      </c>
      <c r="S522" s="125">
        <v>7.0933333333333337</v>
      </c>
      <c r="T522" t="s">
        <v>515</v>
      </c>
      <c r="U522" t="s">
        <v>515</v>
      </c>
      <c r="V522" s="146">
        <v>0.85</v>
      </c>
      <c r="W522" s="118">
        <v>40.782462602448099</v>
      </c>
      <c r="X522" s="118">
        <v>-86.762184549150206</v>
      </c>
      <c r="Y522" s="140">
        <f t="shared" si="76"/>
        <v>7</v>
      </c>
      <c r="Z522" s="140">
        <f t="shared" si="77"/>
        <v>14</v>
      </c>
      <c r="AA522" s="140">
        <f t="shared" si="78"/>
        <v>2025</v>
      </c>
      <c r="AB522" s="118" t="b">
        <v>0</v>
      </c>
      <c r="AC522" s="19">
        <v>45852</v>
      </c>
      <c r="AD522" s="181" t="s">
        <v>1594</v>
      </c>
      <c r="AE522" s="216">
        <v>0.36962962962962964</v>
      </c>
      <c r="AF522" s="217">
        <v>45852</v>
      </c>
      <c r="AG522" s="110">
        <v>250714</v>
      </c>
      <c r="AH522" s="110">
        <v>0</v>
      </c>
      <c r="AI522" s="110">
        <v>745.6</v>
      </c>
      <c r="AJ522" s="110">
        <v>575.1</v>
      </c>
      <c r="AK522" s="110">
        <v>536.1</v>
      </c>
      <c r="AL522" s="110">
        <v>348</v>
      </c>
      <c r="AM522" s="110">
        <v>0.26</v>
      </c>
      <c r="AN522" s="110">
        <v>531.79999999999995</v>
      </c>
      <c r="AO522" s="110">
        <v>0.32200000000000001</v>
      </c>
      <c r="AP522" s="110">
        <v>0.33100000000000002</v>
      </c>
      <c r="AQ522" s="110">
        <v>0.45600000000000002</v>
      </c>
      <c r="AR522" s="110">
        <v>131.5</v>
      </c>
      <c r="AS522" s="110">
        <v>10.130000000000001</v>
      </c>
      <c r="AT522" s="110">
        <v>134.19999999999999</v>
      </c>
      <c r="AU522" s="110">
        <v>40.782510000000002</v>
      </c>
      <c r="AV522" s="110">
        <v>-86.762129999999999</v>
      </c>
      <c r="AW522" s="110">
        <v>198</v>
      </c>
      <c r="AX522" s="110">
        <v>89.4</v>
      </c>
      <c r="AY522" s="110">
        <v>8.11</v>
      </c>
      <c r="AZ522" s="110">
        <v>-101.2</v>
      </c>
      <c r="BA522" s="110">
        <v>11.9</v>
      </c>
      <c r="BB522" s="110">
        <v>0</v>
      </c>
      <c r="BC522" s="110">
        <v>28.81</v>
      </c>
      <c r="BD522" s="110">
        <v>5.77</v>
      </c>
      <c r="BE522" s="110">
        <v>0</v>
      </c>
      <c r="BF522" s="218">
        <v>45852.369629629633</v>
      </c>
      <c r="BG522" s="110" t="s">
        <v>1743</v>
      </c>
    </row>
    <row r="523" spans="1:59" x14ac:dyDescent="0.25">
      <c r="A523" s="25">
        <v>10522</v>
      </c>
      <c r="B523" s="115" t="s">
        <v>711</v>
      </c>
      <c r="C523" s="121" t="s">
        <v>711</v>
      </c>
      <c r="D523" s="27">
        <v>4114</v>
      </c>
      <c r="E523" s="27">
        <v>14</v>
      </c>
      <c r="F523" s="118">
        <v>4225</v>
      </c>
      <c r="G523" t="s">
        <v>20</v>
      </c>
      <c r="H523" s="118" t="s">
        <v>8</v>
      </c>
      <c r="I523">
        <v>1.84E-2</v>
      </c>
      <c r="J523">
        <v>-0.14299999999999999</v>
      </c>
      <c r="K523">
        <v>1E-3</v>
      </c>
      <c r="L523" s="118">
        <v>0.17799999999999999</v>
      </c>
      <c r="M523" s="140">
        <f t="shared" si="79"/>
        <v>0.05</v>
      </c>
      <c r="N523" s="140">
        <f t="shared" si="79"/>
        <v>0.05</v>
      </c>
      <c r="O523" s="140">
        <f t="shared" si="79"/>
        <v>0.05</v>
      </c>
      <c r="P523" s="140">
        <f t="shared" si="80"/>
        <v>0.17799999999999999</v>
      </c>
      <c r="Q523" s="157">
        <v>0.2122328005489108</v>
      </c>
      <c r="R523" s="125">
        <v>76.156666666666652</v>
      </c>
      <c r="S523" s="125">
        <v>9.4966666666666679</v>
      </c>
      <c r="T523" t="s">
        <v>515</v>
      </c>
      <c r="U523" t="s">
        <v>515</v>
      </c>
      <c r="V523" s="146">
        <v>0.35</v>
      </c>
      <c r="W523" s="118">
        <v>40.807391854277199</v>
      </c>
      <c r="X523" s="118">
        <v>-86.785222646214706</v>
      </c>
      <c r="Y523" s="140">
        <f t="shared" si="76"/>
        <v>7</v>
      </c>
      <c r="Z523" s="140">
        <f t="shared" si="77"/>
        <v>14</v>
      </c>
      <c r="AA523" s="140">
        <f t="shared" si="78"/>
        <v>2025</v>
      </c>
      <c r="AB523" s="118" t="b">
        <v>0</v>
      </c>
      <c r="AC523" s="19">
        <v>45852</v>
      </c>
      <c r="AD523" s="181" t="s">
        <v>1595</v>
      </c>
      <c r="AE523" s="216">
        <v>0.42702546296296295</v>
      </c>
      <c r="AF523" s="217">
        <v>45852</v>
      </c>
      <c r="AG523" s="110">
        <v>250714</v>
      </c>
      <c r="AH523" s="110">
        <v>0</v>
      </c>
      <c r="AI523" s="110">
        <v>745.8</v>
      </c>
      <c r="AJ523" s="110">
        <v>540.29999999999995</v>
      </c>
      <c r="AK523" s="110">
        <v>506.6</v>
      </c>
      <c r="AL523" s="110">
        <v>329</v>
      </c>
      <c r="AM523" s="110">
        <v>0.24</v>
      </c>
      <c r="AN523" s="110">
        <v>502.9</v>
      </c>
      <c r="AO523" s="110">
        <v>0.27</v>
      </c>
      <c r="AP523" s="110">
        <v>0.28499999999999998</v>
      </c>
      <c r="AQ523" s="110">
        <v>0.38200000000000001</v>
      </c>
      <c r="AR523" s="110">
        <v>108.2</v>
      </c>
      <c r="AS523" s="110">
        <v>8.39</v>
      </c>
      <c r="AT523" s="110">
        <v>110.4</v>
      </c>
      <c r="AU523" s="110">
        <v>40.807360000000003</v>
      </c>
      <c r="AV523" s="110">
        <v>-86.785309999999996</v>
      </c>
      <c r="AW523" s="110">
        <v>196.6</v>
      </c>
      <c r="AX523" s="110">
        <v>120</v>
      </c>
      <c r="AY523" s="110">
        <v>7.93</v>
      </c>
      <c r="AZ523" s="110">
        <v>-90</v>
      </c>
      <c r="BA523" s="110">
        <v>11.9</v>
      </c>
      <c r="BB523" s="110">
        <v>0</v>
      </c>
      <c r="BC523" s="110">
        <v>28.478999999999999</v>
      </c>
      <c r="BD523" s="110">
        <v>25.25</v>
      </c>
      <c r="BE523" s="110">
        <v>0</v>
      </c>
      <c r="BF523" s="218">
        <v>45852.427025462966</v>
      </c>
      <c r="BG523" s="110" t="s">
        <v>1738</v>
      </c>
    </row>
    <row r="524" spans="1:59" x14ac:dyDescent="0.25">
      <c r="A524" s="25">
        <v>10523</v>
      </c>
      <c r="B524" s="115" t="s">
        <v>712</v>
      </c>
      <c r="C524" s="121" t="s">
        <v>712</v>
      </c>
      <c r="D524" s="27">
        <v>4115</v>
      </c>
      <c r="E524" s="27">
        <v>15</v>
      </c>
      <c r="F524" s="118">
        <v>2905</v>
      </c>
      <c r="G524" t="s">
        <v>20</v>
      </c>
      <c r="H524" s="118" t="s">
        <v>8</v>
      </c>
      <c r="I524">
        <v>0.13650000000000001</v>
      </c>
      <c r="J524">
        <v>-0.14899999999999999</v>
      </c>
      <c r="K524">
        <v>8.0000000000000002E-3</v>
      </c>
      <c r="L524" s="118">
        <v>0.14599999999999999</v>
      </c>
      <c r="M524" s="140">
        <f t="shared" si="79"/>
        <v>0.13650000000000001</v>
      </c>
      <c r="N524" s="140">
        <f t="shared" si="79"/>
        <v>0.05</v>
      </c>
      <c r="O524" s="140">
        <f t="shared" si="79"/>
        <v>0.05</v>
      </c>
      <c r="P524" s="140">
        <f t="shared" si="80"/>
        <v>0.14599999999999999</v>
      </c>
      <c r="Q524" s="157">
        <v>0.19863449005674516</v>
      </c>
      <c r="R524" s="125">
        <v>51.126666666666665</v>
      </c>
      <c r="S524" s="125">
        <v>12.219999999999999</v>
      </c>
      <c r="T524" t="s">
        <v>515</v>
      </c>
      <c r="U524" t="s">
        <v>515</v>
      </c>
      <c r="V524" s="146">
        <v>0.4</v>
      </c>
      <c r="W524" s="118">
        <v>40.799228284449498</v>
      </c>
      <c r="X524" s="118">
        <v>-86.777772490616897</v>
      </c>
      <c r="Y524" s="140">
        <f t="shared" si="76"/>
        <v>7</v>
      </c>
      <c r="Z524" s="140">
        <f t="shared" si="77"/>
        <v>14</v>
      </c>
      <c r="AA524" s="140">
        <f t="shared" si="78"/>
        <v>2025</v>
      </c>
      <c r="AB524" s="118" t="b">
        <v>0</v>
      </c>
      <c r="AC524" s="19">
        <v>45852</v>
      </c>
      <c r="AD524" s="181" t="s">
        <v>1596</v>
      </c>
      <c r="AE524" s="216">
        <v>0.39743055555555556</v>
      </c>
      <c r="AF524" s="217">
        <v>45852</v>
      </c>
      <c r="AG524" s="110">
        <v>250714</v>
      </c>
      <c r="AH524" s="110">
        <v>0</v>
      </c>
      <c r="AI524" s="110">
        <v>745.6</v>
      </c>
      <c r="AJ524" s="110">
        <v>542.9</v>
      </c>
      <c r="AK524" s="110">
        <v>506.2</v>
      </c>
      <c r="AL524" s="110">
        <v>329</v>
      </c>
      <c r="AM524" s="110">
        <v>0.24</v>
      </c>
      <c r="AN524" s="110">
        <v>502.2</v>
      </c>
      <c r="AO524" s="110">
        <v>0.39900000000000002</v>
      </c>
      <c r="AP524" s="110">
        <v>0.38100000000000001</v>
      </c>
      <c r="AQ524" s="110">
        <v>0.56499999999999995</v>
      </c>
      <c r="AR524" s="110">
        <v>122.1</v>
      </c>
      <c r="AS524" s="110">
        <v>9.41</v>
      </c>
      <c r="AT524" s="110">
        <v>124.5</v>
      </c>
      <c r="AU524" s="110">
        <v>40.799219999999998</v>
      </c>
      <c r="AV524" s="110">
        <v>-86.777739999999994</v>
      </c>
      <c r="AW524" s="110">
        <v>193.8</v>
      </c>
      <c r="AX524" s="110">
        <v>143.9</v>
      </c>
      <c r="AY524" s="110">
        <v>8.0500000000000007</v>
      </c>
      <c r="AZ524" s="110">
        <v>-97.5</v>
      </c>
      <c r="BA524" s="110">
        <v>12</v>
      </c>
      <c r="BB524" s="110">
        <v>0</v>
      </c>
      <c r="BC524" s="110">
        <v>28.79</v>
      </c>
      <c r="BD524" s="110">
        <v>15.31</v>
      </c>
      <c r="BE524" s="110">
        <v>0</v>
      </c>
      <c r="BF524" s="218">
        <v>45852.397430555553</v>
      </c>
      <c r="BG524" s="110" t="s">
        <v>1740</v>
      </c>
    </row>
    <row r="525" spans="1:59" x14ac:dyDescent="0.25">
      <c r="A525" s="25">
        <v>10524</v>
      </c>
      <c r="B525" s="113" t="s">
        <v>713</v>
      </c>
      <c r="C525" s="119" t="s">
        <v>713</v>
      </c>
      <c r="D525" s="27" t="s">
        <v>462</v>
      </c>
      <c r="E525" s="46">
        <v>1</v>
      </c>
      <c r="F525" s="118">
        <v>5999</v>
      </c>
      <c r="G525" t="s">
        <v>19</v>
      </c>
      <c r="H525" s="118" t="s">
        <v>8</v>
      </c>
      <c r="I525">
        <v>-3.56E-2</v>
      </c>
      <c r="J525">
        <v>3.9740000000000002</v>
      </c>
      <c r="K525">
        <v>-5.0000000000000001E-3</v>
      </c>
      <c r="L525" s="118">
        <v>4.5999999999999999E-2</v>
      </c>
      <c r="M525" s="140">
        <f t="shared" si="79"/>
        <v>0.05</v>
      </c>
      <c r="N525" s="140">
        <f t="shared" si="79"/>
        <v>3.9740000000000002</v>
      </c>
      <c r="O525" s="140">
        <f t="shared" si="79"/>
        <v>0.05</v>
      </c>
      <c r="P525" s="140">
        <f t="shared" si="80"/>
        <v>0.05</v>
      </c>
      <c r="Q525" s="179">
        <v>6.13</v>
      </c>
      <c r="R525" s="125">
        <v>33.446666666666665</v>
      </c>
      <c r="S525" s="125">
        <v>3.72</v>
      </c>
      <c r="T525" t="s">
        <v>515</v>
      </c>
      <c r="U525" t="s">
        <v>515</v>
      </c>
      <c r="V525" s="146">
        <v>0.3</v>
      </c>
      <c r="W525" s="118">
        <v>40.681715443684197</v>
      </c>
      <c r="X525" s="118">
        <v>-85.888915352108796</v>
      </c>
      <c r="Y525" s="140">
        <f t="shared" si="76"/>
        <v>7</v>
      </c>
      <c r="Z525" s="140">
        <f t="shared" si="77"/>
        <v>29</v>
      </c>
      <c r="AA525" s="140">
        <f t="shared" si="78"/>
        <v>2025</v>
      </c>
      <c r="AB525" s="118" t="b">
        <v>0</v>
      </c>
      <c r="AC525" s="19">
        <v>45867</v>
      </c>
      <c r="AD525" s="181" t="s">
        <v>1603</v>
      </c>
      <c r="AE525" s="197">
        <v>0.51531249999999995</v>
      </c>
      <c r="AF525" s="198">
        <v>45867</v>
      </c>
      <c r="AG525" s="63">
        <v>250729</v>
      </c>
      <c r="AH525" s="63">
        <v>0</v>
      </c>
      <c r="AI525" s="63">
        <v>743.8</v>
      </c>
      <c r="AJ525" s="63">
        <v>3.1</v>
      </c>
      <c r="AK525" s="63">
        <v>2.6</v>
      </c>
      <c r="AL525" s="63">
        <v>2</v>
      </c>
      <c r="AM525" s="63">
        <v>0</v>
      </c>
      <c r="AN525" s="63">
        <v>2.5</v>
      </c>
      <c r="AO525" s="63">
        <v>9.6000000000000002E-2</v>
      </c>
      <c r="AP525" s="63">
        <v>0.107</v>
      </c>
      <c r="AQ525" s="63">
        <v>0.13600000000000001</v>
      </c>
      <c r="AR525" s="63">
        <v>99.6</v>
      </c>
      <c r="AS525" s="63">
        <v>6.88</v>
      </c>
      <c r="AT525" s="63">
        <v>101.4</v>
      </c>
      <c r="AU525" s="63">
        <v>40.681489999999997</v>
      </c>
      <c r="AV525" s="63">
        <v>-85.888630000000006</v>
      </c>
      <c r="AW525" s="63">
        <v>225.2</v>
      </c>
      <c r="AX525" s="63">
        <v>68.3</v>
      </c>
      <c r="AY525" s="63">
        <v>7.89</v>
      </c>
      <c r="AZ525" s="63">
        <v>-96</v>
      </c>
      <c r="BA525" s="63">
        <v>12</v>
      </c>
      <c r="BB525" s="63">
        <v>0</v>
      </c>
      <c r="BC525" s="63">
        <v>35.389000000000003</v>
      </c>
      <c r="BD525" s="63">
        <v>148.21</v>
      </c>
      <c r="BE525" s="63">
        <v>0</v>
      </c>
      <c r="BF525" s="137">
        <v>45867.5153125</v>
      </c>
      <c r="BG525" s="63" t="s">
        <v>1717</v>
      </c>
    </row>
    <row r="526" spans="1:59" x14ac:dyDescent="0.25">
      <c r="A526" s="25">
        <v>10525</v>
      </c>
      <c r="B526" s="113" t="s">
        <v>714</v>
      </c>
      <c r="C526" s="119" t="s">
        <v>714</v>
      </c>
      <c r="D526" s="56" t="s">
        <v>463</v>
      </c>
      <c r="E526" s="46">
        <v>2</v>
      </c>
      <c r="F526" s="118">
        <v>8861</v>
      </c>
      <c r="G526" t="s">
        <v>19</v>
      </c>
      <c r="H526" s="118" t="s">
        <v>8</v>
      </c>
      <c r="I526">
        <v>-3.4099999999999998E-2</v>
      </c>
      <c r="J526">
        <v>3.0569999999999999</v>
      </c>
      <c r="K526">
        <v>-4.0000000000000001E-3</v>
      </c>
      <c r="L526" s="118">
        <v>7.8E-2</v>
      </c>
      <c r="M526" s="140">
        <f t="shared" si="79"/>
        <v>0.05</v>
      </c>
      <c r="N526" s="140">
        <f t="shared" si="79"/>
        <v>3.0569999999999999</v>
      </c>
      <c r="O526" s="140">
        <f t="shared" si="79"/>
        <v>0.05</v>
      </c>
      <c r="P526" s="140">
        <f t="shared" si="80"/>
        <v>0.05</v>
      </c>
      <c r="Q526" s="179">
        <v>4.3140000000000001</v>
      </c>
      <c r="R526" s="125">
        <v>33.85</v>
      </c>
      <c r="S526" s="125">
        <v>3.1799999999999997</v>
      </c>
      <c r="T526" t="s">
        <v>515</v>
      </c>
      <c r="U526" t="s">
        <v>515</v>
      </c>
      <c r="V526" s="146">
        <v>0.3</v>
      </c>
      <c r="W526" s="118">
        <v>40.676774653178398</v>
      </c>
      <c r="X526" s="118">
        <v>-85.877066673718403</v>
      </c>
      <c r="Y526" s="140">
        <f t="shared" si="76"/>
        <v>7</v>
      </c>
      <c r="Z526" s="140">
        <f t="shared" si="77"/>
        <v>29</v>
      </c>
      <c r="AA526" s="140">
        <f t="shared" si="78"/>
        <v>2025</v>
      </c>
      <c r="AB526" s="118" t="b">
        <v>0</v>
      </c>
      <c r="AC526" s="19">
        <v>45867</v>
      </c>
      <c r="AD526" s="181" t="s">
        <v>1604</v>
      </c>
      <c r="AE526" s="197">
        <v>0.52935185185185185</v>
      </c>
      <c r="AF526" s="198">
        <v>45867</v>
      </c>
      <c r="AG526" s="63">
        <v>250729</v>
      </c>
      <c r="AH526" s="63">
        <v>0</v>
      </c>
      <c r="AI526" s="63">
        <v>743.8</v>
      </c>
      <c r="AJ526" s="63">
        <v>391.6</v>
      </c>
      <c r="AK526" s="63">
        <v>347</v>
      </c>
      <c r="AL526" s="63">
        <v>226</v>
      </c>
      <c r="AM526" s="63">
        <v>0.16</v>
      </c>
      <c r="AN526" s="63">
        <v>342</v>
      </c>
      <c r="AO526" s="63">
        <v>0.223</v>
      </c>
      <c r="AP526" s="63">
        <v>0.23499999999999999</v>
      </c>
      <c r="AQ526" s="63">
        <v>0.316</v>
      </c>
      <c r="AR526" s="63">
        <v>260.89999999999998</v>
      </c>
      <c r="AS526" s="63">
        <v>19.13</v>
      </c>
      <c r="AT526" s="63">
        <v>265.5</v>
      </c>
      <c r="AU526" s="63">
        <v>40.676760000000002</v>
      </c>
      <c r="AV526" s="63">
        <v>-85.877080000000007</v>
      </c>
      <c r="AW526" s="63">
        <v>223.4</v>
      </c>
      <c r="AX526" s="63">
        <v>85.6</v>
      </c>
      <c r="AY526" s="63">
        <v>9.06</v>
      </c>
      <c r="AZ526" s="63">
        <v>-168.8</v>
      </c>
      <c r="BA526" s="63">
        <v>12</v>
      </c>
      <c r="BB526" s="63">
        <v>0</v>
      </c>
      <c r="BC526" s="63">
        <v>31.73</v>
      </c>
      <c r="BD526" s="63">
        <v>37.090000000000003</v>
      </c>
      <c r="BE526" s="63">
        <v>0</v>
      </c>
      <c r="BF526" s="137">
        <v>45867.529351851852</v>
      </c>
      <c r="BG526" s="63" t="s">
        <v>1716</v>
      </c>
    </row>
    <row r="527" spans="1:59" x14ac:dyDescent="0.25">
      <c r="A527" s="25">
        <v>10526</v>
      </c>
      <c r="B527" s="113" t="s">
        <v>715</v>
      </c>
      <c r="C527" s="119" t="s">
        <v>715</v>
      </c>
      <c r="D527" s="27" t="s">
        <v>464</v>
      </c>
      <c r="E527" s="46">
        <v>3</v>
      </c>
      <c r="F527" s="118">
        <v>9921</v>
      </c>
      <c r="G527" t="s">
        <v>19</v>
      </c>
      <c r="H527" s="118" t="s">
        <v>8</v>
      </c>
      <c r="I527">
        <v>-3.4099999999999998E-2</v>
      </c>
      <c r="J527">
        <v>2.113</v>
      </c>
      <c r="K527">
        <v>0</v>
      </c>
      <c r="L527" s="118">
        <v>9.1999999999999998E-2</v>
      </c>
      <c r="M527" s="140">
        <f t="shared" si="79"/>
        <v>0.05</v>
      </c>
      <c r="N527" s="140">
        <f t="shared" si="79"/>
        <v>2.113</v>
      </c>
      <c r="O527" s="140">
        <f t="shared" si="79"/>
        <v>0.05</v>
      </c>
      <c r="P527" s="140">
        <f t="shared" si="80"/>
        <v>0.05</v>
      </c>
      <c r="Q527" s="179">
        <v>3.7069999999999999</v>
      </c>
      <c r="R527" s="125">
        <v>43.266666666666659</v>
      </c>
      <c r="S527" s="125">
        <v>3.5733333333333328</v>
      </c>
      <c r="T527" t="s">
        <v>515</v>
      </c>
      <c r="U527" t="s">
        <v>515</v>
      </c>
      <c r="V527" s="146">
        <v>0.3</v>
      </c>
      <c r="W527" s="118">
        <v>40.670702906704399</v>
      </c>
      <c r="X527" s="118">
        <v>-85.870287047360407</v>
      </c>
      <c r="Y527" s="140">
        <f t="shared" si="76"/>
        <v>7</v>
      </c>
      <c r="Z527" s="140">
        <f t="shared" si="77"/>
        <v>29</v>
      </c>
      <c r="AA527" s="140">
        <f t="shared" si="78"/>
        <v>2025</v>
      </c>
      <c r="AB527" s="118" t="b">
        <v>0</v>
      </c>
      <c r="AC527" s="19">
        <v>45867</v>
      </c>
      <c r="AD527" s="181" t="s">
        <v>1605</v>
      </c>
      <c r="AE527" s="197">
        <v>0.54212962962962963</v>
      </c>
      <c r="AF527" s="198">
        <v>45867</v>
      </c>
      <c r="AG527" s="63">
        <v>250729</v>
      </c>
      <c r="AH527" s="63">
        <v>0</v>
      </c>
      <c r="AI527" s="63">
        <v>743.8</v>
      </c>
      <c r="AJ527" s="63">
        <v>417.6</v>
      </c>
      <c r="AK527" s="63">
        <v>371.7</v>
      </c>
      <c r="AL527" s="63">
        <v>242</v>
      </c>
      <c r="AM527" s="63">
        <v>0.17</v>
      </c>
      <c r="AN527" s="63">
        <v>366.5</v>
      </c>
      <c r="AO527" s="63">
        <v>0.28499999999999998</v>
      </c>
      <c r="AP527" s="63">
        <v>0.29299999999999998</v>
      </c>
      <c r="AQ527" s="63">
        <v>0.40400000000000003</v>
      </c>
      <c r="AR527" s="63">
        <v>257.89999999999998</v>
      </c>
      <c r="AS527" s="63">
        <v>18.989999999999998</v>
      </c>
      <c r="AT527" s="63">
        <v>262.5</v>
      </c>
      <c r="AU527" s="63">
        <v>40.670529999999999</v>
      </c>
      <c r="AV527" s="63">
        <v>-85.8703</v>
      </c>
      <c r="AW527" s="63">
        <v>224.3</v>
      </c>
      <c r="AX527" s="63">
        <v>129.9</v>
      </c>
      <c r="AY527" s="63">
        <v>8.9600000000000009</v>
      </c>
      <c r="AZ527" s="63">
        <v>-162.6</v>
      </c>
      <c r="BA527" s="63">
        <v>12</v>
      </c>
      <c r="BB527" s="63">
        <v>0</v>
      </c>
      <c r="BC527" s="63">
        <v>31.465</v>
      </c>
      <c r="BD527" s="63">
        <v>31.53</v>
      </c>
      <c r="BE527" s="63">
        <v>0</v>
      </c>
      <c r="BF527" s="137">
        <v>45867.542129629626</v>
      </c>
      <c r="BG527" s="63" t="s">
        <v>1715</v>
      </c>
    </row>
    <row r="528" spans="1:59" x14ac:dyDescent="0.25">
      <c r="A528" s="25">
        <v>10527</v>
      </c>
      <c r="B528" s="113" t="s">
        <v>716</v>
      </c>
      <c r="C528" s="119" t="s">
        <v>716</v>
      </c>
      <c r="D528" s="27" t="s">
        <v>465</v>
      </c>
      <c r="E528" s="46">
        <v>4</v>
      </c>
      <c r="F528" s="118">
        <v>10891</v>
      </c>
      <c r="G528" t="s">
        <v>19</v>
      </c>
      <c r="H528" s="118" t="s">
        <v>8</v>
      </c>
      <c r="I528">
        <v>-3.8600000000000002E-2</v>
      </c>
      <c r="J528">
        <v>1.4079999999999999</v>
      </c>
      <c r="K528">
        <v>-3.0000000000000001E-3</v>
      </c>
      <c r="L528" s="118">
        <v>0.14699999999999999</v>
      </c>
      <c r="M528" s="140">
        <f t="shared" si="79"/>
        <v>0.05</v>
      </c>
      <c r="N528" s="140">
        <f t="shared" si="79"/>
        <v>1.4079999999999999</v>
      </c>
      <c r="O528" s="140">
        <f t="shared" si="79"/>
        <v>0.05</v>
      </c>
      <c r="P528" s="140">
        <f t="shared" si="80"/>
        <v>0.14699999999999999</v>
      </c>
      <c r="Q528" s="179">
        <v>4.0039999999999996</v>
      </c>
      <c r="R528" s="125">
        <v>62.243333333333339</v>
      </c>
      <c r="S528" s="125">
        <v>3.793333333333333</v>
      </c>
      <c r="T528" t="s">
        <v>515</v>
      </c>
      <c r="U528" t="s">
        <v>515</v>
      </c>
      <c r="V528" s="146">
        <v>0.33</v>
      </c>
      <c r="W528" s="118">
        <v>40.663126048620001</v>
      </c>
      <c r="X528" s="118">
        <v>-85.866510261553501</v>
      </c>
      <c r="Y528" s="140">
        <f t="shared" si="76"/>
        <v>7</v>
      </c>
      <c r="Z528" s="140">
        <f t="shared" si="77"/>
        <v>29</v>
      </c>
      <c r="AA528" s="140">
        <f t="shared" si="78"/>
        <v>2025</v>
      </c>
      <c r="AB528" s="118" t="b">
        <v>0</v>
      </c>
      <c r="AC528" s="19">
        <v>45867</v>
      </c>
      <c r="AD528" s="181">
        <v>33</v>
      </c>
      <c r="AE528" s="197">
        <v>0.55318287037037039</v>
      </c>
      <c r="AF528" s="198">
        <v>45867</v>
      </c>
      <c r="AG528" s="63">
        <v>250729</v>
      </c>
      <c r="AH528" s="63">
        <v>0</v>
      </c>
      <c r="AI528" s="63">
        <v>743.8</v>
      </c>
      <c r="AJ528" s="63">
        <v>431.9</v>
      </c>
      <c r="AK528" s="63">
        <v>380.9</v>
      </c>
      <c r="AL528" s="63">
        <v>248</v>
      </c>
      <c r="AM528" s="63">
        <v>0.18</v>
      </c>
      <c r="AN528" s="63">
        <v>375.1</v>
      </c>
      <c r="AO528" s="63">
        <v>0.248</v>
      </c>
      <c r="AP528" s="63">
        <v>0.252</v>
      </c>
      <c r="AQ528" s="63">
        <v>0.35199999999999998</v>
      </c>
      <c r="AR528" s="63">
        <v>324.5</v>
      </c>
      <c r="AS528" s="63">
        <v>23.69</v>
      </c>
      <c r="AT528" s="63">
        <v>330.2</v>
      </c>
      <c r="AU528" s="63">
        <v>40.662990000000001</v>
      </c>
      <c r="AV528" s="63">
        <v>-85.866550000000004</v>
      </c>
      <c r="AW528" s="63">
        <v>222.9</v>
      </c>
      <c r="AX528" s="63">
        <v>111.9</v>
      </c>
      <c r="AY528" s="63">
        <v>9.1</v>
      </c>
      <c r="AZ528" s="63">
        <v>-171.2</v>
      </c>
      <c r="BA528" s="63">
        <v>11.9</v>
      </c>
      <c r="BB528" s="63">
        <v>0</v>
      </c>
      <c r="BC528" s="63">
        <v>32.011000000000003</v>
      </c>
      <c r="BD528" s="63">
        <v>44.4</v>
      </c>
      <c r="BE528" s="63">
        <v>0</v>
      </c>
      <c r="BF528" s="137">
        <v>45867.553182870368</v>
      </c>
      <c r="BG528" s="63" t="s">
        <v>1714</v>
      </c>
    </row>
    <row r="529" spans="1:59" x14ac:dyDescent="0.25">
      <c r="A529" s="25">
        <v>10528</v>
      </c>
      <c r="B529" s="113" t="s">
        <v>717</v>
      </c>
      <c r="C529" s="119" t="s">
        <v>717</v>
      </c>
      <c r="D529" s="27" t="s">
        <v>466</v>
      </c>
      <c r="E529" s="46">
        <v>5</v>
      </c>
      <c r="F529" s="118">
        <v>12821</v>
      </c>
      <c r="G529" t="s">
        <v>19</v>
      </c>
      <c r="H529" s="118" t="s">
        <v>8</v>
      </c>
      <c r="I529">
        <v>-3.4700000000000002E-2</v>
      </c>
      <c r="J529">
        <v>0.80700000000000005</v>
      </c>
      <c r="K529">
        <v>3.0000000000000001E-3</v>
      </c>
      <c r="L529" s="118">
        <v>0.246</v>
      </c>
      <c r="M529" s="140">
        <f t="shared" si="79"/>
        <v>0.05</v>
      </c>
      <c r="N529" s="140">
        <f t="shared" si="79"/>
        <v>0.80700000000000005</v>
      </c>
      <c r="O529" s="140">
        <f t="shared" si="79"/>
        <v>0.05</v>
      </c>
      <c r="P529" s="140">
        <f t="shared" si="80"/>
        <v>0.246</v>
      </c>
      <c r="Q529" s="179">
        <v>7.4809999999999999</v>
      </c>
      <c r="R529" s="125">
        <v>86.89</v>
      </c>
      <c r="S529" s="125">
        <v>5.003333333333333</v>
      </c>
      <c r="T529" t="s">
        <v>515</v>
      </c>
      <c r="U529" t="s">
        <v>515</v>
      </c>
      <c r="V529" s="146">
        <v>0.1</v>
      </c>
      <c r="W529" s="118">
        <v>40.668584132438902</v>
      </c>
      <c r="X529" s="118">
        <v>-85.847961188463302</v>
      </c>
      <c r="Y529" s="140">
        <f t="shared" si="76"/>
        <v>7</v>
      </c>
      <c r="Z529" s="140">
        <f t="shared" si="77"/>
        <v>29</v>
      </c>
      <c r="AA529" s="140">
        <f t="shared" si="78"/>
        <v>2025</v>
      </c>
      <c r="AB529" s="118" t="b">
        <v>0</v>
      </c>
      <c r="AC529" s="19">
        <v>45867</v>
      </c>
      <c r="AD529" s="181" t="s">
        <v>1607</v>
      </c>
      <c r="AE529" s="197">
        <v>0.57125000000000004</v>
      </c>
      <c r="AF529" s="198">
        <v>45867</v>
      </c>
      <c r="AG529" s="63">
        <v>250729</v>
      </c>
      <c r="AH529" s="63">
        <v>0</v>
      </c>
      <c r="AI529" s="63">
        <v>743.8</v>
      </c>
      <c r="AJ529" s="63">
        <v>422.6</v>
      </c>
      <c r="AK529" s="63">
        <v>376.5</v>
      </c>
      <c r="AL529" s="63">
        <v>245</v>
      </c>
      <c r="AM529" s="63">
        <v>0.18</v>
      </c>
      <c r="AN529" s="63">
        <v>371.3</v>
      </c>
      <c r="AO529" s="63">
        <v>0.23799999999999999</v>
      </c>
      <c r="AP529" s="63">
        <v>0.25</v>
      </c>
      <c r="AQ529" s="63">
        <v>0.33700000000000002</v>
      </c>
      <c r="AR529" s="63">
        <v>301.7</v>
      </c>
      <c r="AS529" s="63">
        <v>22.24</v>
      </c>
      <c r="AT529" s="63">
        <v>307</v>
      </c>
      <c r="AU529" s="63">
        <v>40.668489999999998</v>
      </c>
      <c r="AV529" s="63">
        <v>-85.848150000000004</v>
      </c>
      <c r="AW529" s="63">
        <v>225.1</v>
      </c>
      <c r="AX529" s="63">
        <v>120.7</v>
      </c>
      <c r="AY529" s="63">
        <v>9.08</v>
      </c>
      <c r="AZ529" s="63">
        <v>-170</v>
      </c>
      <c r="BA529" s="63">
        <v>11.9</v>
      </c>
      <c r="BB529" s="63">
        <v>0</v>
      </c>
      <c r="BC529" s="63">
        <v>31.411999999999999</v>
      </c>
      <c r="BD529" s="63">
        <v>62.51</v>
      </c>
      <c r="BE529" s="63">
        <v>0</v>
      </c>
      <c r="BF529" s="137">
        <v>45867.571250000001</v>
      </c>
      <c r="BG529" s="63" t="s">
        <v>1713</v>
      </c>
    </row>
    <row r="530" spans="1:59" x14ac:dyDescent="0.25">
      <c r="A530" s="25">
        <v>10529</v>
      </c>
      <c r="B530" s="113" t="s">
        <v>718</v>
      </c>
      <c r="C530" s="119" t="s">
        <v>718</v>
      </c>
      <c r="D530" s="27" t="s">
        <v>467</v>
      </c>
      <c r="E530" s="46">
        <v>6</v>
      </c>
      <c r="F530" s="118">
        <v>14351</v>
      </c>
      <c r="G530" t="s">
        <v>19</v>
      </c>
      <c r="H530" s="118" t="s">
        <v>8</v>
      </c>
      <c r="I530">
        <v>-3.6200000000000003E-2</v>
      </c>
      <c r="J530">
        <v>0.436</v>
      </c>
      <c r="K530">
        <v>2E-3</v>
      </c>
      <c r="L530" s="118">
        <v>0.21199999999999999</v>
      </c>
      <c r="M530" s="140">
        <f t="shared" ref="M530:O545" si="81">IF(I530&lt;0.1,0.05,I530)</f>
        <v>0.05</v>
      </c>
      <c r="N530" s="140">
        <f t="shared" si="81"/>
        <v>0.436</v>
      </c>
      <c r="O530" s="140">
        <f t="shared" si="81"/>
        <v>0.05</v>
      </c>
      <c r="P530" s="140">
        <f t="shared" si="80"/>
        <v>0.21199999999999999</v>
      </c>
      <c r="Q530" s="179">
        <v>6.5270000000000001</v>
      </c>
      <c r="R530" s="125">
        <v>41.793333333333329</v>
      </c>
      <c r="S530" s="125">
        <v>6</v>
      </c>
      <c r="T530" t="s">
        <v>515</v>
      </c>
      <c r="U530" t="s">
        <v>515</v>
      </c>
      <c r="V530" s="146">
        <v>0.15</v>
      </c>
      <c r="W530" s="118">
        <v>40.673703578553898</v>
      </c>
      <c r="X530" s="118">
        <v>-85.831961049337806</v>
      </c>
      <c r="Y530" s="140">
        <f t="shared" si="76"/>
        <v>7</v>
      </c>
      <c r="Z530" s="140">
        <f t="shared" si="77"/>
        <v>29</v>
      </c>
      <c r="AA530" s="140">
        <f t="shared" si="78"/>
        <v>2025</v>
      </c>
      <c r="AB530" s="118" t="b">
        <v>0</v>
      </c>
      <c r="AC530" s="19">
        <v>45867</v>
      </c>
      <c r="AD530" s="181">
        <v>33</v>
      </c>
      <c r="AE530" s="197">
        <v>0.59843749999999996</v>
      </c>
      <c r="AF530" s="198">
        <v>45867</v>
      </c>
      <c r="AG530" s="63">
        <v>250729</v>
      </c>
      <c r="AH530" s="63">
        <v>0</v>
      </c>
      <c r="AI530" s="63">
        <v>743.9</v>
      </c>
      <c r="AJ530" s="63">
        <v>443.8</v>
      </c>
      <c r="AK530" s="63">
        <v>392.5</v>
      </c>
      <c r="AL530" s="63">
        <v>255</v>
      </c>
      <c r="AM530" s="63">
        <v>0.18</v>
      </c>
      <c r="AN530" s="63">
        <v>386.7</v>
      </c>
      <c r="AO530" s="63">
        <v>0.20399999999999999</v>
      </c>
      <c r="AP530" s="63">
        <v>0.192</v>
      </c>
      <c r="AQ530" s="63">
        <v>0.28899999999999998</v>
      </c>
      <c r="AR530" s="63">
        <v>354.1</v>
      </c>
      <c r="AS530" s="63">
        <v>25.92</v>
      </c>
      <c r="AT530" s="63">
        <v>360.4</v>
      </c>
      <c r="AU530" s="63">
        <v>40.67371</v>
      </c>
      <c r="AV530" s="63">
        <v>-85.831890000000001</v>
      </c>
      <c r="AW530" s="63">
        <v>222.1</v>
      </c>
      <c r="AX530" s="63">
        <v>98.5</v>
      </c>
      <c r="AY530" s="63">
        <v>9.14</v>
      </c>
      <c r="AZ530" s="63">
        <v>-173.9</v>
      </c>
      <c r="BA530" s="63">
        <v>12</v>
      </c>
      <c r="BB530" s="63">
        <v>0</v>
      </c>
      <c r="BC530" s="63">
        <v>31.838999999999999</v>
      </c>
      <c r="BD530" s="63">
        <v>70.2</v>
      </c>
      <c r="BE530" s="63">
        <v>0</v>
      </c>
      <c r="BF530" s="137">
        <v>45867.598437499997</v>
      </c>
      <c r="BG530" s="63" t="s">
        <v>1712</v>
      </c>
    </row>
    <row r="531" spans="1:59" x14ac:dyDescent="0.25">
      <c r="A531" s="25">
        <v>10530</v>
      </c>
      <c r="B531" s="113" t="s">
        <v>719</v>
      </c>
      <c r="C531" s="119" t="s">
        <v>719</v>
      </c>
      <c r="D531" s="27" t="s">
        <v>468</v>
      </c>
      <c r="E531" s="46">
        <v>7</v>
      </c>
      <c r="F531" s="118">
        <v>6411</v>
      </c>
      <c r="G531" t="s">
        <v>19</v>
      </c>
      <c r="H531" s="118" t="s">
        <v>8</v>
      </c>
      <c r="I531">
        <v>-2.35E-2</v>
      </c>
      <c r="J531">
        <v>4.1449999999999996</v>
      </c>
      <c r="K531">
        <v>-4.0000000000000001E-3</v>
      </c>
      <c r="L531" s="118">
        <v>4.8000000000000001E-2</v>
      </c>
      <c r="M531" s="140">
        <f t="shared" si="81"/>
        <v>0.05</v>
      </c>
      <c r="N531" s="140">
        <f t="shared" si="81"/>
        <v>4.1449999999999996</v>
      </c>
      <c r="O531" s="140">
        <f t="shared" si="81"/>
        <v>0.05</v>
      </c>
      <c r="P531" s="140">
        <f t="shared" si="80"/>
        <v>0.05</v>
      </c>
      <c r="Q531" s="179">
        <v>6.39</v>
      </c>
      <c r="R531" s="125">
        <v>27.013333333333335</v>
      </c>
      <c r="S531" s="125">
        <v>3.9933333333333336</v>
      </c>
      <c r="T531" t="s">
        <v>515</v>
      </c>
      <c r="U531" t="s">
        <v>515</v>
      </c>
      <c r="V531" s="146">
        <v>0.35</v>
      </c>
      <c r="W531" s="118">
        <v>40.6877869571668</v>
      </c>
      <c r="X531" s="118">
        <v>-85.8965468123384</v>
      </c>
      <c r="Y531" s="140">
        <f t="shared" si="76"/>
        <v>7</v>
      </c>
      <c r="Z531" s="140">
        <f t="shared" si="77"/>
        <v>29</v>
      </c>
      <c r="AA531" s="140">
        <f t="shared" si="78"/>
        <v>2025</v>
      </c>
      <c r="AB531" s="118" t="b">
        <v>0</v>
      </c>
      <c r="AC531" s="19">
        <v>45867</v>
      </c>
      <c r="AD531" s="181" t="s">
        <v>1599</v>
      </c>
      <c r="AE531" s="197">
        <v>0.38885416666666667</v>
      </c>
      <c r="AF531" s="198">
        <v>45867</v>
      </c>
      <c r="AG531" s="63">
        <v>250729</v>
      </c>
      <c r="AH531" s="63">
        <v>0</v>
      </c>
      <c r="AI531" s="63">
        <v>744.3</v>
      </c>
      <c r="AJ531" s="63">
        <v>382.1</v>
      </c>
      <c r="AK531" s="63">
        <v>346.7</v>
      </c>
      <c r="AL531" s="63">
        <v>225</v>
      </c>
      <c r="AM531" s="63">
        <v>0.16</v>
      </c>
      <c r="AN531" s="63">
        <v>342.8</v>
      </c>
      <c r="AO531" s="63">
        <v>0.24099999999999999</v>
      </c>
      <c r="AP531" s="63">
        <v>0.23400000000000001</v>
      </c>
      <c r="AQ531" s="63">
        <v>0.34100000000000003</v>
      </c>
      <c r="AR531" s="63">
        <v>198.1</v>
      </c>
      <c r="AS531" s="63">
        <v>14.87</v>
      </c>
      <c r="AT531" s="63">
        <v>201.6</v>
      </c>
      <c r="AU531" s="63">
        <v>40.687800000000003</v>
      </c>
      <c r="AV531" s="63">
        <v>-85.896519999999995</v>
      </c>
      <c r="AW531" s="63">
        <v>220.6</v>
      </c>
      <c r="AX531" s="63">
        <v>222.6</v>
      </c>
      <c r="AY531" s="63">
        <v>8.77</v>
      </c>
      <c r="AZ531" s="63">
        <v>-149.9</v>
      </c>
      <c r="BA531" s="63">
        <v>12</v>
      </c>
      <c r="BB531" s="63">
        <v>0</v>
      </c>
      <c r="BC531" s="63">
        <v>30.338000000000001</v>
      </c>
      <c r="BD531" s="63">
        <v>26.58</v>
      </c>
      <c r="BE531" s="63">
        <v>0</v>
      </c>
      <c r="BF531" s="137">
        <v>45867.388854166667</v>
      </c>
      <c r="BG531" s="63" t="s">
        <v>1724</v>
      </c>
    </row>
    <row r="532" spans="1:59" x14ac:dyDescent="0.25">
      <c r="A532" s="25">
        <v>10531</v>
      </c>
      <c r="B532" s="113" t="s">
        <v>720</v>
      </c>
      <c r="C532" s="119" t="s">
        <v>720</v>
      </c>
      <c r="D532" s="27" t="s">
        <v>469</v>
      </c>
      <c r="E532" s="46">
        <v>8</v>
      </c>
      <c r="F532" s="118">
        <v>5401</v>
      </c>
      <c r="G532" t="s">
        <v>19</v>
      </c>
      <c r="H532" s="118" t="s">
        <v>8</v>
      </c>
      <c r="I532">
        <v>-2.9600000000000001E-2</v>
      </c>
      <c r="J532">
        <v>4.5599999999999996</v>
      </c>
      <c r="K532">
        <v>-5.0000000000000001E-3</v>
      </c>
      <c r="L532" s="118">
        <v>3.9E-2</v>
      </c>
      <c r="M532" s="140">
        <f t="shared" si="81"/>
        <v>0.05</v>
      </c>
      <c r="N532" s="140">
        <f t="shared" si="81"/>
        <v>4.5599999999999996</v>
      </c>
      <c r="O532" s="140">
        <f t="shared" si="81"/>
        <v>0.05</v>
      </c>
      <c r="P532" s="140">
        <f t="shared" si="80"/>
        <v>0.05</v>
      </c>
      <c r="Q532" s="179">
        <v>2.3370000000000002</v>
      </c>
      <c r="R532" s="125">
        <v>21.05</v>
      </c>
      <c r="S532" s="125">
        <v>3.33</v>
      </c>
      <c r="T532" t="s">
        <v>515</v>
      </c>
      <c r="U532" t="s">
        <v>515</v>
      </c>
      <c r="V532" s="146">
        <v>0.45</v>
      </c>
      <c r="W532" s="118">
        <v>40.691692164625003</v>
      </c>
      <c r="X532" s="118">
        <v>-85.908302779903494</v>
      </c>
      <c r="Y532" s="140">
        <f t="shared" si="76"/>
        <v>7</v>
      </c>
      <c r="Z532" s="140">
        <f t="shared" si="77"/>
        <v>29</v>
      </c>
      <c r="AA532" s="140">
        <f t="shared" si="78"/>
        <v>2025</v>
      </c>
      <c r="AB532" s="118" t="b">
        <v>0</v>
      </c>
      <c r="AC532" s="19">
        <v>45867</v>
      </c>
      <c r="AD532" s="181">
        <v>30</v>
      </c>
      <c r="AE532" s="197">
        <v>0.40739583333333335</v>
      </c>
      <c r="AF532" s="198">
        <v>45867</v>
      </c>
      <c r="AG532" s="63">
        <v>250729</v>
      </c>
      <c r="AH532" s="63">
        <v>0</v>
      </c>
      <c r="AI532" s="63">
        <v>744.1</v>
      </c>
      <c r="AJ532" s="63">
        <v>380.5</v>
      </c>
      <c r="AK532" s="63">
        <v>345.4</v>
      </c>
      <c r="AL532" s="63">
        <v>225</v>
      </c>
      <c r="AM532" s="63">
        <v>0.16</v>
      </c>
      <c r="AN532" s="63">
        <v>341.5</v>
      </c>
      <c r="AO532" s="63">
        <v>0.316</v>
      </c>
      <c r="AP532" s="63">
        <v>0.32600000000000001</v>
      </c>
      <c r="AQ532" s="63">
        <v>0.44700000000000001</v>
      </c>
      <c r="AR532" s="63">
        <v>174.3</v>
      </c>
      <c r="AS532" s="63">
        <v>13.1</v>
      </c>
      <c r="AT532" s="63">
        <v>177.4</v>
      </c>
      <c r="AU532" s="63">
        <v>40.69173</v>
      </c>
      <c r="AV532" s="63">
        <v>-85.908259999999999</v>
      </c>
      <c r="AW532" s="63">
        <v>229.4</v>
      </c>
      <c r="AX532" s="63">
        <v>162.1</v>
      </c>
      <c r="AY532" s="63">
        <v>8.7799999999999994</v>
      </c>
      <c r="AZ532" s="63">
        <v>-150.69999999999999</v>
      </c>
      <c r="BA532" s="63">
        <v>12</v>
      </c>
      <c r="BB532" s="63">
        <v>0</v>
      </c>
      <c r="BC532" s="63">
        <v>30.317</v>
      </c>
      <c r="BD532" s="63">
        <v>18.95</v>
      </c>
      <c r="BE532" s="63">
        <v>0</v>
      </c>
      <c r="BF532" s="137">
        <v>45867.407395833332</v>
      </c>
      <c r="BG532" s="63" t="s">
        <v>1722</v>
      </c>
    </row>
    <row r="533" spans="1:59" x14ac:dyDescent="0.25">
      <c r="A533" s="25">
        <v>10532</v>
      </c>
      <c r="B533" s="113" t="s">
        <v>721</v>
      </c>
      <c r="C533" s="119" t="s">
        <v>721</v>
      </c>
      <c r="D533" s="27" t="s">
        <v>470</v>
      </c>
      <c r="E533" s="46">
        <v>9</v>
      </c>
      <c r="F533" s="118">
        <v>4381</v>
      </c>
      <c r="G533" t="s">
        <v>19</v>
      </c>
      <c r="H533" s="118" t="s">
        <v>8</v>
      </c>
      <c r="I533">
        <v>-3.4299999999999997E-2</v>
      </c>
      <c r="J533">
        <v>4.7859999999999996</v>
      </c>
      <c r="K533">
        <v>1E-3</v>
      </c>
      <c r="L533" s="118">
        <v>2.7E-2</v>
      </c>
      <c r="M533" s="140">
        <f t="shared" si="81"/>
        <v>0.05</v>
      </c>
      <c r="N533" s="140">
        <f t="shared" si="81"/>
        <v>4.7859999999999996</v>
      </c>
      <c r="O533" s="140">
        <f t="shared" si="81"/>
        <v>0.05</v>
      </c>
      <c r="P533" s="140">
        <f t="shared" si="80"/>
        <v>0.05</v>
      </c>
      <c r="Q533" s="179">
        <v>2.794</v>
      </c>
      <c r="R533" s="125">
        <v>14.136666666666668</v>
      </c>
      <c r="S533" s="125">
        <v>2.4266666666666663</v>
      </c>
      <c r="T533" t="s">
        <v>515</v>
      </c>
      <c r="U533" t="s">
        <v>515</v>
      </c>
      <c r="V533" s="146">
        <v>0.5</v>
      </c>
      <c r="W533" s="118">
        <v>40.704102311316397</v>
      </c>
      <c r="X533" s="118">
        <v>-85.929918426060894</v>
      </c>
      <c r="Y533" s="140">
        <f t="shared" si="76"/>
        <v>7</v>
      </c>
      <c r="Z533" s="140">
        <f t="shared" si="77"/>
        <v>29</v>
      </c>
      <c r="AA533" s="140">
        <f t="shared" si="78"/>
        <v>2025</v>
      </c>
      <c r="AB533" s="118" t="b">
        <v>0</v>
      </c>
      <c r="AC533" s="19">
        <v>45867</v>
      </c>
      <c r="AD533" s="181" t="s">
        <v>1601</v>
      </c>
      <c r="AE533" s="197">
        <v>0.43927083333333333</v>
      </c>
      <c r="AF533" s="198">
        <v>45867</v>
      </c>
      <c r="AG533" s="63">
        <v>250729</v>
      </c>
      <c r="AH533" s="63">
        <v>0</v>
      </c>
      <c r="AI533" s="63">
        <v>743.2</v>
      </c>
      <c r="AJ533" s="63">
        <v>372.2</v>
      </c>
      <c r="AK533" s="63">
        <v>336.1</v>
      </c>
      <c r="AL533" s="63">
        <v>218</v>
      </c>
      <c r="AM533" s="63">
        <v>0.16</v>
      </c>
      <c r="AN533" s="63">
        <v>332.1</v>
      </c>
      <c r="AO533" s="63">
        <v>0.20699999999999999</v>
      </c>
      <c r="AP533" s="63">
        <v>0.192</v>
      </c>
      <c r="AQ533" s="63">
        <v>0.29299999999999998</v>
      </c>
      <c r="AR533" s="63">
        <v>169.9</v>
      </c>
      <c r="AS533" s="63">
        <v>12.69</v>
      </c>
      <c r="AT533" s="63">
        <v>172.9</v>
      </c>
      <c r="AU533" s="63">
        <v>40.704459999999997</v>
      </c>
      <c r="AV533" s="63">
        <v>-85.930430000000001</v>
      </c>
      <c r="AW533" s="63">
        <v>220.6</v>
      </c>
      <c r="AX533" s="63">
        <v>134.19999999999999</v>
      </c>
      <c r="AY533" s="63">
        <v>8.8800000000000008</v>
      </c>
      <c r="AZ533" s="63">
        <v>-156.80000000000001</v>
      </c>
      <c r="BA533" s="63">
        <v>11.9</v>
      </c>
      <c r="BB533" s="63">
        <v>0</v>
      </c>
      <c r="BC533" s="63">
        <v>30.617999999999999</v>
      </c>
      <c r="BD533" s="63">
        <v>15.56</v>
      </c>
      <c r="BE533" s="63">
        <v>0</v>
      </c>
      <c r="BF533" s="137">
        <v>45867.439270833333</v>
      </c>
      <c r="BG533" s="63" t="s">
        <v>1718</v>
      </c>
    </row>
    <row r="534" spans="1:59" x14ac:dyDescent="0.25">
      <c r="A534" s="25">
        <v>10533</v>
      </c>
      <c r="B534" s="113" t="s">
        <v>722</v>
      </c>
      <c r="C534" s="119" t="s">
        <v>722</v>
      </c>
      <c r="D534" s="27" t="s">
        <v>471</v>
      </c>
      <c r="E534" s="46">
        <v>10</v>
      </c>
      <c r="F534" s="118">
        <v>2851</v>
      </c>
      <c r="G534" t="s">
        <v>19</v>
      </c>
      <c r="H534" s="118" t="s">
        <v>8</v>
      </c>
      <c r="I534">
        <v>-3.6499999999999998E-2</v>
      </c>
      <c r="J534">
        <v>4.5819999999999999</v>
      </c>
      <c r="K534">
        <v>-5.0000000000000001E-3</v>
      </c>
      <c r="L534" s="118">
        <v>0.03</v>
      </c>
      <c r="M534" s="140">
        <f t="shared" si="81"/>
        <v>0.05</v>
      </c>
      <c r="N534" s="140">
        <f t="shared" si="81"/>
        <v>4.5819999999999999</v>
      </c>
      <c r="O534" s="140">
        <f t="shared" si="81"/>
        <v>0.05</v>
      </c>
      <c r="P534" s="140">
        <f t="shared" si="80"/>
        <v>0.05</v>
      </c>
      <c r="Q534" s="179">
        <v>2.2690000000000001</v>
      </c>
      <c r="R534" s="125">
        <v>17.236666666666668</v>
      </c>
      <c r="S534" s="125">
        <v>2.9299999999999997</v>
      </c>
      <c r="T534" t="s">
        <v>515</v>
      </c>
      <c r="U534" t="s">
        <v>515</v>
      </c>
      <c r="V534" s="146">
        <v>0.45</v>
      </c>
      <c r="W534" s="118">
        <v>40.693372474722203</v>
      </c>
      <c r="X534" s="118">
        <v>-85.920155590694904</v>
      </c>
      <c r="Y534" s="140">
        <f t="shared" si="76"/>
        <v>7</v>
      </c>
      <c r="Z534" s="140">
        <f t="shared" si="77"/>
        <v>29</v>
      </c>
      <c r="AA534" s="140">
        <f t="shared" si="78"/>
        <v>2025</v>
      </c>
      <c r="AB534" s="118" t="b">
        <v>0</v>
      </c>
      <c r="AC534" s="19">
        <v>45867</v>
      </c>
      <c r="AD534" s="181" t="s">
        <v>1591</v>
      </c>
      <c r="AE534" s="197">
        <v>0.42021990740740739</v>
      </c>
      <c r="AF534" s="198">
        <v>45867</v>
      </c>
      <c r="AG534" s="63">
        <v>250729</v>
      </c>
      <c r="AH534" s="63">
        <v>0</v>
      </c>
      <c r="AI534" s="63">
        <v>743.8</v>
      </c>
      <c r="AJ534" s="63">
        <v>380.4</v>
      </c>
      <c r="AK534" s="63">
        <v>346.1</v>
      </c>
      <c r="AL534" s="63">
        <v>225</v>
      </c>
      <c r="AM534" s="63">
        <v>0.16</v>
      </c>
      <c r="AN534" s="63">
        <v>342.3</v>
      </c>
      <c r="AO534" s="63">
        <v>0.14299999999999999</v>
      </c>
      <c r="AP534" s="63">
        <v>0.13800000000000001</v>
      </c>
      <c r="AQ534" s="63">
        <v>0.20300000000000001</v>
      </c>
      <c r="AR534" s="63">
        <v>167.6</v>
      </c>
      <c r="AS534" s="63">
        <v>12.62</v>
      </c>
      <c r="AT534" s="63">
        <v>170.6</v>
      </c>
      <c r="AU534" s="63">
        <v>40.693289999999998</v>
      </c>
      <c r="AV534" s="63">
        <v>-85.920230000000004</v>
      </c>
      <c r="AW534" s="63">
        <v>220.9</v>
      </c>
      <c r="AX534" s="63">
        <v>153.19999999999999</v>
      </c>
      <c r="AY534" s="63">
        <v>8.77</v>
      </c>
      <c r="AZ534" s="63">
        <v>-149.80000000000001</v>
      </c>
      <c r="BA534" s="63">
        <v>12</v>
      </c>
      <c r="BB534" s="63">
        <v>0</v>
      </c>
      <c r="BC534" s="63">
        <v>30.183</v>
      </c>
      <c r="BD534" s="63">
        <v>18.72</v>
      </c>
      <c r="BE534" s="63">
        <v>0</v>
      </c>
      <c r="BF534" s="137">
        <v>45867.420219907406</v>
      </c>
      <c r="BG534" s="63" t="s">
        <v>1725</v>
      </c>
    </row>
    <row r="535" spans="1:59" x14ac:dyDescent="0.25">
      <c r="A535" s="25">
        <v>10534</v>
      </c>
      <c r="B535" s="113" t="s">
        <v>723</v>
      </c>
      <c r="C535" s="119" t="s">
        <v>723</v>
      </c>
      <c r="D535" s="27" t="s">
        <v>472</v>
      </c>
      <c r="E535" s="46">
        <v>11</v>
      </c>
      <c r="F535" s="118">
        <v>1731</v>
      </c>
      <c r="G535" t="s">
        <v>19</v>
      </c>
      <c r="H535" s="118" t="s">
        <v>8</v>
      </c>
      <c r="I535">
        <v>-2.2800000000000001E-2</v>
      </c>
      <c r="J535">
        <v>4.3689999999999998</v>
      </c>
      <c r="K535">
        <v>0</v>
      </c>
      <c r="L535" s="118">
        <v>2.9000000000000001E-2</v>
      </c>
      <c r="M535" s="140">
        <f t="shared" si="81"/>
        <v>0.05</v>
      </c>
      <c r="N535" s="140">
        <f t="shared" si="81"/>
        <v>4.3689999999999998</v>
      </c>
      <c r="O535" s="140">
        <f t="shared" si="81"/>
        <v>0.05</v>
      </c>
      <c r="P535" s="140">
        <f t="shared" si="80"/>
        <v>0.05</v>
      </c>
      <c r="Q535" s="179">
        <v>2.9740000000000002</v>
      </c>
      <c r="R535" s="125">
        <v>17.38</v>
      </c>
      <c r="S535" s="125">
        <v>1.7400000000000002</v>
      </c>
      <c r="T535" t="s">
        <v>515</v>
      </c>
      <c r="U535" t="s">
        <v>515</v>
      </c>
      <c r="V535" s="146">
        <v>0.45</v>
      </c>
      <c r="W535" s="118">
        <v>40.710955375621602</v>
      </c>
      <c r="X535" s="118">
        <v>-85.938327919424395</v>
      </c>
      <c r="Y535" s="140">
        <f t="shared" si="76"/>
        <v>7</v>
      </c>
      <c r="Z535" s="140">
        <f t="shared" si="77"/>
        <v>29</v>
      </c>
      <c r="AA535" s="140">
        <f t="shared" si="78"/>
        <v>2025</v>
      </c>
      <c r="AB535" s="118" t="b">
        <v>0</v>
      </c>
      <c r="AC535" s="19">
        <v>45867</v>
      </c>
      <c r="AD535" s="181" t="s">
        <v>1598</v>
      </c>
      <c r="AE535" s="197">
        <v>0.44982638888888887</v>
      </c>
      <c r="AF535" s="198">
        <v>45867</v>
      </c>
      <c r="AG535" s="63">
        <v>250729</v>
      </c>
      <c r="AH535" s="63">
        <v>0</v>
      </c>
      <c r="AI535" s="63">
        <v>743.5</v>
      </c>
      <c r="AJ535" s="63">
        <v>374.7</v>
      </c>
      <c r="AK535" s="63">
        <v>339.7</v>
      </c>
      <c r="AL535" s="63">
        <v>221</v>
      </c>
      <c r="AM535" s="63">
        <v>0.16</v>
      </c>
      <c r="AN535" s="63">
        <v>335.8</v>
      </c>
      <c r="AO535" s="63">
        <v>0.17499999999999999</v>
      </c>
      <c r="AP535" s="63">
        <v>0.158</v>
      </c>
      <c r="AQ535" s="63">
        <v>0.247</v>
      </c>
      <c r="AR535" s="63">
        <v>165.6</v>
      </c>
      <c r="AS535" s="63">
        <v>12.42</v>
      </c>
      <c r="AT535" s="63">
        <v>168.5</v>
      </c>
      <c r="AU535" s="63">
        <v>40.710889999999999</v>
      </c>
      <c r="AV535" s="63">
        <v>-85.938289999999995</v>
      </c>
      <c r="AW535" s="63">
        <v>224.3</v>
      </c>
      <c r="AX535" s="63">
        <v>136</v>
      </c>
      <c r="AY535" s="63">
        <v>8.84</v>
      </c>
      <c r="AZ535" s="63">
        <v>-154</v>
      </c>
      <c r="BA535" s="63">
        <v>12</v>
      </c>
      <c r="BB535" s="63">
        <v>0</v>
      </c>
      <c r="BC535" s="63">
        <v>30.39</v>
      </c>
      <c r="BD535" s="63">
        <v>17.260000000000002</v>
      </c>
      <c r="BE535" s="63">
        <v>0</v>
      </c>
      <c r="BF535" s="137">
        <v>45867.449826388889</v>
      </c>
      <c r="BG535" s="63" t="s">
        <v>1719</v>
      </c>
    </row>
    <row r="536" spans="1:59" x14ac:dyDescent="0.25">
      <c r="A536" s="25">
        <v>10535</v>
      </c>
      <c r="B536" s="113" t="s">
        <v>724</v>
      </c>
      <c r="C536" s="119" t="s">
        <v>724</v>
      </c>
      <c r="D536" s="27" t="s">
        <v>473</v>
      </c>
      <c r="E536" s="46">
        <v>12</v>
      </c>
      <c r="F536" s="118">
        <v>661</v>
      </c>
      <c r="G536" t="s">
        <v>19</v>
      </c>
      <c r="H536" s="118" t="s">
        <v>8</v>
      </c>
      <c r="I536">
        <v>-3.7499999999999999E-2</v>
      </c>
      <c r="J536">
        <v>4.952</v>
      </c>
      <c r="K536">
        <v>0</v>
      </c>
      <c r="L536" s="118">
        <v>2.1000000000000001E-2</v>
      </c>
      <c r="M536" s="140">
        <f t="shared" si="81"/>
        <v>0.05</v>
      </c>
      <c r="N536" s="140">
        <f t="shared" si="81"/>
        <v>4.952</v>
      </c>
      <c r="O536" s="140">
        <f t="shared" si="81"/>
        <v>0.05</v>
      </c>
      <c r="P536" s="140">
        <f t="shared" si="80"/>
        <v>0.05</v>
      </c>
      <c r="Q536" s="179">
        <v>3.5369999999999999</v>
      </c>
      <c r="R536" s="125">
        <v>11.606666666666667</v>
      </c>
      <c r="S536" s="125">
        <v>1.2666666666666666</v>
      </c>
      <c r="T536" t="s">
        <v>515</v>
      </c>
      <c r="U536" t="s">
        <v>515</v>
      </c>
      <c r="V536" s="146">
        <v>0.6</v>
      </c>
      <c r="W536" s="118">
        <v>40.711643982103404</v>
      </c>
      <c r="X536" s="118">
        <v>-85.9510161998043</v>
      </c>
      <c r="Y536" s="140">
        <f t="shared" si="76"/>
        <v>7</v>
      </c>
      <c r="Z536" s="140">
        <f t="shared" si="77"/>
        <v>29</v>
      </c>
      <c r="AA536" s="140">
        <f t="shared" si="78"/>
        <v>2025</v>
      </c>
      <c r="AB536" s="118" t="b">
        <v>0</v>
      </c>
      <c r="AC536" s="19">
        <v>45867</v>
      </c>
      <c r="AD536" s="181" t="s">
        <v>1602</v>
      </c>
      <c r="AE536" s="197">
        <v>0.46393518518518517</v>
      </c>
      <c r="AF536" s="198">
        <v>45867</v>
      </c>
      <c r="AG536" s="63">
        <v>250729</v>
      </c>
      <c r="AH536" s="63">
        <v>0</v>
      </c>
      <c r="AI536" s="63">
        <v>743.5</v>
      </c>
      <c r="AJ536" s="63">
        <v>0</v>
      </c>
      <c r="AK536" s="63">
        <v>0</v>
      </c>
      <c r="AL536" s="63">
        <v>0</v>
      </c>
      <c r="AM536" s="63">
        <v>0</v>
      </c>
      <c r="AN536" s="63">
        <v>0</v>
      </c>
      <c r="AO536" s="63">
        <v>0</v>
      </c>
      <c r="AP536" s="63">
        <v>0</v>
      </c>
      <c r="AQ536" s="63">
        <v>0</v>
      </c>
      <c r="AR536" s="63">
        <v>0</v>
      </c>
      <c r="AS536" s="63">
        <v>0</v>
      </c>
      <c r="AT536" s="63">
        <v>0</v>
      </c>
      <c r="AU536" s="63">
        <v>40.7117</v>
      </c>
      <c r="AV536" s="63">
        <v>-85.951210000000003</v>
      </c>
      <c r="AW536" s="63">
        <v>223.2</v>
      </c>
      <c r="AX536" s="63">
        <v>0</v>
      </c>
      <c r="AY536" s="63">
        <v>0</v>
      </c>
      <c r="AZ536" s="63">
        <v>0</v>
      </c>
      <c r="BA536" s="63">
        <v>0</v>
      </c>
      <c r="BB536" s="63">
        <v>0</v>
      </c>
      <c r="BC536" s="63">
        <v>0</v>
      </c>
      <c r="BD536" s="63">
        <v>0</v>
      </c>
      <c r="BE536" s="63">
        <v>0</v>
      </c>
      <c r="BF536" s="137">
        <v>45867.463935185187</v>
      </c>
      <c r="BG536" s="63" t="s">
        <v>1720</v>
      </c>
    </row>
    <row r="537" spans="1:59" x14ac:dyDescent="0.25">
      <c r="A537" s="25">
        <v>10536</v>
      </c>
      <c r="B537" s="113" t="s">
        <v>725</v>
      </c>
      <c r="C537" s="119" t="s">
        <v>725</v>
      </c>
      <c r="D537" s="27" t="s">
        <v>474</v>
      </c>
      <c r="E537" s="46">
        <v>13</v>
      </c>
      <c r="F537" s="118">
        <v>13553</v>
      </c>
      <c r="G537" t="s">
        <v>19</v>
      </c>
      <c r="H537" s="118" t="s">
        <v>8</v>
      </c>
      <c r="I537">
        <v>-3.6600000000000001E-2</v>
      </c>
      <c r="J537">
        <v>0.32700000000000001</v>
      </c>
      <c r="K537">
        <v>-4.0000000000000001E-3</v>
      </c>
      <c r="L537" s="118">
        <v>0.16500000000000001</v>
      </c>
      <c r="M537" s="140">
        <f t="shared" si="81"/>
        <v>0.05</v>
      </c>
      <c r="N537" s="140">
        <f t="shared" si="81"/>
        <v>0.32700000000000001</v>
      </c>
      <c r="O537" s="140">
        <f t="shared" si="81"/>
        <v>0.05</v>
      </c>
      <c r="P537" s="140">
        <f t="shared" si="80"/>
        <v>0.16500000000000001</v>
      </c>
      <c r="Q537" s="179">
        <v>3.6819999999999999</v>
      </c>
      <c r="R537" s="125">
        <v>45.443333333333328</v>
      </c>
      <c r="S537" s="125">
        <v>4.1000000000000005</v>
      </c>
      <c r="T537" t="s">
        <v>515</v>
      </c>
      <c r="U537" t="s">
        <v>515</v>
      </c>
      <c r="V537" s="146">
        <v>0.12</v>
      </c>
      <c r="W537" s="118">
        <v>40.672481254051903</v>
      </c>
      <c r="X537" s="118">
        <v>-85.841489649811095</v>
      </c>
      <c r="Y537" s="140">
        <f t="shared" si="76"/>
        <v>7</v>
      </c>
      <c r="Z537" s="140">
        <f t="shared" si="77"/>
        <v>29</v>
      </c>
      <c r="AA537" s="140">
        <f t="shared" si="78"/>
        <v>2025</v>
      </c>
      <c r="AB537" s="118" t="b">
        <v>0</v>
      </c>
      <c r="AC537" s="19">
        <v>45867</v>
      </c>
      <c r="AD537" s="181">
        <v>33</v>
      </c>
      <c r="AE537" s="197">
        <v>0.58478009259259256</v>
      </c>
      <c r="AF537" s="198">
        <v>45867</v>
      </c>
      <c r="AG537" s="63">
        <v>250729</v>
      </c>
      <c r="AH537" s="63">
        <v>0</v>
      </c>
      <c r="AI537" s="63">
        <v>743.8</v>
      </c>
      <c r="AJ537" s="63">
        <v>452.2</v>
      </c>
      <c r="AK537" s="63">
        <v>403.5</v>
      </c>
      <c r="AL537" s="63">
        <v>262</v>
      </c>
      <c r="AM537" s="63">
        <v>0.19</v>
      </c>
      <c r="AN537" s="63">
        <v>398</v>
      </c>
      <c r="AO537" s="63">
        <v>0.26700000000000002</v>
      </c>
      <c r="AP537" s="63">
        <v>0.26300000000000001</v>
      </c>
      <c r="AQ537" s="63">
        <v>0.378</v>
      </c>
      <c r="AR537" s="63">
        <v>302.60000000000002</v>
      </c>
      <c r="AS537" s="63">
        <v>22.35</v>
      </c>
      <c r="AT537" s="63">
        <v>308</v>
      </c>
      <c r="AU537" s="63">
        <v>40.672339999999998</v>
      </c>
      <c r="AV537" s="63">
        <v>-85.8416</v>
      </c>
      <c r="AW537" s="63">
        <v>228.2</v>
      </c>
      <c r="AX537" s="63">
        <v>96</v>
      </c>
      <c r="AY537" s="63">
        <v>8.98</v>
      </c>
      <c r="AZ537" s="63">
        <v>-163.4</v>
      </c>
      <c r="BA537" s="63">
        <v>11.9</v>
      </c>
      <c r="BB537" s="63">
        <v>0</v>
      </c>
      <c r="BC537" s="63">
        <v>31.33</v>
      </c>
      <c r="BD537" s="63">
        <v>52.23</v>
      </c>
      <c r="BE537" s="63">
        <v>0</v>
      </c>
      <c r="BF537" s="137">
        <v>45867.584780092591</v>
      </c>
      <c r="BG537" s="63" t="s">
        <v>1721</v>
      </c>
    </row>
    <row r="538" spans="1:59" x14ac:dyDescent="0.25">
      <c r="A538" s="25">
        <v>10537</v>
      </c>
      <c r="B538" s="116" t="s">
        <v>726</v>
      </c>
      <c r="C538" s="122" t="s">
        <v>726</v>
      </c>
      <c r="D538" s="27">
        <v>4105</v>
      </c>
      <c r="E538" s="27">
        <v>5</v>
      </c>
      <c r="F538" s="118">
        <v>6425</v>
      </c>
      <c r="G538" t="s">
        <v>20</v>
      </c>
      <c r="H538" s="118" t="s">
        <v>8</v>
      </c>
      <c r="I538">
        <v>-3.5799999999999998E-2</v>
      </c>
      <c r="J538">
        <v>-0.219</v>
      </c>
      <c r="K538">
        <v>4.0000000000000001E-3</v>
      </c>
      <c r="L538" s="118">
        <v>0.13</v>
      </c>
      <c r="M538" s="140">
        <f t="shared" si="81"/>
        <v>0.05</v>
      </c>
      <c r="N538" s="140">
        <f t="shared" si="81"/>
        <v>0.05</v>
      </c>
      <c r="O538" s="140">
        <f t="shared" si="81"/>
        <v>0.05</v>
      </c>
      <c r="P538" s="140">
        <f t="shared" si="80"/>
        <v>0.13</v>
      </c>
      <c r="Q538" s="157">
        <v>8.6565158546017013E-2</v>
      </c>
      <c r="R538" s="125">
        <v>46.359999999999992</v>
      </c>
      <c r="S538" s="125">
        <v>10.463333333333333</v>
      </c>
      <c r="T538" t="s">
        <v>515</v>
      </c>
      <c r="U538" t="s">
        <v>515</v>
      </c>
      <c r="V538" s="146">
        <v>0.45</v>
      </c>
      <c r="W538" s="118">
        <v>40.823949102802104</v>
      </c>
      <c r="X538" s="118">
        <v>-86.7959033458676</v>
      </c>
      <c r="Y538" s="140">
        <f t="shared" si="76"/>
        <v>8</v>
      </c>
      <c r="Z538" s="140">
        <f t="shared" si="77"/>
        <v>5</v>
      </c>
      <c r="AA538" s="140">
        <f t="shared" si="78"/>
        <v>2025</v>
      </c>
      <c r="AB538" s="118" t="b">
        <v>0</v>
      </c>
      <c r="AC538" s="19">
        <v>45874</v>
      </c>
      <c r="AD538" s="181" t="s">
        <v>1615</v>
      </c>
      <c r="AE538" s="220">
        <v>0.52818287037037037</v>
      </c>
      <c r="AF538" s="221">
        <v>45874</v>
      </c>
      <c r="AG538" s="219">
        <v>250805</v>
      </c>
      <c r="AH538" s="219">
        <v>0</v>
      </c>
      <c r="AI538" s="219">
        <v>749.2</v>
      </c>
      <c r="AJ538" s="219">
        <v>541.5</v>
      </c>
      <c r="AK538" s="219">
        <v>526.29999999999995</v>
      </c>
      <c r="AL538" s="219">
        <v>342</v>
      </c>
      <c r="AM538" s="219">
        <v>0.25</v>
      </c>
      <c r="AN538" s="219">
        <v>524.70000000000005</v>
      </c>
      <c r="AO538" s="219">
        <v>0.33300000000000002</v>
      </c>
      <c r="AP538" s="219">
        <v>0.32600000000000001</v>
      </c>
      <c r="AQ538" s="219">
        <v>0.47299999999999998</v>
      </c>
      <c r="AR538" s="219">
        <v>191.5</v>
      </c>
      <c r="AS538" s="219">
        <v>15.37</v>
      </c>
      <c r="AT538" s="219">
        <v>194.4</v>
      </c>
      <c r="AU538" s="219">
        <v>40.824129999999997</v>
      </c>
      <c r="AV538" s="219">
        <v>-86.796130000000005</v>
      </c>
      <c r="AW538" s="219">
        <v>195.9</v>
      </c>
      <c r="AX538" s="219">
        <v>134.80000000000001</v>
      </c>
      <c r="AY538" s="219">
        <v>8.5500000000000007</v>
      </c>
      <c r="AZ538" s="219">
        <v>-126.9</v>
      </c>
      <c r="BA538" s="219">
        <v>11.9</v>
      </c>
      <c r="BB538" s="219">
        <v>0</v>
      </c>
      <c r="BC538" s="219">
        <v>26.513000000000002</v>
      </c>
      <c r="BD538" s="219">
        <v>8.2899999999999991</v>
      </c>
      <c r="BE538" s="219">
        <v>0</v>
      </c>
      <c r="BF538" s="222">
        <v>45874.528182870374</v>
      </c>
      <c r="BG538" s="219" t="s">
        <v>1735</v>
      </c>
    </row>
    <row r="539" spans="1:59" x14ac:dyDescent="0.25">
      <c r="A539" s="25">
        <v>10538</v>
      </c>
      <c r="B539" s="116" t="s">
        <v>727</v>
      </c>
      <c r="C539" s="122" t="s">
        <v>727</v>
      </c>
      <c r="D539" s="27">
        <v>4106</v>
      </c>
      <c r="E539" s="27">
        <v>6</v>
      </c>
      <c r="F539" s="118">
        <v>8245</v>
      </c>
      <c r="G539" t="s">
        <v>20</v>
      </c>
      <c r="H539" s="118" t="s">
        <v>8</v>
      </c>
      <c r="I539">
        <v>-1.6400000000000001E-2</v>
      </c>
      <c r="J539">
        <v>1.171</v>
      </c>
      <c r="K539">
        <v>1.2999999999999999E-2</v>
      </c>
      <c r="L539" s="118">
        <v>5.1999999999999998E-2</v>
      </c>
      <c r="M539" s="140">
        <f t="shared" si="81"/>
        <v>0.05</v>
      </c>
      <c r="N539" s="140">
        <f t="shared" si="81"/>
        <v>1.171</v>
      </c>
      <c r="O539" s="140">
        <f t="shared" si="81"/>
        <v>0.05</v>
      </c>
      <c r="P539" s="140">
        <f t="shared" si="80"/>
        <v>0.05</v>
      </c>
      <c r="Q539" s="157">
        <v>0.10600338135726661</v>
      </c>
      <c r="R539" s="125">
        <v>2.94</v>
      </c>
      <c r="S539" s="125">
        <v>1.18</v>
      </c>
      <c r="T539" t="s">
        <v>515</v>
      </c>
      <c r="U539" t="s">
        <v>515</v>
      </c>
      <c r="V539" s="146">
        <v>1</v>
      </c>
      <c r="W539" s="118">
        <v>40.834960960529898</v>
      </c>
      <c r="X539" s="118">
        <v>-86.781875828450396</v>
      </c>
      <c r="Y539" s="140">
        <f t="shared" si="76"/>
        <v>8</v>
      </c>
      <c r="Z539" s="140">
        <f t="shared" si="77"/>
        <v>5</v>
      </c>
      <c r="AA539" s="140">
        <f t="shared" si="78"/>
        <v>2025</v>
      </c>
      <c r="AB539" s="118" t="b">
        <v>0</v>
      </c>
      <c r="AC539" s="19">
        <v>45874</v>
      </c>
      <c r="AD539" s="181" t="s">
        <v>1608</v>
      </c>
      <c r="AE539" s="220">
        <v>0.51245370370370369</v>
      </c>
      <c r="AF539" s="221">
        <v>45874</v>
      </c>
      <c r="AG539" s="219">
        <v>250805</v>
      </c>
      <c r="AH539" s="219">
        <v>0</v>
      </c>
      <c r="AI539" s="219">
        <v>749</v>
      </c>
      <c r="AJ539" s="219">
        <v>634.20000000000005</v>
      </c>
      <c r="AK539" s="219">
        <v>631.20000000000005</v>
      </c>
      <c r="AL539" s="219">
        <v>410</v>
      </c>
      <c r="AM539" s="219">
        <v>0.31</v>
      </c>
      <c r="AN539" s="219">
        <v>630.9</v>
      </c>
      <c r="AO539" s="219">
        <v>0.46800000000000003</v>
      </c>
      <c r="AP539" s="219">
        <v>0.47599999999999998</v>
      </c>
      <c r="AQ539" s="219">
        <v>0.66400000000000003</v>
      </c>
      <c r="AR539" s="219">
        <v>100.1</v>
      </c>
      <c r="AS539" s="219">
        <v>8.2200000000000006</v>
      </c>
      <c r="AT539" s="219">
        <v>101.7</v>
      </c>
      <c r="AU539" s="219">
        <v>40.835070000000002</v>
      </c>
      <c r="AV539" s="219">
        <v>-86.781970000000001</v>
      </c>
      <c r="AW539" s="219">
        <v>193.8</v>
      </c>
      <c r="AX539" s="219">
        <v>167.9</v>
      </c>
      <c r="AY539" s="219">
        <v>8.06</v>
      </c>
      <c r="AZ539" s="219">
        <v>-97.1</v>
      </c>
      <c r="BA539" s="219">
        <v>11.9</v>
      </c>
      <c r="BB539" s="219">
        <v>0</v>
      </c>
      <c r="BC539" s="219">
        <v>25.248000000000001</v>
      </c>
      <c r="BD539" s="219">
        <v>2.8</v>
      </c>
      <c r="BE539" s="219">
        <v>0</v>
      </c>
      <c r="BF539" s="222">
        <v>45874.512453703705</v>
      </c>
      <c r="BG539" s="219" t="s">
        <v>1736</v>
      </c>
    </row>
    <row r="540" spans="1:59" x14ac:dyDescent="0.25">
      <c r="A540" s="25">
        <v>10539</v>
      </c>
      <c r="B540" s="116" t="s">
        <v>728</v>
      </c>
      <c r="C540" s="122" t="s">
        <v>728</v>
      </c>
      <c r="D540" s="27">
        <v>4108</v>
      </c>
      <c r="E540" s="27">
        <v>8</v>
      </c>
      <c r="F540" s="118">
        <v>5065</v>
      </c>
      <c r="G540" t="s">
        <v>20</v>
      </c>
      <c r="H540" s="118" t="s">
        <v>8</v>
      </c>
      <c r="I540">
        <v>-7.0000000000000001E-3</v>
      </c>
      <c r="J540">
        <v>1.1859999999999999</v>
      </c>
      <c r="K540">
        <v>3.4000000000000002E-2</v>
      </c>
      <c r="L540" s="118">
        <v>0.106</v>
      </c>
      <c r="M540" s="140">
        <f t="shared" si="81"/>
        <v>0.05</v>
      </c>
      <c r="N540" s="140">
        <f t="shared" si="81"/>
        <v>1.1859999999999999</v>
      </c>
      <c r="O540" s="140">
        <f t="shared" si="81"/>
        <v>0.05</v>
      </c>
      <c r="P540" s="140">
        <f t="shared" si="80"/>
        <v>0.106</v>
      </c>
      <c r="Q540" s="157">
        <v>0.12459179569057922</v>
      </c>
      <c r="R540" s="125">
        <v>12.72</v>
      </c>
      <c r="S540" s="125">
        <v>4.6399999999999997</v>
      </c>
      <c r="T540" t="s">
        <v>515</v>
      </c>
      <c r="U540" t="s">
        <v>515</v>
      </c>
      <c r="V540" s="146">
        <v>0.6</v>
      </c>
      <c r="W540" s="118">
        <v>40.811186474031999</v>
      </c>
      <c r="X540" s="118">
        <v>-86.794330203868697</v>
      </c>
      <c r="Y540" s="140">
        <f t="shared" si="76"/>
        <v>8</v>
      </c>
      <c r="Z540" s="140">
        <f t="shared" si="77"/>
        <v>5</v>
      </c>
      <c r="AA540" s="140">
        <f t="shared" si="78"/>
        <v>2025</v>
      </c>
      <c r="AB540" s="118" t="b">
        <v>0</v>
      </c>
      <c r="AC540" s="19">
        <v>45874</v>
      </c>
      <c r="AD540" s="181" t="s">
        <v>1614</v>
      </c>
      <c r="AE540" s="220">
        <v>0.49406250000000002</v>
      </c>
      <c r="AF540" s="221">
        <v>45874</v>
      </c>
      <c r="AG540" s="219">
        <v>250805</v>
      </c>
      <c r="AH540" s="219">
        <v>0</v>
      </c>
      <c r="AI540" s="219">
        <v>749.2</v>
      </c>
      <c r="AJ540" s="219">
        <v>611.9</v>
      </c>
      <c r="AK540" s="219">
        <v>599.9</v>
      </c>
      <c r="AL540" s="219">
        <v>390</v>
      </c>
      <c r="AM540" s="219">
        <v>0.28999999999999998</v>
      </c>
      <c r="AN540" s="219">
        <v>598.70000000000005</v>
      </c>
      <c r="AO540" s="219">
        <v>0.29399999999999998</v>
      </c>
      <c r="AP540" s="219">
        <v>0.31</v>
      </c>
      <c r="AQ540" s="219">
        <v>0.41699999999999998</v>
      </c>
      <c r="AR540" s="219">
        <v>116.9</v>
      </c>
      <c r="AS540" s="219">
        <v>9.4600000000000009</v>
      </c>
      <c r="AT540" s="219">
        <v>118.7</v>
      </c>
      <c r="AU540" s="219">
        <v>40.811199999999999</v>
      </c>
      <c r="AV540" s="219">
        <v>-86.794460000000001</v>
      </c>
      <c r="AW540" s="219">
        <v>199.3</v>
      </c>
      <c r="AX540" s="219">
        <v>160.1</v>
      </c>
      <c r="AY540" s="219">
        <v>8.07</v>
      </c>
      <c r="AZ540" s="219">
        <v>-97.8</v>
      </c>
      <c r="BA540" s="219">
        <v>11.9</v>
      </c>
      <c r="BB540" s="219">
        <v>0</v>
      </c>
      <c r="BC540" s="219">
        <v>26.044</v>
      </c>
      <c r="BD540" s="219">
        <v>5.68</v>
      </c>
      <c r="BE540" s="219">
        <v>0</v>
      </c>
      <c r="BF540" s="222">
        <v>45874.494062500002</v>
      </c>
      <c r="BG540" s="219" t="s">
        <v>1737</v>
      </c>
    </row>
    <row r="541" spans="1:59" x14ac:dyDescent="0.25">
      <c r="A541" s="25">
        <v>10540</v>
      </c>
      <c r="B541" s="116" t="s">
        <v>729</v>
      </c>
      <c r="C541" s="122" t="s">
        <v>729</v>
      </c>
      <c r="D541" s="27">
        <v>4109</v>
      </c>
      <c r="E541" s="27">
        <v>9</v>
      </c>
      <c r="F541" s="118">
        <v>3385</v>
      </c>
      <c r="G541" t="s">
        <v>20</v>
      </c>
      <c r="H541" s="118" t="s">
        <v>8</v>
      </c>
      <c r="I541">
        <v>-3.3500000000000002E-2</v>
      </c>
      <c r="J541">
        <v>0.755</v>
      </c>
      <c r="K541">
        <v>6.0000000000000001E-3</v>
      </c>
      <c r="L541" s="118">
        <v>0.106</v>
      </c>
      <c r="M541" s="140">
        <f t="shared" si="81"/>
        <v>0.05</v>
      </c>
      <c r="N541" s="140">
        <f t="shared" si="81"/>
        <v>0.755</v>
      </c>
      <c r="O541" s="140">
        <f t="shared" si="81"/>
        <v>0.05</v>
      </c>
      <c r="P541" s="140">
        <f t="shared" si="80"/>
        <v>0.106</v>
      </c>
      <c r="Q541" s="157">
        <v>9.9759047696412945E-2</v>
      </c>
      <c r="R541" s="125">
        <v>28.939999999999998</v>
      </c>
      <c r="S541" s="125">
        <v>9.4933333333333341</v>
      </c>
      <c r="T541" t="s">
        <v>515</v>
      </c>
      <c r="U541" t="s">
        <v>515</v>
      </c>
      <c r="V541" s="146">
        <v>0.6</v>
      </c>
      <c r="W541" s="118">
        <v>40.804292107400101</v>
      </c>
      <c r="X541" s="118">
        <v>-86.774821942976104</v>
      </c>
      <c r="Y541" s="140">
        <f t="shared" si="76"/>
        <v>8</v>
      </c>
      <c r="Z541" s="140">
        <f t="shared" si="77"/>
        <v>5</v>
      </c>
      <c r="AA541" s="140">
        <f t="shared" si="78"/>
        <v>2025</v>
      </c>
      <c r="AB541" s="118" t="b">
        <v>0</v>
      </c>
      <c r="AC541" s="19">
        <v>45874</v>
      </c>
      <c r="AD541" s="181" t="s">
        <v>1612</v>
      </c>
      <c r="AE541" s="220">
        <v>0.43707175925925928</v>
      </c>
      <c r="AF541" s="221">
        <v>45874</v>
      </c>
      <c r="AG541" s="219">
        <v>250805</v>
      </c>
      <c r="AH541" s="219">
        <v>0</v>
      </c>
      <c r="AI541" s="219">
        <v>749.5</v>
      </c>
      <c r="AJ541" s="219">
        <v>594.4</v>
      </c>
      <c r="AK541" s="219">
        <v>585</v>
      </c>
      <c r="AL541" s="219">
        <v>380</v>
      </c>
      <c r="AM541" s="219">
        <v>0.28000000000000003</v>
      </c>
      <c r="AN541" s="219">
        <v>584.1</v>
      </c>
      <c r="AO541" s="219">
        <v>0.39300000000000002</v>
      </c>
      <c r="AP541" s="219">
        <v>0.39900000000000002</v>
      </c>
      <c r="AQ541" s="219">
        <v>0.55800000000000005</v>
      </c>
      <c r="AR541" s="219">
        <v>155.30000000000001</v>
      </c>
      <c r="AS541" s="219">
        <v>12.62</v>
      </c>
      <c r="AT541" s="219">
        <v>157.69999999999999</v>
      </c>
      <c r="AU541" s="219">
        <v>40.804259999999999</v>
      </c>
      <c r="AV541" s="219">
        <v>-86.774799999999999</v>
      </c>
      <c r="AW541" s="219">
        <v>197</v>
      </c>
      <c r="AX541" s="219">
        <v>152.80000000000001</v>
      </c>
      <c r="AY541" s="219">
        <v>8.4</v>
      </c>
      <c r="AZ541" s="219">
        <v>-117.6</v>
      </c>
      <c r="BA541" s="219">
        <v>11.9</v>
      </c>
      <c r="BB541" s="219">
        <v>0</v>
      </c>
      <c r="BC541" s="219">
        <v>25.837</v>
      </c>
      <c r="BD541" s="219">
        <v>4.99</v>
      </c>
      <c r="BE541" s="219">
        <v>0</v>
      </c>
      <c r="BF541" s="222">
        <v>45874.437071759261</v>
      </c>
      <c r="BG541" s="219" t="s">
        <v>1739</v>
      </c>
    </row>
    <row r="542" spans="1:59" x14ac:dyDescent="0.25">
      <c r="A542" s="25">
        <v>10541</v>
      </c>
      <c r="B542" s="116" t="s">
        <v>730</v>
      </c>
      <c r="C542" s="122" t="s">
        <v>730</v>
      </c>
      <c r="D542" s="27">
        <v>4110</v>
      </c>
      <c r="E542" s="27">
        <v>10</v>
      </c>
      <c r="F542" s="118">
        <v>2205</v>
      </c>
      <c r="G542" t="s">
        <v>20</v>
      </c>
      <c r="H542" s="118" t="s">
        <v>8</v>
      </c>
      <c r="I542">
        <v>-2.8799999999999999E-2</v>
      </c>
      <c r="J542">
        <v>0.78800000000000003</v>
      </c>
      <c r="K542">
        <v>1.2E-2</v>
      </c>
      <c r="L542" s="118">
        <v>0.10299999999999999</v>
      </c>
      <c r="M542" s="140">
        <f t="shared" si="81"/>
        <v>0.05</v>
      </c>
      <c r="N542" s="140">
        <f t="shared" si="81"/>
        <v>0.78800000000000003</v>
      </c>
      <c r="O542" s="140">
        <f t="shared" si="81"/>
        <v>0.05</v>
      </c>
      <c r="P542" s="140">
        <f t="shared" si="80"/>
        <v>0.10299999999999999</v>
      </c>
      <c r="Q542" s="157">
        <v>0.05</v>
      </c>
      <c r="R542" s="125">
        <v>27.58666666666667</v>
      </c>
      <c r="S542" s="125">
        <v>11.576666666666668</v>
      </c>
      <c r="T542" t="s">
        <v>515</v>
      </c>
      <c r="U542" t="s">
        <v>515</v>
      </c>
      <c r="V542" s="146">
        <v>0.6</v>
      </c>
      <c r="W542" s="118">
        <v>40.794741681526801</v>
      </c>
      <c r="X542" s="118">
        <v>-86.774699849441205</v>
      </c>
      <c r="Y542" s="140">
        <f t="shared" si="76"/>
        <v>8</v>
      </c>
      <c r="Z542" s="140">
        <f t="shared" si="77"/>
        <v>5</v>
      </c>
      <c r="AA542" s="140">
        <f t="shared" si="78"/>
        <v>2025</v>
      </c>
      <c r="AB542" s="118" t="b">
        <v>0</v>
      </c>
      <c r="AC542" s="19">
        <v>45874</v>
      </c>
      <c r="AD542" s="181" t="s">
        <v>1610</v>
      </c>
      <c r="AE542" s="220">
        <v>0.40949074074074077</v>
      </c>
      <c r="AF542" s="221">
        <v>45874</v>
      </c>
      <c r="AG542" s="219">
        <v>250805</v>
      </c>
      <c r="AH542" s="219">
        <v>0</v>
      </c>
      <c r="AI542" s="219">
        <v>749.4</v>
      </c>
      <c r="AJ542" s="219">
        <v>601.5</v>
      </c>
      <c r="AK542" s="219">
        <v>590.29999999999995</v>
      </c>
      <c r="AL542" s="219">
        <v>384</v>
      </c>
      <c r="AM542" s="219">
        <v>0.28000000000000003</v>
      </c>
      <c r="AN542" s="219">
        <v>589.1</v>
      </c>
      <c r="AO542" s="219">
        <v>0.40400000000000003</v>
      </c>
      <c r="AP542" s="219">
        <v>0.41799999999999998</v>
      </c>
      <c r="AQ542" s="219">
        <v>0.57199999999999995</v>
      </c>
      <c r="AR542" s="219">
        <v>157.80000000000001</v>
      </c>
      <c r="AS542" s="219">
        <v>12.78</v>
      </c>
      <c r="AT542" s="219">
        <v>160.19999999999999</v>
      </c>
      <c r="AU542" s="219">
        <v>40.79477</v>
      </c>
      <c r="AV542" s="219">
        <v>-86.774969999999996</v>
      </c>
      <c r="AW542" s="219">
        <v>198.5</v>
      </c>
      <c r="AX542" s="219">
        <v>159.69999999999999</v>
      </c>
      <c r="AY542" s="219">
        <v>8.39</v>
      </c>
      <c r="AZ542" s="219">
        <v>-117.1</v>
      </c>
      <c r="BA542" s="219">
        <v>12</v>
      </c>
      <c r="BB542" s="219">
        <v>0</v>
      </c>
      <c r="BC542" s="219">
        <v>25.994</v>
      </c>
      <c r="BD542" s="219">
        <v>5.16</v>
      </c>
      <c r="BE542" s="219">
        <v>0</v>
      </c>
      <c r="BF542" s="222">
        <v>45874.409490740742</v>
      </c>
      <c r="BG542" s="219" t="s">
        <v>1741</v>
      </c>
    </row>
    <row r="543" spans="1:59" x14ac:dyDescent="0.25">
      <c r="A543" s="25">
        <v>10542</v>
      </c>
      <c r="B543" s="116" t="s">
        <v>731</v>
      </c>
      <c r="C543" s="122" t="s">
        <v>731</v>
      </c>
      <c r="D543" s="27">
        <v>4111</v>
      </c>
      <c r="E543" s="27">
        <v>11</v>
      </c>
      <c r="F543" s="118">
        <v>1385</v>
      </c>
      <c r="G543" t="s">
        <v>20</v>
      </c>
      <c r="H543" s="118" t="s">
        <v>8</v>
      </c>
      <c r="I543">
        <v>2.3300000000000001E-2</v>
      </c>
      <c r="J543">
        <v>0.76300000000000001</v>
      </c>
      <c r="K543">
        <v>2.9000000000000001E-2</v>
      </c>
      <c r="L543" s="118">
        <v>0.12</v>
      </c>
      <c r="M543" s="140">
        <f t="shared" si="81"/>
        <v>0.05</v>
      </c>
      <c r="N543" s="140">
        <f t="shared" si="81"/>
        <v>0.76300000000000001</v>
      </c>
      <c r="O543" s="140">
        <f t="shared" si="81"/>
        <v>0.05</v>
      </c>
      <c r="P543" s="140">
        <f t="shared" si="80"/>
        <v>0.12</v>
      </c>
      <c r="Q543" s="157">
        <v>0.05</v>
      </c>
      <c r="R543" s="125">
        <v>22.053333333333331</v>
      </c>
      <c r="S543" s="125">
        <v>12.160000000000002</v>
      </c>
      <c r="T543" t="s">
        <v>515</v>
      </c>
      <c r="U543" t="s">
        <v>515</v>
      </c>
      <c r="V543" s="146">
        <v>0.6</v>
      </c>
      <c r="W543" s="118">
        <v>40.788612939137003</v>
      </c>
      <c r="X543" s="118">
        <v>-86.772086740762006</v>
      </c>
      <c r="Y543" s="140">
        <f t="shared" si="76"/>
        <v>8</v>
      </c>
      <c r="Z543" s="140">
        <f t="shared" si="77"/>
        <v>5</v>
      </c>
      <c r="AA543" s="140">
        <f t="shared" si="78"/>
        <v>2025</v>
      </c>
      <c r="AB543" s="118" t="b">
        <v>0</v>
      </c>
      <c r="AC543" s="19">
        <v>45874</v>
      </c>
      <c r="AD543" s="181" t="s">
        <v>1608</v>
      </c>
      <c r="AE543" s="220">
        <v>0.37253472222222223</v>
      </c>
      <c r="AF543" s="221">
        <v>45874</v>
      </c>
      <c r="AG543" s="219">
        <v>250805</v>
      </c>
      <c r="AH543" s="219">
        <v>0</v>
      </c>
      <c r="AI543" s="219">
        <v>749.1</v>
      </c>
      <c r="AJ543" s="219">
        <v>609.6</v>
      </c>
      <c r="AK543" s="219">
        <v>599.1</v>
      </c>
      <c r="AL543" s="219">
        <v>389</v>
      </c>
      <c r="AM543" s="219">
        <v>0.28999999999999998</v>
      </c>
      <c r="AN543" s="219">
        <v>598</v>
      </c>
      <c r="AO543" s="219">
        <v>0.40400000000000003</v>
      </c>
      <c r="AP543" s="219">
        <v>0.4</v>
      </c>
      <c r="AQ543" s="219">
        <v>0.57299999999999995</v>
      </c>
      <c r="AR543" s="219">
        <v>118.2</v>
      </c>
      <c r="AS543" s="219">
        <v>9.59</v>
      </c>
      <c r="AT543" s="219">
        <v>120</v>
      </c>
      <c r="AU543" s="219">
        <v>40.788620000000002</v>
      </c>
      <c r="AV543" s="219">
        <v>-86.772189999999995</v>
      </c>
      <c r="AW543" s="219">
        <v>197.1</v>
      </c>
      <c r="AX543" s="219">
        <v>222.9</v>
      </c>
      <c r="AY543" s="219">
        <v>8.0299999999999994</v>
      </c>
      <c r="AZ543" s="219">
        <v>-95.2</v>
      </c>
      <c r="BA543" s="219">
        <v>11.9</v>
      </c>
      <c r="BB543" s="219">
        <v>0</v>
      </c>
      <c r="BC543" s="219">
        <v>25.922000000000001</v>
      </c>
      <c r="BD543" s="219">
        <v>5.44</v>
      </c>
      <c r="BE543" s="219">
        <v>0</v>
      </c>
      <c r="BF543" s="222">
        <v>45874.372534722221</v>
      </c>
      <c r="BG543" s="219" t="s">
        <v>1742</v>
      </c>
    </row>
    <row r="544" spans="1:59" x14ac:dyDescent="0.25">
      <c r="A544" s="25">
        <v>10543</v>
      </c>
      <c r="B544" s="116" t="s">
        <v>732</v>
      </c>
      <c r="C544" s="122" t="s">
        <v>732</v>
      </c>
      <c r="D544" s="27">
        <v>4112</v>
      </c>
      <c r="E544" s="27">
        <v>12</v>
      </c>
      <c r="F544" s="118">
        <v>275</v>
      </c>
      <c r="G544" t="s">
        <v>20</v>
      </c>
      <c r="H544" s="118" t="s">
        <v>8</v>
      </c>
      <c r="I544">
        <v>-1.7500000000000002E-2</v>
      </c>
      <c r="J544">
        <v>0.75800000000000001</v>
      </c>
      <c r="K544">
        <v>1.7999999999999999E-2</v>
      </c>
      <c r="L544" s="118">
        <v>9.4E-2</v>
      </c>
      <c r="M544" s="140">
        <f t="shared" si="81"/>
        <v>0.05</v>
      </c>
      <c r="N544" s="140">
        <f t="shared" si="81"/>
        <v>0.75800000000000001</v>
      </c>
      <c r="O544" s="140">
        <f t="shared" si="81"/>
        <v>0.05</v>
      </c>
      <c r="P544" s="140">
        <f t="shared" si="80"/>
        <v>0.05</v>
      </c>
      <c r="Q544" s="157">
        <v>0.05</v>
      </c>
      <c r="R544" s="125">
        <v>17.346666666666664</v>
      </c>
      <c r="S544" s="125">
        <v>9.706666666666667</v>
      </c>
      <c r="T544" t="s">
        <v>515</v>
      </c>
      <c r="U544" t="s">
        <v>515</v>
      </c>
      <c r="V544" s="146">
        <v>0.7</v>
      </c>
      <c r="W544" s="118">
        <v>40.782407876290399</v>
      </c>
      <c r="X544" s="118">
        <v>-86.762338858064993</v>
      </c>
      <c r="Y544" s="140">
        <f t="shared" si="76"/>
        <v>8</v>
      </c>
      <c r="Z544" s="140">
        <f t="shared" si="77"/>
        <v>5</v>
      </c>
      <c r="AA544" s="140">
        <f t="shared" si="78"/>
        <v>2025</v>
      </c>
      <c r="AB544" s="118" t="b">
        <v>0</v>
      </c>
      <c r="AC544" s="19">
        <v>45874</v>
      </c>
      <c r="AD544" s="181" t="s">
        <v>1609</v>
      </c>
      <c r="AE544" s="220">
        <v>0.39146990740740739</v>
      </c>
      <c r="AF544" s="221">
        <v>45874</v>
      </c>
      <c r="AG544" s="219">
        <v>250805</v>
      </c>
      <c r="AH544" s="219">
        <v>0</v>
      </c>
      <c r="AI544" s="219">
        <v>749.2</v>
      </c>
      <c r="AJ544" s="219">
        <v>610.1</v>
      </c>
      <c r="AK544" s="219">
        <v>600.79999999999995</v>
      </c>
      <c r="AL544" s="219">
        <v>391</v>
      </c>
      <c r="AM544" s="219">
        <v>0.28999999999999998</v>
      </c>
      <c r="AN544" s="219">
        <v>599.9</v>
      </c>
      <c r="AO544" s="219">
        <v>0.43</v>
      </c>
      <c r="AP544" s="219">
        <v>0.41799999999999998</v>
      </c>
      <c r="AQ544" s="219">
        <v>0.61</v>
      </c>
      <c r="AR544" s="219">
        <v>112.2</v>
      </c>
      <c r="AS544" s="219">
        <v>9.1199999999999992</v>
      </c>
      <c r="AT544" s="219">
        <v>113.9</v>
      </c>
      <c r="AU544" s="219">
        <v>40.782400000000003</v>
      </c>
      <c r="AV544" s="219">
        <v>-86.762469999999993</v>
      </c>
      <c r="AW544" s="219">
        <v>197</v>
      </c>
      <c r="AX544" s="219">
        <v>193.6</v>
      </c>
      <c r="AY544" s="219">
        <v>7.96</v>
      </c>
      <c r="AZ544" s="219">
        <v>-91.3</v>
      </c>
      <c r="BA544" s="219">
        <v>11.9</v>
      </c>
      <c r="BB544" s="219">
        <v>0</v>
      </c>
      <c r="BC544" s="219">
        <v>25.81</v>
      </c>
      <c r="BD544" s="219">
        <v>4.04</v>
      </c>
      <c r="BE544" s="219">
        <v>0</v>
      </c>
      <c r="BF544" s="222">
        <v>45874.391469907408</v>
      </c>
      <c r="BG544" s="219" t="s">
        <v>1743</v>
      </c>
    </row>
    <row r="545" spans="1:59" x14ac:dyDescent="0.25">
      <c r="A545" s="25">
        <v>10544</v>
      </c>
      <c r="B545" s="116" t="s">
        <v>733</v>
      </c>
      <c r="C545" s="122" t="s">
        <v>733</v>
      </c>
      <c r="D545" s="27">
        <v>4114</v>
      </c>
      <c r="E545" s="27">
        <v>14</v>
      </c>
      <c r="F545" s="118">
        <v>4225</v>
      </c>
      <c r="G545" t="s">
        <v>20</v>
      </c>
      <c r="H545" s="118" t="s">
        <v>8</v>
      </c>
      <c r="I545">
        <v>-2.8899999999999999E-2</v>
      </c>
      <c r="J545">
        <v>0.88400000000000001</v>
      </c>
      <c r="K545">
        <v>2.4E-2</v>
      </c>
      <c r="L545" s="118">
        <v>0.11</v>
      </c>
      <c r="M545" s="140">
        <f t="shared" si="81"/>
        <v>0.05</v>
      </c>
      <c r="N545" s="140">
        <f t="shared" si="81"/>
        <v>0.88400000000000001</v>
      </c>
      <c r="O545" s="140">
        <f t="shared" si="81"/>
        <v>0.05</v>
      </c>
      <c r="P545" s="140">
        <f t="shared" si="80"/>
        <v>0.11</v>
      </c>
      <c r="Q545" s="157">
        <v>0.05</v>
      </c>
      <c r="R545" s="125">
        <v>27.223333333333333</v>
      </c>
      <c r="S545" s="125">
        <v>8.0133333333333336</v>
      </c>
      <c r="T545" t="s">
        <v>515</v>
      </c>
      <c r="U545" t="s">
        <v>515</v>
      </c>
      <c r="V545" s="146">
        <v>0.6</v>
      </c>
      <c r="W545" s="118">
        <v>40.807363505644901</v>
      </c>
      <c r="X545" s="118">
        <v>-86.785416838958895</v>
      </c>
      <c r="Y545" s="140">
        <f t="shared" si="76"/>
        <v>8</v>
      </c>
      <c r="Z545" s="140">
        <f t="shared" si="77"/>
        <v>5</v>
      </c>
      <c r="AA545" s="140">
        <f t="shared" si="78"/>
        <v>2025</v>
      </c>
      <c r="AB545" s="118" t="b">
        <v>0</v>
      </c>
      <c r="AC545" s="19">
        <v>45874</v>
      </c>
      <c r="AD545" s="181" t="s">
        <v>1613</v>
      </c>
      <c r="AE545" s="220">
        <v>0.45210648148148147</v>
      </c>
      <c r="AF545" s="221">
        <v>45874</v>
      </c>
      <c r="AG545" s="219">
        <v>250805</v>
      </c>
      <c r="AH545" s="219">
        <v>0</v>
      </c>
      <c r="AI545" s="219">
        <v>749.4</v>
      </c>
      <c r="AJ545" s="219">
        <v>598.9</v>
      </c>
      <c r="AK545" s="219">
        <v>590.70000000000005</v>
      </c>
      <c r="AL545" s="219">
        <v>384</v>
      </c>
      <c r="AM545" s="219">
        <v>0.28000000000000003</v>
      </c>
      <c r="AN545" s="219">
        <v>589.9</v>
      </c>
      <c r="AO545" s="219">
        <v>0.33500000000000002</v>
      </c>
      <c r="AP545" s="219">
        <v>0.34399999999999997</v>
      </c>
      <c r="AQ545" s="219">
        <v>0.47399999999999998</v>
      </c>
      <c r="AR545" s="219">
        <v>130.5</v>
      </c>
      <c r="AS545" s="219">
        <v>10.62</v>
      </c>
      <c r="AT545" s="219">
        <v>132.4</v>
      </c>
      <c r="AU545" s="219">
        <v>40.80742</v>
      </c>
      <c r="AV545" s="219">
        <v>-86.785690000000002</v>
      </c>
      <c r="AW545" s="219">
        <v>196.9</v>
      </c>
      <c r="AX545" s="219">
        <v>143.80000000000001</v>
      </c>
      <c r="AY545" s="219">
        <v>8.19</v>
      </c>
      <c r="AZ545" s="219">
        <v>-104.7</v>
      </c>
      <c r="BA545" s="219">
        <v>11.9</v>
      </c>
      <c r="BB545" s="219">
        <v>0</v>
      </c>
      <c r="BC545" s="219">
        <v>25.725000000000001</v>
      </c>
      <c r="BD545" s="219">
        <v>5.62</v>
      </c>
      <c r="BE545" s="219">
        <v>0</v>
      </c>
      <c r="BF545" s="222">
        <v>45874.452106481483</v>
      </c>
      <c r="BG545" s="219" t="s">
        <v>1738</v>
      </c>
    </row>
    <row r="546" spans="1:59" x14ac:dyDescent="0.25">
      <c r="A546" s="25">
        <v>10545</v>
      </c>
      <c r="B546" s="116" t="s">
        <v>734</v>
      </c>
      <c r="C546" s="122" t="s">
        <v>734</v>
      </c>
      <c r="D546" s="27">
        <v>4115</v>
      </c>
      <c r="E546" s="27">
        <v>15</v>
      </c>
      <c r="F546" s="118">
        <v>2905</v>
      </c>
      <c r="G546" t="s">
        <v>20</v>
      </c>
      <c r="H546" s="118" t="s">
        <v>8</v>
      </c>
      <c r="I546">
        <v>-2.4799999999999999E-2</v>
      </c>
      <c r="J546">
        <v>0.78400000000000003</v>
      </c>
      <c r="K546">
        <v>1.0999999999999999E-2</v>
      </c>
      <c r="L546" s="118">
        <v>0.108</v>
      </c>
      <c r="M546" s="140">
        <f t="shared" ref="M546:O561" si="82">IF(I546&lt;0.1,0.05,I546)</f>
        <v>0.05</v>
      </c>
      <c r="N546" s="140">
        <f t="shared" si="82"/>
        <v>0.78400000000000003</v>
      </c>
      <c r="O546" s="140">
        <f t="shared" si="82"/>
        <v>0.05</v>
      </c>
      <c r="P546" s="140">
        <f t="shared" si="80"/>
        <v>0.108</v>
      </c>
      <c r="Q546" s="157">
        <v>0.05</v>
      </c>
      <c r="R546" s="125">
        <v>30.203333333333333</v>
      </c>
      <c r="S546" s="125">
        <v>11.39</v>
      </c>
      <c r="T546" t="s">
        <v>515</v>
      </c>
      <c r="U546" t="s">
        <v>515</v>
      </c>
      <c r="V546" s="146">
        <v>0.6</v>
      </c>
      <c r="W546" s="118">
        <v>40.799284862032501</v>
      </c>
      <c r="X546" s="118">
        <v>-86.777852356195098</v>
      </c>
      <c r="Y546" s="140">
        <f t="shared" si="76"/>
        <v>8</v>
      </c>
      <c r="Z546" s="140">
        <f t="shared" si="77"/>
        <v>5</v>
      </c>
      <c r="AA546" s="140">
        <f t="shared" si="78"/>
        <v>2025</v>
      </c>
      <c r="AB546" s="118" t="b">
        <v>0</v>
      </c>
      <c r="AC546" s="19">
        <v>45874</v>
      </c>
      <c r="AD546" s="181" t="s">
        <v>1611</v>
      </c>
      <c r="AE546" s="220">
        <v>0.42295138888888889</v>
      </c>
      <c r="AF546" s="221">
        <v>45874</v>
      </c>
      <c r="AG546" s="219">
        <v>250805</v>
      </c>
      <c r="AH546" s="219">
        <v>0</v>
      </c>
      <c r="AI546" s="219">
        <v>749.4</v>
      </c>
      <c r="AJ546" s="219">
        <v>600.70000000000005</v>
      </c>
      <c r="AK546" s="219">
        <v>591.70000000000005</v>
      </c>
      <c r="AL546" s="219">
        <v>385</v>
      </c>
      <c r="AM546" s="219">
        <v>0.28999999999999998</v>
      </c>
      <c r="AN546" s="219">
        <v>590.79999999999995</v>
      </c>
      <c r="AO546" s="219">
        <v>0.42499999999999999</v>
      </c>
      <c r="AP546" s="219">
        <v>0.434</v>
      </c>
      <c r="AQ546" s="219">
        <v>0.60299999999999998</v>
      </c>
      <c r="AR546" s="219">
        <v>138.5</v>
      </c>
      <c r="AS546" s="219">
        <v>11.26</v>
      </c>
      <c r="AT546" s="219">
        <v>140.6</v>
      </c>
      <c r="AU546" s="219">
        <v>40.799349999999997</v>
      </c>
      <c r="AV546" s="219">
        <v>-86.777889999999999</v>
      </c>
      <c r="AW546" s="219">
        <v>200.8</v>
      </c>
      <c r="AX546" s="219">
        <v>120.5</v>
      </c>
      <c r="AY546" s="219">
        <v>8.24</v>
      </c>
      <c r="AZ546" s="219">
        <v>-108.1</v>
      </c>
      <c r="BA546" s="219">
        <v>12</v>
      </c>
      <c r="BB546" s="219">
        <v>0</v>
      </c>
      <c r="BC546" s="219">
        <v>25.79</v>
      </c>
      <c r="BD546" s="219">
        <v>7.52</v>
      </c>
      <c r="BE546" s="219">
        <v>0</v>
      </c>
      <c r="BF546" s="222">
        <v>45874.422951388886</v>
      </c>
      <c r="BG546" s="219" t="s">
        <v>1740</v>
      </c>
    </row>
    <row r="547" spans="1:59" x14ac:dyDescent="0.25">
      <c r="A547" s="25">
        <v>10546</v>
      </c>
      <c r="B547" s="116" t="s">
        <v>735</v>
      </c>
      <c r="C547" s="122" t="s">
        <v>735</v>
      </c>
      <c r="D547" s="27">
        <v>4116</v>
      </c>
      <c r="E547" s="27">
        <v>16</v>
      </c>
      <c r="F547" s="118">
        <v>5604</v>
      </c>
      <c r="G547" t="s">
        <v>20</v>
      </c>
      <c r="H547" s="118" t="s">
        <v>8</v>
      </c>
      <c r="I547">
        <v>-3.1899999999999998E-2</v>
      </c>
      <c r="J547">
        <v>1.1120000000000001</v>
      </c>
      <c r="K547">
        <v>1.4999999999999999E-2</v>
      </c>
      <c r="L547" s="118">
        <v>9.0999999999999998E-2</v>
      </c>
      <c r="M547" s="140">
        <f t="shared" si="82"/>
        <v>0.05</v>
      </c>
      <c r="N547" s="140">
        <f t="shared" si="82"/>
        <v>1.1120000000000001</v>
      </c>
      <c r="O547" s="140">
        <f t="shared" si="82"/>
        <v>0.05</v>
      </c>
      <c r="P547" s="140">
        <f t="shared" si="80"/>
        <v>0.05</v>
      </c>
      <c r="Q547" s="157">
        <v>0.05</v>
      </c>
      <c r="R547" s="125">
        <v>6.1433333333333335</v>
      </c>
      <c r="S547" s="125">
        <v>1.84</v>
      </c>
      <c r="T547" t="s">
        <v>515</v>
      </c>
      <c r="U547" t="s">
        <v>515</v>
      </c>
      <c r="V547" s="146">
        <v>0.75</v>
      </c>
      <c r="W547" s="118">
        <v>40.818374468400101</v>
      </c>
      <c r="X547" s="118">
        <v>-86.790997799464705</v>
      </c>
      <c r="Y547" s="140">
        <f t="shared" si="76"/>
        <v>8</v>
      </c>
      <c r="Z547" s="140">
        <f t="shared" si="77"/>
        <v>5</v>
      </c>
      <c r="AA547" s="140">
        <f t="shared" si="78"/>
        <v>2025</v>
      </c>
      <c r="AB547" s="118" t="b">
        <v>0</v>
      </c>
      <c r="AC547" s="19">
        <v>45874</v>
      </c>
      <c r="AD547" s="181" t="s">
        <v>1616</v>
      </c>
      <c r="AE547" s="220">
        <v>0.54710648148148144</v>
      </c>
      <c r="AF547" s="221">
        <v>45874</v>
      </c>
      <c r="AG547" s="219">
        <v>250805</v>
      </c>
      <c r="AH547" s="219">
        <v>0</v>
      </c>
      <c r="AI547" s="219">
        <v>749</v>
      </c>
      <c r="AJ547" s="219">
        <v>616.5</v>
      </c>
      <c r="AK547" s="219">
        <v>605.29999999999995</v>
      </c>
      <c r="AL547" s="219">
        <v>393</v>
      </c>
      <c r="AM547" s="219">
        <v>0.28999999999999998</v>
      </c>
      <c r="AN547" s="219">
        <v>604.1</v>
      </c>
      <c r="AO547" s="219">
        <v>0.39700000000000002</v>
      </c>
      <c r="AP547" s="219">
        <v>0.372</v>
      </c>
      <c r="AQ547" s="219">
        <v>0.56299999999999994</v>
      </c>
      <c r="AR547" s="219">
        <v>114.5</v>
      </c>
      <c r="AS547" s="219">
        <v>9.2799999999999994</v>
      </c>
      <c r="AT547" s="219">
        <v>116.2</v>
      </c>
      <c r="AU547" s="219">
        <v>40.81841</v>
      </c>
      <c r="AV547" s="219">
        <v>-86.791179999999997</v>
      </c>
      <c r="AW547" s="219">
        <v>197.6</v>
      </c>
      <c r="AX547" s="219">
        <v>96.1</v>
      </c>
      <c r="AY547" s="219">
        <v>8.1199999999999992</v>
      </c>
      <c r="AZ547" s="219">
        <v>-101</v>
      </c>
      <c r="BA547" s="219">
        <v>11.9</v>
      </c>
      <c r="BB547" s="219">
        <v>0</v>
      </c>
      <c r="BC547" s="219">
        <v>25.971</v>
      </c>
      <c r="BD547" s="219">
        <v>4.0999999999999996</v>
      </c>
      <c r="BE547" s="219">
        <v>0</v>
      </c>
      <c r="BF547" s="222">
        <v>45874.547106481485</v>
      </c>
      <c r="BG547" s="219" t="s">
        <v>1756</v>
      </c>
    </row>
    <row r="548" spans="1:59" x14ac:dyDescent="0.25">
      <c r="A548" s="25">
        <v>10547</v>
      </c>
      <c r="B548" s="113" t="s">
        <v>736</v>
      </c>
      <c r="C548" s="119" t="s">
        <v>736</v>
      </c>
      <c r="D548" s="27" t="s">
        <v>462</v>
      </c>
      <c r="E548" s="46">
        <v>1</v>
      </c>
      <c r="F548" s="118">
        <v>5999</v>
      </c>
      <c r="G548" t="s">
        <v>19</v>
      </c>
      <c r="H548" s="118" t="s">
        <v>8</v>
      </c>
      <c r="I548">
        <v>-4.0099999999999997E-2</v>
      </c>
      <c r="J548">
        <v>2.9489999999999998</v>
      </c>
      <c r="K548">
        <v>-1E-3</v>
      </c>
      <c r="L548" s="118">
        <v>5.2999999999999999E-2</v>
      </c>
      <c r="M548" s="140">
        <f t="shared" si="82"/>
        <v>0.05</v>
      </c>
      <c r="N548" s="140">
        <f t="shared" si="82"/>
        <v>2.9489999999999998</v>
      </c>
      <c r="O548" s="140">
        <f t="shared" si="82"/>
        <v>0.05</v>
      </c>
      <c r="P548" s="140">
        <f t="shared" si="80"/>
        <v>0.05</v>
      </c>
      <c r="Q548" s="179">
        <v>0.86033688276884446</v>
      </c>
      <c r="R548" s="125">
        <v>9.9333333333333336</v>
      </c>
      <c r="S548" s="125">
        <v>2.68</v>
      </c>
      <c r="T548" t="s">
        <v>515</v>
      </c>
      <c r="U548" t="s">
        <v>515</v>
      </c>
      <c r="V548" s="146">
        <v>0.6</v>
      </c>
      <c r="W548" s="118">
        <v>40.681699086124503</v>
      </c>
      <c r="X548" s="118">
        <v>-85.888865343207399</v>
      </c>
      <c r="Y548" s="140">
        <f t="shared" si="76"/>
        <v>8</v>
      </c>
      <c r="Z548" s="140">
        <f t="shared" si="77"/>
        <v>6</v>
      </c>
      <c r="AA548" s="140">
        <f t="shared" si="78"/>
        <v>2025</v>
      </c>
      <c r="AB548" s="118" t="b">
        <v>0</v>
      </c>
      <c r="AC548" s="19">
        <v>45875</v>
      </c>
      <c r="AD548" s="181" t="s">
        <v>1617</v>
      </c>
      <c r="AE548" s="199">
        <v>0.51550925925925928</v>
      </c>
      <c r="AF548" s="200">
        <v>45875</v>
      </c>
      <c r="AG548" s="109">
        <v>250806</v>
      </c>
      <c r="AH548" s="109">
        <v>0</v>
      </c>
      <c r="AI548" s="109">
        <v>747.4</v>
      </c>
      <c r="AJ548" s="109">
        <v>416.6</v>
      </c>
      <c r="AK548" s="109">
        <v>397.7</v>
      </c>
      <c r="AL548" s="109">
        <v>259</v>
      </c>
      <c r="AM548" s="109">
        <v>0.19</v>
      </c>
      <c r="AN548" s="109">
        <v>395.7</v>
      </c>
      <c r="AO548" s="109">
        <v>0.33</v>
      </c>
      <c r="AP548" s="109">
        <v>0.32100000000000001</v>
      </c>
      <c r="AQ548" s="109">
        <v>0.46700000000000003</v>
      </c>
      <c r="AR548" s="109">
        <v>86.5</v>
      </c>
      <c r="AS548" s="109">
        <v>6.82</v>
      </c>
      <c r="AT548" s="109">
        <v>87.6</v>
      </c>
      <c r="AU548" s="109">
        <v>40.681690000000003</v>
      </c>
      <c r="AV548" s="109">
        <v>-85.888819999999996</v>
      </c>
      <c r="AW548" s="109">
        <v>228.2</v>
      </c>
      <c r="AX548" s="109">
        <v>67.599999999999994</v>
      </c>
      <c r="AY548" s="109">
        <v>8.0500000000000007</v>
      </c>
      <c r="AZ548" s="109">
        <v>-98.4</v>
      </c>
      <c r="BA548" s="109">
        <v>11.9</v>
      </c>
      <c r="BB548" s="109">
        <v>0</v>
      </c>
      <c r="BC548" s="109">
        <v>27.489000000000001</v>
      </c>
      <c r="BD548" s="109">
        <v>9.5</v>
      </c>
      <c r="BE548" s="109">
        <v>0</v>
      </c>
      <c r="BF548" s="201">
        <v>45875.515509259261</v>
      </c>
      <c r="BG548" s="109" t="s">
        <v>1717</v>
      </c>
    </row>
    <row r="549" spans="1:59" x14ac:dyDescent="0.25">
      <c r="A549" s="25">
        <v>10548</v>
      </c>
      <c r="B549" s="113" t="s">
        <v>737</v>
      </c>
      <c r="C549" s="119" t="s">
        <v>737</v>
      </c>
      <c r="D549" s="56" t="s">
        <v>463</v>
      </c>
      <c r="E549" s="46">
        <v>2</v>
      </c>
      <c r="F549" s="118">
        <v>8861</v>
      </c>
      <c r="G549" s="118" t="s">
        <v>19</v>
      </c>
      <c r="H549" s="118" t="s">
        <v>8</v>
      </c>
      <c r="I549">
        <v>-4.2000000000000003E-2</v>
      </c>
      <c r="J549">
        <v>2.0310000000000001</v>
      </c>
      <c r="K549">
        <v>4.0000000000000001E-3</v>
      </c>
      <c r="L549" s="118">
        <v>0.09</v>
      </c>
      <c r="M549" s="140">
        <f t="shared" si="82"/>
        <v>0.05</v>
      </c>
      <c r="N549" s="140">
        <f t="shared" si="82"/>
        <v>2.0310000000000001</v>
      </c>
      <c r="O549" s="140">
        <f t="shared" si="82"/>
        <v>0.05</v>
      </c>
      <c r="P549" s="140">
        <f t="shared" si="80"/>
        <v>0.05</v>
      </c>
      <c r="Q549" s="179">
        <v>1.7680698419797252</v>
      </c>
      <c r="R549" s="125">
        <v>39.330000000000005</v>
      </c>
      <c r="S549" s="125">
        <v>6.2</v>
      </c>
      <c r="T549" t="s">
        <v>515</v>
      </c>
      <c r="U549" t="s">
        <v>515</v>
      </c>
      <c r="V549" s="146">
        <v>0.5</v>
      </c>
      <c r="W549" s="118">
        <v>40.676850337058198</v>
      </c>
      <c r="X549" s="118">
        <v>-85.877077932975695</v>
      </c>
      <c r="Y549" s="140">
        <f t="shared" si="76"/>
        <v>8</v>
      </c>
      <c r="Z549" s="140">
        <f t="shared" si="77"/>
        <v>6</v>
      </c>
      <c r="AA549" s="140">
        <f t="shared" si="78"/>
        <v>2025</v>
      </c>
      <c r="AB549" s="118" t="b">
        <v>0</v>
      </c>
      <c r="AC549" s="19">
        <v>45875</v>
      </c>
      <c r="AD549" s="181" t="s">
        <v>1597</v>
      </c>
      <c r="AE549" s="199">
        <v>0.53166666666666662</v>
      </c>
      <c r="AF549" s="200">
        <v>45875</v>
      </c>
      <c r="AG549" s="109">
        <v>250806</v>
      </c>
      <c r="AH549" s="109">
        <v>0</v>
      </c>
      <c r="AI549" s="109">
        <v>747.4</v>
      </c>
      <c r="AJ549" s="109">
        <v>406.1</v>
      </c>
      <c r="AK549" s="109">
        <v>394.8</v>
      </c>
      <c r="AL549" s="109">
        <v>257</v>
      </c>
      <c r="AM549" s="109">
        <v>0.19</v>
      </c>
      <c r="AN549" s="109">
        <v>393.6</v>
      </c>
      <c r="AO549" s="109">
        <v>0.73599999999999999</v>
      </c>
      <c r="AP549" s="109">
        <v>0.74399999999999999</v>
      </c>
      <c r="AQ549" s="109">
        <v>1.044</v>
      </c>
      <c r="AR549" s="109">
        <v>101.8</v>
      </c>
      <c r="AS549" s="109">
        <v>8.17</v>
      </c>
      <c r="AT549" s="109">
        <v>103.2</v>
      </c>
      <c r="AU549" s="109">
        <v>40.67689</v>
      </c>
      <c r="AV549" s="109">
        <v>-85.877089999999995</v>
      </c>
      <c r="AW549" s="109">
        <v>220.3</v>
      </c>
      <c r="AX549" s="109">
        <v>118.7</v>
      </c>
      <c r="AY549" s="109">
        <v>8.17</v>
      </c>
      <c r="AZ549" s="109">
        <v>-105.7</v>
      </c>
      <c r="BA549" s="109">
        <v>11.9</v>
      </c>
      <c r="BB549" s="109">
        <v>0</v>
      </c>
      <c r="BC549" s="109">
        <v>26.501000000000001</v>
      </c>
      <c r="BD549" s="109">
        <v>9.8000000000000007</v>
      </c>
      <c r="BE549" s="109">
        <v>0</v>
      </c>
      <c r="BF549" s="201">
        <v>45875.531666666669</v>
      </c>
      <c r="BG549" s="109" t="s">
        <v>1716</v>
      </c>
    </row>
    <row r="550" spans="1:59" x14ac:dyDescent="0.25">
      <c r="A550" s="25">
        <v>10549</v>
      </c>
      <c r="B550" s="113" t="s">
        <v>738</v>
      </c>
      <c r="C550" s="119" t="s">
        <v>738</v>
      </c>
      <c r="D550" s="27" t="s">
        <v>464</v>
      </c>
      <c r="E550" s="46">
        <v>3</v>
      </c>
      <c r="F550" s="118">
        <v>9921</v>
      </c>
      <c r="G550" s="118" t="s">
        <v>19</v>
      </c>
      <c r="H550" s="118" t="s">
        <v>8</v>
      </c>
      <c r="I550">
        <v>-3.6999999999999998E-2</v>
      </c>
      <c r="J550">
        <v>2.036</v>
      </c>
      <c r="K550">
        <v>-1E-3</v>
      </c>
      <c r="L550" s="118">
        <v>0.11</v>
      </c>
      <c r="M550" s="140">
        <f t="shared" si="82"/>
        <v>0.05</v>
      </c>
      <c r="N550" s="140">
        <f t="shared" si="82"/>
        <v>2.036</v>
      </c>
      <c r="O550" s="140">
        <f t="shared" si="82"/>
        <v>0.05</v>
      </c>
      <c r="P550" s="140">
        <f t="shared" si="80"/>
        <v>0.11</v>
      </c>
      <c r="Q550" s="179">
        <v>4.2411015815085129</v>
      </c>
      <c r="R550" s="125">
        <v>53.24</v>
      </c>
      <c r="S550" s="125">
        <v>5.875</v>
      </c>
      <c r="T550" t="s">
        <v>515</v>
      </c>
      <c r="U550" t="s">
        <v>515</v>
      </c>
      <c r="V550" s="146">
        <v>0.35</v>
      </c>
      <c r="W550" s="118">
        <v>40.6707760913608</v>
      </c>
      <c r="X550" s="118">
        <v>-85.870347039790502</v>
      </c>
      <c r="Y550" s="140">
        <f t="shared" si="76"/>
        <v>8</v>
      </c>
      <c r="Z550" s="140">
        <f t="shared" si="77"/>
        <v>6</v>
      </c>
      <c r="AA550" s="140">
        <f t="shared" si="78"/>
        <v>2025</v>
      </c>
      <c r="AB550" s="118" t="b">
        <v>0</v>
      </c>
      <c r="AC550" s="19">
        <v>45875</v>
      </c>
      <c r="AD550" s="181" t="s">
        <v>1593</v>
      </c>
      <c r="AE550" s="199">
        <v>0.54459490740740746</v>
      </c>
      <c r="AF550" s="200">
        <v>45875</v>
      </c>
      <c r="AG550" s="109">
        <v>250806</v>
      </c>
      <c r="AH550" s="109">
        <v>0</v>
      </c>
      <c r="AI550" s="109">
        <v>747.4</v>
      </c>
      <c r="AJ550" s="109">
        <v>396.7</v>
      </c>
      <c r="AK550" s="109">
        <v>374.8</v>
      </c>
      <c r="AL550" s="109">
        <v>244</v>
      </c>
      <c r="AM550" s="109">
        <v>0.18</v>
      </c>
      <c r="AN550" s="109">
        <v>372.5</v>
      </c>
      <c r="AO550" s="109">
        <v>0.496</v>
      </c>
      <c r="AP550" s="109">
        <v>0.48699999999999999</v>
      </c>
      <c r="AQ550" s="109">
        <v>0.70299999999999996</v>
      </c>
      <c r="AR550" s="109">
        <v>196.9</v>
      </c>
      <c r="AS550" s="109">
        <v>15.38</v>
      </c>
      <c r="AT550" s="109">
        <v>199.6</v>
      </c>
      <c r="AU550" s="109">
        <v>40.670870000000001</v>
      </c>
      <c r="AV550" s="109">
        <v>-85.870350000000002</v>
      </c>
      <c r="AW550" s="109">
        <v>220.9</v>
      </c>
      <c r="AX550" s="109">
        <v>113.4</v>
      </c>
      <c r="AY550" s="109">
        <v>8.89</v>
      </c>
      <c r="AZ550" s="109">
        <v>-149.6</v>
      </c>
      <c r="BA550" s="109">
        <v>12</v>
      </c>
      <c r="BB550" s="109">
        <v>0</v>
      </c>
      <c r="BC550" s="109">
        <v>28.06</v>
      </c>
      <c r="BD550" s="109">
        <v>19.440000000000001</v>
      </c>
      <c r="BE550" s="109">
        <v>0</v>
      </c>
      <c r="BF550" s="201">
        <v>45875.544594907406</v>
      </c>
      <c r="BG550" s="109" t="s">
        <v>1715</v>
      </c>
    </row>
    <row r="551" spans="1:59" x14ac:dyDescent="0.25">
      <c r="A551" s="25">
        <v>10550</v>
      </c>
      <c r="B551" s="113" t="s">
        <v>739</v>
      </c>
      <c r="C551" s="119" t="s">
        <v>739</v>
      </c>
      <c r="D551" s="27" t="s">
        <v>465</v>
      </c>
      <c r="E551" s="46">
        <v>4</v>
      </c>
      <c r="F551" s="118">
        <v>10891</v>
      </c>
      <c r="G551" s="118" t="s">
        <v>19</v>
      </c>
      <c r="H551" s="118" t="s">
        <v>8</v>
      </c>
      <c r="I551">
        <v>-2.92E-2</v>
      </c>
      <c r="J551">
        <v>1.4870000000000001</v>
      </c>
      <c r="K551">
        <v>6.0000000000000001E-3</v>
      </c>
      <c r="L551" s="118">
        <v>0.24199999999999999</v>
      </c>
      <c r="M551" s="140">
        <f t="shared" si="82"/>
        <v>0.05</v>
      </c>
      <c r="N551" s="140">
        <f t="shared" si="82"/>
        <v>1.4870000000000001</v>
      </c>
      <c r="O551" s="140">
        <f t="shared" si="82"/>
        <v>0.05</v>
      </c>
      <c r="P551" s="140">
        <f t="shared" si="80"/>
        <v>0.24199999999999999</v>
      </c>
      <c r="Q551" s="179">
        <v>5.5714740490006394</v>
      </c>
      <c r="R551" s="125">
        <v>65.946666666666658</v>
      </c>
      <c r="S551" s="125">
        <v>4.5166666666666666</v>
      </c>
      <c r="T551" t="s">
        <v>515</v>
      </c>
      <c r="U551" t="s">
        <v>515</v>
      </c>
      <c r="V551" s="146">
        <v>0.15</v>
      </c>
      <c r="W551" s="118">
        <v>40.668582365894899</v>
      </c>
      <c r="X551" s="118">
        <v>-85.847787148494703</v>
      </c>
      <c r="Y551" s="140">
        <f t="shared" si="76"/>
        <v>8</v>
      </c>
      <c r="Z551" s="140">
        <f t="shared" si="77"/>
        <v>6</v>
      </c>
      <c r="AA551" s="140">
        <f t="shared" si="78"/>
        <v>2025</v>
      </c>
      <c r="AB551" s="118" t="b">
        <v>0</v>
      </c>
      <c r="AC551" s="19">
        <v>45875</v>
      </c>
      <c r="AD551" s="181" t="s">
        <v>1625</v>
      </c>
      <c r="AE551" s="199">
        <v>0.56322916666666667</v>
      </c>
      <c r="AF551" s="200">
        <v>45875</v>
      </c>
      <c r="AG551" s="109">
        <v>250806</v>
      </c>
      <c r="AH551" s="109">
        <v>0</v>
      </c>
      <c r="AI551" s="109">
        <v>747.3</v>
      </c>
      <c r="AJ551" s="109">
        <v>388.5</v>
      </c>
      <c r="AK551" s="109">
        <v>361.3</v>
      </c>
      <c r="AL551" s="109">
        <v>235</v>
      </c>
      <c r="AM551" s="109">
        <v>0.17</v>
      </c>
      <c r="AN551" s="109">
        <v>358.4</v>
      </c>
      <c r="AO551" s="109">
        <v>0.47599999999999998</v>
      </c>
      <c r="AP551" s="109">
        <v>0.49399999999999999</v>
      </c>
      <c r="AQ551" s="109">
        <v>0.67500000000000004</v>
      </c>
      <c r="AR551" s="109">
        <v>235.7</v>
      </c>
      <c r="AS551" s="109">
        <v>18.14</v>
      </c>
      <c r="AT551" s="109">
        <v>239</v>
      </c>
      <c r="AU551" s="109">
        <v>40.663409999999999</v>
      </c>
      <c r="AV551" s="109">
        <v>-85.866100000000003</v>
      </c>
      <c r="AW551" s="109">
        <v>217.4</v>
      </c>
      <c r="AX551" s="109">
        <v>108</v>
      </c>
      <c r="AY551" s="109">
        <v>9.11</v>
      </c>
      <c r="AZ551" s="109">
        <v>-162.80000000000001</v>
      </c>
      <c r="BA551" s="109">
        <v>12</v>
      </c>
      <c r="BB551" s="109">
        <v>0</v>
      </c>
      <c r="BC551" s="109">
        <v>28.934999999999999</v>
      </c>
      <c r="BD551" s="109">
        <v>22.32</v>
      </c>
      <c r="BE551" s="109">
        <v>0</v>
      </c>
      <c r="BF551" s="201">
        <v>45875.56322916667</v>
      </c>
      <c r="BG551" s="109" t="s">
        <v>1714</v>
      </c>
    </row>
    <row r="552" spans="1:59" x14ac:dyDescent="0.25">
      <c r="A552" s="25">
        <v>10551</v>
      </c>
      <c r="B552" s="113" t="s">
        <v>740</v>
      </c>
      <c r="C552" s="119" t="s">
        <v>740</v>
      </c>
      <c r="D552" s="27" t="s">
        <v>466</v>
      </c>
      <c r="E552" s="46">
        <v>5</v>
      </c>
      <c r="F552" s="118">
        <v>12821</v>
      </c>
      <c r="G552" s="118" t="s">
        <v>19</v>
      </c>
      <c r="H552" s="118" t="s">
        <v>8</v>
      </c>
      <c r="I552">
        <v>-4.3900000000000002E-2</v>
      </c>
      <c r="J552">
        <v>1.528</v>
      </c>
      <c r="K552">
        <v>6.0000000000000001E-3</v>
      </c>
      <c r="L552" s="118">
        <v>0.17699999999999999</v>
      </c>
      <c r="M552" s="140">
        <f t="shared" si="82"/>
        <v>0.05</v>
      </c>
      <c r="N552" s="140">
        <f t="shared" si="82"/>
        <v>1.528</v>
      </c>
      <c r="O552" s="140">
        <f t="shared" si="82"/>
        <v>0.05</v>
      </c>
      <c r="P552" s="140">
        <f t="shared" si="80"/>
        <v>0.17699999999999999</v>
      </c>
      <c r="Q552" s="179">
        <v>17.208245614035068</v>
      </c>
      <c r="R552" s="125">
        <v>51.666666666666664</v>
      </c>
      <c r="S552" s="125">
        <v>5.0533333333333337</v>
      </c>
      <c r="T552" t="s">
        <v>515</v>
      </c>
      <c r="U552" t="s">
        <v>515</v>
      </c>
      <c r="V552" s="146">
        <v>0.3</v>
      </c>
      <c r="W552" s="118">
        <v>40.663214093793798</v>
      </c>
      <c r="X552" s="118">
        <v>-85.866445610354404</v>
      </c>
      <c r="Y552" s="140">
        <f t="shared" si="76"/>
        <v>8</v>
      </c>
      <c r="Z552" s="140">
        <f t="shared" si="77"/>
        <v>6</v>
      </c>
      <c r="AA552" s="140">
        <f t="shared" si="78"/>
        <v>2025</v>
      </c>
      <c r="AB552" s="118" t="b">
        <v>0</v>
      </c>
      <c r="AC552" s="19">
        <v>45875</v>
      </c>
      <c r="AD552" s="181" t="s">
        <v>1623</v>
      </c>
      <c r="AE552" s="199">
        <v>0.60628472222222218</v>
      </c>
      <c r="AF552" s="200">
        <v>45875</v>
      </c>
      <c r="AG552" s="109">
        <v>250806</v>
      </c>
      <c r="AH552" s="109">
        <v>0</v>
      </c>
      <c r="AI552" s="109">
        <v>746.8</v>
      </c>
      <c r="AJ552" s="109">
        <v>369.7</v>
      </c>
      <c r="AK552" s="109">
        <v>354.9</v>
      </c>
      <c r="AL552" s="109">
        <v>231</v>
      </c>
      <c r="AM552" s="109">
        <v>0.17</v>
      </c>
      <c r="AN552" s="109">
        <v>353.3</v>
      </c>
      <c r="AO552" s="109">
        <v>0.48199999999999998</v>
      </c>
      <c r="AP552" s="109">
        <v>0.48699999999999999</v>
      </c>
      <c r="AQ552" s="109">
        <v>0.68300000000000005</v>
      </c>
      <c r="AR552" s="109">
        <v>209.3</v>
      </c>
      <c r="AS552" s="109">
        <v>16.61</v>
      </c>
      <c r="AT552" s="109">
        <v>212.2</v>
      </c>
      <c r="AU552" s="109">
        <v>40.668640000000003</v>
      </c>
      <c r="AV552" s="109">
        <v>-85.847740000000002</v>
      </c>
      <c r="AW552" s="109">
        <v>222.4</v>
      </c>
      <c r="AX552" s="109">
        <v>113.9</v>
      </c>
      <c r="AY552" s="109">
        <v>9.0399999999999991</v>
      </c>
      <c r="AZ552" s="109">
        <v>-158</v>
      </c>
      <c r="BA552" s="109">
        <v>11.9</v>
      </c>
      <c r="BB552" s="109">
        <v>0</v>
      </c>
      <c r="BC552" s="109">
        <v>27.189</v>
      </c>
      <c r="BD552" s="109">
        <v>26.39</v>
      </c>
      <c r="BE552" s="109">
        <v>0</v>
      </c>
      <c r="BF552" s="201">
        <v>45875.60628472222</v>
      </c>
      <c r="BG552" s="109" t="s">
        <v>1713</v>
      </c>
    </row>
    <row r="553" spans="1:59" x14ac:dyDescent="0.25">
      <c r="A553" s="25">
        <v>10552</v>
      </c>
      <c r="B553" s="113" t="s">
        <v>741</v>
      </c>
      <c r="C553" s="119" t="s">
        <v>741</v>
      </c>
      <c r="D553" s="27" t="s">
        <v>467</v>
      </c>
      <c r="E553" s="46">
        <v>6</v>
      </c>
      <c r="F553" s="118">
        <v>14351</v>
      </c>
      <c r="G553" s="118" t="s">
        <v>19</v>
      </c>
      <c r="H553" s="118" t="s">
        <v>8</v>
      </c>
      <c r="I553">
        <v>-3.4799999999999998E-2</v>
      </c>
      <c r="J553">
        <v>1.7609999999999999</v>
      </c>
      <c r="K553">
        <v>8.9999999999999993E-3</v>
      </c>
      <c r="L553" s="118">
        <v>0.29299999999999998</v>
      </c>
      <c r="M553" s="140">
        <f t="shared" si="82"/>
        <v>0.05</v>
      </c>
      <c r="N553" s="140">
        <f t="shared" si="82"/>
        <v>1.7609999999999999</v>
      </c>
      <c r="O553" s="140">
        <f t="shared" si="82"/>
        <v>0.05</v>
      </c>
      <c r="P553" s="140">
        <f t="shared" si="80"/>
        <v>0.29299999999999998</v>
      </c>
      <c r="Q553" s="179">
        <v>2.7970289455246098</v>
      </c>
      <c r="R553" s="125">
        <v>68.760000000000005</v>
      </c>
      <c r="S553" s="125">
        <v>4.665</v>
      </c>
      <c r="T553" t="s">
        <v>515</v>
      </c>
      <c r="U553" t="s">
        <v>515</v>
      </c>
      <c r="V553" s="146">
        <v>0.1</v>
      </c>
      <c r="W553" s="118">
        <v>40.673670773428299</v>
      </c>
      <c r="X553" s="118">
        <v>-85.831866478386004</v>
      </c>
      <c r="Y553" s="140">
        <f t="shared" si="76"/>
        <v>8</v>
      </c>
      <c r="Z553" s="140">
        <f t="shared" si="77"/>
        <v>6</v>
      </c>
      <c r="AA553" s="140">
        <f t="shared" si="78"/>
        <v>2025</v>
      </c>
      <c r="AB553" s="118" t="b">
        <v>0</v>
      </c>
      <c r="AC553" s="19">
        <v>45875</v>
      </c>
      <c r="AD553" s="181" t="s">
        <v>1587</v>
      </c>
      <c r="AE553" s="199">
        <v>0.64549768518518513</v>
      </c>
      <c r="AF553" s="200">
        <v>45875</v>
      </c>
      <c r="AG553" s="109">
        <v>250806</v>
      </c>
      <c r="AH553" s="109">
        <v>0</v>
      </c>
      <c r="AI553" s="109">
        <v>746.4</v>
      </c>
      <c r="AJ553" s="109">
        <v>359.9</v>
      </c>
      <c r="AK553" s="109">
        <v>332</v>
      </c>
      <c r="AL553" s="109">
        <v>216</v>
      </c>
      <c r="AM553" s="109">
        <v>0.16</v>
      </c>
      <c r="AN553" s="109">
        <v>328.9</v>
      </c>
      <c r="AO553" s="109">
        <v>0.41499999999999998</v>
      </c>
      <c r="AP553" s="109">
        <v>0.40300000000000002</v>
      </c>
      <c r="AQ553" s="109">
        <v>0.58799999999999997</v>
      </c>
      <c r="AR553" s="109">
        <v>315.3</v>
      </c>
      <c r="AS553" s="109">
        <v>24.06</v>
      </c>
      <c r="AT553" s="109">
        <v>319.60000000000002</v>
      </c>
      <c r="AU553" s="109">
        <v>40.673740000000002</v>
      </c>
      <c r="AV553" s="109">
        <v>-85.831599999999995</v>
      </c>
      <c r="AW553" s="109">
        <v>226</v>
      </c>
      <c r="AX553" s="109">
        <v>73.8</v>
      </c>
      <c r="AY553" s="109">
        <v>9.44</v>
      </c>
      <c r="AZ553" s="109">
        <v>-183.4</v>
      </c>
      <c r="BA553" s="109">
        <v>12</v>
      </c>
      <c r="BB553" s="109">
        <v>0</v>
      </c>
      <c r="BC553" s="109">
        <v>29.402999999999999</v>
      </c>
      <c r="BD553" s="109">
        <v>39.520000000000003</v>
      </c>
      <c r="BE553" s="109">
        <v>0</v>
      </c>
      <c r="BF553" s="201">
        <v>45875.645497685182</v>
      </c>
      <c r="BG553" s="109" t="s">
        <v>1712</v>
      </c>
    </row>
    <row r="554" spans="1:59" x14ac:dyDescent="0.25">
      <c r="A554" s="25">
        <v>10553</v>
      </c>
      <c r="B554" s="113" t="s">
        <v>742</v>
      </c>
      <c r="C554" s="119" t="s">
        <v>742</v>
      </c>
      <c r="D554" s="27" t="s">
        <v>468</v>
      </c>
      <c r="E554" s="46">
        <v>7</v>
      </c>
      <c r="F554" s="118">
        <v>6411</v>
      </c>
      <c r="G554" s="118" t="s">
        <v>19</v>
      </c>
      <c r="H554" s="118" t="s">
        <v>8</v>
      </c>
      <c r="I554">
        <v>-3.8300000000000001E-2</v>
      </c>
      <c r="J554">
        <v>2.9569999999999999</v>
      </c>
      <c r="K554">
        <v>-3.0000000000000001E-3</v>
      </c>
      <c r="L554" s="118">
        <v>5.2999999999999999E-2</v>
      </c>
      <c r="M554" s="140">
        <f t="shared" si="82"/>
        <v>0.05</v>
      </c>
      <c r="N554" s="140">
        <f t="shared" si="82"/>
        <v>2.9569999999999999</v>
      </c>
      <c r="O554" s="140">
        <f t="shared" si="82"/>
        <v>0.05</v>
      </c>
      <c r="P554" s="140">
        <f t="shared" si="80"/>
        <v>0.05</v>
      </c>
      <c r="Q554" s="179">
        <v>1.3693918010752686</v>
      </c>
      <c r="R554" s="125">
        <v>13.996666666666668</v>
      </c>
      <c r="S554" s="125">
        <v>3.6</v>
      </c>
      <c r="T554" t="s">
        <v>515</v>
      </c>
      <c r="U554" t="s">
        <v>515</v>
      </c>
      <c r="V554" s="146">
        <v>0.6</v>
      </c>
      <c r="W554" s="118">
        <v>40.6878624052029</v>
      </c>
      <c r="X554" s="118">
        <v>-85.896527487712504</v>
      </c>
      <c r="Y554" s="140">
        <f t="shared" si="76"/>
        <v>8</v>
      </c>
      <c r="Z554" s="140">
        <f t="shared" si="77"/>
        <v>6</v>
      </c>
      <c r="AA554" s="140">
        <f t="shared" si="78"/>
        <v>2025</v>
      </c>
      <c r="AB554" s="118" t="b">
        <v>0</v>
      </c>
      <c r="AC554" s="19">
        <v>45875</v>
      </c>
      <c r="AD554" s="181" t="s">
        <v>1617</v>
      </c>
      <c r="AE554" s="199">
        <v>0.38336805555555553</v>
      </c>
      <c r="AF554" s="200">
        <v>45875</v>
      </c>
      <c r="AG554" s="109">
        <v>250806</v>
      </c>
      <c r="AH554" s="109">
        <v>0</v>
      </c>
      <c r="AI554" s="109">
        <v>747.9</v>
      </c>
      <c r="AJ554" s="109">
        <v>405.8</v>
      </c>
      <c r="AK554" s="109">
        <v>394.6</v>
      </c>
      <c r="AL554" s="109">
        <v>256</v>
      </c>
      <c r="AM554" s="109">
        <v>0.19</v>
      </c>
      <c r="AN554" s="109">
        <v>393.4</v>
      </c>
      <c r="AO554" s="109">
        <v>0.58699999999999997</v>
      </c>
      <c r="AP554" s="109">
        <v>0.59699999999999998</v>
      </c>
      <c r="AQ554" s="109">
        <v>0.83299999999999996</v>
      </c>
      <c r="AR554" s="109">
        <v>89.8</v>
      </c>
      <c r="AS554" s="109">
        <v>7.21</v>
      </c>
      <c r="AT554" s="109">
        <v>91</v>
      </c>
      <c r="AU554" s="109">
        <v>40.687800000000003</v>
      </c>
      <c r="AV554" s="109">
        <v>-85.896730000000005</v>
      </c>
      <c r="AW554" s="109">
        <v>220.6</v>
      </c>
      <c r="AX554" s="109">
        <v>206.4</v>
      </c>
      <c r="AY554" s="109">
        <v>8.07</v>
      </c>
      <c r="AZ554" s="109">
        <v>-99.3</v>
      </c>
      <c r="BA554" s="109">
        <v>12</v>
      </c>
      <c r="BB554" s="109">
        <v>0</v>
      </c>
      <c r="BC554" s="109">
        <v>26.492999999999999</v>
      </c>
      <c r="BD554" s="109">
        <v>10.23</v>
      </c>
      <c r="BE554" s="109">
        <v>0</v>
      </c>
      <c r="BF554" s="201">
        <v>45875.383368055554</v>
      </c>
      <c r="BG554" s="109" t="s">
        <v>1724</v>
      </c>
    </row>
    <row r="555" spans="1:59" x14ac:dyDescent="0.25">
      <c r="A555" s="25">
        <v>10554</v>
      </c>
      <c r="B555" s="113" t="s">
        <v>743</v>
      </c>
      <c r="C555" s="119" t="s">
        <v>743</v>
      </c>
      <c r="D555" s="27" t="s">
        <v>469</v>
      </c>
      <c r="E555" s="46">
        <v>8</v>
      </c>
      <c r="F555" s="118">
        <v>5401</v>
      </c>
      <c r="G555" s="118" t="s">
        <v>19</v>
      </c>
      <c r="H555" s="118" t="s">
        <v>8</v>
      </c>
      <c r="I555">
        <v>-3.7600000000000001E-2</v>
      </c>
      <c r="J555">
        <v>2.8109999999999999</v>
      </c>
      <c r="K555">
        <v>-4.0000000000000001E-3</v>
      </c>
      <c r="L555" s="118">
        <v>6.8000000000000005E-2</v>
      </c>
      <c r="M555" s="140">
        <f t="shared" si="82"/>
        <v>0.05</v>
      </c>
      <c r="N555" s="140">
        <f t="shared" si="82"/>
        <v>2.8109999999999999</v>
      </c>
      <c r="O555" s="140">
        <f t="shared" si="82"/>
        <v>0.05</v>
      </c>
      <c r="P555" s="140">
        <f t="shared" si="80"/>
        <v>0.05</v>
      </c>
      <c r="Q555" s="179">
        <v>2.896629635598944</v>
      </c>
      <c r="R555" s="125">
        <v>22.643333333333334</v>
      </c>
      <c r="S555" s="125">
        <v>4.1166666666666663</v>
      </c>
      <c r="T555" t="s">
        <v>515</v>
      </c>
      <c r="U555" t="s">
        <v>515</v>
      </c>
      <c r="V555" s="146">
        <v>0.7</v>
      </c>
      <c r="W555" s="118">
        <v>40.6916741148748</v>
      </c>
      <c r="X555" s="118">
        <v>-85.908289933336107</v>
      </c>
      <c r="Y555" s="140">
        <f t="shared" si="76"/>
        <v>8</v>
      </c>
      <c r="Z555" s="140">
        <f t="shared" si="77"/>
        <v>6</v>
      </c>
      <c r="AA555" s="140">
        <f t="shared" si="78"/>
        <v>2025</v>
      </c>
      <c r="AB555" s="118" t="b">
        <v>0</v>
      </c>
      <c r="AC555" s="19">
        <v>45875</v>
      </c>
      <c r="AD555" s="181" t="s">
        <v>1618</v>
      </c>
      <c r="AE555" s="199">
        <v>0.39868055555555554</v>
      </c>
      <c r="AF555" s="200">
        <v>45875</v>
      </c>
      <c r="AG555" s="109">
        <v>250806</v>
      </c>
      <c r="AH555" s="109">
        <v>0</v>
      </c>
      <c r="AI555" s="109">
        <v>747.7</v>
      </c>
      <c r="AJ555" s="109">
        <v>407.9</v>
      </c>
      <c r="AK555" s="109">
        <v>394</v>
      </c>
      <c r="AL555" s="109">
        <v>256</v>
      </c>
      <c r="AM555" s="109">
        <v>0.19</v>
      </c>
      <c r="AN555" s="109">
        <v>392.6</v>
      </c>
      <c r="AO555" s="109">
        <v>0.49099999999999999</v>
      </c>
      <c r="AP555" s="109">
        <v>0.499</v>
      </c>
      <c r="AQ555" s="109">
        <v>0.69599999999999995</v>
      </c>
      <c r="AR555" s="109">
        <v>109.1</v>
      </c>
      <c r="AS555" s="109">
        <v>8.7100000000000009</v>
      </c>
      <c r="AT555" s="109">
        <v>110.7</v>
      </c>
      <c r="AU555" s="109">
        <v>40.691760000000002</v>
      </c>
      <c r="AV555" s="109">
        <v>-85.908410000000003</v>
      </c>
      <c r="AW555" s="109">
        <v>226.3</v>
      </c>
      <c r="AX555" s="109">
        <v>117.3</v>
      </c>
      <c r="AY555" s="109">
        <v>8.14</v>
      </c>
      <c r="AZ555" s="109">
        <v>-103.6</v>
      </c>
      <c r="BA555" s="109">
        <v>12</v>
      </c>
      <c r="BB555" s="109">
        <v>0</v>
      </c>
      <c r="BC555" s="109">
        <v>26.844999999999999</v>
      </c>
      <c r="BD555" s="109">
        <v>10.98</v>
      </c>
      <c r="BE555" s="109">
        <v>0</v>
      </c>
      <c r="BF555" s="201">
        <v>45875.398680555554</v>
      </c>
      <c r="BG555" s="109" t="s">
        <v>1722</v>
      </c>
    </row>
    <row r="556" spans="1:59" x14ac:dyDescent="0.25">
      <c r="A556" s="25">
        <v>10555</v>
      </c>
      <c r="B556" s="113" t="s">
        <v>744</v>
      </c>
      <c r="C556" s="119" t="s">
        <v>744</v>
      </c>
      <c r="D556" s="27" t="s">
        <v>470</v>
      </c>
      <c r="E556" s="46">
        <v>9</v>
      </c>
      <c r="F556" s="118">
        <v>4381</v>
      </c>
      <c r="G556" s="118" t="s">
        <v>19</v>
      </c>
      <c r="H556" s="118" t="s">
        <v>8</v>
      </c>
      <c r="I556">
        <v>-3.6999999999999998E-2</v>
      </c>
      <c r="J556">
        <v>3.8530000000000002</v>
      </c>
      <c r="K556">
        <v>-4.0000000000000001E-3</v>
      </c>
      <c r="L556" s="118">
        <v>3.2000000000000001E-2</v>
      </c>
      <c r="M556" s="140">
        <f t="shared" si="82"/>
        <v>0.05</v>
      </c>
      <c r="N556" s="140">
        <f t="shared" si="82"/>
        <v>3.8530000000000002</v>
      </c>
      <c r="O556" s="140">
        <f t="shared" si="82"/>
        <v>0.05</v>
      </c>
      <c r="P556" s="140">
        <f t="shared" si="80"/>
        <v>0.05</v>
      </c>
      <c r="Q556" s="179">
        <v>0.94858271687434892</v>
      </c>
      <c r="R556" s="125">
        <v>10.676666666666668</v>
      </c>
      <c r="S556" s="125">
        <v>1.57</v>
      </c>
      <c r="T556" t="s">
        <v>515</v>
      </c>
      <c r="U556" t="s">
        <v>515</v>
      </c>
      <c r="V556" s="146">
        <v>0.7</v>
      </c>
      <c r="W556" s="118">
        <v>40.704167782880198</v>
      </c>
      <c r="X556" s="118">
        <v>-85.929923192181406</v>
      </c>
      <c r="Y556" s="140">
        <f t="shared" si="76"/>
        <v>8</v>
      </c>
      <c r="Z556" s="140">
        <f t="shared" si="77"/>
        <v>6</v>
      </c>
      <c r="AA556" s="140">
        <f t="shared" si="78"/>
        <v>2025</v>
      </c>
      <c r="AB556" s="118" t="b">
        <v>0</v>
      </c>
      <c r="AC556" s="19">
        <v>45875</v>
      </c>
      <c r="AD556" s="181" t="s">
        <v>1619</v>
      </c>
      <c r="AE556" s="199">
        <v>0.42429398148148151</v>
      </c>
      <c r="AF556" s="200">
        <v>45875</v>
      </c>
      <c r="AG556" s="109">
        <v>250806</v>
      </c>
      <c r="AH556" s="109">
        <v>0</v>
      </c>
      <c r="AI556" s="109">
        <v>747.6</v>
      </c>
      <c r="AJ556" s="109">
        <v>396.1</v>
      </c>
      <c r="AK556" s="109">
        <v>380</v>
      </c>
      <c r="AL556" s="109">
        <v>247</v>
      </c>
      <c r="AM556" s="109">
        <v>0.18</v>
      </c>
      <c r="AN556" s="109">
        <v>378.3</v>
      </c>
      <c r="AO556" s="109">
        <v>0.48099999999999998</v>
      </c>
      <c r="AP556" s="109">
        <v>0.497</v>
      </c>
      <c r="AQ556" s="109">
        <v>0.68200000000000005</v>
      </c>
      <c r="AR556" s="109">
        <v>123.4</v>
      </c>
      <c r="AS556" s="109">
        <v>9.7799999999999994</v>
      </c>
      <c r="AT556" s="109">
        <v>125.1</v>
      </c>
      <c r="AU556" s="109">
        <v>40.7042</v>
      </c>
      <c r="AV556" s="109">
        <v>-85.930080000000004</v>
      </c>
      <c r="AW556" s="109">
        <v>225.1</v>
      </c>
      <c r="AX556" s="109">
        <v>119.2</v>
      </c>
      <c r="AY556" s="109">
        <v>8.5299999999999994</v>
      </c>
      <c r="AZ556" s="109">
        <v>-127.2</v>
      </c>
      <c r="BA556" s="109">
        <v>11.9</v>
      </c>
      <c r="BB556" s="109">
        <v>0</v>
      </c>
      <c r="BC556" s="109">
        <v>27.216000000000001</v>
      </c>
      <c r="BD556" s="109">
        <v>11.33</v>
      </c>
      <c r="BE556" s="109">
        <v>0</v>
      </c>
      <c r="BF556" s="201">
        <v>45875.424293981479</v>
      </c>
      <c r="BG556" s="109" t="s">
        <v>1718</v>
      </c>
    </row>
    <row r="557" spans="1:59" x14ac:dyDescent="0.25">
      <c r="A557" s="25">
        <v>10556</v>
      </c>
      <c r="B557" s="113" t="s">
        <v>745</v>
      </c>
      <c r="C557" s="119" t="s">
        <v>745</v>
      </c>
      <c r="D557" s="27" t="s">
        <v>471</v>
      </c>
      <c r="E557" s="46">
        <v>10</v>
      </c>
      <c r="F557" s="118">
        <v>2851</v>
      </c>
      <c r="G557" s="118" t="s">
        <v>19</v>
      </c>
      <c r="H557" s="118" t="s">
        <v>8</v>
      </c>
      <c r="I557">
        <v>-3.49E-2</v>
      </c>
      <c r="J557">
        <v>3.15</v>
      </c>
      <c r="K557">
        <v>-4.0000000000000001E-3</v>
      </c>
      <c r="L557" s="118">
        <v>0.05</v>
      </c>
      <c r="M557" s="140">
        <f t="shared" si="82"/>
        <v>0.05</v>
      </c>
      <c r="N557" s="140">
        <f t="shared" si="82"/>
        <v>3.15</v>
      </c>
      <c r="O557" s="140">
        <f t="shared" si="82"/>
        <v>0.05</v>
      </c>
      <c r="P557" s="140">
        <f t="shared" si="80"/>
        <v>0.05</v>
      </c>
      <c r="Q557" s="179">
        <v>0.88943773946360127</v>
      </c>
      <c r="R557" s="125">
        <v>20.329999999999998</v>
      </c>
      <c r="S557" s="125">
        <v>3.4766666666666666</v>
      </c>
      <c r="T557" t="s">
        <v>515</v>
      </c>
      <c r="U557" t="s">
        <v>515</v>
      </c>
      <c r="V557" s="146">
        <v>0.7</v>
      </c>
      <c r="W557" s="118">
        <v>40.693328949160403</v>
      </c>
      <c r="X557" s="118">
        <v>-85.920210239478394</v>
      </c>
      <c r="Y557" s="140">
        <f t="shared" si="76"/>
        <v>8</v>
      </c>
      <c r="Z557" s="140">
        <f t="shared" si="77"/>
        <v>6</v>
      </c>
      <c r="AA557" s="140">
        <f t="shared" si="78"/>
        <v>2025</v>
      </c>
      <c r="AB557" s="118" t="b">
        <v>0</v>
      </c>
      <c r="AC557" s="19">
        <v>45875</v>
      </c>
      <c r="AD557" s="181" t="s">
        <v>1619</v>
      </c>
      <c r="AE557" s="199">
        <v>0.40899305555555554</v>
      </c>
      <c r="AF557" s="200">
        <v>45875</v>
      </c>
      <c r="AG557" s="109">
        <v>250806</v>
      </c>
      <c r="AH557" s="109">
        <v>0</v>
      </c>
      <c r="AI557" s="109">
        <v>747.7</v>
      </c>
      <c r="AJ557" s="109">
        <v>402.4</v>
      </c>
      <c r="AK557" s="109">
        <v>388.3</v>
      </c>
      <c r="AL557" s="109">
        <v>252</v>
      </c>
      <c r="AM557" s="109">
        <v>0.18</v>
      </c>
      <c r="AN557" s="109">
        <v>386.8</v>
      </c>
      <c r="AO557" s="109">
        <v>0.52800000000000002</v>
      </c>
      <c r="AP557" s="109">
        <v>0.54200000000000004</v>
      </c>
      <c r="AQ557" s="109">
        <v>0.748</v>
      </c>
      <c r="AR557" s="109">
        <v>107.9</v>
      </c>
      <c r="AS557" s="109">
        <v>8.6</v>
      </c>
      <c r="AT557" s="109">
        <v>109.4</v>
      </c>
      <c r="AU557" s="109">
        <v>40.693359999999998</v>
      </c>
      <c r="AV557" s="109">
        <v>-85.920379999999994</v>
      </c>
      <c r="AW557" s="109">
        <v>223.1</v>
      </c>
      <c r="AX557" s="109">
        <v>119</v>
      </c>
      <c r="AY557" s="109">
        <v>8.1999999999999993</v>
      </c>
      <c r="AZ557" s="109">
        <v>-107.3</v>
      </c>
      <c r="BA557" s="109">
        <v>12</v>
      </c>
      <c r="BB557" s="109">
        <v>0</v>
      </c>
      <c r="BC557" s="109">
        <v>26.907</v>
      </c>
      <c r="BD557" s="109">
        <v>11.96</v>
      </c>
      <c r="BE557" s="109">
        <v>0</v>
      </c>
      <c r="BF557" s="201">
        <v>45875.408993055556</v>
      </c>
      <c r="BG557" s="109" t="s">
        <v>1725</v>
      </c>
    </row>
    <row r="558" spans="1:59" x14ac:dyDescent="0.25">
      <c r="A558" s="25">
        <v>10557</v>
      </c>
      <c r="B558" s="113" t="s">
        <v>746</v>
      </c>
      <c r="C558" s="119" t="s">
        <v>746</v>
      </c>
      <c r="D558" s="27" t="s">
        <v>472</v>
      </c>
      <c r="E558" s="46">
        <v>11</v>
      </c>
      <c r="F558" s="118">
        <v>1731</v>
      </c>
      <c r="G558" s="118" t="s">
        <v>19</v>
      </c>
      <c r="H558" s="118" t="s">
        <v>8</v>
      </c>
      <c r="I558">
        <v>-1.9800000000000002E-2</v>
      </c>
      <c r="J558">
        <v>3.867</v>
      </c>
      <c r="K558">
        <v>-5.0000000000000001E-3</v>
      </c>
      <c r="L558" s="118">
        <v>3.5000000000000003E-2</v>
      </c>
      <c r="M558" s="140">
        <f t="shared" si="82"/>
        <v>0.05</v>
      </c>
      <c r="N558" s="140">
        <f t="shared" si="82"/>
        <v>3.867</v>
      </c>
      <c r="O558" s="140">
        <f t="shared" si="82"/>
        <v>0.05</v>
      </c>
      <c r="P558" s="140">
        <f t="shared" si="80"/>
        <v>0.05</v>
      </c>
      <c r="Q558" s="179">
        <v>3.0986287053841499</v>
      </c>
      <c r="R558" s="125">
        <v>15.420000000000002</v>
      </c>
      <c r="S558" s="125">
        <v>2.0433333333333334</v>
      </c>
      <c r="T558" t="s">
        <v>515</v>
      </c>
      <c r="U558" t="s">
        <v>515</v>
      </c>
      <c r="V558" s="146">
        <v>0.6</v>
      </c>
      <c r="W558" s="118">
        <v>40.710977573480697</v>
      </c>
      <c r="X558" s="118">
        <v>-85.938609998636096</v>
      </c>
      <c r="Y558" s="140">
        <f t="shared" si="76"/>
        <v>8</v>
      </c>
      <c r="Z558" s="140">
        <f t="shared" si="77"/>
        <v>6</v>
      </c>
      <c r="AA558" s="140">
        <f t="shared" si="78"/>
        <v>2025</v>
      </c>
      <c r="AB558" s="118" t="b">
        <v>0</v>
      </c>
      <c r="AC558" s="19">
        <v>45875</v>
      </c>
      <c r="AD558" s="181" t="s">
        <v>1620</v>
      </c>
      <c r="AE558" s="199">
        <v>0.43648148148148147</v>
      </c>
      <c r="AF558" s="200">
        <v>45875</v>
      </c>
      <c r="AG558" s="109">
        <v>250806</v>
      </c>
      <c r="AH558" s="109">
        <v>0</v>
      </c>
      <c r="AI558" s="109">
        <v>747.7</v>
      </c>
      <c r="AJ558" s="109">
        <v>392.7</v>
      </c>
      <c r="AK558" s="109">
        <v>376.1</v>
      </c>
      <c r="AL558" s="109">
        <v>244</v>
      </c>
      <c r="AM558" s="109">
        <v>0.18</v>
      </c>
      <c r="AN558" s="109">
        <v>374.3</v>
      </c>
      <c r="AO558" s="109">
        <v>0.48099999999999998</v>
      </c>
      <c r="AP558" s="109">
        <v>0.501</v>
      </c>
      <c r="AQ558" s="109">
        <v>0.68200000000000005</v>
      </c>
      <c r="AR558" s="109">
        <v>120.8</v>
      </c>
      <c r="AS558" s="109">
        <v>9.57</v>
      </c>
      <c r="AT558" s="109">
        <v>122.5</v>
      </c>
      <c r="AU558" s="109">
        <v>40.711069999999999</v>
      </c>
      <c r="AV558" s="109">
        <v>-85.938760000000002</v>
      </c>
      <c r="AW558" s="109">
        <v>219.5</v>
      </c>
      <c r="AX558" s="109">
        <v>103</v>
      </c>
      <c r="AY558" s="109">
        <v>8.5299999999999994</v>
      </c>
      <c r="AZ558" s="109">
        <v>-127.4</v>
      </c>
      <c r="BA558" s="109">
        <v>12</v>
      </c>
      <c r="BB558" s="109">
        <v>0</v>
      </c>
      <c r="BC558" s="109">
        <v>27.311</v>
      </c>
      <c r="BD558" s="109">
        <v>11.6</v>
      </c>
      <c r="BE558" s="109">
        <v>0</v>
      </c>
      <c r="BF558" s="201">
        <v>45875.436481481483</v>
      </c>
      <c r="BG558" s="109" t="s">
        <v>1719</v>
      </c>
    </row>
    <row r="559" spans="1:59" x14ac:dyDescent="0.25">
      <c r="A559" s="25">
        <v>10558</v>
      </c>
      <c r="B559" s="113" t="s">
        <v>747</v>
      </c>
      <c r="C559" s="119" t="s">
        <v>747</v>
      </c>
      <c r="D559" s="27" t="s">
        <v>473</v>
      </c>
      <c r="E559" s="46">
        <v>12</v>
      </c>
      <c r="F559" s="118">
        <v>661</v>
      </c>
      <c r="G559" s="118" t="s">
        <v>19</v>
      </c>
      <c r="H559" s="118" t="s">
        <v>8</v>
      </c>
      <c r="I559">
        <v>-3.4700000000000002E-2</v>
      </c>
      <c r="J559">
        <v>4.0540000000000003</v>
      </c>
      <c r="K559">
        <v>-4.0000000000000001E-3</v>
      </c>
      <c r="L559" s="118">
        <v>3.2000000000000001E-2</v>
      </c>
      <c r="M559" s="140">
        <f t="shared" si="82"/>
        <v>0.05</v>
      </c>
      <c r="N559" s="140">
        <f t="shared" si="82"/>
        <v>4.0540000000000003</v>
      </c>
      <c r="O559" s="140">
        <f t="shared" si="82"/>
        <v>0.05</v>
      </c>
      <c r="P559" s="140">
        <f t="shared" si="80"/>
        <v>0.05</v>
      </c>
      <c r="Q559" s="179">
        <v>5.7449378444763912</v>
      </c>
      <c r="R559" s="125">
        <v>12.85</v>
      </c>
      <c r="S559" s="125">
        <v>1.0333333333333334</v>
      </c>
      <c r="T559" t="s">
        <v>515</v>
      </c>
      <c r="U559" t="s">
        <v>515</v>
      </c>
      <c r="V559" s="146">
        <v>0.85</v>
      </c>
      <c r="W559" s="118">
        <v>40.711642507143999</v>
      </c>
      <c r="X559" s="118">
        <v>-85.950957297963896</v>
      </c>
      <c r="Y559" s="140">
        <f t="shared" si="76"/>
        <v>8</v>
      </c>
      <c r="Z559" s="140">
        <f t="shared" si="77"/>
        <v>6</v>
      </c>
      <c r="AA559" s="140">
        <f t="shared" si="78"/>
        <v>2025</v>
      </c>
      <c r="AB559" s="118" t="b">
        <v>0</v>
      </c>
      <c r="AC559" s="19">
        <v>45875</v>
      </c>
      <c r="AD559" s="181" t="s">
        <v>1622</v>
      </c>
      <c r="AE559" s="199">
        <v>0.46106481481481482</v>
      </c>
      <c r="AF559" s="200">
        <v>45875</v>
      </c>
      <c r="AG559" s="109">
        <v>250806</v>
      </c>
      <c r="AH559" s="109">
        <v>0</v>
      </c>
      <c r="AI559" s="109">
        <v>747.7</v>
      </c>
      <c r="AJ559" s="109">
        <v>26.5</v>
      </c>
      <c r="AK559" s="109">
        <v>26.1</v>
      </c>
      <c r="AL559" s="109">
        <v>17</v>
      </c>
      <c r="AM559" s="109">
        <v>0.01</v>
      </c>
      <c r="AN559" s="109">
        <v>26</v>
      </c>
      <c r="AO559" s="109">
        <v>0.152</v>
      </c>
      <c r="AP559" s="109">
        <v>0.16400000000000001</v>
      </c>
      <c r="AQ559" s="109">
        <v>0.215</v>
      </c>
      <c r="AR559" s="109">
        <v>94.2</v>
      </c>
      <c r="AS559" s="109">
        <v>7.68</v>
      </c>
      <c r="AT559" s="109">
        <v>95.5</v>
      </c>
      <c r="AU559" s="109">
        <v>40.711709999999997</v>
      </c>
      <c r="AV559" s="109">
        <v>-85.951179999999994</v>
      </c>
      <c r="AW559" s="109">
        <v>226.4</v>
      </c>
      <c r="AX559" s="109">
        <v>135.4</v>
      </c>
      <c r="AY559" s="109">
        <v>8.64</v>
      </c>
      <c r="AZ559" s="109">
        <v>-133.69999999999999</v>
      </c>
      <c r="BA559" s="109">
        <v>12</v>
      </c>
      <c r="BB559" s="109">
        <v>0</v>
      </c>
      <c r="BC559" s="109">
        <v>25.748999999999999</v>
      </c>
      <c r="BD559" s="109">
        <v>17.739999999999998</v>
      </c>
      <c r="BE559" s="109">
        <v>0</v>
      </c>
      <c r="BF559" s="201">
        <v>45875.461064814815</v>
      </c>
      <c r="BG559" s="109" t="s">
        <v>1720</v>
      </c>
    </row>
    <row r="560" spans="1:59" x14ac:dyDescent="0.25">
      <c r="A560" s="25">
        <v>10559</v>
      </c>
      <c r="B560" s="113" t="s">
        <v>748</v>
      </c>
      <c r="C560" s="119" t="s">
        <v>748</v>
      </c>
      <c r="D560" s="27" t="s">
        <v>474</v>
      </c>
      <c r="E560" s="46">
        <v>13</v>
      </c>
      <c r="F560" s="118">
        <v>13553</v>
      </c>
      <c r="G560" s="118" t="s">
        <v>19</v>
      </c>
      <c r="H560" s="118" t="s">
        <v>8</v>
      </c>
      <c r="I560">
        <v>-3.2800000000000003E-2</v>
      </c>
      <c r="J560">
        <v>1.593</v>
      </c>
      <c r="K560">
        <v>1.2999999999999999E-2</v>
      </c>
      <c r="L560" s="118">
        <v>0.39600000000000002</v>
      </c>
      <c r="M560" s="140">
        <f t="shared" si="82"/>
        <v>0.05</v>
      </c>
      <c r="N560" s="140">
        <f t="shared" si="82"/>
        <v>1.593</v>
      </c>
      <c r="O560" s="140">
        <f t="shared" si="82"/>
        <v>0.05</v>
      </c>
      <c r="P560" s="140">
        <f t="shared" si="80"/>
        <v>0.39600000000000002</v>
      </c>
      <c r="Q560" s="179">
        <v>0.05</v>
      </c>
      <c r="R560" s="125">
        <v>133.755</v>
      </c>
      <c r="S560" s="125">
        <v>-0.81</v>
      </c>
      <c r="T560" t="s">
        <v>515</v>
      </c>
      <c r="U560" t="s">
        <v>515</v>
      </c>
      <c r="V560" s="146">
        <v>0.1</v>
      </c>
      <c r="W560" s="118">
        <v>40.672639173060297</v>
      </c>
      <c r="X560" s="118">
        <v>-85.841428341580198</v>
      </c>
      <c r="Y560" s="140">
        <f t="shared" si="76"/>
        <v>8</v>
      </c>
      <c r="Z560" s="140">
        <f t="shared" si="77"/>
        <v>6</v>
      </c>
      <c r="AA560" s="140">
        <f t="shared" si="78"/>
        <v>2025</v>
      </c>
      <c r="AB560" s="118" t="b">
        <v>0</v>
      </c>
      <c r="AC560" s="19">
        <v>45875</v>
      </c>
      <c r="AD560" s="181" t="s">
        <v>1591</v>
      </c>
      <c r="AE560" s="199">
        <v>0.62141203703703707</v>
      </c>
      <c r="AF560" s="200">
        <v>45875</v>
      </c>
      <c r="AG560" s="109">
        <v>250806</v>
      </c>
      <c r="AH560" s="109">
        <v>0</v>
      </c>
      <c r="AI560" s="109">
        <v>746.6</v>
      </c>
      <c r="AJ560" s="109">
        <v>367.1</v>
      </c>
      <c r="AK560" s="109">
        <v>336</v>
      </c>
      <c r="AL560" s="109">
        <v>218</v>
      </c>
      <c r="AM560" s="109">
        <v>0.16</v>
      </c>
      <c r="AN560" s="109">
        <v>332.5</v>
      </c>
      <c r="AO560" s="109">
        <v>0.45</v>
      </c>
      <c r="AP560" s="109">
        <v>0.45100000000000001</v>
      </c>
      <c r="AQ560" s="109">
        <v>0.63700000000000001</v>
      </c>
      <c r="AR560" s="109">
        <v>330.9</v>
      </c>
      <c r="AS560" s="109">
        <v>25.05</v>
      </c>
      <c r="AT560" s="109">
        <v>335.5</v>
      </c>
      <c r="AU560" s="109">
        <v>40.67295</v>
      </c>
      <c r="AV560" s="109">
        <v>-85.841160000000002</v>
      </c>
      <c r="AW560" s="109">
        <v>221.5</v>
      </c>
      <c r="AX560" s="109">
        <v>55.7</v>
      </c>
      <c r="AY560" s="109">
        <v>9.5</v>
      </c>
      <c r="AZ560" s="109">
        <v>-187.1</v>
      </c>
      <c r="BA560" s="109">
        <v>11.9</v>
      </c>
      <c r="BB560" s="109">
        <v>0</v>
      </c>
      <c r="BC560" s="109">
        <v>29.853999999999999</v>
      </c>
      <c r="BD560" s="109">
        <v>48.09</v>
      </c>
      <c r="BE560" s="109">
        <v>0</v>
      </c>
      <c r="BF560" s="201">
        <v>45875.621412037035</v>
      </c>
      <c r="BG560" s="109" t="s">
        <v>1721</v>
      </c>
    </row>
    <row r="561" spans="1:59" x14ac:dyDescent="0.25">
      <c r="A561" s="25">
        <v>10560</v>
      </c>
      <c r="B561" s="113" t="s">
        <v>749</v>
      </c>
      <c r="C561" s="119" t="s">
        <v>749</v>
      </c>
      <c r="D561" s="27" t="s">
        <v>779</v>
      </c>
      <c r="E561" s="46">
        <v>14</v>
      </c>
      <c r="F561" s="118">
        <v>475</v>
      </c>
      <c r="G561" s="118" t="s">
        <v>19</v>
      </c>
      <c r="H561" s="118" t="s">
        <v>8</v>
      </c>
      <c r="I561">
        <v>-0.04</v>
      </c>
      <c r="J561">
        <v>4.173</v>
      </c>
      <c r="K561">
        <v>-3.0000000000000001E-3</v>
      </c>
      <c r="L561" s="118">
        <v>3.5000000000000003E-2</v>
      </c>
      <c r="M561" s="140">
        <f t="shared" si="82"/>
        <v>0.05</v>
      </c>
      <c r="N561" s="140">
        <f t="shared" si="82"/>
        <v>4.173</v>
      </c>
      <c r="O561" s="140">
        <f t="shared" si="82"/>
        <v>0.05</v>
      </c>
      <c r="P561" s="140">
        <f t="shared" si="80"/>
        <v>0.05</v>
      </c>
      <c r="Q561" s="179">
        <v>0.05</v>
      </c>
      <c r="R561" s="125">
        <v>18.573333333333334</v>
      </c>
      <c r="S561" s="125">
        <v>2.36</v>
      </c>
      <c r="T561" t="s">
        <v>515</v>
      </c>
      <c r="U561" t="s">
        <v>515</v>
      </c>
      <c r="V561" s="146">
        <v>0.6</v>
      </c>
      <c r="W561" s="118">
        <v>40.715589359992002</v>
      </c>
      <c r="X561" s="118">
        <v>-85.950773635567103</v>
      </c>
      <c r="Y561" s="140">
        <f t="shared" si="76"/>
        <v>8</v>
      </c>
      <c r="Z561" s="140">
        <f t="shared" si="77"/>
        <v>6</v>
      </c>
      <c r="AA561" s="140">
        <f t="shared" si="78"/>
        <v>2025</v>
      </c>
      <c r="AB561" s="118" t="b">
        <v>0</v>
      </c>
      <c r="AC561" s="19">
        <v>45875</v>
      </c>
      <c r="AD561" s="181" t="s">
        <v>1621</v>
      </c>
      <c r="AE561" s="199">
        <v>0.44814814814814813</v>
      </c>
      <c r="AF561" s="200">
        <v>45875</v>
      </c>
      <c r="AG561" s="109">
        <v>250806</v>
      </c>
      <c r="AH561" s="109">
        <v>0</v>
      </c>
      <c r="AI561" s="109">
        <v>747.7</v>
      </c>
      <c r="AJ561" s="109">
        <v>389.1</v>
      </c>
      <c r="AK561" s="109">
        <v>370.5</v>
      </c>
      <c r="AL561" s="109">
        <v>241</v>
      </c>
      <c r="AM561" s="109">
        <v>0.18</v>
      </c>
      <c r="AN561" s="109">
        <v>368.5</v>
      </c>
      <c r="AO561" s="109">
        <v>0.41699999999999998</v>
      </c>
      <c r="AP561" s="109">
        <v>0.41299999999999998</v>
      </c>
      <c r="AQ561" s="109">
        <v>0.59099999999999997</v>
      </c>
      <c r="AR561" s="109">
        <v>126.7</v>
      </c>
      <c r="AS561" s="109">
        <v>9.9700000000000006</v>
      </c>
      <c r="AT561" s="109">
        <v>128.4</v>
      </c>
      <c r="AU561" s="109">
        <v>40.715580000000003</v>
      </c>
      <c r="AV561" s="109">
        <v>-85.950789999999998</v>
      </c>
      <c r="AW561" s="109">
        <v>225.9</v>
      </c>
      <c r="AX561" s="109">
        <v>161.80000000000001</v>
      </c>
      <c r="AY561" s="109">
        <v>8.4700000000000006</v>
      </c>
      <c r="AZ561" s="109">
        <v>-123.7</v>
      </c>
      <c r="BA561" s="109">
        <v>12</v>
      </c>
      <c r="BB561" s="109">
        <v>0</v>
      </c>
      <c r="BC561" s="109">
        <v>27.634</v>
      </c>
      <c r="BD561" s="109">
        <v>12.98</v>
      </c>
      <c r="BE561" s="109">
        <v>0</v>
      </c>
      <c r="BF561" s="201">
        <v>45875.448148148149</v>
      </c>
      <c r="BG561" s="109" t="s">
        <v>1726</v>
      </c>
    </row>
    <row r="562" spans="1:59" x14ac:dyDescent="0.25">
      <c r="A562" s="25">
        <v>10561</v>
      </c>
      <c r="B562" s="113" t="s">
        <v>750</v>
      </c>
      <c r="C562" s="119" t="s">
        <v>750</v>
      </c>
      <c r="D562" s="27" t="s">
        <v>780</v>
      </c>
      <c r="E562" s="46">
        <v>15</v>
      </c>
      <c r="F562" s="118">
        <v>11905</v>
      </c>
      <c r="G562" s="118" t="s">
        <v>19</v>
      </c>
      <c r="H562" s="118" t="s">
        <v>8</v>
      </c>
      <c r="I562">
        <v>-3.3599999999999998E-2</v>
      </c>
      <c r="J562">
        <v>1.833</v>
      </c>
      <c r="K562">
        <v>3.0000000000000001E-3</v>
      </c>
      <c r="L562" s="118">
        <v>0.114</v>
      </c>
      <c r="M562" s="140">
        <f t="shared" ref="M562:O577" si="83">IF(I562&lt;0.1,0.05,I562)</f>
        <v>0.05</v>
      </c>
      <c r="N562" s="140">
        <f t="shared" si="83"/>
        <v>1.833</v>
      </c>
      <c r="O562" s="140">
        <f t="shared" si="83"/>
        <v>0.05</v>
      </c>
      <c r="P562" s="140">
        <f t="shared" si="80"/>
        <v>0.114</v>
      </c>
      <c r="Q562" s="179">
        <v>1.9071859310656059</v>
      </c>
      <c r="R562" s="125">
        <v>39.403333333333336</v>
      </c>
      <c r="S562" s="125">
        <v>5.166666666666667</v>
      </c>
      <c r="T562" t="s">
        <v>515</v>
      </c>
      <c r="U562" t="s">
        <v>515</v>
      </c>
      <c r="V562" s="146">
        <v>0.3</v>
      </c>
      <c r="W562" s="118">
        <v>40.663695204342503</v>
      </c>
      <c r="X562" s="118">
        <v>-85.855203228642097</v>
      </c>
      <c r="Y562" s="140">
        <f t="shared" ref="Y562:Y604" si="84">MONTH(AC562)</f>
        <v>8</v>
      </c>
      <c r="Z562" s="140">
        <f t="shared" ref="Z562:Z604" si="85">DAY(AC562)</f>
        <v>6</v>
      </c>
      <c r="AA562" s="140">
        <f t="shared" ref="AA562:AA604" si="86">YEAR(AC562)</f>
        <v>2025</v>
      </c>
      <c r="AB562" s="118" t="b">
        <v>0</v>
      </c>
      <c r="AC562" s="19">
        <v>45875</v>
      </c>
      <c r="AD562" s="181" t="s">
        <v>1596</v>
      </c>
      <c r="AE562" s="199">
        <v>0.57785879629629633</v>
      </c>
      <c r="AF562" s="200">
        <v>45875</v>
      </c>
      <c r="AG562" s="109">
        <v>250806</v>
      </c>
      <c r="AH562" s="109">
        <v>0</v>
      </c>
      <c r="AI562" s="109">
        <v>747.3</v>
      </c>
      <c r="AJ562" s="109">
        <v>380.1</v>
      </c>
      <c r="AK562" s="109">
        <v>359.5</v>
      </c>
      <c r="AL562" s="109">
        <v>234</v>
      </c>
      <c r="AM562" s="109">
        <v>0.17</v>
      </c>
      <c r="AN562" s="109">
        <v>357.2</v>
      </c>
      <c r="AO562" s="109">
        <v>0.498</v>
      </c>
      <c r="AP562" s="109">
        <v>0.52800000000000002</v>
      </c>
      <c r="AQ562" s="109">
        <v>0.70599999999999996</v>
      </c>
      <c r="AR562" s="109">
        <v>228.1</v>
      </c>
      <c r="AS562" s="109">
        <v>17.829999999999998</v>
      </c>
      <c r="AT562" s="109">
        <v>231.2</v>
      </c>
      <c r="AU562" s="109">
        <v>40.663760000000003</v>
      </c>
      <c r="AV562" s="109">
        <v>-85.855019999999996</v>
      </c>
      <c r="AW562" s="109">
        <v>221.9</v>
      </c>
      <c r="AX562" s="109">
        <v>73.8</v>
      </c>
      <c r="AY562" s="109">
        <v>9.06</v>
      </c>
      <c r="AZ562" s="109">
        <v>-159.5</v>
      </c>
      <c r="BA562" s="109">
        <v>11.9</v>
      </c>
      <c r="BB562" s="109">
        <v>0</v>
      </c>
      <c r="BC562" s="109">
        <v>28.001000000000001</v>
      </c>
      <c r="BD562" s="109">
        <v>21.84</v>
      </c>
      <c r="BE562" s="109">
        <v>0</v>
      </c>
      <c r="BF562" s="201">
        <v>45875.5778587963</v>
      </c>
      <c r="BG562" s="109" t="s">
        <v>1727</v>
      </c>
    </row>
    <row r="563" spans="1:59" x14ac:dyDescent="0.25">
      <c r="A563" s="25">
        <v>10562</v>
      </c>
      <c r="B563" s="113" t="s">
        <v>751</v>
      </c>
      <c r="C563" s="119" t="s">
        <v>751</v>
      </c>
      <c r="D563" s="27" t="s">
        <v>781</v>
      </c>
      <c r="E563" s="46">
        <v>16</v>
      </c>
      <c r="F563" s="118">
        <v>14068</v>
      </c>
      <c r="G563" s="118" t="s">
        <v>19</v>
      </c>
      <c r="H563" s="118" t="s">
        <v>8</v>
      </c>
      <c r="I563">
        <v>-4.0800000000000003E-2</v>
      </c>
      <c r="J563">
        <v>1.464</v>
      </c>
      <c r="K563">
        <v>1.7999999999999999E-2</v>
      </c>
      <c r="L563" s="118">
        <v>0.314</v>
      </c>
      <c r="M563" s="140">
        <f t="shared" si="83"/>
        <v>0.05</v>
      </c>
      <c r="N563" s="140">
        <f t="shared" si="83"/>
        <v>1.464</v>
      </c>
      <c r="O563" s="140">
        <f t="shared" si="83"/>
        <v>0.05</v>
      </c>
      <c r="P563" s="140">
        <f t="shared" si="80"/>
        <v>0.314</v>
      </c>
      <c r="Q563" s="179">
        <v>12.49546071953009</v>
      </c>
      <c r="R563" s="125">
        <v>76.926666666666662</v>
      </c>
      <c r="S563" s="125">
        <v>4.1099999999999994</v>
      </c>
      <c r="T563" t="s">
        <v>515</v>
      </c>
      <c r="U563" t="s">
        <v>515</v>
      </c>
      <c r="V563" s="146">
        <v>0.15</v>
      </c>
      <c r="W563" s="118">
        <v>40.672891429388898</v>
      </c>
      <c r="X563" s="118">
        <v>-85.836302394486395</v>
      </c>
      <c r="Y563" s="140">
        <f t="shared" si="84"/>
        <v>8</v>
      </c>
      <c r="Z563" s="140">
        <f t="shared" si="85"/>
        <v>6</v>
      </c>
      <c r="AA563" s="140">
        <f t="shared" si="86"/>
        <v>2025</v>
      </c>
      <c r="AB563" s="118" t="b">
        <v>0</v>
      </c>
      <c r="AC563" s="19">
        <v>45875</v>
      </c>
      <c r="AD563" s="181" t="s">
        <v>1598</v>
      </c>
      <c r="AE563" s="199">
        <v>0.63658564814814811</v>
      </c>
      <c r="AF563" s="200">
        <v>45875</v>
      </c>
      <c r="AG563" s="109">
        <v>250806</v>
      </c>
      <c r="AH563" s="109">
        <v>0</v>
      </c>
      <c r="AI563" s="109">
        <v>746.5</v>
      </c>
      <c r="AJ563" s="109">
        <v>350.9</v>
      </c>
      <c r="AK563" s="109">
        <v>337.1</v>
      </c>
      <c r="AL563" s="109">
        <v>219</v>
      </c>
      <c r="AM563" s="109">
        <v>0.16</v>
      </c>
      <c r="AN563" s="109">
        <v>335.7</v>
      </c>
      <c r="AO563" s="109">
        <v>0.46500000000000002</v>
      </c>
      <c r="AP563" s="109">
        <v>0.46300000000000002</v>
      </c>
      <c r="AQ563" s="109">
        <v>0.66</v>
      </c>
      <c r="AR563" s="109">
        <v>302.7</v>
      </c>
      <c r="AS563" s="109">
        <v>24.03</v>
      </c>
      <c r="AT563" s="109">
        <v>306.8</v>
      </c>
      <c r="AU563" s="109">
        <v>40.673180000000002</v>
      </c>
      <c r="AV563" s="109">
        <v>-85.835279999999997</v>
      </c>
      <c r="AW563" s="109">
        <v>217</v>
      </c>
      <c r="AX563" s="109">
        <v>65.599999999999994</v>
      </c>
      <c r="AY563" s="109">
        <v>9.41</v>
      </c>
      <c r="AZ563" s="109">
        <v>-180</v>
      </c>
      <c r="BA563" s="109">
        <v>11.9</v>
      </c>
      <c r="BB563" s="109">
        <v>0</v>
      </c>
      <c r="BC563" s="109">
        <v>27.138000000000002</v>
      </c>
      <c r="BD563" s="109">
        <v>40.28</v>
      </c>
      <c r="BE563" s="109">
        <v>0</v>
      </c>
      <c r="BF563" s="201">
        <v>45875.63658564815</v>
      </c>
      <c r="BG563" s="109" t="s">
        <v>1728</v>
      </c>
    </row>
    <row r="564" spans="1:59" x14ac:dyDescent="0.25">
      <c r="A564" s="25">
        <v>10563</v>
      </c>
      <c r="B564" s="124" t="s">
        <v>782</v>
      </c>
      <c r="C564" s="124" t="s">
        <v>782</v>
      </c>
      <c r="D564" s="27" t="s">
        <v>462</v>
      </c>
      <c r="E564" s="46">
        <v>1</v>
      </c>
      <c r="F564" s="118">
        <v>5999</v>
      </c>
      <c r="G564" s="118" t="s">
        <v>19</v>
      </c>
      <c r="H564" s="118" t="s">
        <v>8</v>
      </c>
      <c r="I564" s="118">
        <v>-5.7000000000000002E-2</v>
      </c>
      <c r="J564" s="118">
        <v>2.9279999999999999</v>
      </c>
      <c r="K564" s="118">
        <v>3.0000000000000001E-3</v>
      </c>
      <c r="L564" s="118">
        <v>6.3E-2</v>
      </c>
      <c r="M564" s="140">
        <f t="shared" si="83"/>
        <v>0.05</v>
      </c>
      <c r="N564" s="140">
        <f t="shared" si="83"/>
        <v>2.9279999999999999</v>
      </c>
      <c r="O564" s="140">
        <f t="shared" si="83"/>
        <v>0.05</v>
      </c>
      <c r="P564" s="140">
        <f t="shared" si="80"/>
        <v>0.05</v>
      </c>
      <c r="Q564" s="179">
        <v>10.626481042654</v>
      </c>
      <c r="R564" s="125">
        <v>46.633333333333326</v>
      </c>
      <c r="S564" s="125">
        <v>3.0533333333333332</v>
      </c>
      <c r="T564" s="118" t="s">
        <v>515</v>
      </c>
      <c r="U564" s="118" t="s">
        <v>515</v>
      </c>
      <c r="V564" s="118" t="s">
        <v>515</v>
      </c>
      <c r="W564" s="118">
        <v>40.681715106607101</v>
      </c>
      <c r="X564" s="118">
        <v>-85.888788149456502</v>
      </c>
      <c r="Y564" s="140">
        <f t="shared" si="84"/>
        <v>8</v>
      </c>
      <c r="Z564" s="140">
        <f t="shared" si="85"/>
        <v>13</v>
      </c>
      <c r="AA564" s="140">
        <f t="shared" si="86"/>
        <v>2025</v>
      </c>
      <c r="AB564" s="118" t="b">
        <v>0</v>
      </c>
      <c r="AC564" s="19">
        <v>45882</v>
      </c>
      <c r="AD564" s="181" t="s">
        <v>115</v>
      </c>
      <c r="AE564" s="207">
        <v>0.38333333333333336</v>
      </c>
      <c r="AF564" s="208">
        <v>45882</v>
      </c>
      <c r="AG564" s="206">
        <v>250813</v>
      </c>
      <c r="AH564" s="206">
        <v>0</v>
      </c>
      <c r="AI564" s="206">
        <v>740.5</v>
      </c>
      <c r="AJ564" s="206">
        <v>368.3</v>
      </c>
      <c r="AK564" s="206">
        <v>344.2</v>
      </c>
      <c r="AL564" s="206">
        <v>223.73</v>
      </c>
      <c r="AM564" s="206">
        <v>0.19</v>
      </c>
      <c r="AN564" s="206" t="s">
        <v>515</v>
      </c>
      <c r="AO564" s="206">
        <v>0.25</v>
      </c>
      <c r="AP564" s="206">
        <v>0.25</v>
      </c>
      <c r="AQ564" s="206" t="s">
        <v>515</v>
      </c>
      <c r="AR564" s="206">
        <v>160.1</v>
      </c>
      <c r="AS564" s="206">
        <v>14.248900000000001</v>
      </c>
      <c r="AT564" s="206" t="s">
        <v>515</v>
      </c>
      <c r="AU564" s="206">
        <v>40.681714999999997</v>
      </c>
      <c r="AV564" s="206">
        <v>-85.888788000000005</v>
      </c>
      <c r="AW564" s="206" t="s">
        <v>515</v>
      </c>
      <c r="AX564" s="206" t="s">
        <v>515</v>
      </c>
      <c r="AY564" s="206">
        <v>8.81</v>
      </c>
      <c r="AZ564" s="206" t="s">
        <v>515</v>
      </c>
      <c r="BA564" s="206" t="s">
        <v>515</v>
      </c>
      <c r="BB564" s="206" t="s">
        <v>515</v>
      </c>
      <c r="BC564" s="206">
        <v>28.67</v>
      </c>
      <c r="BD564" s="206">
        <v>25.6</v>
      </c>
      <c r="BE564" s="206">
        <v>0</v>
      </c>
      <c r="BF564" s="19">
        <v>45882</v>
      </c>
      <c r="BG564" s="206" t="s">
        <v>1717</v>
      </c>
    </row>
    <row r="565" spans="1:59" x14ac:dyDescent="0.25">
      <c r="A565" s="25">
        <v>10564</v>
      </c>
      <c r="B565" s="124" t="s">
        <v>783</v>
      </c>
      <c r="C565" s="124" t="s">
        <v>783</v>
      </c>
      <c r="D565" s="56" t="s">
        <v>463</v>
      </c>
      <c r="E565" s="46">
        <v>2</v>
      </c>
      <c r="F565" s="118">
        <v>8861</v>
      </c>
      <c r="G565" s="118" t="s">
        <v>19</v>
      </c>
      <c r="H565" s="118" t="s">
        <v>8</v>
      </c>
      <c r="I565" s="118">
        <v>-5.8799999999999998E-2</v>
      </c>
      <c r="J565" s="118">
        <v>2.2400000000000002</v>
      </c>
      <c r="K565" s="118">
        <v>1.4E-2</v>
      </c>
      <c r="L565" s="118">
        <v>0.06</v>
      </c>
      <c r="M565" s="140">
        <f t="shared" si="83"/>
        <v>0.05</v>
      </c>
      <c r="N565" s="140">
        <f t="shared" si="83"/>
        <v>2.2400000000000002</v>
      </c>
      <c r="O565" s="140">
        <f t="shared" si="83"/>
        <v>0.05</v>
      </c>
      <c r="P565" s="140">
        <f t="shared" si="80"/>
        <v>0.05</v>
      </c>
      <c r="Q565" s="179">
        <v>7.6487853822717575</v>
      </c>
      <c r="R565" s="125">
        <v>50.15</v>
      </c>
      <c r="S565" s="125">
        <v>5.9933333333333332</v>
      </c>
      <c r="T565" s="118" t="s">
        <v>515</v>
      </c>
      <c r="U565" s="118" t="s">
        <v>515</v>
      </c>
      <c r="V565" s="118" t="s">
        <v>515</v>
      </c>
      <c r="W565" s="118">
        <v>40.677154294966101</v>
      </c>
      <c r="X565" s="118">
        <v>-85.877201243577403</v>
      </c>
      <c r="Y565" s="140">
        <f t="shared" si="84"/>
        <v>8</v>
      </c>
      <c r="Z565" s="140">
        <f t="shared" si="85"/>
        <v>13</v>
      </c>
      <c r="AA565" s="140">
        <f t="shared" si="86"/>
        <v>2025</v>
      </c>
      <c r="AB565" s="118" t="b">
        <v>0</v>
      </c>
      <c r="AC565" s="19">
        <v>45882</v>
      </c>
      <c r="AD565" s="181" t="s">
        <v>115</v>
      </c>
      <c r="AE565" s="207">
        <v>0.40122685185185186</v>
      </c>
      <c r="AF565" s="208">
        <v>45882</v>
      </c>
      <c r="AG565" s="206">
        <v>250813</v>
      </c>
      <c r="AH565" s="206">
        <v>0</v>
      </c>
      <c r="AI565" s="206">
        <v>740.5</v>
      </c>
      <c r="AJ565" s="206">
        <v>358.9</v>
      </c>
      <c r="AK565" s="206">
        <v>334.2</v>
      </c>
      <c r="AL565" s="206">
        <v>217.23</v>
      </c>
      <c r="AM565" s="206">
        <v>0.19</v>
      </c>
      <c r="AN565" s="206" t="s">
        <v>515</v>
      </c>
      <c r="AO565" s="206">
        <v>0.16800000000000001</v>
      </c>
      <c r="AP565" s="206">
        <v>0.16800000000000001</v>
      </c>
      <c r="AQ565" s="206" t="s">
        <v>515</v>
      </c>
      <c r="AR565" s="206">
        <v>186.1</v>
      </c>
      <c r="AS565" s="206">
        <v>16.562899999999999</v>
      </c>
      <c r="AT565" s="206" t="s">
        <v>515</v>
      </c>
      <c r="AU565" s="206">
        <v>40.677154000000002</v>
      </c>
      <c r="AV565" s="206">
        <v>-85.877200999999999</v>
      </c>
      <c r="AW565" s="206" t="s">
        <v>515</v>
      </c>
      <c r="AX565" s="206" t="s">
        <v>515</v>
      </c>
      <c r="AY565" s="206">
        <v>8.9700000000000006</v>
      </c>
      <c r="AZ565" s="206" t="s">
        <v>515</v>
      </c>
      <c r="BA565" s="206" t="s">
        <v>515</v>
      </c>
      <c r="BB565" s="206" t="s">
        <v>515</v>
      </c>
      <c r="BC565" s="206">
        <v>28.861999999999998</v>
      </c>
      <c r="BD565" s="206">
        <v>27.84</v>
      </c>
      <c r="BE565" s="206">
        <v>0</v>
      </c>
      <c r="BF565" s="19">
        <v>45882</v>
      </c>
      <c r="BG565" s="206" t="s">
        <v>1716</v>
      </c>
    </row>
    <row r="566" spans="1:59" x14ac:dyDescent="0.25">
      <c r="A566" s="25">
        <v>10565</v>
      </c>
      <c r="B566" s="124" t="s">
        <v>784</v>
      </c>
      <c r="C566" s="124" t="s">
        <v>784</v>
      </c>
      <c r="D566" s="27" t="s">
        <v>464</v>
      </c>
      <c r="E566" s="46">
        <v>3</v>
      </c>
      <c r="F566" s="118">
        <v>9921</v>
      </c>
      <c r="G566" s="118" t="s">
        <v>19</v>
      </c>
      <c r="H566" s="118" t="s">
        <v>8</v>
      </c>
      <c r="I566" s="118">
        <v>-6.4299999999999996E-2</v>
      </c>
      <c r="J566" s="118">
        <v>2.2080000000000002</v>
      </c>
      <c r="K566" s="118">
        <v>3.0000000000000001E-3</v>
      </c>
      <c r="L566" s="118">
        <v>6.3E-2</v>
      </c>
      <c r="M566" s="140">
        <f t="shared" si="83"/>
        <v>0.05</v>
      </c>
      <c r="N566" s="140">
        <f t="shared" si="83"/>
        <v>2.2080000000000002</v>
      </c>
      <c r="O566" s="140">
        <f t="shared" si="83"/>
        <v>0.05</v>
      </c>
      <c r="P566" s="140">
        <f t="shared" si="80"/>
        <v>0.05</v>
      </c>
      <c r="Q566" s="179">
        <v>7.600441786987032</v>
      </c>
      <c r="R566" s="125">
        <v>44.466666666666669</v>
      </c>
      <c r="S566" s="125">
        <v>3.6833333333333331</v>
      </c>
      <c r="T566" s="118" t="s">
        <v>515</v>
      </c>
      <c r="U566" s="118" t="s">
        <v>515</v>
      </c>
      <c r="V566" s="118" t="s">
        <v>515</v>
      </c>
      <c r="W566" s="118">
        <v>40.670718619801697</v>
      </c>
      <c r="X566" s="118">
        <v>-85.870287405498303</v>
      </c>
      <c r="Y566" s="140">
        <f t="shared" si="84"/>
        <v>8</v>
      </c>
      <c r="Z566" s="140">
        <f t="shared" si="85"/>
        <v>13</v>
      </c>
      <c r="AA566" s="140">
        <f t="shared" si="86"/>
        <v>2025</v>
      </c>
      <c r="AB566" s="118" t="b">
        <v>0</v>
      </c>
      <c r="AC566" s="19">
        <v>45882</v>
      </c>
      <c r="AD566" s="181" t="s">
        <v>115</v>
      </c>
      <c r="AE566" s="207">
        <v>0.41111111111111109</v>
      </c>
      <c r="AF566" s="208">
        <v>45882</v>
      </c>
      <c r="AG566" s="206">
        <v>250813</v>
      </c>
      <c r="AH566" s="206">
        <v>0</v>
      </c>
      <c r="AI566" s="206">
        <v>740.5</v>
      </c>
      <c r="AJ566" s="206">
        <v>363.3</v>
      </c>
      <c r="AK566" s="206">
        <v>338.9</v>
      </c>
      <c r="AL566" s="206">
        <v>220.285</v>
      </c>
      <c r="AM566" s="206">
        <v>0.19</v>
      </c>
      <c r="AN566" s="206" t="s">
        <v>515</v>
      </c>
      <c r="AO566" s="206">
        <v>0.25</v>
      </c>
      <c r="AP566" s="206">
        <v>0.25</v>
      </c>
      <c r="AQ566" s="206" t="s">
        <v>515</v>
      </c>
      <c r="AR566" s="206">
        <v>177.4</v>
      </c>
      <c r="AS566" s="206">
        <v>15.788600000000001</v>
      </c>
      <c r="AT566" s="206" t="s">
        <v>515</v>
      </c>
      <c r="AU566" s="206">
        <v>40.670718999999998</v>
      </c>
      <c r="AV566" s="206">
        <v>-85.870287000000005</v>
      </c>
      <c r="AW566" s="206" t="s">
        <v>515</v>
      </c>
      <c r="AX566" s="206" t="s">
        <v>515</v>
      </c>
      <c r="AY566" s="206">
        <v>8.93</v>
      </c>
      <c r="AZ566" s="206" t="s">
        <v>515</v>
      </c>
      <c r="BA566" s="206" t="s">
        <v>515</v>
      </c>
      <c r="BB566" s="206" t="s">
        <v>515</v>
      </c>
      <c r="BC566" s="206">
        <v>28.77</v>
      </c>
      <c r="BD566" s="206">
        <v>28.17</v>
      </c>
      <c r="BE566" s="206">
        <v>0</v>
      </c>
      <c r="BF566" s="19">
        <v>45882</v>
      </c>
      <c r="BG566" s="206" t="s">
        <v>1715</v>
      </c>
    </row>
    <row r="567" spans="1:59" x14ac:dyDescent="0.25">
      <c r="A567" s="25">
        <v>10566</v>
      </c>
      <c r="B567" s="124" t="s">
        <v>785</v>
      </c>
      <c r="C567" s="124" t="s">
        <v>785</v>
      </c>
      <c r="D567" s="27" t="s">
        <v>465</v>
      </c>
      <c r="E567" s="46">
        <v>4</v>
      </c>
      <c r="F567" s="118">
        <v>10891</v>
      </c>
      <c r="G567" s="118" t="s">
        <v>19</v>
      </c>
      <c r="H567" s="118" t="s">
        <v>8</v>
      </c>
      <c r="I567" s="118">
        <v>-4.3700000000000003E-2</v>
      </c>
      <c r="J567" s="118">
        <v>1.9319999999999999</v>
      </c>
      <c r="K567" s="118">
        <v>4.0000000000000001E-3</v>
      </c>
      <c r="L567" s="118">
        <v>5.7000000000000002E-2</v>
      </c>
      <c r="M567" s="140">
        <f t="shared" si="83"/>
        <v>0.05</v>
      </c>
      <c r="N567" s="140">
        <f t="shared" si="83"/>
        <v>1.9319999999999999</v>
      </c>
      <c r="O567" s="140">
        <f t="shared" si="83"/>
        <v>0.05</v>
      </c>
      <c r="P567" s="140">
        <f t="shared" si="80"/>
        <v>0.05</v>
      </c>
      <c r="Q567" s="179">
        <v>14.861617542809336</v>
      </c>
      <c r="R567" s="125">
        <v>53.20000000000001</v>
      </c>
      <c r="S567" s="125">
        <v>4.0266666666666664</v>
      </c>
      <c r="T567" s="118" t="s">
        <v>515</v>
      </c>
      <c r="U567" s="118" t="s">
        <v>515</v>
      </c>
      <c r="V567" s="118" t="s">
        <v>515</v>
      </c>
      <c r="W567" s="118">
        <v>40.663286919955198</v>
      </c>
      <c r="X567" s="118">
        <v>-85.866485864267801</v>
      </c>
      <c r="Y567" s="140">
        <f t="shared" si="84"/>
        <v>8</v>
      </c>
      <c r="Z567" s="140">
        <f t="shared" si="85"/>
        <v>13</v>
      </c>
      <c r="AA567" s="140">
        <f t="shared" si="86"/>
        <v>2025</v>
      </c>
      <c r="AB567" s="118" t="b">
        <v>0</v>
      </c>
      <c r="AC567" s="19">
        <v>45882</v>
      </c>
      <c r="AD567" s="181" t="s">
        <v>115</v>
      </c>
      <c r="AE567" s="207">
        <v>0.42152777777777778</v>
      </c>
      <c r="AF567" s="208">
        <v>45882</v>
      </c>
      <c r="AG567" s="206">
        <v>250813</v>
      </c>
      <c r="AH567" s="206">
        <v>0</v>
      </c>
      <c r="AI567" s="206">
        <v>740.5</v>
      </c>
      <c r="AJ567" s="206">
        <v>365.3</v>
      </c>
      <c r="AK567" s="206">
        <v>343.1</v>
      </c>
      <c r="AL567" s="206">
        <v>223.01499999999999</v>
      </c>
      <c r="AM567" s="206">
        <v>0.19</v>
      </c>
      <c r="AN567" s="206" t="s">
        <v>515</v>
      </c>
      <c r="AO567" s="206">
        <v>0.12</v>
      </c>
      <c r="AP567" s="206">
        <v>0.12</v>
      </c>
      <c r="AQ567" s="206" t="s">
        <v>515</v>
      </c>
      <c r="AR567" s="206">
        <v>163.1</v>
      </c>
      <c r="AS567" s="206">
        <v>14.5159</v>
      </c>
      <c r="AT567" s="206" t="s">
        <v>515</v>
      </c>
      <c r="AU567" s="206">
        <v>40.663286999999997</v>
      </c>
      <c r="AV567" s="206">
        <v>-85.866485999999995</v>
      </c>
      <c r="AW567" s="206" t="s">
        <v>515</v>
      </c>
      <c r="AX567" s="206" t="s">
        <v>515</v>
      </c>
      <c r="AY567" s="206">
        <v>8.8699999999999992</v>
      </c>
      <c r="AZ567" s="206" t="s">
        <v>515</v>
      </c>
      <c r="BA567" s="206" t="s">
        <v>515</v>
      </c>
      <c r="BB567" s="206" t="s">
        <v>515</v>
      </c>
      <c r="BC567" s="206">
        <v>28.39</v>
      </c>
      <c r="BD567" s="206">
        <v>18.149999999999999</v>
      </c>
      <c r="BE567" s="206">
        <v>0</v>
      </c>
      <c r="BF567" s="19">
        <v>45882</v>
      </c>
      <c r="BG567" s="206" t="s">
        <v>1714</v>
      </c>
    </row>
    <row r="568" spans="1:59" x14ac:dyDescent="0.25">
      <c r="A568" s="25">
        <v>10567</v>
      </c>
      <c r="B568" s="124" t="s">
        <v>786</v>
      </c>
      <c r="C568" s="124" t="s">
        <v>786</v>
      </c>
      <c r="D568" s="27" t="s">
        <v>466</v>
      </c>
      <c r="E568" s="46">
        <v>5</v>
      </c>
      <c r="F568" s="118">
        <v>12821</v>
      </c>
      <c r="G568" s="118" t="s">
        <v>19</v>
      </c>
      <c r="H568" s="118" t="s">
        <v>8</v>
      </c>
      <c r="I568" s="118">
        <v>-6.4000000000000001E-2</v>
      </c>
      <c r="J568" s="118">
        <v>1.5820000000000001</v>
      </c>
      <c r="K568" s="118">
        <v>3.0000000000000001E-3</v>
      </c>
      <c r="L568" s="118">
        <v>7.0000000000000007E-2</v>
      </c>
      <c r="M568" s="140">
        <f t="shared" si="83"/>
        <v>0.05</v>
      </c>
      <c r="N568" s="140">
        <f t="shared" si="83"/>
        <v>1.5820000000000001</v>
      </c>
      <c r="O568" s="140">
        <f t="shared" si="83"/>
        <v>0.05</v>
      </c>
      <c r="P568" s="140">
        <f t="shared" si="80"/>
        <v>0.05</v>
      </c>
      <c r="Q568" s="179">
        <v>34.663553271373146</v>
      </c>
      <c r="R568" s="125">
        <v>43.626666666666665</v>
      </c>
      <c r="S568" s="125">
        <v>3.3800000000000003</v>
      </c>
      <c r="T568" s="118" t="s">
        <v>515</v>
      </c>
      <c r="U568" s="118" t="s">
        <v>515</v>
      </c>
      <c r="V568" s="118" t="s">
        <v>515</v>
      </c>
      <c r="W568" s="118">
        <v>40.668572255115002</v>
      </c>
      <c r="X568" s="118">
        <v>-85.847962574216595</v>
      </c>
      <c r="Y568" s="140">
        <f t="shared" si="84"/>
        <v>8</v>
      </c>
      <c r="Z568" s="140">
        <f t="shared" si="85"/>
        <v>13</v>
      </c>
      <c r="AA568" s="140">
        <f t="shared" si="86"/>
        <v>2025</v>
      </c>
      <c r="AB568" s="118" t="b">
        <v>0</v>
      </c>
      <c r="AC568" s="19">
        <v>45882</v>
      </c>
      <c r="AD568" s="181" t="s">
        <v>115</v>
      </c>
      <c r="AE568" s="207">
        <v>0.44583333333333336</v>
      </c>
      <c r="AF568" s="208">
        <v>45882</v>
      </c>
      <c r="AG568" s="206">
        <v>250813</v>
      </c>
      <c r="AH568" s="206">
        <v>0</v>
      </c>
      <c r="AI568" s="206">
        <v>740.5</v>
      </c>
      <c r="AJ568" s="206">
        <v>359.1</v>
      </c>
      <c r="AK568" s="206">
        <v>333.6</v>
      </c>
      <c r="AL568" s="206">
        <v>216.84</v>
      </c>
      <c r="AM568" s="206">
        <v>0.19</v>
      </c>
      <c r="AN568" s="206" t="s">
        <v>515</v>
      </c>
      <c r="AO568" s="206">
        <v>0.21</v>
      </c>
      <c r="AP568" s="206">
        <v>0.21</v>
      </c>
      <c r="AQ568" s="206" t="s">
        <v>515</v>
      </c>
      <c r="AR568" s="206">
        <v>183.6</v>
      </c>
      <c r="AS568" s="206">
        <v>16.340399999999999</v>
      </c>
      <c r="AT568" s="206" t="s">
        <v>515</v>
      </c>
      <c r="AU568" s="206">
        <v>40.668571999999998</v>
      </c>
      <c r="AV568" s="206">
        <v>-85.847962999999993</v>
      </c>
      <c r="AW568" s="206" t="s">
        <v>515</v>
      </c>
      <c r="AX568" s="206" t="s">
        <v>515</v>
      </c>
      <c r="AY568" s="206">
        <v>8.9600000000000009</v>
      </c>
      <c r="AZ568" s="206" t="s">
        <v>515</v>
      </c>
      <c r="BA568" s="206" t="s">
        <v>515</v>
      </c>
      <c r="BB568" s="206" t="s">
        <v>515</v>
      </c>
      <c r="BC568" s="206">
        <v>29</v>
      </c>
      <c r="BD568" s="206">
        <v>21.34</v>
      </c>
      <c r="BE568" s="206">
        <v>0</v>
      </c>
      <c r="BF568" s="19">
        <v>45882</v>
      </c>
      <c r="BG568" s="206" t="s">
        <v>1713</v>
      </c>
    </row>
    <row r="569" spans="1:59" x14ac:dyDescent="0.25">
      <c r="A569" s="25">
        <v>10568</v>
      </c>
      <c r="B569" s="124" t="s">
        <v>787</v>
      </c>
      <c r="C569" s="124" t="s">
        <v>787</v>
      </c>
      <c r="D569" s="27" t="s">
        <v>467</v>
      </c>
      <c r="E569" s="46">
        <v>6</v>
      </c>
      <c r="F569" s="118">
        <v>14351</v>
      </c>
      <c r="G569" s="118" t="s">
        <v>19</v>
      </c>
      <c r="H569" s="118" t="s">
        <v>8</v>
      </c>
      <c r="I569" s="118">
        <v>-6.6600000000000006E-2</v>
      </c>
      <c r="J569" s="118">
        <v>1.5069999999999999</v>
      </c>
      <c r="K569" s="118">
        <v>6.0000000000000001E-3</v>
      </c>
      <c r="L569" s="118">
        <v>0.17</v>
      </c>
      <c r="M569" s="140">
        <f t="shared" si="83"/>
        <v>0.05</v>
      </c>
      <c r="N569" s="140">
        <f t="shared" si="83"/>
        <v>1.5069999999999999</v>
      </c>
      <c r="O569" s="140">
        <f t="shared" si="83"/>
        <v>0.05</v>
      </c>
      <c r="P569" s="140">
        <f t="shared" si="80"/>
        <v>0.17</v>
      </c>
      <c r="Q569" s="179">
        <v>5.3597756888687318</v>
      </c>
      <c r="R569" s="125">
        <v>83.583333333333329</v>
      </c>
      <c r="S569" s="125">
        <v>3.7233333333333327</v>
      </c>
      <c r="T569" s="118" t="s">
        <v>515</v>
      </c>
      <c r="U569" s="118" t="s">
        <v>515</v>
      </c>
      <c r="V569" s="118" t="s">
        <v>515</v>
      </c>
      <c r="W569" s="118">
        <v>40.673722143501401</v>
      </c>
      <c r="X569" s="118">
        <v>-85.831860726015293</v>
      </c>
      <c r="Y569" s="140">
        <f t="shared" si="84"/>
        <v>8</v>
      </c>
      <c r="Z569" s="140">
        <f t="shared" si="85"/>
        <v>13</v>
      </c>
      <c r="AA569" s="140">
        <f t="shared" si="86"/>
        <v>2025</v>
      </c>
      <c r="AB569" s="118" t="b">
        <v>0</v>
      </c>
      <c r="AC569" s="19">
        <v>45882</v>
      </c>
      <c r="AD569" s="181" t="s">
        <v>115</v>
      </c>
      <c r="AE569" s="207">
        <v>0.46666666666666667</v>
      </c>
      <c r="AF569" s="208">
        <v>45882</v>
      </c>
      <c r="AG569" s="206" t="s">
        <v>515</v>
      </c>
      <c r="AH569" s="206" t="s">
        <v>515</v>
      </c>
      <c r="AI569" s="206" t="s">
        <v>515</v>
      </c>
      <c r="AJ569" s="206">
        <v>338.1</v>
      </c>
      <c r="AK569" s="206">
        <v>312</v>
      </c>
      <c r="AL569" s="206">
        <v>202.8</v>
      </c>
      <c r="AM569" s="206">
        <v>0.19</v>
      </c>
      <c r="AN569" s="206" t="s">
        <v>515</v>
      </c>
      <c r="AO569" s="206">
        <v>0.21</v>
      </c>
      <c r="AP569" s="206">
        <v>0.21</v>
      </c>
      <c r="AQ569" s="206" t="s">
        <v>515</v>
      </c>
      <c r="AR569" s="206">
        <v>241.9</v>
      </c>
      <c r="AS569" s="206">
        <v>21.5291</v>
      </c>
      <c r="AT569" s="206" t="s">
        <v>515</v>
      </c>
      <c r="AU569" s="206">
        <v>40.673721999999998</v>
      </c>
      <c r="AV569" s="206">
        <v>-85.831861000000004</v>
      </c>
      <c r="AW569" s="206" t="s">
        <v>515</v>
      </c>
      <c r="AX569" s="206" t="s">
        <v>515</v>
      </c>
      <c r="AY569" s="206">
        <v>9.2100000000000009</v>
      </c>
      <c r="AZ569" s="206" t="s">
        <v>515</v>
      </c>
      <c r="BA569" s="206" t="s">
        <v>515</v>
      </c>
      <c r="BB569" s="206" t="s">
        <v>515</v>
      </c>
      <c r="BC569" s="206">
        <v>29.38</v>
      </c>
      <c r="BD569" s="206">
        <v>49.6</v>
      </c>
      <c r="BE569" s="206">
        <v>0</v>
      </c>
      <c r="BF569" s="19">
        <v>45882</v>
      </c>
      <c r="BG569" s="206" t="s">
        <v>1712</v>
      </c>
    </row>
    <row r="570" spans="1:59" x14ac:dyDescent="0.25">
      <c r="A570" s="25">
        <v>10569</v>
      </c>
      <c r="B570" s="124" t="s">
        <v>788</v>
      </c>
      <c r="C570" s="124" t="s">
        <v>788</v>
      </c>
      <c r="D570" s="27" t="s">
        <v>468</v>
      </c>
      <c r="E570" s="46">
        <v>7</v>
      </c>
      <c r="F570" s="118">
        <v>6411</v>
      </c>
      <c r="G570" s="118" t="s">
        <v>19</v>
      </c>
      <c r="H570" s="118" t="s">
        <v>8</v>
      </c>
      <c r="I570" s="118">
        <v>-5.9400000000000001E-2</v>
      </c>
      <c r="J570" s="118">
        <v>2.964</v>
      </c>
      <c r="K570" s="118">
        <v>4.0000000000000001E-3</v>
      </c>
      <c r="L570" s="118">
        <v>6.8000000000000005E-2</v>
      </c>
      <c r="M570" s="140">
        <f t="shared" si="83"/>
        <v>0.05</v>
      </c>
      <c r="N570" s="140">
        <f t="shared" si="83"/>
        <v>2.964</v>
      </c>
      <c r="O570" s="140">
        <f t="shared" si="83"/>
        <v>0.05</v>
      </c>
      <c r="P570" s="140">
        <f t="shared" si="80"/>
        <v>0.05</v>
      </c>
      <c r="Q570" s="179">
        <v>6.2652703411983524</v>
      </c>
      <c r="R570" s="125">
        <v>54.4</v>
      </c>
      <c r="S570" s="125">
        <v>3.1633333333333336</v>
      </c>
      <c r="T570" s="118" t="s">
        <v>515</v>
      </c>
      <c r="U570" s="118" t="s">
        <v>515</v>
      </c>
      <c r="V570" s="118" t="s">
        <v>515</v>
      </c>
      <c r="W570" s="118">
        <v>40.687837744978602</v>
      </c>
      <c r="X570" s="118">
        <v>-85.896392727391799</v>
      </c>
      <c r="Y570" s="140">
        <f t="shared" si="84"/>
        <v>8</v>
      </c>
      <c r="Z570" s="140">
        <f t="shared" si="85"/>
        <v>13</v>
      </c>
      <c r="AA570" s="140">
        <f t="shared" si="86"/>
        <v>2025</v>
      </c>
      <c r="AB570" s="118" t="b">
        <v>0</v>
      </c>
      <c r="AC570" s="19">
        <v>45882</v>
      </c>
      <c r="AD570" s="181" t="s">
        <v>115</v>
      </c>
      <c r="AE570" s="207">
        <v>0.58194444444444449</v>
      </c>
      <c r="AF570" s="208">
        <v>45882</v>
      </c>
      <c r="AG570" s="206">
        <v>250813</v>
      </c>
      <c r="AH570" s="206">
        <v>0</v>
      </c>
      <c r="AI570" s="206">
        <v>740.5</v>
      </c>
      <c r="AJ570" s="206">
        <v>367.9</v>
      </c>
      <c r="AK570" s="206">
        <v>340</v>
      </c>
      <c r="AL570" s="206">
        <v>221</v>
      </c>
      <c r="AM570" s="206">
        <v>0.19</v>
      </c>
      <c r="AN570" s="206" t="s">
        <v>515</v>
      </c>
      <c r="AO570" s="206">
        <v>0.2</v>
      </c>
      <c r="AP570" s="206">
        <v>0.2</v>
      </c>
      <c r="AQ570" s="206" t="s">
        <v>515</v>
      </c>
      <c r="AR570" s="206">
        <v>190</v>
      </c>
      <c r="AS570" s="206">
        <v>16.91</v>
      </c>
      <c r="AT570" s="206" t="s">
        <v>515</v>
      </c>
      <c r="AU570" s="206">
        <v>40.687837999999999</v>
      </c>
      <c r="AV570" s="206">
        <v>-85.896393000000003</v>
      </c>
      <c r="AW570" s="206" t="s">
        <v>515</v>
      </c>
      <c r="AX570" s="206" t="s">
        <v>515</v>
      </c>
      <c r="AY570" s="206">
        <v>8.9</v>
      </c>
      <c r="AZ570" s="206" t="s">
        <v>515</v>
      </c>
      <c r="BA570" s="206" t="s">
        <v>515</v>
      </c>
      <c r="BB570" s="206" t="s">
        <v>515</v>
      </c>
      <c r="BC570" s="206">
        <v>29.3</v>
      </c>
      <c r="BD570" s="206">
        <v>28.7</v>
      </c>
      <c r="BE570" s="206">
        <v>0</v>
      </c>
      <c r="BF570" s="19">
        <v>45882</v>
      </c>
      <c r="BG570" s="206" t="s">
        <v>1724</v>
      </c>
    </row>
    <row r="571" spans="1:59" x14ac:dyDescent="0.25">
      <c r="A571" s="25">
        <v>10570</v>
      </c>
      <c r="B571" s="124" t="s">
        <v>789</v>
      </c>
      <c r="C571" s="124" t="s">
        <v>789</v>
      </c>
      <c r="D571" s="27" t="s">
        <v>469</v>
      </c>
      <c r="E571" s="46">
        <v>8</v>
      </c>
      <c r="F571" s="118">
        <v>5401</v>
      </c>
      <c r="G571" s="118" t="s">
        <v>19</v>
      </c>
      <c r="H571" s="118" t="s">
        <v>8</v>
      </c>
      <c r="I571" s="118">
        <v>-6.54E-2</v>
      </c>
      <c r="J571" s="118">
        <v>2.8679999999999999</v>
      </c>
      <c r="K571" s="118">
        <v>4.0000000000000001E-3</v>
      </c>
      <c r="L571" s="118">
        <v>4.9000000000000002E-2</v>
      </c>
      <c r="M571" s="140">
        <f t="shared" si="83"/>
        <v>0.05</v>
      </c>
      <c r="N571" s="140">
        <f t="shared" si="83"/>
        <v>2.8679999999999999</v>
      </c>
      <c r="O571" s="140">
        <f t="shared" si="83"/>
        <v>0.05</v>
      </c>
      <c r="P571" s="140">
        <f t="shared" si="80"/>
        <v>0.05</v>
      </c>
      <c r="Q571" s="179">
        <v>6.447831562244204</v>
      </c>
      <c r="R571" s="125">
        <v>55.216666666666661</v>
      </c>
      <c r="S571" s="125">
        <v>1.07</v>
      </c>
      <c r="T571" s="118" t="s">
        <v>515</v>
      </c>
      <c r="U571" s="118" t="s">
        <v>515</v>
      </c>
      <c r="V571" s="118" t="s">
        <v>515</v>
      </c>
      <c r="W571" s="118">
        <v>40.691436921490698</v>
      </c>
      <c r="X571" s="118">
        <v>-85.907788549587707</v>
      </c>
      <c r="Y571" s="140">
        <f t="shared" si="84"/>
        <v>8</v>
      </c>
      <c r="Z571" s="140">
        <f t="shared" si="85"/>
        <v>13</v>
      </c>
      <c r="AA571" s="140">
        <f t="shared" si="86"/>
        <v>2025</v>
      </c>
      <c r="AB571" s="118" t="b">
        <v>0</v>
      </c>
      <c r="AC571" s="19">
        <v>45882</v>
      </c>
      <c r="AD571" s="181" t="s">
        <v>115</v>
      </c>
      <c r="AE571" s="207">
        <v>0.57152777777777775</v>
      </c>
      <c r="AF571" s="208">
        <v>45882</v>
      </c>
      <c r="AG571" s="206">
        <v>250813</v>
      </c>
      <c r="AH571" s="206">
        <v>0</v>
      </c>
      <c r="AI571" s="206">
        <v>740.5</v>
      </c>
      <c r="AJ571" s="206">
        <v>365.8</v>
      </c>
      <c r="AK571" s="206">
        <v>338</v>
      </c>
      <c r="AL571" s="206">
        <v>219.7</v>
      </c>
      <c r="AM571" s="206">
        <v>0.19</v>
      </c>
      <c r="AN571" s="206" t="s">
        <v>515</v>
      </c>
      <c r="AO571" s="206">
        <v>0.31</v>
      </c>
      <c r="AP571" s="206">
        <v>0.31</v>
      </c>
      <c r="AQ571" s="206" t="s">
        <v>515</v>
      </c>
      <c r="AR571" s="206">
        <v>212</v>
      </c>
      <c r="AS571" s="206">
        <v>18.867999999999999</v>
      </c>
      <c r="AT571" s="206" t="s">
        <v>515</v>
      </c>
      <c r="AU571" s="206">
        <v>40.691437000000001</v>
      </c>
      <c r="AV571" s="206">
        <v>-85.907788999999994</v>
      </c>
      <c r="AW571" s="206" t="s">
        <v>515</v>
      </c>
      <c r="AX571" s="206" t="s">
        <v>515</v>
      </c>
      <c r="AY571" s="206">
        <v>9.1</v>
      </c>
      <c r="AZ571" s="206" t="s">
        <v>515</v>
      </c>
      <c r="BA571" s="206" t="s">
        <v>515</v>
      </c>
      <c r="BB571" s="206" t="s">
        <v>515</v>
      </c>
      <c r="BC571" s="206">
        <v>29.3</v>
      </c>
      <c r="BD571" s="206">
        <v>29.6</v>
      </c>
      <c r="BE571" s="206">
        <v>0</v>
      </c>
      <c r="BF571" s="19">
        <v>45882</v>
      </c>
      <c r="BG571" s="206" t="s">
        <v>1722</v>
      </c>
    </row>
    <row r="572" spans="1:59" x14ac:dyDescent="0.25">
      <c r="A572" s="25">
        <v>10571</v>
      </c>
      <c r="B572" s="124" t="s">
        <v>790</v>
      </c>
      <c r="C572" s="124" t="s">
        <v>790</v>
      </c>
      <c r="D572" s="27" t="s">
        <v>470</v>
      </c>
      <c r="E572" s="46">
        <v>9</v>
      </c>
      <c r="F572" s="118">
        <v>4381</v>
      </c>
      <c r="G572" s="118" t="s">
        <v>19</v>
      </c>
      <c r="H572" s="118" t="s">
        <v>8</v>
      </c>
      <c r="I572" s="118">
        <v>-5.4100000000000002E-2</v>
      </c>
      <c r="J572" s="118">
        <v>3.6619999999999999</v>
      </c>
      <c r="K572" s="118">
        <v>3.0000000000000001E-3</v>
      </c>
      <c r="L572" s="118">
        <v>3.2000000000000001E-2</v>
      </c>
      <c r="M572" s="140">
        <f t="shared" si="83"/>
        <v>0.05</v>
      </c>
      <c r="N572" s="140">
        <f t="shared" si="83"/>
        <v>3.6619999999999999</v>
      </c>
      <c r="O572" s="140">
        <f t="shared" si="83"/>
        <v>0.05</v>
      </c>
      <c r="P572" s="140">
        <f t="shared" si="80"/>
        <v>0.05</v>
      </c>
      <c r="Q572" s="179">
        <v>21.856923684530333</v>
      </c>
      <c r="R572" s="125">
        <v>57.473333333333336</v>
      </c>
      <c r="S572" s="125">
        <v>1.9566666666666668</v>
      </c>
      <c r="T572" s="118" t="s">
        <v>515</v>
      </c>
      <c r="U572" s="118" t="s">
        <v>515</v>
      </c>
      <c r="V572" s="118" t="s">
        <v>515</v>
      </c>
      <c r="W572" s="118">
        <v>40.7042358795022</v>
      </c>
      <c r="X572" s="118">
        <v>-85.930099513462096</v>
      </c>
      <c r="Y572" s="140">
        <f t="shared" si="84"/>
        <v>8</v>
      </c>
      <c r="Z572" s="140">
        <f t="shared" si="85"/>
        <v>13</v>
      </c>
      <c r="AA572" s="140">
        <f t="shared" si="86"/>
        <v>2025</v>
      </c>
      <c r="AB572" s="118" t="b">
        <v>0</v>
      </c>
      <c r="AC572" s="19">
        <v>45882</v>
      </c>
      <c r="AD572" s="181" t="s">
        <v>115</v>
      </c>
      <c r="AE572" s="207">
        <v>0.54652777777777772</v>
      </c>
      <c r="AF572" s="208">
        <v>45882</v>
      </c>
      <c r="AG572" s="206">
        <v>250813</v>
      </c>
      <c r="AH572" s="206">
        <v>0</v>
      </c>
      <c r="AI572" s="206">
        <v>740.5</v>
      </c>
      <c r="AJ572" s="206">
        <v>374.8</v>
      </c>
      <c r="AK572" s="206">
        <v>347</v>
      </c>
      <c r="AL572" s="206">
        <v>225.55</v>
      </c>
      <c r="AM572" s="206">
        <v>0.19</v>
      </c>
      <c r="AN572" s="206" t="s">
        <v>515</v>
      </c>
      <c r="AO572" s="206">
        <v>0.28999999999999998</v>
      </c>
      <c r="AP572" s="206">
        <v>0.28999999999999998</v>
      </c>
      <c r="AQ572" s="206" t="s">
        <v>515</v>
      </c>
      <c r="AR572" s="206">
        <v>174</v>
      </c>
      <c r="AS572" s="206">
        <v>15.486000000000001</v>
      </c>
      <c r="AT572" s="206" t="s">
        <v>515</v>
      </c>
      <c r="AU572" s="206">
        <v>40.704236000000002</v>
      </c>
      <c r="AV572" s="206">
        <v>-85.930099999999996</v>
      </c>
      <c r="AW572" s="206" t="s">
        <v>515</v>
      </c>
      <c r="AX572" s="206" t="s">
        <v>515</v>
      </c>
      <c r="AY572" s="206">
        <v>8.9</v>
      </c>
      <c r="AZ572" s="206" t="s">
        <v>515</v>
      </c>
      <c r="BA572" s="206" t="s">
        <v>515</v>
      </c>
      <c r="BB572" s="206" t="s">
        <v>515</v>
      </c>
      <c r="BC572" s="206">
        <v>29.2</v>
      </c>
      <c r="BD572" s="206">
        <v>21.8</v>
      </c>
      <c r="BE572" s="206">
        <v>0</v>
      </c>
      <c r="BF572" s="19">
        <v>45882</v>
      </c>
      <c r="BG572" s="206" t="s">
        <v>1718</v>
      </c>
    </row>
    <row r="573" spans="1:59" x14ac:dyDescent="0.25">
      <c r="A573" s="25">
        <v>10572</v>
      </c>
      <c r="B573" s="124" t="s">
        <v>791</v>
      </c>
      <c r="C573" s="124" t="s">
        <v>791</v>
      </c>
      <c r="D573" s="27" t="s">
        <v>471</v>
      </c>
      <c r="E573" s="46">
        <v>10</v>
      </c>
      <c r="F573" s="118">
        <v>2851</v>
      </c>
      <c r="G573" s="118" t="s">
        <v>19</v>
      </c>
      <c r="H573" s="118" t="s">
        <v>8</v>
      </c>
      <c r="I573" s="118">
        <v>-6.1499999999999999E-2</v>
      </c>
      <c r="J573" s="118">
        <v>3.2549999999999999</v>
      </c>
      <c r="K573" s="118">
        <v>3.0000000000000001E-3</v>
      </c>
      <c r="L573" s="118">
        <v>5.8000000000000003E-2</v>
      </c>
      <c r="M573" s="140">
        <f t="shared" si="83"/>
        <v>0.05</v>
      </c>
      <c r="N573" s="140">
        <f t="shared" si="83"/>
        <v>3.2549999999999999</v>
      </c>
      <c r="O573" s="140">
        <f t="shared" si="83"/>
        <v>0.05</v>
      </c>
      <c r="P573" s="140">
        <f t="shared" si="80"/>
        <v>0.05</v>
      </c>
      <c r="Q573" s="179">
        <v>7.1267007025449516</v>
      </c>
      <c r="R573" s="125">
        <v>40.656666666666666</v>
      </c>
      <c r="S573" s="125">
        <v>2.8200000000000003</v>
      </c>
      <c r="T573" s="118" t="s">
        <v>515</v>
      </c>
      <c r="U573" s="118" t="s">
        <v>515</v>
      </c>
      <c r="V573" s="118" t="s">
        <v>515</v>
      </c>
      <c r="W573" s="118">
        <v>40.693064987555303</v>
      </c>
      <c r="X573" s="118">
        <v>-85.919984527129003</v>
      </c>
      <c r="Y573" s="140">
        <f t="shared" si="84"/>
        <v>8</v>
      </c>
      <c r="Z573" s="140">
        <f t="shared" si="85"/>
        <v>13</v>
      </c>
      <c r="AA573" s="140">
        <f t="shared" si="86"/>
        <v>2025</v>
      </c>
      <c r="AB573" s="118" t="b">
        <v>0</v>
      </c>
      <c r="AC573" s="19">
        <v>45882</v>
      </c>
      <c r="AD573" s="181" t="s">
        <v>115</v>
      </c>
      <c r="AE573" s="207">
        <v>0.55555555555555558</v>
      </c>
      <c r="AF573" s="208">
        <v>45882</v>
      </c>
      <c r="AG573" s="206">
        <v>250813</v>
      </c>
      <c r="AH573" s="206">
        <v>0</v>
      </c>
      <c r="AI573" s="206">
        <v>740.5</v>
      </c>
      <c r="AJ573" s="206">
        <v>375.5</v>
      </c>
      <c r="AK573" s="206">
        <v>347</v>
      </c>
      <c r="AL573" s="206">
        <v>225.55</v>
      </c>
      <c r="AM573" s="206">
        <v>0.19</v>
      </c>
      <c r="AN573" s="206" t="s">
        <v>515</v>
      </c>
      <c r="AO573" s="206">
        <v>0.27</v>
      </c>
      <c r="AP573" s="206">
        <v>0.27</v>
      </c>
      <c r="AQ573" s="206" t="s">
        <v>515</v>
      </c>
      <c r="AR573" s="206">
        <v>166</v>
      </c>
      <c r="AS573" s="206">
        <v>14.773999999999999</v>
      </c>
      <c r="AT573" s="206" t="s">
        <v>515</v>
      </c>
      <c r="AU573" s="206">
        <v>40.693064999999997</v>
      </c>
      <c r="AV573" s="206">
        <v>-85.919984999999997</v>
      </c>
      <c r="AW573" s="206" t="s">
        <v>515</v>
      </c>
      <c r="AX573" s="206" t="s">
        <v>515</v>
      </c>
      <c r="AY573" s="206">
        <v>8.8800000000000008</v>
      </c>
      <c r="AZ573" s="206" t="s">
        <v>515</v>
      </c>
      <c r="BA573" s="206" t="s">
        <v>515</v>
      </c>
      <c r="BB573" s="206" t="s">
        <v>515</v>
      </c>
      <c r="BC573" s="206">
        <v>29.3</v>
      </c>
      <c r="BD573" s="206">
        <v>21.1</v>
      </c>
      <c r="BE573" s="206">
        <v>0</v>
      </c>
      <c r="BF573" s="19">
        <v>45882</v>
      </c>
      <c r="BG573" s="206" t="s">
        <v>1725</v>
      </c>
    </row>
    <row r="574" spans="1:59" x14ac:dyDescent="0.25">
      <c r="A574" s="25">
        <v>10573</v>
      </c>
      <c r="B574" s="124" t="s">
        <v>792</v>
      </c>
      <c r="C574" s="124" t="s">
        <v>792</v>
      </c>
      <c r="D574" s="27" t="s">
        <v>472</v>
      </c>
      <c r="E574" s="46">
        <v>11</v>
      </c>
      <c r="F574" s="118">
        <v>1731</v>
      </c>
      <c r="G574" s="118" t="s">
        <v>19</v>
      </c>
      <c r="H574" s="118" t="s">
        <v>8</v>
      </c>
      <c r="I574" s="118">
        <v>-6.2E-2</v>
      </c>
      <c r="J574" s="118">
        <v>3.3149999999999999</v>
      </c>
      <c r="K574" s="118">
        <v>2.5000000000000001E-2</v>
      </c>
      <c r="L574" s="118">
        <v>2.4E-2</v>
      </c>
      <c r="M574" s="140">
        <f t="shared" si="83"/>
        <v>0.05</v>
      </c>
      <c r="N574" s="140">
        <f t="shared" si="83"/>
        <v>3.3149999999999999</v>
      </c>
      <c r="O574" s="140">
        <f t="shared" si="83"/>
        <v>0.05</v>
      </c>
      <c r="P574" s="140">
        <f t="shared" si="80"/>
        <v>0.05</v>
      </c>
      <c r="Q574" s="179">
        <v>6.1885851167172001</v>
      </c>
      <c r="R574" s="125">
        <v>44.836666666666666</v>
      </c>
      <c r="S574" s="125">
        <v>1.5200000000000002</v>
      </c>
      <c r="T574" s="118" t="s">
        <v>515</v>
      </c>
      <c r="U574" s="118" t="s">
        <v>515</v>
      </c>
      <c r="V574" s="118" t="s">
        <v>515</v>
      </c>
      <c r="W574" s="118">
        <v>40.7109787493496</v>
      </c>
      <c r="X574" s="118">
        <v>-85.938684960607205</v>
      </c>
      <c r="Y574" s="140">
        <f t="shared" si="84"/>
        <v>8</v>
      </c>
      <c r="Z574" s="140">
        <f t="shared" si="85"/>
        <v>13</v>
      </c>
      <c r="AA574" s="140">
        <f t="shared" si="86"/>
        <v>2025</v>
      </c>
      <c r="AB574" s="118" t="b">
        <v>0</v>
      </c>
      <c r="AC574" s="19">
        <v>45882</v>
      </c>
      <c r="AD574" s="181" t="s">
        <v>115</v>
      </c>
      <c r="AE574" s="207">
        <v>0.53263888888888888</v>
      </c>
      <c r="AF574" s="208">
        <v>45882</v>
      </c>
      <c r="AG574" s="206">
        <v>250813</v>
      </c>
      <c r="AH574" s="206">
        <v>0</v>
      </c>
      <c r="AI574" s="206">
        <v>740.5</v>
      </c>
      <c r="AJ574" s="206">
        <v>378.5</v>
      </c>
      <c r="AK574" s="206">
        <v>351</v>
      </c>
      <c r="AL574" s="206">
        <v>228.15</v>
      </c>
      <c r="AM574" s="206">
        <v>0.19</v>
      </c>
      <c r="AN574" s="206" t="s">
        <v>515</v>
      </c>
      <c r="AO574" s="206">
        <v>0.24</v>
      </c>
      <c r="AP574" s="206">
        <v>0.24</v>
      </c>
      <c r="AQ574" s="206" t="s">
        <v>515</v>
      </c>
      <c r="AR574" s="206">
        <v>151</v>
      </c>
      <c r="AS574" s="206">
        <v>13.439</v>
      </c>
      <c r="AT574" s="206" t="s">
        <v>515</v>
      </c>
      <c r="AU574" s="206">
        <v>40.710979000000002</v>
      </c>
      <c r="AV574" s="206">
        <v>-85.938685000000007</v>
      </c>
      <c r="AW574" s="206" t="s">
        <v>515</v>
      </c>
      <c r="AX574" s="206" t="s">
        <v>515</v>
      </c>
      <c r="AY574" s="206">
        <v>8.86</v>
      </c>
      <c r="AZ574" s="206" t="s">
        <v>515</v>
      </c>
      <c r="BA574" s="206" t="s">
        <v>515</v>
      </c>
      <c r="BB574" s="206" t="s">
        <v>515</v>
      </c>
      <c r="BC574" s="206">
        <v>29.1</v>
      </c>
      <c r="BD574" s="206">
        <v>16.8</v>
      </c>
      <c r="BE574" s="206">
        <v>0</v>
      </c>
      <c r="BF574" s="19">
        <v>45882</v>
      </c>
      <c r="BG574" s="206" t="s">
        <v>1719</v>
      </c>
    </row>
    <row r="575" spans="1:59" x14ac:dyDescent="0.25">
      <c r="A575" s="25">
        <v>10574</v>
      </c>
      <c r="B575" s="124" t="s">
        <v>793</v>
      </c>
      <c r="C575" s="124" t="s">
        <v>793</v>
      </c>
      <c r="D575" s="27" t="s">
        <v>473</v>
      </c>
      <c r="E575" s="46">
        <v>12</v>
      </c>
      <c r="F575" s="118">
        <v>661</v>
      </c>
      <c r="G575" s="118" t="s">
        <v>19</v>
      </c>
      <c r="H575" s="118" t="s">
        <v>8</v>
      </c>
      <c r="I575" s="118">
        <v>-6.4500000000000002E-2</v>
      </c>
      <c r="J575" s="118">
        <v>3.5489999999999999</v>
      </c>
      <c r="K575" s="118">
        <v>4.0000000000000001E-3</v>
      </c>
      <c r="L575" s="118">
        <v>2.3E-2</v>
      </c>
      <c r="M575" s="140">
        <f t="shared" si="83"/>
        <v>0.05</v>
      </c>
      <c r="N575" s="140">
        <f t="shared" si="83"/>
        <v>3.5489999999999999</v>
      </c>
      <c r="O575" s="140">
        <f t="shared" si="83"/>
        <v>0.05</v>
      </c>
      <c r="P575" s="140">
        <f t="shared" si="80"/>
        <v>0.05</v>
      </c>
      <c r="Q575" s="179">
        <v>5.9302892575756285</v>
      </c>
      <c r="R575" s="125">
        <v>35.743333333333332</v>
      </c>
      <c r="S575" s="125">
        <v>1.7066666666666668</v>
      </c>
      <c r="T575" s="118" t="s">
        <v>515</v>
      </c>
      <c r="U575" s="118" t="s">
        <v>515</v>
      </c>
      <c r="V575" s="118" t="s">
        <v>515</v>
      </c>
      <c r="W575" s="118">
        <v>40.711693336855703</v>
      </c>
      <c r="X575" s="118">
        <v>-85.950778318148494</v>
      </c>
      <c r="Y575" s="140">
        <f t="shared" si="84"/>
        <v>8</v>
      </c>
      <c r="Z575" s="140">
        <f t="shared" si="85"/>
        <v>13</v>
      </c>
      <c r="AA575" s="140">
        <f t="shared" si="86"/>
        <v>2025</v>
      </c>
      <c r="AB575" s="118" t="b">
        <v>0</v>
      </c>
      <c r="AC575" s="19">
        <v>45882</v>
      </c>
      <c r="AD575" s="181" t="s">
        <v>115</v>
      </c>
      <c r="AE575" s="188">
        <v>0.52083333333333337</v>
      </c>
      <c r="AF575" s="19">
        <v>45882</v>
      </c>
      <c r="AG575" s="118">
        <v>250813</v>
      </c>
      <c r="AH575" s="118">
        <v>0</v>
      </c>
      <c r="AI575" s="118">
        <v>740.5</v>
      </c>
      <c r="AJ575" s="118">
        <v>377.8</v>
      </c>
      <c r="AK575" s="118">
        <v>351</v>
      </c>
      <c r="AL575" s="118">
        <v>228.15</v>
      </c>
      <c r="AM575" s="118">
        <v>0.19</v>
      </c>
      <c r="AN575" s="118" t="s">
        <v>515</v>
      </c>
      <c r="AO575" s="118">
        <v>0.94</v>
      </c>
      <c r="AP575" s="118">
        <v>0.94</v>
      </c>
      <c r="AQ575" s="118" t="s">
        <v>515</v>
      </c>
      <c r="AR575" s="118">
        <v>147</v>
      </c>
      <c r="AS575" s="118">
        <v>13.083</v>
      </c>
      <c r="AT575" s="118" t="s">
        <v>515</v>
      </c>
      <c r="AU575" s="118">
        <v>40.711692999999997</v>
      </c>
      <c r="AV575" s="118">
        <v>-85.950778</v>
      </c>
      <c r="AW575" s="118" t="s">
        <v>515</v>
      </c>
      <c r="AX575" s="118" t="s">
        <v>515</v>
      </c>
      <c r="AY575" s="118">
        <v>8.83</v>
      </c>
      <c r="AZ575" s="118" t="s">
        <v>515</v>
      </c>
      <c r="BA575" s="118" t="s">
        <v>515</v>
      </c>
      <c r="BB575" s="118" t="s">
        <v>515</v>
      </c>
      <c r="BC575" s="118">
        <v>29</v>
      </c>
      <c r="BD575" s="118">
        <v>16.7</v>
      </c>
      <c r="BE575" s="118">
        <v>0</v>
      </c>
      <c r="BF575" s="19">
        <v>45882</v>
      </c>
      <c r="BG575" s="118" t="s">
        <v>1720</v>
      </c>
    </row>
    <row r="576" spans="1:59" x14ac:dyDescent="0.25">
      <c r="A576" s="25">
        <v>10575</v>
      </c>
      <c r="B576" s="124" t="s">
        <v>794</v>
      </c>
      <c r="C576" s="124" t="s">
        <v>794</v>
      </c>
      <c r="D576" s="27" t="s">
        <v>474</v>
      </c>
      <c r="E576" s="46">
        <v>13</v>
      </c>
      <c r="F576" s="118">
        <v>13553</v>
      </c>
      <c r="G576" s="118" t="s">
        <v>19</v>
      </c>
      <c r="H576" s="118" t="s">
        <v>8</v>
      </c>
      <c r="I576" s="118">
        <v>-5.8599999999999999E-2</v>
      </c>
      <c r="J576" s="118">
        <v>1.516</v>
      </c>
      <c r="K576" s="118">
        <v>2.1000000000000001E-2</v>
      </c>
      <c r="L576" s="118">
        <v>0.11600000000000001</v>
      </c>
      <c r="M576" s="140">
        <f t="shared" si="83"/>
        <v>0.05</v>
      </c>
      <c r="N576" s="140">
        <f t="shared" si="83"/>
        <v>1.516</v>
      </c>
      <c r="O576" s="140">
        <f t="shared" si="83"/>
        <v>0.05</v>
      </c>
      <c r="P576" s="140">
        <f t="shared" si="80"/>
        <v>0.11600000000000001</v>
      </c>
      <c r="Q576" s="179">
        <v>8.6605883516711515</v>
      </c>
      <c r="R576" s="125">
        <v>78.603333333333325</v>
      </c>
      <c r="S576" s="125">
        <v>1.01</v>
      </c>
      <c r="T576" s="118" t="s">
        <v>515</v>
      </c>
      <c r="U576" s="118" t="s">
        <v>515</v>
      </c>
      <c r="V576" s="118" t="s">
        <v>515</v>
      </c>
      <c r="W576" s="118">
        <v>40.672573608924402</v>
      </c>
      <c r="X576" s="118">
        <v>-85.841450190894093</v>
      </c>
      <c r="Y576" s="140">
        <f t="shared" si="84"/>
        <v>8</v>
      </c>
      <c r="Z576" s="140">
        <f t="shared" si="85"/>
        <v>13</v>
      </c>
      <c r="AA576" s="140">
        <f t="shared" si="86"/>
        <v>2025</v>
      </c>
      <c r="AB576" s="118" t="b">
        <v>0</v>
      </c>
      <c r="AC576" s="19">
        <v>45882</v>
      </c>
      <c r="AD576" s="181" t="s">
        <v>115</v>
      </c>
      <c r="AE576" s="207">
        <v>0.45624999999999999</v>
      </c>
      <c r="AF576" s="208">
        <v>45882</v>
      </c>
      <c r="AG576" s="206" t="s">
        <v>515</v>
      </c>
      <c r="AH576" s="206" t="s">
        <v>515</v>
      </c>
      <c r="AI576" s="206" t="s">
        <v>515</v>
      </c>
      <c r="AJ576" s="206">
        <v>350.6</v>
      </c>
      <c r="AK576" s="206">
        <v>325</v>
      </c>
      <c r="AL576" s="206">
        <v>211.25</v>
      </c>
      <c r="AM576" s="206">
        <v>0.19</v>
      </c>
      <c r="AN576" s="206" t="s">
        <v>515</v>
      </c>
      <c r="AO576" s="206">
        <v>0.36</v>
      </c>
      <c r="AP576" s="206">
        <v>0.36</v>
      </c>
      <c r="AQ576" s="206" t="s">
        <v>515</v>
      </c>
      <c r="AR576" s="206">
        <v>215</v>
      </c>
      <c r="AS576" s="206">
        <v>19.135000000000002</v>
      </c>
      <c r="AT576" s="206" t="s">
        <v>515</v>
      </c>
      <c r="AU576" s="206">
        <v>40.672573999999997</v>
      </c>
      <c r="AV576" s="206">
        <v>-85.841449999999995</v>
      </c>
      <c r="AW576" s="206" t="s">
        <v>515</v>
      </c>
      <c r="AX576" s="206" t="s">
        <v>515</v>
      </c>
      <c r="AY576" s="206">
        <v>9.1</v>
      </c>
      <c r="AZ576" s="206" t="s">
        <v>515</v>
      </c>
      <c r="BA576" s="206" t="s">
        <v>515</v>
      </c>
      <c r="BB576" s="206" t="s">
        <v>515</v>
      </c>
      <c r="BC576" s="206">
        <v>29.12</v>
      </c>
      <c r="BD576" s="206">
        <v>32.299999999999997</v>
      </c>
      <c r="BE576" s="206">
        <v>0</v>
      </c>
      <c r="BF576" s="19">
        <v>45882</v>
      </c>
      <c r="BG576" s="206" t="s">
        <v>1721</v>
      </c>
    </row>
    <row r="577" spans="1:59" x14ac:dyDescent="0.25">
      <c r="A577" s="25">
        <v>10576</v>
      </c>
      <c r="B577" s="124" t="s">
        <v>795</v>
      </c>
      <c r="C577" s="124" t="s">
        <v>795</v>
      </c>
      <c r="D577" s="27" t="s">
        <v>780</v>
      </c>
      <c r="E577" s="46">
        <v>15</v>
      </c>
      <c r="F577" s="118">
        <v>11905</v>
      </c>
      <c r="G577" s="118" t="s">
        <v>19</v>
      </c>
      <c r="H577" s="118" t="s">
        <v>8</v>
      </c>
      <c r="I577" s="118">
        <v>-5.67E-2</v>
      </c>
      <c r="J577" s="118">
        <v>1.7789999999999999</v>
      </c>
      <c r="K577" s="118">
        <v>4.0000000000000001E-3</v>
      </c>
      <c r="L577" s="118">
        <v>6.7000000000000004E-2</v>
      </c>
      <c r="M577" s="140">
        <f t="shared" si="83"/>
        <v>0.05</v>
      </c>
      <c r="N577" s="140">
        <f t="shared" si="83"/>
        <v>1.7789999999999999</v>
      </c>
      <c r="O577" s="140">
        <f t="shared" si="83"/>
        <v>0.05</v>
      </c>
      <c r="P577" s="140">
        <f t="shared" si="80"/>
        <v>0.05</v>
      </c>
      <c r="Q577" s="179">
        <v>10.92005277324521</v>
      </c>
      <c r="R577" s="125">
        <v>57.109999999999992</v>
      </c>
      <c r="S577" s="125">
        <v>2.1566666666666667</v>
      </c>
      <c r="T577" s="118" t="s">
        <v>515</v>
      </c>
      <c r="U577" s="118" t="s">
        <v>515</v>
      </c>
      <c r="V577" s="118" t="s">
        <v>515</v>
      </c>
      <c r="W577" s="118">
        <v>40.663149028751498</v>
      </c>
      <c r="X577" s="118">
        <v>-85.855344082132305</v>
      </c>
      <c r="Y577" s="140">
        <f t="shared" si="84"/>
        <v>8</v>
      </c>
      <c r="Z577" s="140">
        <f t="shared" si="85"/>
        <v>13</v>
      </c>
      <c r="AA577" s="140">
        <f t="shared" si="86"/>
        <v>2025</v>
      </c>
      <c r="AB577" s="118" t="b">
        <v>0</v>
      </c>
      <c r="AC577" s="19">
        <v>45882</v>
      </c>
      <c r="AD577" s="181" t="s">
        <v>115</v>
      </c>
      <c r="AE577" s="207">
        <v>0.4375</v>
      </c>
      <c r="AF577" s="208">
        <v>45882</v>
      </c>
      <c r="AG577" s="206">
        <v>250813</v>
      </c>
      <c r="AH577" s="206">
        <v>0</v>
      </c>
      <c r="AI577" s="206">
        <v>740.5</v>
      </c>
      <c r="AJ577" s="206">
        <v>361.6</v>
      </c>
      <c r="AK577" s="206">
        <v>337.7</v>
      </c>
      <c r="AL577" s="206">
        <v>219.505</v>
      </c>
      <c r="AM577" s="206">
        <v>0.19</v>
      </c>
      <c r="AN577" s="206" t="s">
        <v>515</v>
      </c>
      <c r="AO577" s="206">
        <v>0.12</v>
      </c>
      <c r="AP577" s="206">
        <v>0.12</v>
      </c>
      <c r="AQ577" s="206" t="s">
        <v>515</v>
      </c>
      <c r="AR577" s="206">
        <v>179.6</v>
      </c>
      <c r="AS577" s="206">
        <v>15.984400000000001</v>
      </c>
      <c r="AT577" s="206" t="s">
        <v>515</v>
      </c>
      <c r="AU577" s="206">
        <v>40.663148999999997</v>
      </c>
      <c r="AV577" s="206">
        <v>-85.855344000000002</v>
      </c>
      <c r="AW577" s="206" t="s">
        <v>515</v>
      </c>
      <c r="AX577" s="206" t="s">
        <v>515</v>
      </c>
      <c r="AY577" s="206">
        <v>8.94</v>
      </c>
      <c r="AZ577" s="206" t="s">
        <v>515</v>
      </c>
      <c r="BA577" s="206" t="s">
        <v>515</v>
      </c>
      <c r="BB577" s="206" t="s">
        <v>515</v>
      </c>
      <c r="BC577" s="206">
        <v>28.71</v>
      </c>
      <c r="BD577" s="206">
        <v>23.97</v>
      </c>
      <c r="BE577" s="206">
        <v>0</v>
      </c>
      <c r="BF577" s="19">
        <v>45882</v>
      </c>
      <c r="BG577" s="206" t="s">
        <v>1727</v>
      </c>
    </row>
    <row r="578" spans="1:59" x14ac:dyDescent="0.25">
      <c r="A578" s="25">
        <v>10577</v>
      </c>
      <c r="B578" s="124" t="s">
        <v>796</v>
      </c>
      <c r="C578" s="124" t="s">
        <v>796</v>
      </c>
      <c r="D578" s="27">
        <v>2117</v>
      </c>
      <c r="E578" s="27">
        <v>17</v>
      </c>
      <c r="F578" s="118">
        <v>8796</v>
      </c>
      <c r="G578" s="118" t="s">
        <v>19</v>
      </c>
      <c r="H578" s="118" t="s">
        <v>8</v>
      </c>
      <c r="I578" s="118">
        <v>-5.5500000000000001E-2</v>
      </c>
      <c r="J578" s="118">
        <v>2.3290000000000002</v>
      </c>
      <c r="K578" s="118">
        <v>4.0000000000000001E-3</v>
      </c>
      <c r="L578" s="118">
        <v>0.128</v>
      </c>
      <c r="M578" s="140">
        <f t="shared" ref="M578:O593" si="87">IF(I578&lt;0.1,0.05,I578)</f>
        <v>0.05</v>
      </c>
      <c r="N578" s="140">
        <f t="shared" si="87"/>
        <v>2.3290000000000002</v>
      </c>
      <c r="O578" s="140">
        <f t="shared" si="87"/>
        <v>0.05</v>
      </c>
      <c r="P578" s="140">
        <f t="shared" ref="P578:P604" si="88">IF(L578&lt;0.1,0.05,L578)</f>
        <v>0.128</v>
      </c>
      <c r="Q578" s="179">
        <v>5.9364592000499457</v>
      </c>
      <c r="R578" s="125">
        <v>71.25</v>
      </c>
      <c r="S578" s="125">
        <v>1.1333333333333333</v>
      </c>
      <c r="T578" s="118" t="s">
        <v>515</v>
      </c>
      <c r="U578" s="118" t="s">
        <v>515</v>
      </c>
      <c r="V578" s="118" t="s">
        <v>515</v>
      </c>
      <c r="W578" s="118">
        <v>40.677226157739803</v>
      </c>
      <c r="X578" s="118">
        <v>-85.876428639400501</v>
      </c>
      <c r="Y578" s="140">
        <f t="shared" si="84"/>
        <v>8</v>
      </c>
      <c r="Z578" s="140">
        <f t="shared" si="85"/>
        <v>13</v>
      </c>
      <c r="AA578" s="140">
        <f t="shared" si="86"/>
        <v>2025</v>
      </c>
      <c r="AB578" s="118" t="b">
        <v>0</v>
      </c>
      <c r="AC578" s="19">
        <v>45882</v>
      </c>
      <c r="AD578" s="181" t="s">
        <v>115</v>
      </c>
      <c r="AE578" s="207">
        <v>0.49305555555555558</v>
      </c>
      <c r="AF578" s="208">
        <v>45882</v>
      </c>
      <c r="AG578" s="206" t="s">
        <v>515</v>
      </c>
      <c r="AH578" s="206" t="s">
        <v>515</v>
      </c>
      <c r="AI578" s="206" t="s">
        <v>515</v>
      </c>
      <c r="AJ578" s="206">
        <v>360.6</v>
      </c>
      <c r="AK578" s="206">
        <v>335</v>
      </c>
      <c r="AL578" s="206">
        <v>217.75</v>
      </c>
      <c r="AM578" s="206">
        <v>0.19</v>
      </c>
      <c r="AN578" s="206" t="s">
        <v>515</v>
      </c>
      <c r="AO578" s="206">
        <v>0.36</v>
      </c>
      <c r="AP578" s="206">
        <v>0.36</v>
      </c>
      <c r="AQ578" s="206" t="s">
        <v>515</v>
      </c>
      <c r="AR578" s="206">
        <v>203</v>
      </c>
      <c r="AS578" s="206">
        <v>18.067</v>
      </c>
      <c r="AT578" s="206" t="s">
        <v>515</v>
      </c>
      <c r="AU578" s="206">
        <v>40.677225999999997</v>
      </c>
      <c r="AV578" s="206">
        <v>-85.876429000000002</v>
      </c>
      <c r="AW578" s="206" t="s">
        <v>515</v>
      </c>
      <c r="AX578" s="206" t="s">
        <v>515</v>
      </c>
      <c r="AY578" s="206">
        <v>9.0500000000000007</v>
      </c>
      <c r="AZ578" s="206" t="s">
        <v>515</v>
      </c>
      <c r="BA578" s="206" t="s">
        <v>515</v>
      </c>
      <c r="BB578" s="206" t="s">
        <v>515</v>
      </c>
      <c r="BC578" s="206">
        <v>29</v>
      </c>
      <c r="BD578" s="206">
        <v>32.159999999999997</v>
      </c>
      <c r="BE578" s="206">
        <v>0</v>
      </c>
      <c r="BF578" s="19">
        <v>45882</v>
      </c>
      <c r="BG578" s="206" t="s">
        <v>1723</v>
      </c>
    </row>
    <row r="579" spans="1:59" x14ac:dyDescent="0.25">
      <c r="A579" s="25">
        <v>10578</v>
      </c>
      <c r="B579" s="117" t="s">
        <v>752</v>
      </c>
      <c r="C579" s="123" t="s">
        <v>752</v>
      </c>
      <c r="D579" s="27" t="s">
        <v>462</v>
      </c>
      <c r="E579" s="46">
        <v>1</v>
      </c>
      <c r="F579" s="118">
        <v>5999</v>
      </c>
      <c r="G579" s="118" t="s">
        <v>19</v>
      </c>
      <c r="H579" s="118" t="s">
        <v>8</v>
      </c>
      <c r="I579">
        <v>-1.34E-2</v>
      </c>
      <c r="J579">
        <v>2.3940000000000001</v>
      </c>
      <c r="K579">
        <v>0</v>
      </c>
      <c r="L579" s="118">
        <v>5.8999999999999997E-2</v>
      </c>
      <c r="M579" s="140">
        <f t="shared" si="87"/>
        <v>0.05</v>
      </c>
      <c r="N579" s="140">
        <f t="shared" si="87"/>
        <v>2.3940000000000001</v>
      </c>
      <c r="O579" s="140">
        <f t="shared" si="87"/>
        <v>0.05</v>
      </c>
      <c r="P579" s="140">
        <f t="shared" si="88"/>
        <v>0.05</v>
      </c>
      <c r="Q579" s="179">
        <v>8.0011879444832292</v>
      </c>
      <c r="R579" s="125">
        <v>20.03</v>
      </c>
      <c r="S579" s="125">
        <v>2.48</v>
      </c>
      <c r="T579" t="s">
        <v>515</v>
      </c>
      <c r="U579" t="s">
        <v>515</v>
      </c>
      <c r="V579" s="146">
        <v>0.45</v>
      </c>
      <c r="W579" s="118">
        <v>40.6816536638119</v>
      </c>
      <c r="X579" s="118">
        <v>-85.888918001550294</v>
      </c>
      <c r="Y579" s="140">
        <f t="shared" si="84"/>
        <v>8</v>
      </c>
      <c r="Z579" s="140">
        <f t="shared" si="85"/>
        <v>22</v>
      </c>
      <c r="AA579" s="140">
        <f t="shared" si="86"/>
        <v>2025</v>
      </c>
      <c r="AB579" s="118" t="b">
        <v>0</v>
      </c>
      <c r="AC579" s="19">
        <v>45891</v>
      </c>
      <c r="AD579" s="181" t="s">
        <v>1616</v>
      </c>
      <c r="AE579" s="203">
        <v>0.50302083333333336</v>
      </c>
      <c r="AF579" s="204">
        <v>45891</v>
      </c>
      <c r="AG579" s="202">
        <v>250822</v>
      </c>
      <c r="AH579" s="202">
        <v>0</v>
      </c>
      <c r="AI579" s="202">
        <v>743.7</v>
      </c>
      <c r="AJ579" s="202">
        <v>377.5</v>
      </c>
      <c r="AK579" s="202">
        <v>365.6</v>
      </c>
      <c r="AL579" s="202">
        <v>238</v>
      </c>
      <c r="AM579" s="202">
        <v>0.17</v>
      </c>
      <c r="AN579" s="202">
        <v>364.4</v>
      </c>
      <c r="AO579" s="202">
        <v>0.44500000000000001</v>
      </c>
      <c r="AP579" s="202">
        <v>0.41699999999999998</v>
      </c>
      <c r="AQ579" s="202">
        <v>0.63</v>
      </c>
      <c r="AR579" s="202">
        <v>80.8</v>
      </c>
      <c r="AS579" s="202">
        <v>6.47</v>
      </c>
      <c r="AT579" s="202">
        <v>82.3</v>
      </c>
      <c r="AU579" s="202">
        <v>40.681730000000002</v>
      </c>
      <c r="AV579" s="202">
        <v>-85.888900000000007</v>
      </c>
      <c r="AW579" s="202">
        <v>225.6</v>
      </c>
      <c r="AX579" s="202">
        <v>121.4</v>
      </c>
      <c r="AY579" s="202">
        <v>8.49</v>
      </c>
      <c r="AZ579" s="202">
        <v>-121.8</v>
      </c>
      <c r="BA579" s="202">
        <v>11.9</v>
      </c>
      <c r="BB579" s="202">
        <v>0</v>
      </c>
      <c r="BC579" s="202">
        <v>26.7</v>
      </c>
      <c r="BD579" s="202">
        <v>15.65</v>
      </c>
      <c r="BE579" s="202">
        <v>0</v>
      </c>
      <c r="BF579" s="205">
        <v>45891.503020833334</v>
      </c>
      <c r="BG579" s="202" t="s">
        <v>1717</v>
      </c>
    </row>
    <row r="580" spans="1:59" x14ac:dyDescent="0.25">
      <c r="A580" s="25">
        <v>10579</v>
      </c>
      <c r="B580" s="117" t="s">
        <v>753</v>
      </c>
      <c r="C580" s="123" t="s">
        <v>753</v>
      </c>
      <c r="D580" s="56" t="s">
        <v>463</v>
      </c>
      <c r="E580" s="46">
        <v>2</v>
      </c>
      <c r="F580" s="118">
        <v>8861</v>
      </c>
      <c r="G580" s="118" t="s">
        <v>19</v>
      </c>
      <c r="H580" s="118" t="s">
        <v>8</v>
      </c>
      <c r="I580">
        <v>-1.1900000000000001E-2</v>
      </c>
      <c r="J580">
        <v>2.2719999999999998</v>
      </c>
      <c r="K580">
        <v>-5.0000000000000001E-3</v>
      </c>
      <c r="L580" s="118">
        <v>6.7000000000000004E-2</v>
      </c>
      <c r="M580" s="140">
        <f t="shared" si="87"/>
        <v>0.05</v>
      </c>
      <c r="N580" s="140">
        <f t="shared" si="87"/>
        <v>2.2719999999999998</v>
      </c>
      <c r="O580" s="140">
        <f t="shared" si="87"/>
        <v>0.05</v>
      </c>
      <c r="P580" s="140">
        <f t="shared" si="88"/>
        <v>0.05</v>
      </c>
      <c r="Q580" s="179">
        <v>2.2134573069111489</v>
      </c>
      <c r="R580" s="125">
        <v>30.58666666666667</v>
      </c>
      <c r="S580" s="125">
        <v>3.1866666666666661</v>
      </c>
      <c r="T580" t="s">
        <v>515</v>
      </c>
      <c r="U580" t="s">
        <v>515</v>
      </c>
      <c r="V580" s="146">
        <v>0.45</v>
      </c>
      <c r="W580" s="118">
        <v>40.676853874249602</v>
      </c>
      <c r="X580" s="118">
        <v>-85.877035047001101</v>
      </c>
      <c r="Y580" s="140">
        <f t="shared" si="84"/>
        <v>8</v>
      </c>
      <c r="Z580" s="140">
        <f t="shared" si="85"/>
        <v>22</v>
      </c>
      <c r="AA580" s="140">
        <f t="shared" si="86"/>
        <v>2025</v>
      </c>
      <c r="AB580" s="118" t="b">
        <v>0</v>
      </c>
      <c r="AC580" s="19">
        <v>45891</v>
      </c>
      <c r="AD580" s="181" t="s">
        <v>1627</v>
      </c>
      <c r="AE580" s="203">
        <v>0.4635185185185185</v>
      </c>
      <c r="AF580" s="204">
        <v>45891</v>
      </c>
      <c r="AG580" s="202">
        <v>250822</v>
      </c>
      <c r="AH580" s="202">
        <v>0</v>
      </c>
      <c r="AI580" s="202">
        <v>743.8</v>
      </c>
      <c r="AJ580" s="202">
        <v>375.6</v>
      </c>
      <c r="AK580" s="202">
        <v>364.5</v>
      </c>
      <c r="AL580" s="202">
        <v>237</v>
      </c>
      <c r="AM580" s="202">
        <v>0.17</v>
      </c>
      <c r="AN580" s="202">
        <v>363.3</v>
      </c>
      <c r="AO580" s="202">
        <v>0.36199999999999999</v>
      </c>
      <c r="AP580" s="202">
        <v>0.36899999999999999</v>
      </c>
      <c r="AQ580" s="202">
        <v>0.51300000000000001</v>
      </c>
      <c r="AR580" s="202">
        <v>80.099999999999994</v>
      </c>
      <c r="AS580" s="202">
        <v>6.42</v>
      </c>
      <c r="AT580" s="202">
        <v>81.599999999999994</v>
      </c>
      <c r="AU580" s="202">
        <v>40.676659999999998</v>
      </c>
      <c r="AV580" s="202">
        <v>-85.877430000000004</v>
      </c>
      <c r="AW580" s="202">
        <v>226.3</v>
      </c>
      <c r="AX580" s="202">
        <v>160</v>
      </c>
      <c r="AY580" s="202">
        <v>8.4499999999999993</v>
      </c>
      <c r="AZ580" s="202">
        <v>-119.4</v>
      </c>
      <c r="BA580" s="202">
        <v>12</v>
      </c>
      <c r="BB580" s="202">
        <v>0</v>
      </c>
      <c r="BC580" s="202">
        <v>26.600999999999999</v>
      </c>
      <c r="BD580" s="202">
        <v>18.27</v>
      </c>
      <c r="BE580" s="202">
        <v>0</v>
      </c>
      <c r="BF580" s="205">
        <v>45891.463518518518</v>
      </c>
      <c r="BG580" s="202" t="s">
        <v>1716</v>
      </c>
    </row>
    <row r="581" spans="1:59" x14ac:dyDescent="0.25">
      <c r="A581" s="25">
        <v>10580</v>
      </c>
      <c r="B581" s="117" t="s">
        <v>754</v>
      </c>
      <c r="C581" s="123" t="s">
        <v>754</v>
      </c>
      <c r="D581" s="27" t="s">
        <v>464</v>
      </c>
      <c r="E581" s="46">
        <v>3</v>
      </c>
      <c r="F581" s="118">
        <v>9921</v>
      </c>
      <c r="G581" s="118" t="s">
        <v>19</v>
      </c>
      <c r="H581" s="118" t="s">
        <v>8</v>
      </c>
      <c r="I581">
        <v>-2.4199999999999999E-2</v>
      </c>
      <c r="J581">
        <v>2.044</v>
      </c>
      <c r="K581">
        <v>-5.0000000000000001E-3</v>
      </c>
      <c r="L581" s="118">
        <v>5.8999999999999997E-2</v>
      </c>
      <c r="M581" s="140">
        <f t="shared" si="87"/>
        <v>0.05</v>
      </c>
      <c r="N581" s="140">
        <f t="shared" si="87"/>
        <v>2.044</v>
      </c>
      <c r="O581" s="140">
        <f t="shared" si="87"/>
        <v>0.05</v>
      </c>
      <c r="P581" s="140">
        <f t="shared" si="88"/>
        <v>0.05</v>
      </c>
      <c r="Q581" s="179">
        <v>9.0868404622847763</v>
      </c>
      <c r="R581" s="125">
        <v>28.13</v>
      </c>
      <c r="S581" s="125">
        <v>2.9433333333333334</v>
      </c>
      <c r="T581" t="s">
        <v>515</v>
      </c>
      <c r="U581" t="s">
        <v>515</v>
      </c>
      <c r="V581" s="146">
        <v>0.3</v>
      </c>
      <c r="W581" s="118">
        <v>40.670779334595501</v>
      </c>
      <c r="X581" s="118">
        <v>-85.8703953115144</v>
      </c>
      <c r="Y581" s="140">
        <f t="shared" si="84"/>
        <v>8</v>
      </c>
      <c r="Z581" s="140">
        <f t="shared" si="85"/>
        <v>22</v>
      </c>
      <c r="AA581" s="140">
        <f t="shared" si="86"/>
        <v>2025</v>
      </c>
      <c r="AB581" s="118" t="b">
        <v>0</v>
      </c>
      <c r="AC581" s="19">
        <v>45891</v>
      </c>
      <c r="AD581" s="181" t="s">
        <v>1627</v>
      </c>
      <c r="AE581" s="203">
        <v>0.45114583333333336</v>
      </c>
      <c r="AF581" s="204">
        <v>45891</v>
      </c>
      <c r="AG581" s="202">
        <v>250822</v>
      </c>
      <c r="AH581" s="202">
        <v>0</v>
      </c>
      <c r="AI581" s="202">
        <v>743.9</v>
      </c>
      <c r="AJ581" s="202">
        <v>370.2</v>
      </c>
      <c r="AK581" s="202">
        <v>359.5</v>
      </c>
      <c r="AL581" s="202">
        <v>234</v>
      </c>
      <c r="AM581" s="202">
        <v>0.17</v>
      </c>
      <c r="AN581" s="202">
        <v>358.4</v>
      </c>
      <c r="AO581" s="202">
        <v>0.39900000000000002</v>
      </c>
      <c r="AP581" s="202">
        <v>0.39400000000000002</v>
      </c>
      <c r="AQ581" s="202">
        <v>0.56599999999999995</v>
      </c>
      <c r="AR581" s="202">
        <v>89.9</v>
      </c>
      <c r="AS581" s="202">
        <v>7.21</v>
      </c>
      <c r="AT581" s="202">
        <v>91.6</v>
      </c>
      <c r="AU581" s="202">
        <v>40.670760000000001</v>
      </c>
      <c r="AV581" s="202">
        <v>-85.870580000000004</v>
      </c>
      <c r="AW581" s="202">
        <v>218.8</v>
      </c>
      <c r="AX581" s="202">
        <v>153</v>
      </c>
      <c r="AY581" s="202">
        <v>8.6</v>
      </c>
      <c r="AZ581" s="202">
        <v>-128.19999999999999</v>
      </c>
      <c r="BA581" s="202">
        <v>12</v>
      </c>
      <c r="BB581" s="202">
        <v>0</v>
      </c>
      <c r="BC581" s="202">
        <v>26.56</v>
      </c>
      <c r="BD581" s="202">
        <v>20.149999999999999</v>
      </c>
      <c r="BE581" s="202">
        <v>0</v>
      </c>
      <c r="BF581" s="205">
        <v>45891.451145833336</v>
      </c>
      <c r="BG581" s="202" t="s">
        <v>1715</v>
      </c>
    </row>
    <row r="582" spans="1:59" x14ac:dyDescent="0.25">
      <c r="A582" s="25">
        <v>10581</v>
      </c>
      <c r="B582" s="117" t="s">
        <v>755</v>
      </c>
      <c r="C582" s="123" t="s">
        <v>755</v>
      </c>
      <c r="D582" s="27" t="s">
        <v>465</v>
      </c>
      <c r="E582" s="46">
        <v>4</v>
      </c>
      <c r="F582" s="118">
        <v>10891</v>
      </c>
      <c r="G582" s="118" t="s">
        <v>19</v>
      </c>
      <c r="H582" s="118" t="s">
        <v>8</v>
      </c>
      <c r="I582">
        <v>-2.0299999999999999E-2</v>
      </c>
      <c r="J582">
        <v>1.829</v>
      </c>
      <c r="K582">
        <v>-4.0000000000000001E-3</v>
      </c>
      <c r="L582" s="118">
        <v>7.8E-2</v>
      </c>
      <c r="M582" s="140">
        <f t="shared" si="87"/>
        <v>0.05</v>
      </c>
      <c r="N582" s="140">
        <f t="shared" si="87"/>
        <v>1.829</v>
      </c>
      <c r="O582" s="140">
        <f t="shared" si="87"/>
        <v>0.05</v>
      </c>
      <c r="P582" s="140">
        <f t="shared" si="88"/>
        <v>0.05</v>
      </c>
      <c r="Q582" s="179">
        <v>12.642950430707868</v>
      </c>
      <c r="R582" s="125">
        <v>68.38666666666667</v>
      </c>
      <c r="S582" s="125">
        <v>4.0533333333333337</v>
      </c>
      <c r="T582" t="s">
        <v>515</v>
      </c>
      <c r="U582" t="s">
        <v>515</v>
      </c>
      <c r="V582" s="146">
        <v>0.3</v>
      </c>
      <c r="W582" s="118">
        <v>40.663123189579501</v>
      </c>
      <c r="X582" s="118">
        <v>-85.8665417810126</v>
      </c>
      <c r="Y582" s="140">
        <f t="shared" si="84"/>
        <v>8</v>
      </c>
      <c r="Z582" s="140">
        <f t="shared" si="85"/>
        <v>22</v>
      </c>
      <c r="AA582" s="140">
        <f t="shared" si="86"/>
        <v>2025</v>
      </c>
      <c r="AB582" s="118" t="b">
        <v>0</v>
      </c>
      <c r="AC582" s="19">
        <v>45891</v>
      </c>
      <c r="AD582" s="181" t="s">
        <v>1626</v>
      </c>
      <c r="AE582" s="203">
        <v>0.43929398148148147</v>
      </c>
      <c r="AF582" s="204">
        <v>45891</v>
      </c>
      <c r="AG582" s="202">
        <v>250822</v>
      </c>
      <c r="AH582" s="202">
        <v>0</v>
      </c>
      <c r="AI582" s="202">
        <v>744</v>
      </c>
      <c r="AJ582" s="202">
        <v>369.7</v>
      </c>
      <c r="AK582" s="202">
        <v>357.6</v>
      </c>
      <c r="AL582" s="202">
        <v>232</v>
      </c>
      <c r="AM582" s="202">
        <v>0.17</v>
      </c>
      <c r="AN582" s="202">
        <v>356.3</v>
      </c>
      <c r="AO582" s="202">
        <v>0.28599999999999998</v>
      </c>
      <c r="AP582" s="202">
        <v>0.26300000000000001</v>
      </c>
      <c r="AQ582" s="202">
        <v>0.40600000000000003</v>
      </c>
      <c r="AR582" s="202">
        <v>98</v>
      </c>
      <c r="AS582" s="202">
        <v>7.83</v>
      </c>
      <c r="AT582" s="202">
        <v>99.8</v>
      </c>
      <c r="AU582" s="202">
        <v>40.663110000000003</v>
      </c>
      <c r="AV582" s="202">
        <v>-85.866550000000004</v>
      </c>
      <c r="AW582" s="202">
        <v>215.5</v>
      </c>
      <c r="AX582" s="202">
        <v>140.1</v>
      </c>
      <c r="AY582" s="202">
        <v>8.67</v>
      </c>
      <c r="AZ582" s="202">
        <v>-132.5</v>
      </c>
      <c r="BA582" s="202">
        <v>11.9</v>
      </c>
      <c r="BB582" s="202">
        <v>0</v>
      </c>
      <c r="BC582" s="202">
        <v>26.771000000000001</v>
      </c>
      <c r="BD582" s="202">
        <v>24.72</v>
      </c>
      <c r="BE582" s="202">
        <v>0</v>
      </c>
      <c r="BF582" s="205">
        <v>45891.439293981479</v>
      </c>
      <c r="BG582" s="202" t="s">
        <v>1714</v>
      </c>
    </row>
    <row r="583" spans="1:59" x14ac:dyDescent="0.25">
      <c r="A583" s="25">
        <v>10582</v>
      </c>
      <c r="B583" s="117" t="s">
        <v>756</v>
      </c>
      <c r="C583" s="123" t="s">
        <v>756</v>
      </c>
      <c r="D583" s="27" t="s">
        <v>466</v>
      </c>
      <c r="E583" s="46">
        <v>5</v>
      </c>
      <c r="F583" s="118">
        <v>12821</v>
      </c>
      <c r="G583" s="118" t="s">
        <v>19</v>
      </c>
      <c r="H583" s="118" t="s">
        <v>8</v>
      </c>
      <c r="I583">
        <v>-5.8999999999999999E-3</v>
      </c>
      <c r="J583">
        <v>1.4910000000000001</v>
      </c>
      <c r="K583">
        <v>-4.0000000000000001E-3</v>
      </c>
      <c r="L583" s="118">
        <v>9.5000000000000001E-2</v>
      </c>
      <c r="M583" s="140">
        <f t="shared" si="87"/>
        <v>0.05</v>
      </c>
      <c r="N583" s="140">
        <f t="shared" si="87"/>
        <v>1.4910000000000001</v>
      </c>
      <c r="O583" s="140">
        <f t="shared" si="87"/>
        <v>0.05</v>
      </c>
      <c r="P583" s="140">
        <f t="shared" si="88"/>
        <v>0.05</v>
      </c>
      <c r="Q583" s="179">
        <v>77.599999999999994</v>
      </c>
      <c r="R583" s="125">
        <v>42.386666666666663</v>
      </c>
      <c r="S583" s="125">
        <v>5.0166666666666666</v>
      </c>
      <c r="T583" t="s">
        <v>515</v>
      </c>
      <c r="U583" t="s">
        <v>515</v>
      </c>
      <c r="V583" s="146">
        <v>0.3</v>
      </c>
      <c r="W583" s="118">
        <v>40.668469884505001</v>
      </c>
      <c r="X583" s="118">
        <v>-85.847887886158901</v>
      </c>
      <c r="Y583" s="140">
        <f t="shared" si="84"/>
        <v>8</v>
      </c>
      <c r="Z583" s="140">
        <f t="shared" si="85"/>
        <v>22</v>
      </c>
      <c r="AA583" s="140">
        <f t="shared" si="86"/>
        <v>2025</v>
      </c>
      <c r="AB583" s="118" t="b">
        <v>0</v>
      </c>
      <c r="AC583" s="19">
        <v>45891</v>
      </c>
      <c r="AD583" s="181" t="s">
        <v>1616</v>
      </c>
      <c r="AE583" s="203">
        <v>0.40866898148148151</v>
      </c>
      <c r="AF583" s="204">
        <v>45891</v>
      </c>
      <c r="AG583" s="202">
        <v>250822</v>
      </c>
      <c r="AH583" s="202">
        <v>0</v>
      </c>
      <c r="AI583" s="202">
        <v>744.1</v>
      </c>
      <c r="AJ583" s="202">
        <v>380.2</v>
      </c>
      <c r="AK583" s="202">
        <v>368.9</v>
      </c>
      <c r="AL583" s="202">
        <v>240</v>
      </c>
      <c r="AM583" s="202">
        <v>0.18</v>
      </c>
      <c r="AN583" s="202">
        <v>367.7</v>
      </c>
      <c r="AO583" s="202">
        <v>0.34</v>
      </c>
      <c r="AP583" s="202">
        <v>0.34399999999999997</v>
      </c>
      <c r="AQ583" s="202">
        <v>0.48099999999999998</v>
      </c>
      <c r="AR583" s="202">
        <v>97.6</v>
      </c>
      <c r="AS583" s="202">
        <v>7.82</v>
      </c>
      <c r="AT583" s="202">
        <v>99.4</v>
      </c>
      <c r="AU583" s="202">
        <v>40.668750000000003</v>
      </c>
      <c r="AV583" s="202">
        <v>-85.847790000000003</v>
      </c>
      <c r="AW583" s="202">
        <v>223.9</v>
      </c>
      <c r="AX583" s="202">
        <v>126.5</v>
      </c>
      <c r="AY583" s="202">
        <v>8.59</v>
      </c>
      <c r="AZ583" s="202">
        <v>-127.4</v>
      </c>
      <c r="BA583" s="202">
        <v>11.9</v>
      </c>
      <c r="BB583" s="202">
        <v>0</v>
      </c>
      <c r="BC583" s="202">
        <v>26.603000000000002</v>
      </c>
      <c r="BD583" s="202">
        <v>25.56</v>
      </c>
      <c r="BE583" s="202">
        <v>0</v>
      </c>
      <c r="BF583" s="205">
        <v>45891.408668981479</v>
      </c>
      <c r="BG583" s="202" t="s">
        <v>1713</v>
      </c>
    </row>
    <row r="584" spans="1:59" x14ac:dyDescent="0.25">
      <c r="A584" s="25">
        <v>10583</v>
      </c>
      <c r="B584" s="117" t="s">
        <v>757</v>
      </c>
      <c r="C584" s="123" t="s">
        <v>757</v>
      </c>
      <c r="D584" s="27" t="s">
        <v>467</v>
      </c>
      <c r="E584" s="46">
        <v>6</v>
      </c>
      <c r="F584" s="118">
        <v>14351</v>
      </c>
      <c r="G584" s="118" t="s">
        <v>19</v>
      </c>
      <c r="H584" s="118" t="s">
        <v>8</v>
      </c>
      <c r="I584">
        <v>3.2800000000000003E-2</v>
      </c>
      <c r="J584">
        <v>1.409</v>
      </c>
      <c r="K584">
        <v>3.0000000000000001E-3</v>
      </c>
      <c r="L584" s="118">
        <v>0.129</v>
      </c>
      <c r="M584" s="140">
        <f t="shared" si="87"/>
        <v>0.05</v>
      </c>
      <c r="N584" s="140">
        <f t="shared" si="87"/>
        <v>1.409</v>
      </c>
      <c r="O584" s="140">
        <f t="shared" si="87"/>
        <v>0.05</v>
      </c>
      <c r="P584" s="140">
        <f t="shared" si="88"/>
        <v>0.129</v>
      </c>
      <c r="Q584" s="179">
        <v>8.91</v>
      </c>
      <c r="R584" s="125">
        <v>22.636666666666667</v>
      </c>
      <c r="S584" s="125">
        <v>4.8966666666666674</v>
      </c>
      <c r="T584" t="s">
        <v>515</v>
      </c>
      <c r="U584" t="s">
        <v>515</v>
      </c>
      <c r="V584" s="146">
        <v>0.55000000000000004</v>
      </c>
      <c r="W584" s="118">
        <v>40.687768519894099</v>
      </c>
      <c r="X584" s="118">
        <v>-85.896579288026203</v>
      </c>
      <c r="Y584" s="140">
        <f t="shared" si="84"/>
        <v>8</v>
      </c>
      <c r="Z584" s="140">
        <f t="shared" si="85"/>
        <v>22</v>
      </c>
      <c r="AA584" s="140">
        <f t="shared" si="86"/>
        <v>2025</v>
      </c>
      <c r="AB584" s="118" t="b">
        <v>0</v>
      </c>
      <c r="AC584" s="19">
        <v>45891</v>
      </c>
      <c r="AD584" s="181" t="s">
        <v>1618</v>
      </c>
      <c r="AE584" s="203">
        <v>0.3903240740740741</v>
      </c>
      <c r="AF584" s="204">
        <v>45891</v>
      </c>
      <c r="AG584" s="202">
        <v>250822</v>
      </c>
      <c r="AH584" s="202">
        <v>0</v>
      </c>
      <c r="AI584" s="202">
        <v>743.9</v>
      </c>
      <c r="AJ584" s="202">
        <v>400.6</v>
      </c>
      <c r="AK584" s="202">
        <v>389.1</v>
      </c>
      <c r="AL584" s="202">
        <v>253</v>
      </c>
      <c r="AM584" s="202">
        <v>0.18</v>
      </c>
      <c r="AN584" s="202">
        <v>387.8</v>
      </c>
      <c r="AO584" s="202">
        <v>0.37</v>
      </c>
      <c r="AP584" s="202">
        <v>0.36799999999999999</v>
      </c>
      <c r="AQ584" s="202">
        <v>0.52500000000000002</v>
      </c>
      <c r="AR584" s="202">
        <v>75.400000000000006</v>
      </c>
      <c r="AS584" s="202">
        <v>6.05</v>
      </c>
      <c r="AT584" s="202">
        <v>76.8</v>
      </c>
      <c r="AU584" s="202">
        <v>40.673499999999997</v>
      </c>
      <c r="AV584" s="202">
        <v>-85.832070000000002</v>
      </c>
      <c r="AW584" s="202">
        <v>222.2</v>
      </c>
      <c r="AX584" s="202">
        <v>150.6</v>
      </c>
      <c r="AY584" s="202">
        <v>8.2100000000000009</v>
      </c>
      <c r="AZ584" s="202">
        <v>-104.5</v>
      </c>
      <c r="BA584" s="202">
        <v>11.9</v>
      </c>
      <c r="BB584" s="202">
        <v>0</v>
      </c>
      <c r="BC584" s="202">
        <v>26.558</v>
      </c>
      <c r="BD584" s="202">
        <v>28.4</v>
      </c>
      <c r="BE584" s="202">
        <v>0</v>
      </c>
      <c r="BF584" s="205">
        <v>45891.390324074076</v>
      </c>
      <c r="BG584" s="202" t="s">
        <v>1712</v>
      </c>
    </row>
    <row r="585" spans="1:59" x14ac:dyDescent="0.25">
      <c r="A585" s="25">
        <v>10584</v>
      </c>
      <c r="B585" s="117" t="s">
        <v>758</v>
      </c>
      <c r="C585" s="123" t="s">
        <v>758</v>
      </c>
      <c r="D585" s="27" t="s">
        <v>468</v>
      </c>
      <c r="E585" s="46">
        <v>7</v>
      </c>
      <c r="F585" s="118">
        <v>6411</v>
      </c>
      <c r="G585" s="118" t="s">
        <v>19</v>
      </c>
      <c r="H585" s="118" t="s">
        <v>8</v>
      </c>
      <c r="I585">
        <v>2.3E-3</v>
      </c>
      <c r="J585">
        <v>2.6240000000000001</v>
      </c>
      <c r="K585">
        <v>-5.0000000000000001E-3</v>
      </c>
      <c r="L585" s="118">
        <v>4.2000000000000003E-2</v>
      </c>
      <c r="M585" s="140">
        <f t="shared" si="87"/>
        <v>0.05</v>
      </c>
      <c r="N585" s="140">
        <f t="shared" si="87"/>
        <v>2.6240000000000001</v>
      </c>
      <c r="O585" s="140">
        <f t="shared" si="87"/>
        <v>0.05</v>
      </c>
      <c r="P585" s="140">
        <f t="shared" si="88"/>
        <v>0.05</v>
      </c>
      <c r="Q585" s="179">
        <v>18.765361270474745</v>
      </c>
      <c r="R585" s="125">
        <v>34.6</v>
      </c>
      <c r="S585" s="125">
        <v>3.1466666666666669</v>
      </c>
      <c r="T585" t="s">
        <v>515</v>
      </c>
      <c r="U585" t="s">
        <v>515</v>
      </c>
      <c r="V585" s="146">
        <v>0.3</v>
      </c>
      <c r="W585" s="118">
        <v>40.673772314344497</v>
      </c>
      <c r="X585" s="118">
        <v>-85.831935370051696</v>
      </c>
      <c r="Y585" s="140">
        <f t="shared" si="84"/>
        <v>8</v>
      </c>
      <c r="Z585" s="140">
        <f t="shared" si="85"/>
        <v>22</v>
      </c>
      <c r="AA585" s="140">
        <f t="shared" si="86"/>
        <v>2025</v>
      </c>
      <c r="AB585" s="118" t="b">
        <v>0</v>
      </c>
      <c r="AC585" s="19">
        <v>45891</v>
      </c>
      <c r="AD585" s="181" t="s">
        <v>1610</v>
      </c>
      <c r="AE585" s="203">
        <v>0.35283564814814816</v>
      </c>
      <c r="AF585" s="204">
        <v>45891</v>
      </c>
      <c r="AG585" s="202">
        <v>250822</v>
      </c>
      <c r="AH585" s="202">
        <v>0</v>
      </c>
      <c r="AI585" s="202">
        <v>744.1</v>
      </c>
      <c r="AJ585" s="202">
        <v>375.1</v>
      </c>
      <c r="AK585" s="202">
        <v>366.3</v>
      </c>
      <c r="AL585" s="202">
        <v>238</v>
      </c>
      <c r="AM585" s="202">
        <v>0.17</v>
      </c>
      <c r="AN585" s="202">
        <v>365.3</v>
      </c>
      <c r="AO585" s="202">
        <v>0.26100000000000001</v>
      </c>
      <c r="AP585" s="202">
        <v>0.25700000000000001</v>
      </c>
      <c r="AQ585" s="202">
        <v>0.37</v>
      </c>
      <c r="AR585" s="202">
        <v>70.5</v>
      </c>
      <c r="AS585" s="202">
        <v>5.68</v>
      </c>
      <c r="AT585" s="202">
        <v>71.8</v>
      </c>
      <c r="AU585" s="202">
        <v>40.687359999999998</v>
      </c>
      <c r="AV585" s="202">
        <v>-85.89716</v>
      </c>
      <c r="AW585" s="202">
        <v>225.5</v>
      </c>
      <c r="AX585" s="202">
        <v>206.7</v>
      </c>
      <c r="AY585" s="202">
        <v>8.0299999999999994</v>
      </c>
      <c r="AZ585" s="202">
        <v>-94</v>
      </c>
      <c r="BA585" s="202">
        <v>11.9</v>
      </c>
      <c r="BB585" s="202">
        <v>0</v>
      </c>
      <c r="BC585" s="202">
        <v>26.265999999999998</v>
      </c>
      <c r="BD585" s="202">
        <v>13.62</v>
      </c>
      <c r="BE585" s="202">
        <v>0</v>
      </c>
      <c r="BF585" s="205">
        <v>45891.352835648147</v>
      </c>
      <c r="BG585" s="202" t="s">
        <v>1724</v>
      </c>
    </row>
    <row r="586" spans="1:59" x14ac:dyDescent="0.25">
      <c r="A586" s="25">
        <v>10585</v>
      </c>
      <c r="B586" s="117" t="s">
        <v>759</v>
      </c>
      <c r="C586" s="123" t="s">
        <v>759</v>
      </c>
      <c r="D586" s="27" t="s">
        <v>469</v>
      </c>
      <c r="E586" s="46">
        <v>8</v>
      </c>
      <c r="F586" s="118">
        <v>5401</v>
      </c>
      <c r="G586" s="118" t="s">
        <v>19</v>
      </c>
      <c r="H586" s="118" t="s">
        <v>8</v>
      </c>
      <c r="I586">
        <v>-8.6999999999999994E-3</v>
      </c>
      <c r="J586">
        <v>2.5710000000000002</v>
      </c>
      <c r="K586">
        <v>1E-3</v>
      </c>
      <c r="L586" s="118">
        <v>4.7E-2</v>
      </c>
      <c r="M586" s="140">
        <f t="shared" si="87"/>
        <v>0.05</v>
      </c>
      <c r="N586" s="140">
        <f t="shared" si="87"/>
        <v>2.5710000000000002</v>
      </c>
      <c r="O586" s="140">
        <f t="shared" si="87"/>
        <v>0.05</v>
      </c>
      <c r="P586" s="140">
        <f t="shared" si="88"/>
        <v>0.05</v>
      </c>
      <c r="Q586" s="179">
        <v>36.942343009478705</v>
      </c>
      <c r="R586" s="125">
        <v>40.786666666666669</v>
      </c>
      <c r="S586" s="125">
        <v>4.7433333333333332</v>
      </c>
      <c r="T586" t="s">
        <v>515</v>
      </c>
      <c r="U586" t="s">
        <v>515</v>
      </c>
      <c r="V586" s="146">
        <v>0.4</v>
      </c>
      <c r="W586" s="118">
        <v>40.691689486534997</v>
      </c>
      <c r="X586" s="118">
        <v>-85.908206072747703</v>
      </c>
      <c r="Y586" s="140">
        <f t="shared" si="84"/>
        <v>8</v>
      </c>
      <c r="Z586" s="140">
        <f t="shared" si="85"/>
        <v>22</v>
      </c>
      <c r="AA586" s="140">
        <f t="shared" si="86"/>
        <v>2025</v>
      </c>
      <c r="AB586" s="118" t="b">
        <v>0</v>
      </c>
      <c r="AC586" s="19">
        <v>45891</v>
      </c>
      <c r="AD586" s="181" t="s">
        <v>1620</v>
      </c>
      <c r="AE586" s="203">
        <v>0.52255787037037038</v>
      </c>
      <c r="AF586" s="204">
        <v>45891</v>
      </c>
      <c r="AG586" s="202">
        <v>250822</v>
      </c>
      <c r="AH586" s="202">
        <v>0</v>
      </c>
      <c r="AI586" s="202">
        <v>743.6</v>
      </c>
      <c r="AJ586" s="202">
        <v>376</v>
      </c>
      <c r="AK586" s="202">
        <v>365.5</v>
      </c>
      <c r="AL586" s="202">
        <v>238</v>
      </c>
      <c r="AM586" s="202">
        <v>0.17</v>
      </c>
      <c r="AN586" s="202">
        <v>364.4</v>
      </c>
      <c r="AO586" s="202">
        <v>0.35199999999999998</v>
      </c>
      <c r="AP586" s="202">
        <v>0.36399999999999999</v>
      </c>
      <c r="AQ586" s="202">
        <v>0.499</v>
      </c>
      <c r="AR586" s="202">
        <v>84.8</v>
      </c>
      <c r="AS586" s="202">
        <v>6.81</v>
      </c>
      <c r="AT586" s="202">
        <v>86.4</v>
      </c>
      <c r="AU586" s="202">
        <v>40.691769999999998</v>
      </c>
      <c r="AV586" s="202">
        <v>-85.908330000000007</v>
      </c>
      <c r="AW586" s="202">
        <v>221.7</v>
      </c>
      <c r="AX586" s="202">
        <v>130.69999999999999</v>
      </c>
      <c r="AY586" s="202">
        <v>8.5500000000000007</v>
      </c>
      <c r="AZ586" s="202">
        <v>-125.2</v>
      </c>
      <c r="BA586" s="202">
        <v>11.9</v>
      </c>
      <c r="BB586" s="202">
        <v>0</v>
      </c>
      <c r="BC586" s="202">
        <v>26.5</v>
      </c>
      <c r="BD586" s="202">
        <v>15.12</v>
      </c>
      <c r="BE586" s="202">
        <v>0</v>
      </c>
      <c r="BF586" s="205">
        <v>45891.522557870368</v>
      </c>
      <c r="BG586" s="202" t="s">
        <v>1722</v>
      </c>
    </row>
    <row r="587" spans="1:59" x14ac:dyDescent="0.25">
      <c r="A587" s="25">
        <v>10586</v>
      </c>
      <c r="B587" s="117" t="s">
        <v>760</v>
      </c>
      <c r="C587" s="123" t="s">
        <v>760</v>
      </c>
      <c r="D587" s="27" t="s">
        <v>470</v>
      </c>
      <c r="E587" s="46">
        <v>9</v>
      </c>
      <c r="F587" s="118">
        <v>4381</v>
      </c>
      <c r="G587" s="118" t="s">
        <v>19</v>
      </c>
      <c r="H587" s="118" t="s">
        <v>8</v>
      </c>
      <c r="I587">
        <v>-1.78E-2</v>
      </c>
      <c r="J587">
        <v>2.52</v>
      </c>
      <c r="K587">
        <v>0</v>
      </c>
      <c r="L587" s="118">
        <v>4.7E-2</v>
      </c>
      <c r="M587" s="140">
        <f t="shared" si="87"/>
        <v>0.05</v>
      </c>
      <c r="N587" s="140">
        <f t="shared" si="87"/>
        <v>2.52</v>
      </c>
      <c r="O587" s="140">
        <f t="shared" si="87"/>
        <v>0.05</v>
      </c>
      <c r="P587" s="140">
        <f t="shared" si="88"/>
        <v>0.05</v>
      </c>
      <c r="Q587" s="179">
        <v>11.985002794193836</v>
      </c>
      <c r="R587" s="125">
        <v>30.14</v>
      </c>
      <c r="S587" s="125">
        <v>2.2933333333333334</v>
      </c>
      <c r="T587" t="s">
        <v>515</v>
      </c>
      <c r="U587" t="s">
        <v>515</v>
      </c>
      <c r="V587" s="146">
        <v>0.45</v>
      </c>
      <c r="W587" s="118">
        <v>40.704189487454599</v>
      </c>
      <c r="X587" s="118">
        <v>-85.929971488917801</v>
      </c>
      <c r="Y587" s="140">
        <f t="shared" si="84"/>
        <v>8</v>
      </c>
      <c r="Z587" s="140">
        <f t="shared" si="85"/>
        <v>22</v>
      </c>
      <c r="AA587" s="140">
        <f t="shared" si="86"/>
        <v>2025</v>
      </c>
      <c r="AB587" s="118" t="b">
        <v>0</v>
      </c>
      <c r="AC587" s="19">
        <v>45891</v>
      </c>
      <c r="AD587" s="181" t="s">
        <v>1628</v>
      </c>
      <c r="AE587" s="203">
        <v>0.56024305555555554</v>
      </c>
      <c r="AF587" s="204">
        <v>45891</v>
      </c>
      <c r="AG587" s="202">
        <v>250822</v>
      </c>
      <c r="AH587" s="202">
        <v>0</v>
      </c>
      <c r="AI587" s="202">
        <v>743.4</v>
      </c>
      <c r="AJ587" s="202">
        <v>374.6</v>
      </c>
      <c r="AK587" s="202">
        <v>361.5</v>
      </c>
      <c r="AL587" s="202">
        <v>235</v>
      </c>
      <c r="AM587" s="202">
        <v>0.17</v>
      </c>
      <c r="AN587" s="202">
        <v>360.1</v>
      </c>
      <c r="AO587" s="202">
        <v>0.33300000000000002</v>
      </c>
      <c r="AP587" s="202">
        <v>0.374</v>
      </c>
      <c r="AQ587" s="202">
        <v>0.47099999999999997</v>
      </c>
      <c r="AR587" s="202">
        <v>105.6</v>
      </c>
      <c r="AS587" s="202">
        <v>8.43</v>
      </c>
      <c r="AT587" s="202">
        <v>107.6</v>
      </c>
      <c r="AU587" s="202">
        <v>40.704219999999999</v>
      </c>
      <c r="AV587" s="202">
        <v>-85.929969999999997</v>
      </c>
      <c r="AW587" s="202">
        <v>220.8</v>
      </c>
      <c r="AX587" s="202">
        <v>80.8</v>
      </c>
      <c r="AY587" s="202">
        <v>8.76</v>
      </c>
      <c r="AZ587" s="202">
        <v>-138.1</v>
      </c>
      <c r="BA587" s="202">
        <v>11.9</v>
      </c>
      <c r="BB587" s="202">
        <v>0</v>
      </c>
      <c r="BC587" s="202">
        <v>26.89</v>
      </c>
      <c r="BD587" s="202">
        <v>16.899999999999999</v>
      </c>
      <c r="BE587" s="202">
        <v>0</v>
      </c>
      <c r="BF587" s="205">
        <v>45891.560243055559</v>
      </c>
      <c r="BG587" s="202" t="s">
        <v>1718</v>
      </c>
    </row>
    <row r="588" spans="1:59" x14ac:dyDescent="0.25">
      <c r="A588" s="25">
        <v>10587</v>
      </c>
      <c r="B588" s="117" t="s">
        <v>761</v>
      </c>
      <c r="C588" s="123" t="s">
        <v>761</v>
      </c>
      <c r="D588" s="27" t="s">
        <v>471</v>
      </c>
      <c r="E588" s="46">
        <v>10</v>
      </c>
      <c r="F588" s="118">
        <v>2851</v>
      </c>
      <c r="G588" s="118" t="s">
        <v>19</v>
      </c>
      <c r="H588" s="118" t="s">
        <v>8</v>
      </c>
      <c r="I588">
        <v>0.30819999999999997</v>
      </c>
      <c r="J588">
        <v>2.7770000000000001</v>
      </c>
      <c r="K588">
        <v>-5.0000000000000001E-3</v>
      </c>
      <c r="L588" s="118">
        <v>4.3999999999999997E-2</v>
      </c>
      <c r="M588" s="140">
        <f t="shared" si="87"/>
        <v>0.30819999999999997</v>
      </c>
      <c r="N588" s="140">
        <f t="shared" si="87"/>
        <v>2.7770000000000001</v>
      </c>
      <c r="O588" s="140">
        <f t="shared" si="87"/>
        <v>0.05</v>
      </c>
      <c r="P588" s="140">
        <f t="shared" si="88"/>
        <v>0.05</v>
      </c>
      <c r="Q588" s="179">
        <v>15.315237764120635</v>
      </c>
      <c r="R588" s="125">
        <v>42.783333333333339</v>
      </c>
      <c r="S588" s="125">
        <v>5.5</v>
      </c>
      <c r="T588" t="s">
        <v>515</v>
      </c>
      <c r="U588" t="s">
        <v>515</v>
      </c>
      <c r="V588" s="146">
        <v>0.5</v>
      </c>
      <c r="W588" s="118">
        <v>40.6933868545755</v>
      </c>
      <c r="X588" s="118">
        <v>-85.920132017041794</v>
      </c>
      <c r="Y588" s="140">
        <f t="shared" si="84"/>
        <v>8</v>
      </c>
      <c r="Z588" s="140">
        <f t="shared" si="85"/>
        <v>22</v>
      </c>
      <c r="AA588" s="140">
        <f t="shared" si="86"/>
        <v>2025</v>
      </c>
      <c r="AB588" s="118" t="b">
        <v>0</v>
      </c>
      <c r="AC588" s="19">
        <v>45891</v>
      </c>
      <c r="AD588" s="181" t="s">
        <v>1619</v>
      </c>
      <c r="AE588" s="203">
        <v>0.53844907407407405</v>
      </c>
      <c r="AF588" s="204">
        <v>45891</v>
      </c>
      <c r="AG588" s="202">
        <v>250822</v>
      </c>
      <c r="AH588" s="202">
        <v>0</v>
      </c>
      <c r="AI588" s="202">
        <v>743.4</v>
      </c>
      <c r="AJ588" s="202">
        <v>374.7</v>
      </c>
      <c r="AK588" s="202">
        <v>361.9</v>
      </c>
      <c r="AL588" s="202">
        <v>235</v>
      </c>
      <c r="AM588" s="202">
        <v>0.17</v>
      </c>
      <c r="AN588" s="202">
        <v>360.5</v>
      </c>
      <c r="AO588" s="202">
        <v>0.32700000000000001</v>
      </c>
      <c r="AP588" s="202">
        <v>0.34300000000000003</v>
      </c>
      <c r="AQ588" s="202">
        <v>0.46400000000000002</v>
      </c>
      <c r="AR588" s="202">
        <v>96.6</v>
      </c>
      <c r="AS588" s="202">
        <v>7.71</v>
      </c>
      <c r="AT588" s="202">
        <v>98.4</v>
      </c>
      <c r="AU588" s="202">
        <v>40.693460000000002</v>
      </c>
      <c r="AV588" s="202">
        <v>-85.920270000000002</v>
      </c>
      <c r="AW588" s="202">
        <v>224.3</v>
      </c>
      <c r="AX588" s="202">
        <v>149</v>
      </c>
      <c r="AY588" s="202">
        <v>8.6</v>
      </c>
      <c r="AZ588" s="202">
        <v>-128.6</v>
      </c>
      <c r="BA588" s="202">
        <v>12</v>
      </c>
      <c r="BB588" s="202">
        <v>0</v>
      </c>
      <c r="BC588" s="202">
        <v>26.861000000000001</v>
      </c>
      <c r="BD588" s="202">
        <v>22.26</v>
      </c>
      <c r="BE588" s="202">
        <v>0</v>
      </c>
      <c r="BF588" s="205">
        <v>45891.538449074076</v>
      </c>
      <c r="BG588" s="202" t="s">
        <v>1725</v>
      </c>
    </row>
    <row r="589" spans="1:59" x14ac:dyDescent="0.25">
      <c r="A589" s="25">
        <v>10588</v>
      </c>
      <c r="B589" s="117" t="s">
        <v>762</v>
      </c>
      <c r="C589" s="123" t="s">
        <v>762</v>
      </c>
      <c r="D589" s="27" t="s">
        <v>472</v>
      </c>
      <c r="E589" s="46">
        <v>11</v>
      </c>
      <c r="F589" s="118">
        <v>1731</v>
      </c>
      <c r="G589" s="118" t="s">
        <v>19</v>
      </c>
      <c r="H589" s="118" t="s">
        <v>8</v>
      </c>
      <c r="I589">
        <v>8.6199999999999999E-2</v>
      </c>
      <c r="J589">
        <v>2.7080000000000002</v>
      </c>
      <c r="K589">
        <v>-4.0000000000000001E-3</v>
      </c>
      <c r="L589" s="118">
        <v>4.8000000000000001E-2</v>
      </c>
      <c r="M589" s="140">
        <f t="shared" si="87"/>
        <v>0.05</v>
      </c>
      <c r="N589" s="140">
        <f t="shared" si="87"/>
        <v>2.7080000000000002</v>
      </c>
      <c r="O589" s="140">
        <f t="shared" si="87"/>
        <v>0.05</v>
      </c>
      <c r="P589" s="140">
        <f t="shared" si="88"/>
        <v>0.05</v>
      </c>
      <c r="Q589" s="179">
        <v>9.7943096225457005</v>
      </c>
      <c r="R589" s="125">
        <v>27.505000000000003</v>
      </c>
      <c r="S589" s="125">
        <v>2.6349999999999998</v>
      </c>
      <c r="T589" t="s">
        <v>515</v>
      </c>
      <c r="U589" t="s">
        <v>515</v>
      </c>
      <c r="V589" s="146">
        <v>0.65</v>
      </c>
      <c r="W589" s="118">
        <v>40.7109735166094</v>
      </c>
      <c r="X589" s="118">
        <v>-85.938573486479498</v>
      </c>
      <c r="Y589" s="140">
        <f t="shared" si="84"/>
        <v>8</v>
      </c>
      <c r="Z589" s="140">
        <f t="shared" si="85"/>
        <v>22</v>
      </c>
      <c r="AA589" s="140">
        <f t="shared" si="86"/>
        <v>2025</v>
      </c>
      <c r="AB589" s="118" t="b">
        <v>0</v>
      </c>
      <c r="AC589" s="19">
        <v>45891</v>
      </c>
      <c r="AD589" s="181" t="s">
        <v>1629</v>
      </c>
      <c r="AE589" s="203">
        <v>0.57420138888888894</v>
      </c>
      <c r="AF589" s="204">
        <v>45891</v>
      </c>
      <c r="AG589" s="202">
        <v>250822</v>
      </c>
      <c r="AH589" s="202">
        <v>0</v>
      </c>
      <c r="AI589" s="202">
        <v>743.2</v>
      </c>
      <c r="AJ589" s="202">
        <v>381.2</v>
      </c>
      <c r="AK589" s="202">
        <v>366.4</v>
      </c>
      <c r="AL589" s="202">
        <v>238</v>
      </c>
      <c r="AM589" s="202">
        <v>0.17</v>
      </c>
      <c r="AN589" s="202">
        <v>364.8</v>
      </c>
      <c r="AO589" s="202">
        <v>0.38900000000000001</v>
      </c>
      <c r="AP589" s="202">
        <v>0.39400000000000002</v>
      </c>
      <c r="AQ589" s="202">
        <v>0.55100000000000005</v>
      </c>
      <c r="AR589" s="202">
        <v>95.4</v>
      </c>
      <c r="AS589" s="202">
        <v>7.58</v>
      </c>
      <c r="AT589" s="202">
        <v>97.2</v>
      </c>
      <c r="AU589" s="202">
        <v>40.710859999999997</v>
      </c>
      <c r="AV589" s="202">
        <v>-85.938559999999995</v>
      </c>
      <c r="AW589" s="202">
        <v>218.8</v>
      </c>
      <c r="AX589" s="202">
        <v>73</v>
      </c>
      <c r="AY589" s="202">
        <v>8.65</v>
      </c>
      <c r="AZ589" s="202">
        <v>-131.19999999999999</v>
      </c>
      <c r="BA589" s="202">
        <v>11.9</v>
      </c>
      <c r="BB589" s="202">
        <v>0</v>
      </c>
      <c r="BC589" s="202">
        <v>27.120999999999999</v>
      </c>
      <c r="BD589" s="202">
        <v>13.71</v>
      </c>
      <c r="BE589" s="202">
        <v>0</v>
      </c>
      <c r="BF589" s="205">
        <v>45891.574201388888</v>
      </c>
      <c r="BG589" s="202" t="s">
        <v>1719</v>
      </c>
    </row>
    <row r="590" spans="1:59" ht="15" customHeight="1" x14ac:dyDescent="0.25">
      <c r="A590" s="25">
        <v>10589</v>
      </c>
      <c r="B590" s="117" t="s">
        <v>763</v>
      </c>
      <c r="C590" s="123" t="s">
        <v>763</v>
      </c>
      <c r="D590" s="27" t="s">
        <v>473</v>
      </c>
      <c r="E590" s="46">
        <v>12</v>
      </c>
      <c r="F590" s="118">
        <v>661</v>
      </c>
      <c r="G590" s="118" t="s">
        <v>19</v>
      </c>
      <c r="H590" s="118" t="s">
        <v>8</v>
      </c>
      <c r="I590">
        <v>-2.9100000000000001E-2</v>
      </c>
      <c r="J590">
        <v>2.6150000000000002</v>
      </c>
      <c r="K590">
        <v>0</v>
      </c>
      <c r="L590" s="118">
        <v>6.4000000000000001E-2</v>
      </c>
      <c r="M590" s="140">
        <f t="shared" si="87"/>
        <v>0.05</v>
      </c>
      <c r="N590" s="140">
        <f t="shared" si="87"/>
        <v>2.6150000000000002</v>
      </c>
      <c r="O590" s="140">
        <f t="shared" si="87"/>
        <v>0.05</v>
      </c>
      <c r="P590" s="140">
        <f t="shared" si="88"/>
        <v>0.05</v>
      </c>
      <c r="Q590" s="179">
        <v>61.749651519375483</v>
      </c>
      <c r="R590" s="125">
        <v>32.076666666666668</v>
      </c>
      <c r="S590" s="125">
        <v>3.5266666666666668</v>
      </c>
      <c r="T590" t="s">
        <v>515</v>
      </c>
      <c r="U590" t="s">
        <v>515</v>
      </c>
      <c r="V590" s="146">
        <v>0.6</v>
      </c>
      <c r="W590" s="118">
        <v>40.7115924957685</v>
      </c>
      <c r="X590" s="118">
        <v>-85.950995315973998</v>
      </c>
      <c r="Y590" s="140">
        <f t="shared" si="84"/>
        <v>8</v>
      </c>
      <c r="Z590" s="140">
        <f t="shared" si="85"/>
        <v>22</v>
      </c>
      <c r="AA590" s="140">
        <f t="shared" si="86"/>
        <v>2025</v>
      </c>
      <c r="AB590" s="118" t="b">
        <v>0</v>
      </c>
      <c r="AC590" s="19">
        <v>45891</v>
      </c>
      <c r="AD590" s="181" t="s">
        <v>1629</v>
      </c>
      <c r="AE590" s="203">
        <v>0.59285879629629634</v>
      </c>
      <c r="AF590" s="204">
        <v>45891</v>
      </c>
      <c r="AG590" s="202">
        <v>250822</v>
      </c>
      <c r="AH590" s="202">
        <v>0</v>
      </c>
      <c r="AI590" s="202">
        <v>743.1</v>
      </c>
      <c r="AJ590" s="202">
        <v>379.3</v>
      </c>
      <c r="AK590" s="202">
        <v>364.8</v>
      </c>
      <c r="AL590" s="202">
        <v>237</v>
      </c>
      <c r="AM590" s="202">
        <v>0.17</v>
      </c>
      <c r="AN590" s="202">
        <v>363.3</v>
      </c>
      <c r="AO590" s="202">
        <v>0.29799999999999999</v>
      </c>
      <c r="AP590" s="202">
        <v>0.312</v>
      </c>
      <c r="AQ590" s="202">
        <v>0.42199999999999999</v>
      </c>
      <c r="AR590" s="202">
        <v>101.5</v>
      </c>
      <c r="AS590" s="202">
        <v>8.07</v>
      </c>
      <c r="AT590" s="202">
        <v>103.4</v>
      </c>
      <c r="AU590" s="202">
        <v>40.711620000000003</v>
      </c>
      <c r="AV590" s="202">
        <v>-85.950739999999996</v>
      </c>
      <c r="AW590" s="202">
        <v>226.5</v>
      </c>
      <c r="AX590" s="202">
        <v>91.4</v>
      </c>
      <c r="AY590" s="202">
        <v>8.6999999999999993</v>
      </c>
      <c r="AZ590" s="202">
        <v>-134.5</v>
      </c>
      <c r="BA590" s="202">
        <v>11.9</v>
      </c>
      <c r="BB590" s="202">
        <v>0</v>
      </c>
      <c r="BC590" s="202">
        <v>27.074999999999999</v>
      </c>
      <c r="BD590" s="202">
        <v>13.75</v>
      </c>
      <c r="BE590" s="202">
        <v>0</v>
      </c>
      <c r="BF590" s="205">
        <v>45891.592858796299</v>
      </c>
      <c r="BG590" s="202" t="s">
        <v>1720</v>
      </c>
    </row>
    <row r="591" spans="1:59" x14ac:dyDescent="0.25">
      <c r="A591" s="25">
        <v>10590</v>
      </c>
      <c r="B591" s="117" t="s">
        <v>764</v>
      </c>
      <c r="C591" s="123" t="s">
        <v>764</v>
      </c>
      <c r="D591" s="27" t="s">
        <v>474</v>
      </c>
      <c r="E591" s="46">
        <v>13</v>
      </c>
      <c r="F591" s="118">
        <v>13553</v>
      </c>
      <c r="G591" s="118" t="s">
        <v>19</v>
      </c>
      <c r="H591" s="118" t="s">
        <v>8</v>
      </c>
      <c r="I591">
        <v>-5.4999999999999997E-3</v>
      </c>
      <c r="J591">
        <v>1.4370000000000001</v>
      </c>
      <c r="K591">
        <v>-4.0000000000000001E-3</v>
      </c>
      <c r="L591" s="118">
        <v>0.115</v>
      </c>
      <c r="M591" s="140">
        <f t="shared" si="87"/>
        <v>0.05</v>
      </c>
      <c r="N591" s="140">
        <f t="shared" si="87"/>
        <v>1.4370000000000001</v>
      </c>
      <c r="O591" s="140">
        <f t="shared" si="87"/>
        <v>0.05</v>
      </c>
      <c r="P591" s="140">
        <f t="shared" si="88"/>
        <v>0.115</v>
      </c>
      <c r="Q591" s="179">
        <v>33.967216062965448</v>
      </c>
      <c r="R591" s="125">
        <v>67.55</v>
      </c>
      <c r="S591" s="125">
        <v>4.8033333333333337</v>
      </c>
      <c r="T591" t="s">
        <v>515</v>
      </c>
      <c r="U591" t="s">
        <v>515</v>
      </c>
      <c r="V591" s="146">
        <v>0.3</v>
      </c>
      <c r="W591" s="118">
        <v>40.672650625967101</v>
      </c>
      <c r="X591" s="118">
        <v>-85.8414898999835</v>
      </c>
      <c r="Y591" s="140">
        <f t="shared" si="84"/>
        <v>8</v>
      </c>
      <c r="Z591" s="140">
        <f t="shared" si="85"/>
        <v>22</v>
      </c>
      <c r="AA591" s="140">
        <f t="shared" si="86"/>
        <v>2025</v>
      </c>
      <c r="AB591" s="118" t="b">
        <v>0</v>
      </c>
      <c r="AC591" s="19">
        <v>45891</v>
      </c>
      <c r="AD591" s="181" t="s">
        <v>1618</v>
      </c>
      <c r="AE591" s="203">
        <v>0.42196759259259259</v>
      </c>
      <c r="AF591" s="204">
        <v>45891</v>
      </c>
      <c r="AG591" s="202">
        <v>250822</v>
      </c>
      <c r="AH591" s="202">
        <v>0</v>
      </c>
      <c r="AI591" s="202">
        <v>744</v>
      </c>
      <c r="AJ591" s="202">
        <v>391.2</v>
      </c>
      <c r="AK591" s="202">
        <v>379.1</v>
      </c>
      <c r="AL591" s="202">
        <v>246</v>
      </c>
      <c r="AM591" s="202">
        <v>0.18</v>
      </c>
      <c r="AN591" s="202">
        <v>377.8</v>
      </c>
      <c r="AO591" s="202">
        <v>0.23899999999999999</v>
      </c>
      <c r="AP591" s="202">
        <v>0.253</v>
      </c>
      <c r="AQ591" s="202">
        <v>0.33900000000000002</v>
      </c>
      <c r="AR591" s="202">
        <v>97.4</v>
      </c>
      <c r="AS591" s="202">
        <v>7.8</v>
      </c>
      <c r="AT591" s="202">
        <v>99.3</v>
      </c>
      <c r="AU591" s="202">
        <v>40.672559999999997</v>
      </c>
      <c r="AV591" s="202">
        <v>-85.841610000000003</v>
      </c>
      <c r="AW591" s="202">
        <v>220.7</v>
      </c>
      <c r="AX591" s="202">
        <v>152.4</v>
      </c>
      <c r="AY591" s="202">
        <v>8.49</v>
      </c>
      <c r="AZ591" s="202">
        <v>-121.8</v>
      </c>
      <c r="BA591" s="202">
        <v>12</v>
      </c>
      <c r="BB591" s="202">
        <v>0</v>
      </c>
      <c r="BC591" s="202">
        <v>26.681000000000001</v>
      </c>
      <c r="BD591" s="202">
        <v>26.73</v>
      </c>
      <c r="BE591" s="202">
        <v>0</v>
      </c>
      <c r="BF591" s="205">
        <v>45891.421967592592</v>
      </c>
      <c r="BG591" s="202" t="s">
        <v>1721</v>
      </c>
    </row>
    <row r="592" spans="1:59" x14ac:dyDescent="0.25">
      <c r="A592" s="25">
        <v>10591</v>
      </c>
      <c r="B592" s="113" t="s">
        <v>765</v>
      </c>
      <c r="C592" s="119" t="s">
        <v>765</v>
      </c>
      <c r="D592" s="27" t="s">
        <v>462</v>
      </c>
      <c r="E592" s="46">
        <v>1</v>
      </c>
      <c r="F592" s="118">
        <v>5999</v>
      </c>
      <c r="G592" s="118" t="s">
        <v>19</v>
      </c>
      <c r="H592" s="118" t="s">
        <v>8</v>
      </c>
      <c r="I592">
        <v>-1.1299999999999999E-2</v>
      </c>
      <c r="J592">
        <v>1.2789999999999999</v>
      </c>
      <c r="K592">
        <v>0</v>
      </c>
      <c r="L592" s="118">
        <v>0.11799999999999999</v>
      </c>
      <c r="M592" s="140">
        <f t="shared" si="87"/>
        <v>0.05</v>
      </c>
      <c r="N592" s="140">
        <f t="shared" si="87"/>
        <v>1.2789999999999999</v>
      </c>
      <c r="O592" s="140">
        <f t="shared" si="87"/>
        <v>0.05</v>
      </c>
      <c r="P592" s="140">
        <f t="shared" si="88"/>
        <v>0.11799999999999999</v>
      </c>
      <c r="Q592" s="159">
        <v>1.6524895777997091</v>
      </c>
      <c r="R592" s="125">
        <v>70.516666666666666</v>
      </c>
      <c r="S592" s="125">
        <v>-9.9999999999999797E-2</v>
      </c>
      <c r="T592" t="s">
        <v>515</v>
      </c>
      <c r="U592" t="s">
        <v>515</v>
      </c>
      <c r="V592" s="146">
        <v>0.6</v>
      </c>
      <c r="W592" s="118">
        <v>40.681605233637299</v>
      </c>
      <c r="X592" s="118">
        <v>-85.888716255554996</v>
      </c>
      <c r="Y592" s="140">
        <f t="shared" si="84"/>
        <v>9</v>
      </c>
      <c r="Z592" s="140">
        <f t="shared" si="85"/>
        <v>15</v>
      </c>
      <c r="AA592" s="140">
        <f t="shared" si="86"/>
        <v>2025</v>
      </c>
      <c r="AB592" s="118" t="b">
        <v>0</v>
      </c>
      <c r="AC592" s="19">
        <v>45915</v>
      </c>
      <c r="AD592" s="181" t="s">
        <v>1635</v>
      </c>
      <c r="AE592" s="209">
        <v>0.49682870370370369</v>
      </c>
      <c r="AF592" s="210">
        <v>45915</v>
      </c>
      <c r="AG592" s="111">
        <v>250915</v>
      </c>
      <c r="AH592" s="111">
        <v>0</v>
      </c>
      <c r="AI592" s="111">
        <v>745.8</v>
      </c>
      <c r="AJ592" s="111">
        <v>368.4</v>
      </c>
      <c r="AK592" s="111">
        <v>381.6</v>
      </c>
      <c r="AL592" s="111">
        <v>248</v>
      </c>
      <c r="AM592" s="111">
        <v>0.18</v>
      </c>
      <c r="AN592" s="111">
        <v>382.9</v>
      </c>
      <c r="AO592" s="111">
        <v>0.41899999999999998</v>
      </c>
      <c r="AP592" s="111">
        <v>0.46400000000000002</v>
      </c>
      <c r="AQ592" s="111">
        <v>0.59399999999999997</v>
      </c>
      <c r="AR592" s="111">
        <v>137.1</v>
      </c>
      <c r="AS592" s="111">
        <v>11.71</v>
      </c>
      <c r="AT592" s="111">
        <v>139.5</v>
      </c>
      <c r="AU592" s="111">
        <v>40.681719999999999</v>
      </c>
      <c r="AV592" s="111">
        <v>-85.888990000000007</v>
      </c>
      <c r="AW592" s="111">
        <v>227.6</v>
      </c>
      <c r="AX592" s="111">
        <v>145.6</v>
      </c>
      <c r="AY592" s="111">
        <v>8.77</v>
      </c>
      <c r="AZ592" s="111">
        <v>-140.1</v>
      </c>
      <c r="BA592" s="111">
        <v>11.9</v>
      </c>
      <c r="BB592" s="111">
        <v>0</v>
      </c>
      <c r="BC592" s="111">
        <v>23.184999999999999</v>
      </c>
      <c r="BD592" s="111">
        <v>17.05</v>
      </c>
      <c r="BE592" s="111">
        <v>0</v>
      </c>
      <c r="BF592" s="211">
        <v>45915.496828703705</v>
      </c>
      <c r="BG592" s="111" t="s">
        <v>1717</v>
      </c>
    </row>
    <row r="593" spans="1:59" x14ac:dyDescent="0.25">
      <c r="A593" s="25">
        <v>10592</v>
      </c>
      <c r="B593" s="113" t="s">
        <v>766</v>
      </c>
      <c r="C593" s="119" t="s">
        <v>766</v>
      </c>
      <c r="D593" s="56" t="s">
        <v>463</v>
      </c>
      <c r="E593" s="46">
        <v>2</v>
      </c>
      <c r="F593" s="118">
        <v>8861</v>
      </c>
      <c r="G593" s="118" t="s">
        <v>19</v>
      </c>
      <c r="H593" s="118" t="s">
        <v>8</v>
      </c>
      <c r="I593">
        <v>-2.2599999999999999E-2</v>
      </c>
      <c r="J593">
        <v>1.091</v>
      </c>
      <c r="K593">
        <v>1E-3</v>
      </c>
      <c r="L593" s="118">
        <v>7.2999999999999995E-2</v>
      </c>
      <c r="M593" s="140">
        <f t="shared" si="87"/>
        <v>0.05</v>
      </c>
      <c r="N593" s="140">
        <f t="shared" si="87"/>
        <v>1.091</v>
      </c>
      <c r="O593" s="140">
        <f t="shared" si="87"/>
        <v>0.05</v>
      </c>
      <c r="P593" s="140">
        <f t="shared" si="88"/>
        <v>0.05</v>
      </c>
      <c r="Q593" s="159">
        <v>1.6528653439756402</v>
      </c>
      <c r="R593" s="125">
        <v>74.506666666666661</v>
      </c>
      <c r="S593" s="125">
        <v>5.0533333333333337</v>
      </c>
      <c r="T593" t="s">
        <v>515</v>
      </c>
      <c r="U593" t="s">
        <v>515</v>
      </c>
      <c r="V593" s="146">
        <v>0.4</v>
      </c>
      <c r="W593" s="118">
        <v>40.676853737547702</v>
      </c>
      <c r="X593" s="118">
        <v>-85.877080968297605</v>
      </c>
      <c r="Y593" s="140">
        <f t="shared" si="84"/>
        <v>9</v>
      </c>
      <c r="Z593" s="140">
        <f t="shared" si="85"/>
        <v>15</v>
      </c>
      <c r="AA593" s="140">
        <f t="shared" si="86"/>
        <v>2025</v>
      </c>
      <c r="AB593" s="118" t="b">
        <v>0</v>
      </c>
      <c r="AC593" s="19">
        <v>45915</v>
      </c>
      <c r="AD593" s="181" t="s">
        <v>1636</v>
      </c>
      <c r="AE593" s="209">
        <v>0.51194444444444442</v>
      </c>
      <c r="AF593" s="210">
        <v>45915</v>
      </c>
      <c r="AG593" s="111">
        <v>250915</v>
      </c>
      <c r="AH593" s="111">
        <v>0</v>
      </c>
      <c r="AI593" s="111">
        <v>745.6</v>
      </c>
      <c r="AJ593" s="111">
        <v>369.9</v>
      </c>
      <c r="AK593" s="111">
        <v>377.1</v>
      </c>
      <c r="AL593" s="111">
        <v>245</v>
      </c>
      <c r="AM593" s="111">
        <v>0.18</v>
      </c>
      <c r="AN593" s="111">
        <v>377.9</v>
      </c>
      <c r="AO593" s="111">
        <v>0.29699999999999999</v>
      </c>
      <c r="AP593" s="111">
        <v>0.30499999999999999</v>
      </c>
      <c r="AQ593" s="111">
        <v>0.42099999999999999</v>
      </c>
      <c r="AR593" s="111">
        <v>174.9</v>
      </c>
      <c r="AS593" s="111">
        <v>14.71</v>
      </c>
      <c r="AT593" s="111">
        <v>177.9</v>
      </c>
      <c r="AU593" s="111">
        <v>40.67698</v>
      </c>
      <c r="AV593" s="111">
        <v>-85.877269999999996</v>
      </c>
      <c r="AW593" s="111">
        <v>226.1</v>
      </c>
      <c r="AX593" s="111">
        <v>144.9</v>
      </c>
      <c r="AY593" s="111">
        <v>9</v>
      </c>
      <c r="AZ593" s="111">
        <v>-154.4</v>
      </c>
      <c r="BA593" s="111">
        <v>12</v>
      </c>
      <c r="BB593" s="111">
        <v>0</v>
      </c>
      <c r="BC593" s="111">
        <v>24</v>
      </c>
      <c r="BD593" s="111">
        <v>27.35</v>
      </c>
      <c r="BE593" s="111">
        <v>0</v>
      </c>
      <c r="BF593" s="211">
        <v>45915.511944444443</v>
      </c>
      <c r="BG593" s="111" t="s">
        <v>1716</v>
      </c>
    </row>
    <row r="594" spans="1:59" x14ac:dyDescent="0.25">
      <c r="A594" s="25">
        <v>10593</v>
      </c>
      <c r="B594" s="113" t="s">
        <v>767</v>
      </c>
      <c r="C594" s="119" t="s">
        <v>767</v>
      </c>
      <c r="D594" s="27" t="s">
        <v>464</v>
      </c>
      <c r="E594" s="46">
        <v>3</v>
      </c>
      <c r="F594" s="118">
        <v>9921</v>
      </c>
      <c r="G594" s="118" t="s">
        <v>19</v>
      </c>
      <c r="H594" s="118" t="s">
        <v>8</v>
      </c>
      <c r="I594">
        <v>-1.83E-2</v>
      </c>
      <c r="J594">
        <v>1.07</v>
      </c>
      <c r="K594">
        <v>1E-3</v>
      </c>
      <c r="L594" s="118">
        <v>7.0000000000000007E-2</v>
      </c>
      <c r="M594" s="140">
        <f t="shared" ref="M594:O604" si="89">IF(I594&lt;0.1,0.05,I594)</f>
        <v>0.05</v>
      </c>
      <c r="N594" s="140">
        <f t="shared" si="89"/>
        <v>1.07</v>
      </c>
      <c r="O594" s="140">
        <f t="shared" si="89"/>
        <v>0.05</v>
      </c>
      <c r="P594" s="140">
        <f t="shared" si="88"/>
        <v>0.05</v>
      </c>
      <c r="Q594" s="159">
        <v>1.6156287861916412</v>
      </c>
      <c r="R594" s="125">
        <v>61.253333333333337</v>
      </c>
      <c r="S594" s="125">
        <v>2.5266666666666668</v>
      </c>
      <c r="T594" t="s">
        <v>515</v>
      </c>
      <c r="U594" t="s">
        <v>515</v>
      </c>
      <c r="V594" s="146">
        <v>0.3</v>
      </c>
      <c r="W594" s="118">
        <v>40.670742628229299</v>
      </c>
      <c r="X594" s="118">
        <v>-85.870470356642798</v>
      </c>
      <c r="Y594" s="140">
        <f t="shared" si="84"/>
        <v>9</v>
      </c>
      <c r="Z594" s="140">
        <f t="shared" si="85"/>
        <v>15</v>
      </c>
      <c r="AA594" s="140">
        <f t="shared" si="86"/>
        <v>2025</v>
      </c>
      <c r="AB594" s="118" t="b">
        <v>0</v>
      </c>
      <c r="AC594" s="19">
        <v>45915</v>
      </c>
      <c r="AD594" s="181" t="s">
        <v>1637</v>
      </c>
      <c r="AE594" s="209">
        <v>0.52479166666666666</v>
      </c>
      <c r="AF594" s="210">
        <v>45915</v>
      </c>
      <c r="AG594" s="111">
        <v>250915</v>
      </c>
      <c r="AH594" s="111">
        <v>0</v>
      </c>
      <c r="AI594" s="111">
        <v>745.6</v>
      </c>
      <c r="AJ594" s="111">
        <v>365.2</v>
      </c>
      <c r="AK594" s="111">
        <v>378.6</v>
      </c>
      <c r="AL594" s="111">
        <v>246</v>
      </c>
      <c r="AM594" s="111">
        <v>0.18</v>
      </c>
      <c r="AN594" s="111">
        <v>379.9</v>
      </c>
      <c r="AO594" s="111">
        <v>0.33300000000000002</v>
      </c>
      <c r="AP594" s="111">
        <v>0.32700000000000001</v>
      </c>
      <c r="AQ594" s="111">
        <v>0.47299999999999998</v>
      </c>
      <c r="AR594" s="111">
        <v>153.69999999999999</v>
      </c>
      <c r="AS594" s="111">
        <v>13.13</v>
      </c>
      <c r="AT594" s="111">
        <v>156.4</v>
      </c>
      <c r="AU594" s="111">
        <v>40.670549999999999</v>
      </c>
      <c r="AV594" s="111">
        <v>-85.870670000000004</v>
      </c>
      <c r="AW594" s="111">
        <v>222.4</v>
      </c>
      <c r="AX594" s="111">
        <v>149.9</v>
      </c>
      <c r="AY594" s="111">
        <v>8.89</v>
      </c>
      <c r="AZ594" s="111">
        <v>-147.30000000000001</v>
      </c>
      <c r="BA594" s="111">
        <v>12</v>
      </c>
      <c r="BB594" s="111">
        <v>0</v>
      </c>
      <c r="BC594" s="111">
        <v>23.155000000000001</v>
      </c>
      <c r="BD594" s="111">
        <v>19.510000000000002</v>
      </c>
      <c r="BE594" s="111">
        <v>0</v>
      </c>
      <c r="BF594" s="211">
        <v>45915.524791666663</v>
      </c>
      <c r="BG594" s="111" t="s">
        <v>1715</v>
      </c>
    </row>
    <row r="595" spans="1:59" x14ac:dyDescent="0.25">
      <c r="A595" s="25">
        <v>10594</v>
      </c>
      <c r="B595" s="113" t="s">
        <v>768</v>
      </c>
      <c r="C595" s="119" t="s">
        <v>768</v>
      </c>
      <c r="D595" s="27" t="s">
        <v>465</v>
      </c>
      <c r="E595" s="46">
        <v>4</v>
      </c>
      <c r="F595" s="118">
        <v>10891</v>
      </c>
      <c r="G595" s="118" t="s">
        <v>19</v>
      </c>
      <c r="H595" s="118" t="s">
        <v>8</v>
      </c>
      <c r="I595">
        <v>-2.69E-2</v>
      </c>
      <c r="J595">
        <v>0.94299999999999995</v>
      </c>
      <c r="K595">
        <v>1E-3</v>
      </c>
      <c r="L595" s="118">
        <v>0.11700000000000001</v>
      </c>
      <c r="M595" s="140">
        <f t="shared" si="89"/>
        <v>0.05</v>
      </c>
      <c r="N595" s="140">
        <f t="shared" si="89"/>
        <v>0.94299999999999995</v>
      </c>
      <c r="O595" s="140">
        <f t="shared" si="89"/>
        <v>0.05</v>
      </c>
      <c r="P595" s="140">
        <f t="shared" si="88"/>
        <v>0.11700000000000001</v>
      </c>
      <c r="Q595" s="159">
        <v>1.624851860685721</v>
      </c>
      <c r="R595" s="125">
        <v>25.75</v>
      </c>
      <c r="S595" s="125">
        <v>3.55</v>
      </c>
      <c r="T595" t="s">
        <v>515</v>
      </c>
      <c r="U595" t="s">
        <v>515</v>
      </c>
      <c r="V595" s="146">
        <v>0.4</v>
      </c>
      <c r="W595" s="118">
        <v>40.663219887201102</v>
      </c>
      <c r="X595" s="118">
        <v>-85.866717362691404</v>
      </c>
      <c r="Y595" s="140">
        <f t="shared" si="84"/>
        <v>9</v>
      </c>
      <c r="Z595" s="140">
        <f t="shared" si="85"/>
        <v>15</v>
      </c>
      <c r="AA595" s="140">
        <f t="shared" si="86"/>
        <v>2025</v>
      </c>
      <c r="AB595" s="118" t="b">
        <v>0</v>
      </c>
      <c r="AC595" s="19">
        <v>45915</v>
      </c>
      <c r="AD595" s="181" t="s">
        <v>1638</v>
      </c>
      <c r="AE595" s="209">
        <v>0.53408564814814818</v>
      </c>
      <c r="AF595" s="210">
        <v>45915</v>
      </c>
      <c r="AG595" s="111">
        <v>250915</v>
      </c>
      <c r="AH595" s="111">
        <v>0</v>
      </c>
      <c r="AI595" s="111">
        <v>745.5</v>
      </c>
      <c r="AJ595" s="111">
        <v>374</v>
      </c>
      <c r="AK595" s="111">
        <v>386.1</v>
      </c>
      <c r="AL595" s="111">
        <v>251</v>
      </c>
      <c r="AM595" s="111">
        <v>0.18</v>
      </c>
      <c r="AN595" s="111">
        <v>387.4</v>
      </c>
      <c r="AO595" s="111">
        <v>0.32500000000000001</v>
      </c>
      <c r="AP595" s="111">
        <v>0.309</v>
      </c>
      <c r="AQ595" s="111">
        <v>0.46100000000000002</v>
      </c>
      <c r="AR595" s="111">
        <v>148</v>
      </c>
      <c r="AS595" s="111">
        <v>12.6</v>
      </c>
      <c r="AT595" s="111">
        <v>150.6</v>
      </c>
      <c r="AU595" s="111">
        <v>40.663269999999997</v>
      </c>
      <c r="AV595" s="111">
        <v>-85.866810000000001</v>
      </c>
      <c r="AW595" s="111">
        <v>223.7</v>
      </c>
      <c r="AX595" s="111">
        <v>174</v>
      </c>
      <c r="AY595" s="111">
        <v>8.8699999999999992</v>
      </c>
      <c r="AZ595" s="111">
        <v>-146</v>
      </c>
      <c r="BA595" s="111">
        <v>12</v>
      </c>
      <c r="BB595" s="111">
        <v>0</v>
      </c>
      <c r="BC595" s="111">
        <v>23.355</v>
      </c>
      <c r="BD595" s="111">
        <v>20.04</v>
      </c>
      <c r="BE595" s="111">
        <v>0</v>
      </c>
      <c r="BF595" s="211">
        <v>45915.534085648149</v>
      </c>
      <c r="BG595" s="111" t="s">
        <v>1714</v>
      </c>
    </row>
    <row r="596" spans="1:59" x14ac:dyDescent="0.25">
      <c r="A596" s="25">
        <v>10595</v>
      </c>
      <c r="B596" s="113" t="s">
        <v>769</v>
      </c>
      <c r="C596" s="119" t="s">
        <v>769</v>
      </c>
      <c r="D596" s="27" t="s">
        <v>466</v>
      </c>
      <c r="E596" s="46">
        <v>5</v>
      </c>
      <c r="F596" s="118">
        <v>12821</v>
      </c>
      <c r="G596" s="118" t="s">
        <v>19</v>
      </c>
      <c r="H596" s="118" t="s">
        <v>8</v>
      </c>
      <c r="I596">
        <v>-1.9699999999999999E-2</v>
      </c>
      <c r="J596">
        <v>0.68300000000000005</v>
      </c>
      <c r="K596">
        <v>-4.0000000000000001E-3</v>
      </c>
      <c r="L596" s="118">
        <v>0.112</v>
      </c>
      <c r="M596" s="140">
        <f t="shared" si="89"/>
        <v>0.05</v>
      </c>
      <c r="N596" s="140">
        <f t="shared" si="89"/>
        <v>0.68300000000000005</v>
      </c>
      <c r="O596" s="140">
        <f t="shared" si="89"/>
        <v>0.05</v>
      </c>
      <c r="P596" s="140">
        <f t="shared" si="88"/>
        <v>0.112</v>
      </c>
      <c r="Q596" s="159">
        <v>1.6307697200029669</v>
      </c>
      <c r="R596" s="125">
        <v>75.933333333333337</v>
      </c>
      <c r="S596" s="125">
        <v>0.27</v>
      </c>
      <c r="T596" t="s">
        <v>515</v>
      </c>
      <c r="U596" t="s">
        <v>515</v>
      </c>
      <c r="V596" s="146">
        <v>0.3</v>
      </c>
      <c r="W596" s="118">
        <v>40.668402288920198</v>
      </c>
      <c r="X596" s="118">
        <v>-85.847892967811902</v>
      </c>
      <c r="Y596" s="140">
        <f t="shared" si="84"/>
        <v>9</v>
      </c>
      <c r="Z596" s="140">
        <f t="shared" si="85"/>
        <v>15</v>
      </c>
      <c r="AA596" s="140">
        <f t="shared" si="86"/>
        <v>2025</v>
      </c>
      <c r="AB596" s="118" t="b">
        <v>0</v>
      </c>
      <c r="AC596" s="19">
        <v>45915</v>
      </c>
      <c r="AD596" s="181" t="s">
        <v>1639</v>
      </c>
      <c r="AE596" s="209">
        <v>0.55596064814814816</v>
      </c>
      <c r="AF596" s="210">
        <v>45915</v>
      </c>
      <c r="AG596" s="111">
        <v>250915</v>
      </c>
      <c r="AH596" s="111">
        <v>0</v>
      </c>
      <c r="AI596" s="111">
        <v>745.2</v>
      </c>
      <c r="AJ596" s="111">
        <v>384.7</v>
      </c>
      <c r="AK596" s="111">
        <v>395.9</v>
      </c>
      <c r="AL596" s="111">
        <v>257</v>
      </c>
      <c r="AM596" s="111">
        <v>0.19</v>
      </c>
      <c r="AN596" s="111">
        <v>397</v>
      </c>
      <c r="AO596" s="111">
        <v>0.438</v>
      </c>
      <c r="AP596" s="111">
        <v>0.47199999999999998</v>
      </c>
      <c r="AQ596" s="111">
        <v>0.622</v>
      </c>
      <c r="AR596" s="111">
        <v>161.6</v>
      </c>
      <c r="AS596" s="111">
        <v>13.72</v>
      </c>
      <c r="AT596" s="111">
        <v>164.5</v>
      </c>
      <c r="AU596" s="111">
        <v>40.668039999999998</v>
      </c>
      <c r="AV596" s="111">
        <v>-85.848079999999996</v>
      </c>
      <c r="AW596" s="111">
        <v>223.6</v>
      </c>
      <c r="AX596" s="111">
        <v>125</v>
      </c>
      <c r="AY596" s="111">
        <v>8.92</v>
      </c>
      <c r="AZ596" s="111">
        <v>-149.4</v>
      </c>
      <c r="BA596" s="111">
        <v>11.9</v>
      </c>
      <c r="BB596" s="111">
        <v>0</v>
      </c>
      <c r="BC596" s="111">
        <v>23.52</v>
      </c>
      <c r="BD596" s="111">
        <v>27.16</v>
      </c>
      <c r="BE596" s="111">
        <v>0</v>
      </c>
      <c r="BF596" s="211">
        <v>45915.555960648147</v>
      </c>
      <c r="BG596" s="111" t="s">
        <v>1713</v>
      </c>
    </row>
    <row r="597" spans="1:59" x14ac:dyDescent="0.25">
      <c r="A597" s="25">
        <v>10596</v>
      </c>
      <c r="B597" s="113" t="s">
        <v>770</v>
      </c>
      <c r="C597" s="119" t="s">
        <v>770</v>
      </c>
      <c r="D597" s="27" t="s">
        <v>467</v>
      </c>
      <c r="E597" s="46">
        <v>6</v>
      </c>
      <c r="F597" s="118">
        <v>14351</v>
      </c>
      <c r="G597" s="118" t="s">
        <v>19</v>
      </c>
      <c r="H597" s="118" t="s">
        <v>8</v>
      </c>
      <c r="I597">
        <v>-1.47E-2</v>
      </c>
      <c r="J597">
        <v>0.24199999999999999</v>
      </c>
      <c r="K597">
        <v>-4.0000000000000001E-3</v>
      </c>
      <c r="L597" s="118">
        <v>0.121</v>
      </c>
      <c r="M597" s="140">
        <f t="shared" si="89"/>
        <v>0.05</v>
      </c>
      <c r="N597" s="140">
        <f t="shared" si="89"/>
        <v>0.24199999999999999</v>
      </c>
      <c r="O597" s="140">
        <f t="shared" si="89"/>
        <v>0.05</v>
      </c>
      <c r="P597" s="140">
        <f t="shared" si="88"/>
        <v>0.121</v>
      </c>
      <c r="Q597" s="159">
        <v>1.6463543265581251</v>
      </c>
      <c r="R597" s="125">
        <v>44.76</v>
      </c>
      <c r="S597" s="125">
        <v>2.3199999999999998</v>
      </c>
      <c r="T597" t="s">
        <v>515</v>
      </c>
      <c r="U597" t="s">
        <v>515</v>
      </c>
      <c r="V597" s="146">
        <v>0.3</v>
      </c>
      <c r="W597" s="118">
        <v>40.673569150821599</v>
      </c>
      <c r="X597" s="118">
        <v>-85.831880626110504</v>
      </c>
      <c r="Y597" s="140">
        <f t="shared" si="84"/>
        <v>9</v>
      </c>
      <c r="Z597" s="140">
        <f t="shared" si="85"/>
        <v>15</v>
      </c>
      <c r="AA597" s="140">
        <f t="shared" si="86"/>
        <v>2025</v>
      </c>
      <c r="AB597" s="118" t="b">
        <v>0</v>
      </c>
      <c r="AC597" s="19">
        <v>45915</v>
      </c>
      <c r="AD597" s="181" t="s">
        <v>1641</v>
      </c>
      <c r="AE597" s="209">
        <v>0.58282407407407411</v>
      </c>
      <c r="AF597" s="210">
        <v>45915</v>
      </c>
      <c r="AG597" s="111">
        <v>250915</v>
      </c>
      <c r="AH597" s="111">
        <v>0</v>
      </c>
      <c r="AI597" s="111">
        <v>745</v>
      </c>
      <c r="AJ597" s="111">
        <v>378.9</v>
      </c>
      <c r="AK597" s="111">
        <v>394.1</v>
      </c>
      <c r="AL597" s="111">
        <v>256</v>
      </c>
      <c r="AM597" s="111">
        <v>0.19</v>
      </c>
      <c r="AN597" s="111">
        <v>395.6</v>
      </c>
      <c r="AO597" s="111">
        <v>0.39600000000000002</v>
      </c>
      <c r="AP597" s="111">
        <v>0.374</v>
      </c>
      <c r="AQ597" s="111">
        <v>0.56299999999999994</v>
      </c>
      <c r="AR597" s="111">
        <v>172.1</v>
      </c>
      <c r="AS597" s="111">
        <v>14.75</v>
      </c>
      <c r="AT597" s="111">
        <v>175.1</v>
      </c>
      <c r="AU597" s="111">
        <v>40.673540000000003</v>
      </c>
      <c r="AV597" s="111">
        <v>-85.832179999999994</v>
      </c>
      <c r="AW597" s="111">
        <v>227</v>
      </c>
      <c r="AX597" s="111">
        <v>130.69999999999999</v>
      </c>
      <c r="AY597" s="111">
        <v>8.99</v>
      </c>
      <c r="AZ597" s="111">
        <v>-153.19999999999999</v>
      </c>
      <c r="BA597" s="111">
        <v>12</v>
      </c>
      <c r="BB597" s="111">
        <v>0</v>
      </c>
      <c r="BC597" s="111">
        <v>22.99</v>
      </c>
      <c r="BD597" s="111">
        <v>27.75</v>
      </c>
      <c r="BE597" s="111">
        <v>0</v>
      </c>
      <c r="BF597" s="211">
        <v>45915.582824074074</v>
      </c>
      <c r="BG597" s="111" t="s">
        <v>1712</v>
      </c>
    </row>
    <row r="598" spans="1:59" x14ac:dyDescent="0.25">
      <c r="A598" s="25">
        <v>10597</v>
      </c>
      <c r="B598" s="113" t="s">
        <v>771</v>
      </c>
      <c r="C598" s="119" t="s">
        <v>771</v>
      </c>
      <c r="D598" s="27" t="s">
        <v>468</v>
      </c>
      <c r="E598" s="46">
        <v>7</v>
      </c>
      <c r="F598" s="118">
        <v>6411</v>
      </c>
      <c r="G598" s="118" t="s">
        <v>19</v>
      </c>
      <c r="H598" s="118" t="s">
        <v>8</v>
      </c>
      <c r="I598">
        <v>0.53</v>
      </c>
      <c r="J598">
        <v>1.837</v>
      </c>
      <c r="K598">
        <v>-1E-3</v>
      </c>
      <c r="L598" s="118">
        <v>4.8000000000000001E-2</v>
      </c>
      <c r="M598" s="140">
        <f t="shared" si="89"/>
        <v>0.53</v>
      </c>
      <c r="N598" s="140">
        <f t="shared" si="89"/>
        <v>1.837</v>
      </c>
      <c r="O598" s="140">
        <f t="shared" si="89"/>
        <v>0.05</v>
      </c>
      <c r="P598" s="140">
        <f t="shared" si="88"/>
        <v>0.05</v>
      </c>
      <c r="Q598" s="159">
        <v>2.4990939440739828</v>
      </c>
      <c r="R598" s="125">
        <v>14.549999999999999</v>
      </c>
      <c r="S598" s="125">
        <v>3.53</v>
      </c>
      <c r="T598" t="s">
        <v>515</v>
      </c>
      <c r="U598" t="s">
        <v>515</v>
      </c>
      <c r="V598" s="146">
        <v>1</v>
      </c>
      <c r="W598" s="118">
        <v>40.687801629573599</v>
      </c>
      <c r="X598" s="118">
        <v>-85.896577595730903</v>
      </c>
      <c r="Y598" s="140">
        <f t="shared" si="84"/>
        <v>9</v>
      </c>
      <c r="Z598" s="140">
        <f t="shared" si="85"/>
        <v>15</v>
      </c>
      <c r="AA598" s="140">
        <f t="shared" si="86"/>
        <v>2025</v>
      </c>
      <c r="AB598" s="118" t="b">
        <v>0</v>
      </c>
      <c r="AC598" s="19">
        <v>45915</v>
      </c>
      <c r="AD598" s="181" t="s">
        <v>1630</v>
      </c>
      <c r="AE598" s="209">
        <v>0.36648148148148146</v>
      </c>
      <c r="AF598" s="210">
        <v>45915</v>
      </c>
      <c r="AG598" s="111">
        <v>250915</v>
      </c>
      <c r="AH598" s="111">
        <v>0</v>
      </c>
      <c r="AI598" s="111">
        <v>745.7</v>
      </c>
      <c r="AJ598" s="111">
        <v>366.5</v>
      </c>
      <c r="AK598" s="111">
        <v>389</v>
      </c>
      <c r="AL598" s="111">
        <v>253</v>
      </c>
      <c r="AM598" s="111">
        <v>0.19</v>
      </c>
      <c r="AN598" s="111">
        <v>391.1</v>
      </c>
      <c r="AO598" s="111">
        <v>0.46300000000000002</v>
      </c>
      <c r="AP598" s="111">
        <v>0.46300000000000002</v>
      </c>
      <c r="AQ598" s="111">
        <v>0.65600000000000003</v>
      </c>
      <c r="AR598" s="111">
        <v>67.599999999999994</v>
      </c>
      <c r="AS598" s="111">
        <v>5.91</v>
      </c>
      <c r="AT598" s="111">
        <v>68.8</v>
      </c>
      <c r="AU598" s="111">
        <v>40.687640000000002</v>
      </c>
      <c r="AV598" s="111">
        <v>-85.89716</v>
      </c>
      <c r="AW598" s="111">
        <v>222.6</v>
      </c>
      <c r="AX598" s="111">
        <v>218</v>
      </c>
      <c r="AY598" s="111">
        <v>7.34</v>
      </c>
      <c r="AZ598" s="111">
        <v>-54.5</v>
      </c>
      <c r="BA598" s="111">
        <v>11.9</v>
      </c>
      <c r="BB598" s="111">
        <v>0</v>
      </c>
      <c r="BC598" s="111">
        <v>21.977</v>
      </c>
      <c r="BD598" s="111">
        <v>5.09</v>
      </c>
      <c r="BE598" s="111">
        <v>0</v>
      </c>
      <c r="BF598" s="211">
        <v>45915.366481481484</v>
      </c>
      <c r="BG598" s="111" t="s">
        <v>1724</v>
      </c>
    </row>
    <row r="599" spans="1:59" ht="15" customHeight="1" x14ac:dyDescent="0.25">
      <c r="A599" s="25">
        <v>10598</v>
      </c>
      <c r="B599" s="113" t="s">
        <v>772</v>
      </c>
      <c r="C599" s="119" t="s">
        <v>772</v>
      </c>
      <c r="D599" s="27" t="s">
        <v>469</v>
      </c>
      <c r="E599" s="46">
        <v>8</v>
      </c>
      <c r="F599" s="118">
        <v>5401</v>
      </c>
      <c r="G599" s="118" t="s">
        <v>19</v>
      </c>
      <c r="H599" s="118" t="s">
        <v>8</v>
      </c>
      <c r="I599">
        <v>9.5299999999999996E-2</v>
      </c>
      <c r="J599">
        <v>1.8759999999999999</v>
      </c>
      <c r="K599">
        <v>-1E-3</v>
      </c>
      <c r="L599" s="118">
        <v>0.04</v>
      </c>
      <c r="M599" s="140">
        <f t="shared" si="89"/>
        <v>0.05</v>
      </c>
      <c r="N599" s="140">
        <f t="shared" si="89"/>
        <v>1.8759999999999999</v>
      </c>
      <c r="O599" s="140">
        <f t="shared" si="89"/>
        <v>0.05</v>
      </c>
      <c r="P599" s="140">
        <f t="shared" si="88"/>
        <v>0.05</v>
      </c>
      <c r="Q599" s="159">
        <v>2.3816026053273145</v>
      </c>
      <c r="R599" s="125">
        <v>36.163333333333334</v>
      </c>
      <c r="S599" s="125">
        <v>7.166666666666667</v>
      </c>
      <c r="T599" t="s">
        <v>515</v>
      </c>
      <c r="U599" t="s">
        <v>515</v>
      </c>
      <c r="V599" s="146">
        <v>0.8</v>
      </c>
      <c r="W599" s="118">
        <v>40.691624107125598</v>
      </c>
      <c r="X599" s="118">
        <v>-85.908350687222807</v>
      </c>
      <c r="Y599" s="140">
        <f t="shared" si="84"/>
        <v>9</v>
      </c>
      <c r="Z599" s="140">
        <f t="shared" si="85"/>
        <v>15</v>
      </c>
      <c r="AA599" s="140">
        <f t="shared" si="86"/>
        <v>2025</v>
      </c>
      <c r="AB599" s="118" t="b">
        <v>0</v>
      </c>
      <c r="AC599" s="19">
        <v>45915</v>
      </c>
      <c r="AD599" s="181" t="s">
        <v>1631</v>
      </c>
      <c r="AE599" s="209">
        <v>0.38074074074074077</v>
      </c>
      <c r="AF599" s="210">
        <v>45915</v>
      </c>
      <c r="AG599" s="111">
        <v>250915</v>
      </c>
      <c r="AH599" s="111">
        <v>0</v>
      </c>
      <c r="AI599" s="111">
        <v>745.7</v>
      </c>
      <c r="AJ599" s="111">
        <v>366.5</v>
      </c>
      <c r="AK599" s="111">
        <v>388.2</v>
      </c>
      <c r="AL599" s="111">
        <v>252</v>
      </c>
      <c r="AM599" s="111">
        <v>0.19</v>
      </c>
      <c r="AN599" s="111">
        <v>390.3</v>
      </c>
      <c r="AO599" s="111">
        <v>1.363</v>
      </c>
      <c r="AP599" s="111">
        <v>1.3680000000000001</v>
      </c>
      <c r="AQ599" s="111">
        <v>1.9350000000000001</v>
      </c>
      <c r="AR599" s="111">
        <v>78.099999999999994</v>
      </c>
      <c r="AS599" s="111">
        <v>6.81</v>
      </c>
      <c r="AT599" s="111">
        <v>79.400000000000006</v>
      </c>
      <c r="AU599" s="111">
        <v>40.691540000000003</v>
      </c>
      <c r="AV599" s="111">
        <v>-85.908550000000005</v>
      </c>
      <c r="AW599" s="111">
        <v>228.5</v>
      </c>
      <c r="AX599" s="111">
        <v>50.1</v>
      </c>
      <c r="AY599" s="111">
        <v>7.89</v>
      </c>
      <c r="AZ599" s="111">
        <v>-87.1</v>
      </c>
      <c r="BA599" s="111">
        <v>11.9</v>
      </c>
      <c r="BB599" s="111">
        <v>0</v>
      </c>
      <c r="BC599" s="111">
        <v>22.08</v>
      </c>
      <c r="BD599" s="111">
        <v>6.14</v>
      </c>
      <c r="BE599" s="111">
        <v>0</v>
      </c>
      <c r="BF599" s="211">
        <v>45915.380740740744</v>
      </c>
      <c r="BG599" s="111" t="s">
        <v>1722</v>
      </c>
    </row>
    <row r="600" spans="1:59" x14ac:dyDescent="0.25">
      <c r="A600" s="25">
        <v>10599</v>
      </c>
      <c r="B600" s="113" t="s">
        <v>773</v>
      </c>
      <c r="C600" s="119" t="s">
        <v>773</v>
      </c>
      <c r="D600" s="27" t="s">
        <v>470</v>
      </c>
      <c r="E600" s="46">
        <v>9</v>
      </c>
      <c r="F600" s="118">
        <v>4381</v>
      </c>
      <c r="G600" s="118" t="s">
        <v>19</v>
      </c>
      <c r="H600" s="118" t="s">
        <v>8</v>
      </c>
      <c r="I600">
        <v>1.9382999999999999</v>
      </c>
      <c r="J600">
        <v>1.768</v>
      </c>
      <c r="K600">
        <v>3.0000000000000001E-3</v>
      </c>
      <c r="L600" s="118">
        <v>4.2000000000000003E-2</v>
      </c>
      <c r="M600" s="140">
        <f t="shared" si="89"/>
        <v>1.9382999999999999</v>
      </c>
      <c r="N600" s="140">
        <f t="shared" si="89"/>
        <v>1.768</v>
      </c>
      <c r="O600" s="140">
        <f t="shared" si="89"/>
        <v>0.05</v>
      </c>
      <c r="P600" s="140">
        <f t="shared" si="88"/>
        <v>0.05</v>
      </c>
      <c r="Q600" s="159">
        <v>2.2515134035772446</v>
      </c>
      <c r="R600" s="125">
        <v>24.843333333333334</v>
      </c>
      <c r="S600" s="125">
        <v>4.2399999999999993</v>
      </c>
      <c r="T600" t="s">
        <v>515</v>
      </c>
      <c r="U600" t="s">
        <v>515</v>
      </c>
      <c r="V600" s="146">
        <v>1</v>
      </c>
      <c r="W600" s="118">
        <v>40.704149145676197</v>
      </c>
      <c r="X600" s="118">
        <v>-85.930015128579598</v>
      </c>
      <c r="Y600" s="140">
        <f t="shared" si="84"/>
        <v>9</v>
      </c>
      <c r="Z600" s="140">
        <f t="shared" si="85"/>
        <v>15</v>
      </c>
      <c r="AA600" s="140">
        <f t="shared" si="86"/>
        <v>2025</v>
      </c>
      <c r="AB600" s="118" t="b">
        <v>0</v>
      </c>
      <c r="AC600" s="19">
        <v>45915</v>
      </c>
      <c r="AD600" s="181" t="s">
        <v>1633</v>
      </c>
      <c r="AE600" s="209">
        <v>0.40969907407407408</v>
      </c>
      <c r="AF600" s="210">
        <v>45915</v>
      </c>
      <c r="AG600" s="111">
        <v>250915</v>
      </c>
      <c r="AH600" s="111">
        <v>0</v>
      </c>
      <c r="AI600" s="111">
        <v>745.8</v>
      </c>
      <c r="AJ600" s="111">
        <v>367.1</v>
      </c>
      <c r="AK600" s="111">
        <v>384.9</v>
      </c>
      <c r="AL600" s="111">
        <v>250</v>
      </c>
      <c r="AM600" s="111">
        <v>0.18</v>
      </c>
      <c r="AN600" s="111">
        <v>386.6</v>
      </c>
      <c r="AO600" s="111">
        <v>0.40699999999999997</v>
      </c>
      <c r="AP600" s="111">
        <v>0.41499999999999998</v>
      </c>
      <c r="AQ600" s="111">
        <v>0.57799999999999996</v>
      </c>
      <c r="AR600" s="111">
        <v>97.6</v>
      </c>
      <c r="AS600" s="111">
        <v>8.44</v>
      </c>
      <c r="AT600" s="111">
        <v>99.4</v>
      </c>
      <c r="AU600" s="111">
        <v>40.704149999999998</v>
      </c>
      <c r="AV600" s="111">
        <v>-85.930189999999996</v>
      </c>
      <c r="AW600" s="111">
        <v>227.5</v>
      </c>
      <c r="AX600" s="111">
        <v>156.19999999999999</v>
      </c>
      <c r="AY600" s="111">
        <v>8.2100000000000009</v>
      </c>
      <c r="AZ600" s="111">
        <v>-106.2</v>
      </c>
      <c r="BA600" s="111">
        <v>12</v>
      </c>
      <c r="BB600" s="111">
        <v>0</v>
      </c>
      <c r="BC600" s="111">
        <v>22.574000000000002</v>
      </c>
      <c r="BD600" s="111">
        <v>4.53</v>
      </c>
      <c r="BE600" s="111">
        <v>0</v>
      </c>
      <c r="BF600" s="211">
        <v>45915.409699074073</v>
      </c>
      <c r="BG600" s="111" t="s">
        <v>1718</v>
      </c>
    </row>
    <row r="601" spans="1:59" x14ac:dyDescent="0.25">
      <c r="A601" s="25">
        <v>10600</v>
      </c>
      <c r="B601" s="113" t="s">
        <v>774</v>
      </c>
      <c r="C601" s="119" t="s">
        <v>774</v>
      </c>
      <c r="D601" s="27" t="s">
        <v>471</v>
      </c>
      <c r="E601" s="46">
        <v>10</v>
      </c>
      <c r="F601" s="118">
        <v>2851</v>
      </c>
      <c r="G601" s="118" t="s">
        <v>19</v>
      </c>
      <c r="H601" s="118" t="s">
        <v>8</v>
      </c>
      <c r="I601">
        <v>0.1076</v>
      </c>
      <c r="J601">
        <v>1.823</v>
      </c>
      <c r="K601">
        <v>-2E-3</v>
      </c>
      <c r="L601" s="118">
        <v>3.7999999999999999E-2</v>
      </c>
      <c r="M601" s="140">
        <f t="shared" si="89"/>
        <v>0.1076</v>
      </c>
      <c r="N601" s="140">
        <f t="shared" si="89"/>
        <v>1.823</v>
      </c>
      <c r="O601" s="140">
        <f t="shared" si="89"/>
        <v>0.05</v>
      </c>
      <c r="P601" s="140">
        <f t="shared" si="88"/>
        <v>0.05</v>
      </c>
      <c r="Q601" s="159">
        <v>2.0811452544483529</v>
      </c>
      <c r="R601" s="125">
        <v>17.516666666666666</v>
      </c>
      <c r="S601" s="125">
        <v>4.9066666666666663</v>
      </c>
      <c r="T601" t="s">
        <v>515</v>
      </c>
      <c r="U601" t="s">
        <v>515</v>
      </c>
      <c r="V601" s="146">
        <v>0.9</v>
      </c>
      <c r="W601" s="118">
        <v>40.693342215129498</v>
      </c>
      <c r="X601" s="118">
        <v>-85.920376846965894</v>
      </c>
      <c r="Y601" s="140">
        <f t="shared" si="84"/>
        <v>9</v>
      </c>
      <c r="Z601" s="140">
        <f t="shared" si="85"/>
        <v>15</v>
      </c>
      <c r="AA601" s="140">
        <f t="shared" si="86"/>
        <v>2025</v>
      </c>
      <c r="AB601" s="118" t="b">
        <v>0</v>
      </c>
      <c r="AC601" s="19">
        <v>45915</v>
      </c>
      <c r="AD601" s="181" t="s">
        <v>1632</v>
      </c>
      <c r="AE601" s="209">
        <v>0.39359953703703704</v>
      </c>
      <c r="AF601" s="210">
        <v>45915</v>
      </c>
      <c r="AG601" s="111">
        <v>250915</v>
      </c>
      <c r="AH601" s="111">
        <v>0</v>
      </c>
      <c r="AI601" s="111">
        <v>745.7</v>
      </c>
      <c r="AJ601" s="111">
        <v>367.1</v>
      </c>
      <c r="AK601" s="111">
        <v>388.1</v>
      </c>
      <c r="AL601" s="111">
        <v>252</v>
      </c>
      <c r="AM601" s="111">
        <v>0.19</v>
      </c>
      <c r="AN601" s="111">
        <v>390.2</v>
      </c>
      <c r="AO601" s="111">
        <v>0.35299999999999998</v>
      </c>
      <c r="AP601" s="111">
        <v>0.35899999999999999</v>
      </c>
      <c r="AQ601" s="111">
        <v>0.502</v>
      </c>
      <c r="AR601" s="111">
        <v>76.400000000000006</v>
      </c>
      <c r="AS601" s="111">
        <v>6.65</v>
      </c>
      <c r="AT601" s="111">
        <v>77.8</v>
      </c>
      <c r="AU601" s="111">
        <v>40.693359999999998</v>
      </c>
      <c r="AV601" s="111">
        <v>-85.920649999999995</v>
      </c>
      <c r="AW601" s="111">
        <v>224.9</v>
      </c>
      <c r="AX601" s="111">
        <v>169.2</v>
      </c>
      <c r="AY601" s="111">
        <v>7.86</v>
      </c>
      <c r="AZ601" s="111">
        <v>-85.4</v>
      </c>
      <c r="BA601" s="111">
        <v>12</v>
      </c>
      <c r="BB601" s="111">
        <v>0</v>
      </c>
      <c r="BC601" s="111">
        <v>22.170999999999999</v>
      </c>
      <c r="BD601" s="111">
        <v>5.45</v>
      </c>
      <c r="BE601" s="111">
        <v>0</v>
      </c>
      <c r="BF601" s="211">
        <v>45915.393599537034</v>
      </c>
      <c r="BG601" s="111" t="s">
        <v>1725</v>
      </c>
    </row>
    <row r="602" spans="1:59" x14ac:dyDescent="0.25">
      <c r="A602" s="25">
        <v>10601</v>
      </c>
      <c r="B602" s="113" t="s">
        <v>775</v>
      </c>
      <c r="C602" s="119" t="s">
        <v>775</v>
      </c>
      <c r="D602" s="27" t="s">
        <v>472</v>
      </c>
      <c r="E602" s="46">
        <v>11</v>
      </c>
      <c r="F602" s="118">
        <v>1731</v>
      </c>
      <c r="G602" s="118" t="s">
        <v>19</v>
      </c>
      <c r="H602" s="118" t="s">
        <v>8</v>
      </c>
      <c r="I602">
        <v>-8.5000000000000006E-3</v>
      </c>
      <c r="J602">
        <v>1.6579999999999999</v>
      </c>
      <c r="K602">
        <v>2E-3</v>
      </c>
      <c r="L602" s="118">
        <v>4.2000000000000003E-2</v>
      </c>
      <c r="M602" s="140">
        <f t="shared" si="89"/>
        <v>0.05</v>
      </c>
      <c r="N602" s="140">
        <f t="shared" si="89"/>
        <v>1.6579999999999999</v>
      </c>
      <c r="O602" s="140">
        <f t="shared" si="89"/>
        <v>0.05</v>
      </c>
      <c r="P602" s="140">
        <f t="shared" si="88"/>
        <v>0.05</v>
      </c>
      <c r="Q602" s="159">
        <v>1.7950490097297731</v>
      </c>
      <c r="R602" s="125">
        <v>27.276666666666671</v>
      </c>
      <c r="S602" s="125">
        <v>2.4533333333333331</v>
      </c>
      <c r="T602" t="s">
        <v>515</v>
      </c>
      <c r="U602" t="s">
        <v>515</v>
      </c>
      <c r="V602" s="146">
        <v>1</v>
      </c>
      <c r="W602" s="118">
        <v>40.7109940238565</v>
      </c>
      <c r="X602" s="118">
        <v>-85.938752057903798</v>
      </c>
      <c r="Y602" s="140">
        <f t="shared" si="84"/>
        <v>9</v>
      </c>
      <c r="Z602" s="140">
        <f t="shared" si="85"/>
        <v>15</v>
      </c>
      <c r="AA602" s="140">
        <f t="shared" si="86"/>
        <v>2025</v>
      </c>
      <c r="AB602" s="118" t="b">
        <v>0</v>
      </c>
      <c r="AC602" s="19">
        <v>45915</v>
      </c>
      <c r="AD602" s="181" t="s">
        <v>1634</v>
      </c>
      <c r="AE602" s="209">
        <v>0.42269675925925926</v>
      </c>
      <c r="AF602" s="210">
        <v>45915</v>
      </c>
      <c r="AG602" s="111">
        <v>250915</v>
      </c>
      <c r="AH602" s="111">
        <v>0</v>
      </c>
      <c r="AI602" s="111">
        <v>745.8</v>
      </c>
      <c r="AJ602" s="111">
        <v>366</v>
      </c>
      <c r="AK602" s="111">
        <v>380.7</v>
      </c>
      <c r="AL602" s="111">
        <v>247</v>
      </c>
      <c r="AM602" s="111">
        <v>0.18</v>
      </c>
      <c r="AN602" s="111">
        <v>382.1</v>
      </c>
      <c r="AO602" s="111">
        <v>0.438</v>
      </c>
      <c r="AP602" s="111">
        <v>0.45700000000000002</v>
      </c>
      <c r="AQ602" s="111">
        <v>0.621</v>
      </c>
      <c r="AR602" s="111">
        <v>119.9</v>
      </c>
      <c r="AS602" s="111">
        <v>10.28</v>
      </c>
      <c r="AT602" s="111">
        <v>122</v>
      </c>
      <c r="AU602" s="111">
        <v>40.710990000000002</v>
      </c>
      <c r="AV602" s="111">
        <v>-85.938969999999998</v>
      </c>
      <c r="AW602" s="111">
        <v>222.9</v>
      </c>
      <c r="AX602" s="111">
        <v>162.6</v>
      </c>
      <c r="AY602" s="111">
        <v>8.52</v>
      </c>
      <c r="AZ602" s="111">
        <v>-125.3</v>
      </c>
      <c r="BA602" s="111">
        <v>12</v>
      </c>
      <c r="BB602" s="111">
        <v>0</v>
      </c>
      <c r="BC602" s="111">
        <v>22.984000000000002</v>
      </c>
      <c r="BD602" s="111">
        <v>6.62</v>
      </c>
      <c r="BE602" s="111">
        <v>0</v>
      </c>
      <c r="BF602" s="211">
        <v>45915.422696759262</v>
      </c>
      <c r="BG602" s="111" t="s">
        <v>1719</v>
      </c>
    </row>
    <row r="603" spans="1:59" x14ac:dyDescent="0.25">
      <c r="A603" s="25">
        <v>10602</v>
      </c>
      <c r="B603" s="113" t="s">
        <v>776</v>
      </c>
      <c r="C603" s="119" t="s">
        <v>776</v>
      </c>
      <c r="D603" s="27" t="s">
        <v>473</v>
      </c>
      <c r="E603" s="46">
        <v>12</v>
      </c>
      <c r="F603" s="118">
        <v>661</v>
      </c>
      <c r="G603" s="118" t="s">
        <v>19</v>
      </c>
      <c r="H603" s="118" t="s">
        <v>8</v>
      </c>
      <c r="I603">
        <v>-5.7000000000000002E-3</v>
      </c>
      <c r="J603">
        <v>1.8620000000000001</v>
      </c>
      <c r="K603">
        <v>-4.0000000000000001E-3</v>
      </c>
      <c r="L603" s="118">
        <v>4.4999999999999998E-2</v>
      </c>
      <c r="M603" s="140">
        <f t="shared" si="89"/>
        <v>0.05</v>
      </c>
      <c r="N603" s="140">
        <f t="shared" si="89"/>
        <v>1.8620000000000001</v>
      </c>
      <c r="O603" s="140">
        <f t="shared" si="89"/>
        <v>0.05</v>
      </c>
      <c r="P603" s="140">
        <f t="shared" si="88"/>
        <v>0.05</v>
      </c>
      <c r="Q603" s="159">
        <v>1.8154174846398596</v>
      </c>
      <c r="R603" s="125">
        <v>15.92</v>
      </c>
      <c r="S603" s="125">
        <v>2.1966666666666668</v>
      </c>
      <c r="T603" t="s">
        <v>515</v>
      </c>
      <c r="U603" t="s">
        <v>515</v>
      </c>
      <c r="V603" s="146">
        <v>0.75</v>
      </c>
      <c r="W603" s="118">
        <v>40.711676957477103</v>
      </c>
      <c r="X603" s="118">
        <v>-85.951316433096494</v>
      </c>
      <c r="Y603" s="140">
        <f t="shared" si="84"/>
        <v>9</v>
      </c>
      <c r="Z603" s="140">
        <f t="shared" si="85"/>
        <v>15</v>
      </c>
      <c r="AA603" s="140">
        <f t="shared" si="86"/>
        <v>2025</v>
      </c>
      <c r="AB603" s="118" t="b">
        <v>0</v>
      </c>
      <c r="AC603" s="19">
        <v>45915</v>
      </c>
      <c r="AD603" s="181" t="s">
        <v>1634</v>
      </c>
      <c r="AE603" s="209">
        <v>0.45729166666666665</v>
      </c>
      <c r="AF603" s="210">
        <v>45915</v>
      </c>
      <c r="AG603" s="111">
        <v>250915</v>
      </c>
      <c r="AH603" s="111">
        <v>0</v>
      </c>
      <c r="AI603" s="111">
        <v>745.8</v>
      </c>
      <c r="AJ603" s="111">
        <v>369.7</v>
      </c>
      <c r="AK603" s="111">
        <v>380.4</v>
      </c>
      <c r="AL603" s="111">
        <v>247</v>
      </c>
      <c r="AM603" s="111">
        <v>0.18</v>
      </c>
      <c r="AN603" s="111">
        <v>381.5</v>
      </c>
      <c r="AO603" s="111">
        <v>0.36</v>
      </c>
      <c r="AP603" s="111">
        <v>0.36399999999999999</v>
      </c>
      <c r="AQ603" s="111">
        <v>0.51100000000000001</v>
      </c>
      <c r="AR603" s="111">
        <v>125.9</v>
      </c>
      <c r="AS603" s="111">
        <v>10.68</v>
      </c>
      <c r="AT603" s="111">
        <v>128.1</v>
      </c>
      <c r="AU603" s="111">
        <v>40.711640000000003</v>
      </c>
      <c r="AV603" s="111">
        <v>-85.95147</v>
      </c>
      <c r="AW603" s="111">
        <v>226</v>
      </c>
      <c r="AX603" s="111">
        <v>126.1</v>
      </c>
      <c r="AY603" s="111">
        <v>8.59</v>
      </c>
      <c r="AZ603" s="111">
        <v>-129.80000000000001</v>
      </c>
      <c r="BA603" s="111">
        <v>11.9</v>
      </c>
      <c r="BB603" s="111">
        <v>0</v>
      </c>
      <c r="BC603" s="111">
        <v>23.526</v>
      </c>
      <c r="BD603" s="111">
        <v>7.34</v>
      </c>
      <c r="BE603" s="111">
        <v>0</v>
      </c>
      <c r="BF603" s="211">
        <v>45915.457291666666</v>
      </c>
      <c r="BG603" s="111" t="s">
        <v>1720</v>
      </c>
    </row>
    <row r="604" spans="1:59" ht="15.75" thickBot="1" x14ac:dyDescent="0.3">
      <c r="A604" s="25">
        <v>10603</v>
      </c>
      <c r="B604" s="113" t="s">
        <v>777</v>
      </c>
      <c r="C604" s="119" t="s">
        <v>777</v>
      </c>
      <c r="D604" s="27" t="s">
        <v>474</v>
      </c>
      <c r="E604" s="46">
        <v>13</v>
      </c>
      <c r="F604" s="118">
        <v>13553</v>
      </c>
      <c r="G604" s="118" t="s">
        <v>19</v>
      </c>
      <c r="H604" s="118" t="s">
        <v>8</v>
      </c>
      <c r="I604">
        <v>-3.3000000000000002E-2</v>
      </c>
      <c r="J604">
        <v>0.28299999999999997</v>
      </c>
      <c r="K604">
        <v>0</v>
      </c>
      <c r="L604" s="118">
        <v>0.111</v>
      </c>
      <c r="M604" s="140">
        <f t="shared" si="89"/>
        <v>0.05</v>
      </c>
      <c r="N604" s="140">
        <f t="shared" si="89"/>
        <v>0.28299999999999997</v>
      </c>
      <c r="O604" s="140">
        <f t="shared" si="89"/>
        <v>0.05</v>
      </c>
      <c r="P604" s="140">
        <f t="shared" si="88"/>
        <v>0.111</v>
      </c>
      <c r="Q604" s="159">
        <v>1.6284328957916983</v>
      </c>
      <c r="R604" s="125">
        <v>79.033333333333331</v>
      </c>
      <c r="S604" s="125">
        <v>1.03</v>
      </c>
      <c r="T604" t="s">
        <v>515</v>
      </c>
      <c r="U604" t="s">
        <v>515</v>
      </c>
      <c r="V604" s="146">
        <v>0.3</v>
      </c>
      <c r="W604" s="118">
        <v>40.672530476725299</v>
      </c>
      <c r="X604" s="118">
        <v>-85.841582328131494</v>
      </c>
      <c r="Y604" s="140">
        <f t="shared" si="84"/>
        <v>9</v>
      </c>
      <c r="Z604" s="140">
        <f t="shared" si="85"/>
        <v>15</v>
      </c>
      <c r="AA604" s="140">
        <f t="shared" si="86"/>
        <v>2025</v>
      </c>
      <c r="AB604" s="118" t="b">
        <v>0</v>
      </c>
      <c r="AC604" s="19">
        <v>45915</v>
      </c>
      <c r="AD604" s="181">
        <v>22</v>
      </c>
      <c r="AE604" s="209">
        <v>0.56967592592592597</v>
      </c>
      <c r="AF604" s="210">
        <v>45915</v>
      </c>
      <c r="AG604" s="111">
        <v>250915</v>
      </c>
      <c r="AH604" s="111">
        <v>0</v>
      </c>
      <c r="AI604" s="111">
        <v>745</v>
      </c>
      <c r="AJ604" s="111">
        <v>383.9</v>
      </c>
      <c r="AK604" s="111">
        <v>394.6</v>
      </c>
      <c r="AL604" s="111">
        <v>256</v>
      </c>
      <c r="AM604" s="111">
        <v>0.19</v>
      </c>
      <c r="AN604" s="111">
        <v>395.7</v>
      </c>
      <c r="AO604" s="111">
        <v>0.499</v>
      </c>
      <c r="AP604" s="111">
        <v>0.49399999999999999</v>
      </c>
      <c r="AQ604" s="111">
        <v>0.70699999999999996</v>
      </c>
      <c r="AR604" s="111">
        <v>172.3</v>
      </c>
      <c r="AS604" s="111">
        <v>14.6</v>
      </c>
      <c r="AT604" s="111">
        <v>175.3</v>
      </c>
      <c r="AU604" s="111">
        <v>40.672449999999998</v>
      </c>
      <c r="AV604" s="111">
        <v>-85.84205</v>
      </c>
      <c r="AW604" s="111">
        <v>221</v>
      </c>
      <c r="AX604" s="111">
        <v>151.6</v>
      </c>
      <c r="AY604" s="111">
        <v>8.9700000000000006</v>
      </c>
      <c r="AZ604" s="111">
        <v>-152.4</v>
      </c>
      <c r="BA604" s="111">
        <v>12</v>
      </c>
      <c r="BB604" s="111">
        <v>0</v>
      </c>
      <c r="BC604" s="111">
        <v>23.576000000000001</v>
      </c>
      <c r="BD604" s="111">
        <v>28.43</v>
      </c>
      <c r="BE604" s="111">
        <v>0</v>
      </c>
      <c r="BF604" s="211">
        <v>45915.569675925923</v>
      </c>
      <c r="BG604" s="111" t="s">
        <v>1721</v>
      </c>
    </row>
    <row r="605" spans="1:59" x14ac:dyDescent="0.25">
      <c r="A605" s="25"/>
      <c r="E605" s="239" t="s">
        <v>650</v>
      </c>
      <c r="F605" s="240"/>
      <c r="G605" s="241"/>
      <c r="H605" s="53" t="s">
        <v>644</v>
      </c>
      <c r="I605" s="89">
        <f>COUNTBLANK(I268:I496)</f>
        <v>0</v>
      </c>
      <c r="J605" s="89">
        <f>COUNTBLANK(J268:J496)</f>
        <v>0</v>
      </c>
      <c r="K605" s="89">
        <f>COUNTBLANK(K268:K496)</f>
        <v>0</v>
      </c>
      <c r="L605" s="89">
        <f>COUNTBLANK(L268:L496)</f>
        <v>0</v>
      </c>
      <c r="M605" s="89">
        <f t="shared" ref="M605:P605" si="90">COUNTBLANK(M268:M496)</f>
        <v>0</v>
      </c>
      <c r="N605" s="89">
        <f t="shared" si="90"/>
        <v>0</v>
      </c>
      <c r="O605" s="89">
        <f t="shared" si="90"/>
        <v>0</v>
      </c>
      <c r="P605" s="89">
        <f t="shared" si="90"/>
        <v>0</v>
      </c>
      <c r="Q605" s="167">
        <f>(COUNTBLANK(Q268:Q496))</f>
        <v>0</v>
      </c>
      <c r="R605" s="89">
        <f>COUNTBLANK(R268:R496)</f>
        <v>0</v>
      </c>
      <c r="S605" s="90">
        <f>COUNTBLANK(S268:S496)</f>
        <v>0</v>
      </c>
      <c r="T605" s="90">
        <f>COUNTBLANK(T268:T496)</f>
        <v>0</v>
      </c>
      <c r="U605" s="90">
        <f>COUNTBLANK(U268:U496)</f>
        <v>0</v>
      </c>
      <c r="V605" s="95"/>
    </row>
    <row r="606" spans="1:59" x14ac:dyDescent="0.25">
      <c r="A606" s="25"/>
      <c r="E606" s="242"/>
      <c r="F606" s="243"/>
      <c r="G606" s="244"/>
      <c r="H606" s="54" t="s">
        <v>645</v>
      </c>
      <c r="I606" s="91">
        <f>I607-I605</f>
        <v>229</v>
      </c>
      <c r="J606" s="91">
        <f t="shared" ref="J606:S606" si="91">J607-J605</f>
        <v>229</v>
      </c>
      <c r="K606" s="91">
        <f t="shared" si="91"/>
        <v>229</v>
      </c>
      <c r="L606" s="91">
        <f t="shared" si="91"/>
        <v>229</v>
      </c>
      <c r="M606" s="91">
        <f t="shared" ref="M606:P606" si="92">M607-M605</f>
        <v>230</v>
      </c>
      <c r="N606" s="91">
        <f t="shared" si="92"/>
        <v>231</v>
      </c>
      <c r="O606" s="91">
        <f t="shared" si="92"/>
        <v>232</v>
      </c>
      <c r="P606" s="91">
        <f t="shared" si="92"/>
        <v>233</v>
      </c>
      <c r="Q606" s="168">
        <f t="shared" si="91"/>
        <v>229</v>
      </c>
      <c r="R606" s="91">
        <f t="shared" si="91"/>
        <v>229</v>
      </c>
      <c r="S606" s="92">
        <f t="shared" si="91"/>
        <v>229</v>
      </c>
      <c r="T606" s="92">
        <f t="shared" ref="T606:U606" si="93">T607-T605</f>
        <v>229</v>
      </c>
      <c r="U606" s="92">
        <f t="shared" si="93"/>
        <v>229</v>
      </c>
      <c r="V606" s="91"/>
    </row>
    <row r="607" spans="1:59" ht="15.75" thickBot="1" x14ac:dyDescent="0.3">
      <c r="E607" s="242"/>
      <c r="F607" s="243"/>
      <c r="G607" s="244"/>
      <c r="H607" s="55" t="s">
        <v>642</v>
      </c>
      <c r="I607" s="93">
        <v>229</v>
      </c>
      <c r="J607" s="93">
        <v>229</v>
      </c>
      <c r="K607" s="93">
        <v>229</v>
      </c>
      <c r="L607" s="93">
        <v>229</v>
      </c>
      <c r="M607" s="93">
        <v>230</v>
      </c>
      <c r="N607" s="93">
        <v>231</v>
      </c>
      <c r="O607" s="93">
        <v>232</v>
      </c>
      <c r="P607" s="93">
        <v>233</v>
      </c>
      <c r="Q607" s="169">
        <v>229</v>
      </c>
      <c r="R607" s="93">
        <v>229</v>
      </c>
      <c r="S607" s="94">
        <v>229</v>
      </c>
      <c r="T607" s="94">
        <v>229</v>
      </c>
      <c r="U607" s="94">
        <v>229</v>
      </c>
      <c r="V607" s="152"/>
      <c r="W607" t="s">
        <v>680</v>
      </c>
    </row>
    <row r="608" spans="1:59" ht="30.75" thickBot="1" x14ac:dyDescent="0.3">
      <c r="E608" s="242"/>
      <c r="F608" s="243"/>
      <c r="G608" s="244"/>
      <c r="H608" s="86" t="s">
        <v>648</v>
      </c>
      <c r="I608" s="87">
        <f>I606/I607</f>
        <v>1</v>
      </c>
      <c r="J608" s="87">
        <f t="shared" ref="J608:S608" si="94">J606/J607</f>
        <v>1</v>
      </c>
      <c r="K608" s="87">
        <f t="shared" si="94"/>
        <v>1</v>
      </c>
      <c r="L608" s="87">
        <f t="shared" si="94"/>
        <v>1</v>
      </c>
      <c r="M608" s="87"/>
      <c r="N608" s="87"/>
      <c r="O608" s="87"/>
      <c r="P608" s="87"/>
      <c r="Q608" s="170">
        <f t="shared" si="94"/>
        <v>1</v>
      </c>
      <c r="R608" s="87">
        <f t="shared" si="94"/>
        <v>1</v>
      </c>
      <c r="S608" s="88">
        <f t="shared" si="94"/>
        <v>1</v>
      </c>
      <c r="T608" s="88">
        <f t="shared" ref="T608:U608" si="95">T606/T607</f>
        <v>1</v>
      </c>
      <c r="U608" s="88">
        <f t="shared" si="95"/>
        <v>1</v>
      </c>
      <c r="V608" s="153"/>
      <c r="W608" s="107">
        <f>AVERAGE(I608:U608)</f>
        <v>1</v>
      </c>
    </row>
    <row r="609" spans="5:23" ht="30.75" thickBot="1" x14ac:dyDescent="0.3">
      <c r="E609" s="242"/>
      <c r="F609" s="243"/>
      <c r="G609" s="244"/>
      <c r="H609" s="57" t="s">
        <v>646</v>
      </c>
      <c r="I609" s="58"/>
      <c r="J609" s="58"/>
      <c r="K609" s="58"/>
      <c r="L609" s="58"/>
      <c r="M609" s="58"/>
      <c r="N609" s="58"/>
      <c r="O609" s="58"/>
      <c r="P609" s="58"/>
      <c r="Q609" s="171">
        <v>61</v>
      </c>
      <c r="R609" s="58">
        <v>14</v>
      </c>
      <c r="S609" s="59">
        <v>14</v>
      </c>
      <c r="T609" s="59"/>
      <c r="U609" s="59"/>
      <c r="V609" s="151"/>
    </row>
    <row r="610" spans="5:23" ht="15.75" thickBot="1" x14ac:dyDescent="0.3">
      <c r="E610" s="242"/>
      <c r="F610" s="243"/>
      <c r="G610" s="244"/>
      <c r="H610" s="60" t="s">
        <v>647</v>
      </c>
      <c r="I610" s="61">
        <f t="shared" ref="I610:L610" si="96">I609/I607</f>
        <v>0</v>
      </c>
      <c r="J610" s="61">
        <f t="shared" si="96"/>
        <v>0</v>
      </c>
      <c r="K610" s="61">
        <f t="shared" si="96"/>
        <v>0</v>
      </c>
      <c r="L610" s="61">
        <f t="shared" si="96"/>
        <v>0</v>
      </c>
      <c r="M610" s="61"/>
      <c r="N610" s="61"/>
      <c r="O610" s="61"/>
      <c r="P610" s="61"/>
      <c r="Q610" s="172">
        <f>Q609/Q607</f>
        <v>0.26637554585152839</v>
      </c>
      <c r="R610" s="61">
        <f t="shared" ref="R610" si="97">R609/R607</f>
        <v>6.1135371179039298E-2</v>
      </c>
      <c r="S610" s="62">
        <f t="shared" ref="S610:U610" si="98">S609/S607</f>
        <v>6.1135371179039298E-2</v>
      </c>
      <c r="T610" s="62">
        <f t="shared" si="98"/>
        <v>0</v>
      </c>
      <c r="U610" s="62">
        <f t="shared" si="98"/>
        <v>0</v>
      </c>
      <c r="V610" s="61"/>
    </row>
    <row r="611" spans="5:23" ht="30.75" thickBot="1" x14ac:dyDescent="0.3">
      <c r="E611" s="242"/>
      <c r="F611" s="243"/>
      <c r="G611" s="244"/>
      <c r="H611" s="99" t="s">
        <v>649</v>
      </c>
      <c r="I611" s="100">
        <f>I606-I609</f>
        <v>229</v>
      </c>
      <c r="J611" s="100">
        <f t="shared" ref="J611:S611" si="99">J606-J609</f>
        <v>229</v>
      </c>
      <c r="K611" s="100">
        <f t="shared" si="99"/>
        <v>229</v>
      </c>
      <c r="L611" s="100">
        <f t="shared" si="99"/>
        <v>229</v>
      </c>
      <c r="M611" s="100"/>
      <c r="N611" s="100"/>
      <c r="O611" s="100"/>
      <c r="P611" s="100"/>
      <c r="Q611" s="173">
        <f t="shared" si="99"/>
        <v>168</v>
      </c>
      <c r="R611" s="100">
        <f t="shared" si="99"/>
        <v>215</v>
      </c>
      <c r="S611" s="101">
        <f t="shared" si="99"/>
        <v>215</v>
      </c>
      <c r="T611" s="101">
        <f t="shared" ref="T611:U611" si="100">T606-T609</f>
        <v>229</v>
      </c>
      <c r="U611" s="101">
        <f t="shared" si="100"/>
        <v>229</v>
      </c>
      <c r="V611" s="154"/>
    </row>
    <row r="612" spans="5:23" x14ac:dyDescent="0.25">
      <c r="E612" s="72"/>
      <c r="F612" s="112"/>
      <c r="G612" s="74" t="s">
        <v>651</v>
      </c>
      <c r="H612" s="102"/>
      <c r="I612" s="102"/>
      <c r="J612" s="102"/>
      <c r="K612" s="102"/>
      <c r="L612" s="102"/>
      <c r="M612" s="102"/>
      <c r="N612" s="102"/>
      <c r="O612" s="102"/>
      <c r="P612" s="102"/>
      <c r="Q612" s="174">
        <v>26</v>
      </c>
      <c r="R612" s="102"/>
      <c r="S612" s="103"/>
      <c r="T612" s="103"/>
      <c r="U612" s="103"/>
      <c r="V612" s="155"/>
    </row>
    <row r="613" spans="5:23" ht="15.75" thickBot="1" x14ac:dyDescent="0.3">
      <c r="E613" s="73"/>
      <c r="F613" s="112"/>
      <c r="G613" s="75" t="s">
        <v>675</v>
      </c>
      <c r="H613" s="84"/>
      <c r="I613" s="84">
        <f>COUNTIF(I281:I496, "&lt;0")</f>
        <v>91</v>
      </c>
      <c r="J613" s="84">
        <f>COUNTIF(J281:J496, "&lt;0")</f>
        <v>0</v>
      </c>
      <c r="K613" s="84">
        <f>COUNTIF(K281:K496, "&lt;0")</f>
        <v>42</v>
      </c>
      <c r="L613" s="84"/>
      <c r="M613" s="84"/>
      <c r="N613" s="84"/>
      <c r="O613" s="84"/>
      <c r="P613" s="84"/>
      <c r="Q613" s="175"/>
      <c r="R613" s="84"/>
      <c r="S613" s="85"/>
      <c r="T613" s="85"/>
      <c r="U613" s="85"/>
      <c r="V613" s="155"/>
    </row>
    <row r="614" spans="5:23" x14ac:dyDescent="0.25">
      <c r="E614" s="242" t="s">
        <v>677</v>
      </c>
      <c r="F614" s="243"/>
      <c r="G614" s="244"/>
      <c r="H614" s="83" t="s">
        <v>644</v>
      </c>
      <c r="I614" s="95">
        <f>COUNTBLANK(I2:I267)</f>
        <v>0</v>
      </c>
      <c r="J614" s="95">
        <f>COUNTBLANK(J2:J267)</f>
        <v>0</v>
      </c>
      <c r="K614" s="95">
        <f>COUNTBLANK(K2:K267)</f>
        <v>0</v>
      </c>
      <c r="L614" s="95">
        <f>COUNTBLANK(L2:L267)</f>
        <v>0</v>
      </c>
      <c r="M614" s="95"/>
      <c r="N614" s="95"/>
      <c r="O614" s="95"/>
      <c r="P614" s="95"/>
      <c r="Q614" s="176">
        <f>COUNTBLANK(Q2:Q267)</f>
        <v>0</v>
      </c>
      <c r="R614" s="95">
        <f>COUNTBLANK(R2:R267)</f>
        <v>0</v>
      </c>
      <c r="S614" s="96">
        <f>COUNTBLANK(S2:S267)</f>
        <v>0</v>
      </c>
      <c r="T614" s="96">
        <f>COUNTBLANK(T2:T267)</f>
        <v>0</v>
      </c>
      <c r="U614" s="96">
        <f>COUNTBLANK(U2:U267)</f>
        <v>0</v>
      </c>
      <c r="V614" s="95"/>
    </row>
    <row r="615" spans="5:23" x14ac:dyDescent="0.25">
      <c r="E615" s="242"/>
      <c r="F615" s="243"/>
      <c r="G615" s="244"/>
      <c r="H615" s="54" t="s">
        <v>645</v>
      </c>
      <c r="I615" s="91">
        <f>I616-I614</f>
        <v>266</v>
      </c>
      <c r="J615" s="91">
        <f t="shared" ref="J615:S615" si="101">J616-J614</f>
        <v>266</v>
      </c>
      <c r="K615" s="91">
        <f t="shared" si="101"/>
        <v>266</v>
      </c>
      <c r="L615" s="91">
        <f t="shared" si="101"/>
        <v>266</v>
      </c>
      <c r="M615" s="91"/>
      <c r="N615" s="91"/>
      <c r="O615" s="91"/>
      <c r="P615" s="91"/>
      <c r="Q615" s="168">
        <f t="shared" si="101"/>
        <v>266</v>
      </c>
      <c r="R615" s="91">
        <f t="shared" si="101"/>
        <v>266</v>
      </c>
      <c r="S615" s="92">
        <f t="shared" si="101"/>
        <v>266</v>
      </c>
      <c r="T615" s="92">
        <f t="shared" ref="T615:U615" si="102">T616-T614</f>
        <v>266</v>
      </c>
      <c r="U615" s="92">
        <f t="shared" si="102"/>
        <v>266</v>
      </c>
      <c r="V615" s="91"/>
    </row>
    <row r="616" spans="5:23" ht="15.75" thickBot="1" x14ac:dyDescent="0.3">
      <c r="E616" s="242"/>
      <c r="F616" s="243"/>
      <c r="G616" s="244"/>
      <c r="H616" s="55" t="s">
        <v>642</v>
      </c>
      <c r="I616" s="93">
        <v>266</v>
      </c>
      <c r="J616" s="93">
        <v>266</v>
      </c>
      <c r="K616" s="93">
        <v>266</v>
      </c>
      <c r="L616" s="93">
        <v>266</v>
      </c>
      <c r="M616" s="93"/>
      <c r="N616" s="93"/>
      <c r="O616" s="93"/>
      <c r="P616" s="93"/>
      <c r="Q616" s="169">
        <v>266</v>
      </c>
      <c r="R616" s="93">
        <v>266</v>
      </c>
      <c r="S616" s="94">
        <v>266</v>
      </c>
      <c r="T616" s="94">
        <v>266</v>
      </c>
      <c r="U616" s="94">
        <v>266</v>
      </c>
      <c r="V616" s="152"/>
      <c r="W616" t="s">
        <v>680</v>
      </c>
    </row>
    <row r="617" spans="5:23" ht="30.75" thickBot="1" x14ac:dyDescent="0.3">
      <c r="E617" s="242"/>
      <c r="F617" s="243"/>
      <c r="G617" s="244"/>
      <c r="H617" s="86" t="s">
        <v>648</v>
      </c>
      <c r="I617" s="87">
        <f>I615/I616</f>
        <v>1</v>
      </c>
      <c r="J617" s="87">
        <f t="shared" ref="J617:S617" si="103">J615/J616</f>
        <v>1</v>
      </c>
      <c r="K617" s="87">
        <f t="shared" si="103"/>
        <v>1</v>
      </c>
      <c r="L617" s="87">
        <f t="shared" si="103"/>
        <v>1</v>
      </c>
      <c r="M617" s="87"/>
      <c r="N617" s="87"/>
      <c r="O617" s="87"/>
      <c r="P617" s="87"/>
      <c r="Q617" s="170">
        <f t="shared" si="103"/>
        <v>1</v>
      </c>
      <c r="R617" s="87">
        <f t="shared" si="103"/>
        <v>1</v>
      </c>
      <c r="S617" s="88">
        <f t="shared" si="103"/>
        <v>1</v>
      </c>
      <c r="T617" s="88">
        <f t="shared" ref="T617:U617" si="104">T615/T616</f>
        <v>1</v>
      </c>
      <c r="U617" s="88">
        <f t="shared" si="104"/>
        <v>1</v>
      </c>
      <c r="V617" s="153"/>
      <c r="W617" s="107">
        <f>AVERAGE(I617:U617)</f>
        <v>1</v>
      </c>
    </row>
    <row r="618" spans="5:23" ht="30.75" thickBot="1" x14ac:dyDescent="0.3">
      <c r="E618" s="242"/>
      <c r="F618" s="243"/>
      <c r="G618" s="244"/>
      <c r="H618" s="57" t="s">
        <v>646</v>
      </c>
      <c r="I618" s="58"/>
      <c r="J618" s="58"/>
      <c r="K618" s="58"/>
      <c r="L618" s="58"/>
      <c r="M618" s="58"/>
      <c r="N618" s="58"/>
      <c r="O618" s="58"/>
      <c r="P618" s="58"/>
      <c r="Q618" s="171">
        <f>COUNTIF(Q2:Q267, "=NO DATA")</f>
        <v>198</v>
      </c>
      <c r="R618" s="58">
        <f>COUNTIF(R2:R267, "=NO DATA")</f>
        <v>40</v>
      </c>
      <c r="S618" s="59">
        <f>COUNTIF(S2:S267, "=NO DATA")</f>
        <v>266</v>
      </c>
      <c r="T618" s="59">
        <f>COUNTIF(T2:T267, "=NO DATA")</f>
        <v>0</v>
      </c>
      <c r="U618" s="59">
        <f>COUNTIF(U2:U267, "=NO DATA")</f>
        <v>0</v>
      </c>
      <c r="V618" s="151"/>
    </row>
    <row r="619" spans="5:23" ht="15.75" thickBot="1" x14ac:dyDescent="0.3">
      <c r="E619" s="242"/>
      <c r="F619" s="243"/>
      <c r="G619" s="244"/>
      <c r="H619" s="60" t="s">
        <v>647</v>
      </c>
      <c r="I619" s="61">
        <f t="shared" ref="I619:L619" si="105">I618/I616</f>
        <v>0</v>
      </c>
      <c r="J619" s="61">
        <f t="shared" si="105"/>
        <v>0</v>
      </c>
      <c r="K619" s="61">
        <f t="shared" si="105"/>
        <v>0</v>
      </c>
      <c r="L619" s="61">
        <f t="shared" si="105"/>
        <v>0</v>
      </c>
      <c r="M619" s="61"/>
      <c r="N619" s="61"/>
      <c r="O619" s="61"/>
      <c r="P619" s="61"/>
      <c r="Q619" s="172">
        <f>Q618/Q616</f>
        <v>0.74436090225563911</v>
      </c>
      <c r="R619" s="61">
        <f t="shared" ref="R619:S619" si="106">R618/R616</f>
        <v>0.15037593984962405</v>
      </c>
      <c r="S619" s="62">
        <f t="shared" si="106"/>
        <v>1</v>
      </c>
      <c r="T619" s="62">
        <f t="shared" ref="T619:U619" si="107">T618/T616</f>
        <v>0</v>
      </c>
      <c r="U619" s="62">
        <f t="shared" si="107"/>
        <v>0</v>
      </c>
      <c r="V619" s="61"/>
    </row>
    <row r="620" spans="5:23" ht="30.75" thickBot="1" x14ac:dyDescent="0.3">
      <c r="E620" s="242"/>
      <c r="F620" s="243"/>
      <c r="G620" s="244"/>
      <c r="H620" s="99" t="s">
        <v>649</v>
      </c>
      <c r="I620" s="100">
        <f>I615-I618</f>
        <v>266</v>
      </c>
      <c r="J620" s="100">
        <f t="shared" ref="J620:S620" si="108">J615-J618</f>
        <v>266</v>
      </c>
      <c r="K620" s="100">
        <f t="shared" si="108"/>
        <v>266</v>
      </c>
      <c r="L620" s="100">
        <f t="shared" si="108"/>
        <v>266</v>
      </c>
      <c r="M620" s="100"/>
      <c r="N620" s="100"/>
      <c r="O620" s="100"/>
      <c r="P620" s="100"/>
      <c r="Q620" s="173">
        <f t="shared" si="108"/>
        <v>68</v>
      </c>
      <c r="R620" s="100">
        <f t="shared" si="108"/>
        <v>226</v>
      </c>
      <c r="S620" s="101">
        <f t="shared" si="108"/>
        <v>0</v>
      </c>
      <c r="T620" s="101">
        <f t="shared" ref="T620:U620" si="109">T615-T618</f>
        <v>266</v>
      </c>
      <c r="U620" s="101">
        <f t="shared" si="109"/>
        <v>266</v>
      </c>
      <c r="V620" s="154"/>
    </row>
    <row r="621" spans="5:23" x14ac:dyDescent="0.25">
      <c r="E621" s="76"/>
      <c r="F621" s="119"/>
      <c r="G621" s="79" t="s">
        <v>651</v>
      </c>
      <c r="H621" s="97"/>
      <c r="I621" s="97"/>
      <c r="J621" s="97"/>
      <c r="K621" s="97"/>
      <c r="L621" s="97"/>
      <c r="M621" s="97"/>
      <c r="N621" s="97"/>
      <c r="O621" s="97"/>
      <c r="P621" s="97"/>
      <c r="Q621" s="177">
        <f>COUNTIF(Q2:Q267, "&lt;.15")</f>
        <v>28</v>
      </c>
      <c r="R621" s="97"/>
      <c r="S621" s="98"/>
      <c r="T621" s="98"/>
      <c r="U621" s="98"/>
      <c r="V621" s="156"/>
    </row>
    <row r="622" spans="5:23" ht="15.75" thickBot="1" x14ac:dyDescent="0.3">
      <c r="E622" s="77"/>
      <c r="F622" s="78"/>
      <c r="G622" s="80" t="s">
        <v>675</v>
      </c>
      <c r="H622" s="81"/>
      <c r="I622" s="81">
        <f>COUNTIF(I2:I267, "&lt;0")</f>
        <v>0</v>
      </c>
      <c r="J622" s="81">
        <f>COUNTIF(J2:J267, "&lt;0")</f>
        <v>0</v>
      </c>
      <c r="K622" s="81">
        <f>COUNTIF(K2:K267, "&lt;0")</f>
        <v>61</v>
      </c>
      <c r="L622" s="81">
        <f>COUNTIF(L2:L267, "&lt;0")</f>
        <v>1</v>
      </c>
      <c r="M622" s="81"/>
      <c r="N622" s="81"/>
      <c r="O622" s="81"/>
      <c r="P622" s="81"/>
      <c r="Q622" s="178"/>
      <c r="R622" s="81"/>
      <c r="S622" s="82"/>
      <c r="T622" s="82"/>
      <c r="U622" s="82"/>
      <c r="V622" s="156"/>
    </row>
    <row r="623" spans="5:23" x14ac:dyDescent="0.25">
      <c r="E623" s="239" t="s">
        <v>778</v>
      </c>
      <c r="F623" s="240"/>
      <c r="G623" s="241"/>
      <c r="H623" s="53" t="s">
        <v>644</v>
      </c>
      <c r="I623" s="89">
        <f t="shared" ref="I623:U623" si="110">COUNTBLANK(I497:I604)</f>
        <v>0</v>
      </c>
      <c r="J623" s="89">
        <f t="shared" si="110"/>
        <v>0</v>
      </c>
      <c r="K623" s="89">
        <f t="shared" si="110"/>
        <v>0</v>
      </c>
      <c r="L623" s="89">
        <f t="shared" si="110"/>
        <v>0</v>
      </c>
      <c r="M623" s="89"/>
      <c r="N623" s="89"/>
      <c r="O623" s="89"/>
      <c r="P623" s="89">
        <f t="shared" si="110"/>
        <v>0</v>
      </c>
      <c r="Q623" s="167">
        <f t="shared" si="110"/>
        <v>0</v>
      </c>
      <c r="R623" s="89">
        <f t="shared" si="110"/>
        <v>0</v>
      </c>
      <c r="S623" s="89">
        <f t="shared" si="110"/>
        <v>0</v>
      </c>
      <c r="T623" s="89">
        <f t="shared" si="110"/>
        <v>0</v>
      </c>
      <c r="U623" s="89">
        <f t="shared" si="110"/>
        <v>0</v>
      </c>
      <c r="V623" s="95"/>
    </row>
    <row r="624" spans="5:23" x14ac:dyDescent="0.25">
      <c r="E624" s="242"/>
      <c r="F624" s="243"/>
      <c r="G624" s="244"/>
      <c r="H624" s="54" t="s">
        <v>645</v>
      </c>
      <c r="I624" s="91">
        <f>I625-I623</f>
        <v>93</v>
      </c>
      <c r="J624" s="91">
        <f t="shared" ref="J624:L624" si="111">J625-J623</f>
        <v>93</v>
      </c>
      <c r="K624" s="91">
        <f t="shared" si="111"/>
        <v>93</v>
      </c>
      <c r="L624" s="91">
        <f t="shared" si="111"/>
        <v>93</v>
      </c>
      <c r="M624" s="91"/>
      <c r="N624" s="91"/>
      <c r="O624" s="91"/>
      <c r="P624" s="91"/>
      <c r="Q624" s="168">
        <f t="shared" ref="Q624:S624" si="112">Q625-Q623</f>
        <v>93</v>
      </c>
      <c r="R624" s="91">
        <f t="shared" si="112"/>
        <v>93</v>
      </c>
      <c r="S624" s="92">
        <f t="shared" si="112"/>
        <v>93</v>
      </c>
      <c r="T624" s="92"/>
      <c r="U624" s="92"/>
      <c r="V624" s="91"/>
    </row>
    <row r="625" spans="5:22" ht="15.75" thickBot="1" x14ac:dyDescent="0.3">
      <c r="E625" s="242"/>
      <c r="F625" s="243"/>
      <c r="G625" s="244"/>
      <c r="H625" s="55" t="s">
        <v>642</v>
      </c>
      <c r="I625" s="93">
        <v>93</v>
      </c>
      <c r="J625" s="93">
        <v>93</v>
      </c>
      <c r="K625" s="93">
        <v>93</v>
      </c>
      <c r="L625" s="93">
        <v>93</v>
      </c>
      <c r="M625" s="93"/>
      <c r="N625" s="93"/>
      <c r="O625" s="93"/>
      <c r="P625" s="93">
        <v>93</v>
      </c>
      <c r="Q625" s="169">
        <v>93</v>
      </c>
      <c r="R625" s="93">
        <v>93</v>
      </c>
      <c r="S625" s="93">
        <v>93</v>
      </c>
      <c r="T625" s="93">
        <v>93</v>
      </c>
      <c r="U625" s="93">
        <v>93</v>
      </c>
      <c r="V625" s="152"/>
    </row>
    <row r="626" spans="5:22" ht="30.75" thickBot="1" x14ac:dyDescent="0.3">
      <c r="E626" s="242"/>
      <c r="F626" s="243"/>
      <c r="G626" s="244"/>
      <c r="H626" s="86" t="s">
        <v>648</v>
      </c>
      <c r="I626" s="87">
        <f>I624/I625</f>
        <v>1</v>
      </c>
      <c r="J626" s="87">
        <f t="shared" ref="J626:L626" si="113">J624/J625</f>
        <v>1</v>
      </c>
      <c r="K626" s="87">
        <f t="shared" si="113"/>
        <v>1</v>
      </c>
      <c r="L626" s="87">
        <f t="shared" si="113"/>
        <v>1</v>
      </c>
      <c r="M626" s="87"/>
      <c r="N626" s="87"/>
      <c r="O626" s="87"/>
      <c r="P626" s="87"/>
      <c r="Q626" s="170">
        <f t="shared" ref="Q626:U626" si="114">Q624/Q625</f>
        <v>1</v>
      </c>
      <c r="R626" s="87">
        <f t="shared" si="114"/>
        <v>1</v>
      </c>
      <c r="S626" s="88">
        <f t="shared" si="114"/>
        <v>1</v>
      </c>
      <c r="T626" s="88">
        <f t="shared" si="114"/>
        <v>0</v>
      </c>
      <c r="U626" s="88">
        <f t="shared" si="114"/>
        <v>0</v>
      </c>
      <c r="V626" s="153"/>
    </row>
    <row r="627" spans="5:22" ht="30.75" thickBot="1" x14ac:dyDescent="0.3">
      <c r="E627" s="242"/>
      <c r="F627" s="243"/>
      <c r="G627" s="244"/>
      <c r="H627" s="57" t="s">
        <v>646</v>
      </c>
      <c r="I627" s="58"/>
      <c r="J627" s="58"/>
      <c r="K627" s="58"/>
      <c r="L627" s="58"/>
      <c r="M627" s="58"/>
      <c r="N627" s="58"/>
      <c r="O627" s="58"/>
      <c r="P627" s="58"/>
      <c r="Q627" s="171"/>
      <c r="R627" s="58"/>
      <c r="S627" s="59"/>
      <c r="T627" s="59"/>
      <c r="U627" s="59"/>
      <c r="V627" s="151"/>
    </row>
    <row r="628" spans="5:22" ht="15.75" thickBot="1" x14ac:dyDescent="0.3">
      <c r="E628" s="242"/>
      <c r="F628" s="243"/>
      <c r="G628" s="244"/>
      <c r="H628" s="60" t="s">
        <v>647</v>
      </c>
      <c r="I628" s="61">
        <f t="shared" ref="I628:L628" si="115">I627/I625</f>
        <v>0</v>
      </c>
      <c r="J628" s="61">
        <f t="shared" si="115"/>
        <v>0</v>
      </c>
      <c r="K628" s="61">
        <f t="shared" si="115"/>
        <v>0</v>
      </c>
      <c r="L628" s="61">
        <f t="shared" si="115"/>
        <v>0</v>
      </c>
      <c r="M628" s="61"/>
      <c r="N628" s="61"/>
      <c r="O628" s="61"/>
      <c r="P628" s="61"/>
      <c r="Q628" s="172">
        <f>Q627/Q625</f>
        <v>0</v>
      </c>
      <c r="R628" s="61">
        <f t="shared" ref="R628:U628" si="116">R627/R625</f>
        <v>0</v>
      </c>
      <c r="S628" s="62">
        <f t="shared" si="116"/>
        <v>0</v>
      </c>
      <c r="T628" s="62">
        <f t="shared" si="116"/>
        <v>0</v>
      </c>
      <c r="U628" s="62">
        <f t="shared" si="116"/>
        <v>0</v>
      </c>
      <c r="V628" s="61"/>
    </row>
    <row r="629" spans="5:22" ht="30.75" thickBot="1" x14ac:dyDescent="0.3">
      <c r="E629" s="242"/>
      <c r="F629" s="243"/>
      <c r="G629" s="244"/>
      <c r="H629" s="99" t="s">
        <v>649</v>
      </c>
      <c r="I629" s="100">
        <f>I624-I627</f>
        <v>93</v>
      </c>
      <c r="J629" s="100">
        <f t="shared" ref="J629:L629" si="117">J624-J627</f>
        <v>93</v>
      </c>
      <c r="K629" s="100">
        <f t="shared" si="117"/>
        <v>93</v>
      </c>
      <c r="L629" s="100">
        <f t="shared" si="117"/>
        <v>93</v>
      </c>
      <c r="M629" s="100"/>
      <c r="N629" s="100"/>
      <c r="O629" s="100"/>
      <c r="P629" s="100"/>
      <c r="Q629" s="173">
        <f t="shared" ref="Q629:U629" si="118">Q624-Q627</f>
        <v>93</v>
      </c>
      <c r="R629" s="100">
        <f t="shared" si="118"/>
        <v>93</v>
      </c>
      <c r="S629" s="101">
        <f t="shared" si="118"/>
        <v>93</v>
      </c>
      <c r="T629" s="101">
        <f t="shared" si="118"/>
        <v>0</v>
      </c>
      <c r="U629" s="101">
        <f t="shared" si="118"/>
        <v>0</v>
      </c>
      <c r="V629" s="154"/>
    </row>
    <row r="630" spans="5:22" x14ac:dyDescent="0.25">
      <c r="E630" s="72"/>
      <c r="F630" s="112"/>
      <c r="G630" s="74" t="s">
        <v>651</v>
      </c>
      <c r="H630" s="102"/>
      <c r="I630" s="102"/>
      <c r="J630" s="102"/>
      <c r="K630" s="102"/>
      <c r="L630" s="102"/>
      <c r="M630" s="102"/>
      <c r="N630" s="102"/>
      <c r="O630" s="102"/>
      <c r="P630" s="102"/>
      <c r="Q630" s="174"/>
      <c r="R630" s="102"/>
      <c r="S630" s="103"/>
      <c r="T630" s="103"/>
      <c r="U630" s="103"/>
      <c r="V630" s="155"/>
    </row>
    <row r="631" spans="5:22" ht="15.75" thickBot="1" x14ac:dyDescent="0.3">
      <c r="E631" s="73"/>
      <c r="F631" s="112"/>
      <c r="G631" s="75" t="s">
        <v>675</v>
      </c>
      <c r="H631" s="84"/>
      <c r="I631" s="84"/>
      <c r="J631" s="84"/>
      <c r="K631" s="84"/>
      <c r="L631" s="84"/>
      <c r="M631" s="84"/>
      <c r="N631" s="84"/>
      <c r="O631" s="84"/>
      <c r="P631" s="84"/>
      <c r="Q631" s="175"/>
      <c r="R631" s="84"/>
      <c r="S631" s="85"/>
      <c r="T631" s="85"/>
      <c r="U631" s="85"/>
      <c r="V631" s="155"/>
    </row>
  </sheetData>
  <sortState xmlns:xlrd2="http://schemas.microsoft.com/office/spreadsheetml/2017/richdata2" ref="A2:AC437">
    <sortCondition ref="AA2:AA437"/>
    <sortCondition ref="Y2:Y437"/>
    <sortCondition ref="Z2:Z437"/>
  </sortState>
  <mergeCells count="3">
    <mergeCell ref="E605:G611"/>
    <mergeCell ref="E614:G620"/>
    <mergeCell ref="E623:G629"/>
  </mergeCells>
  <phoneticPr fontId="1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4AC5-49AB-4195-9B0A-7FD53BB08E96}">
  <dimension ref="A1:AC219"/>
  <sheetViews>
    <sheetView workbookViewId="0">
      <selection sqref="A1:AC219"/>
    </sheetView>
  </sheetViews>
  <sheetFormatPr defaultRowHeight="15" x14ac:dyDescent="0.25"/>
  <sheetData>
    <row r="1" spans="1:29" x14ac:dyDescent="0.25">
      <c r="A1" s="118" t="s">
        <v>1684</v>
      </c>
      <c r="B1" s="118" t="s">
        <v>1685</v>
      </c>
      <c r="C1" s="118" t="s">
        <v>1686</v>
      </c>
      <c r="D1" s="118" t="s">
        <v>1687</v>
      </c>
      <c r="E1" s="118" t="s">
        <v>1688</v>
      </c>
      <c r="F1" s="118" t="s">
        <v>1689</v>
      </c>
      <c r="G1" s="118" t="s">
        <v>1690</v>
      </c>
      <c r="H1" s="118" t="s">
        <v>1691</v>
      </c>
      <c r="I1" s="118" t="s">
        <v>1692</v>
      </c>
      <c r="J1" s="118" t="s">
        <v>1693</v>
      </c>
      <c r="K1" s="118" t="s">
        <v>1694</v>
      </c>
      <c r="L1" s="118" t="s">
        <v>1695</v>
      </c>
      <c r="M1" s="118" t="s">
        <v>1696</v>
      </c>
      <c r="N1" s="118" t="s">
        <v>1697</v>
      </c>
      <c r="O1" s="118" t="s">
        <v>1698</v>
      </c>
      <c r="P1" s="118" t="s">
        <v>1699</v>
      </c>
      <c r="Q1" s="118" t="s">
        <v>1700</v>
      </c>
      <c r="R1" s="118" t="s">
        <v>1701</v>
      </c>
      <c r="S1" s="118" t="s">
        <v>1702</v>
      </c>
      <c r="T1" s="118" t="s">
        <v>1703</v>
      </c>
      <c r="U1" s="118" t="s">
        <v>1704</v>
      </c>
      <c r="V1" s="118" t="s">
        <v>1705</v>
      </c>
      <c r="W1" s="118" t="s">
        <v>1706</v>
      </c>
      <c r="X1" s="118" t="s">
        <v>1707</v>
      </c>
      <c r="Y1" s="118" t="s">
        <v>1708</v>
      </c>
      <c r="Z1" s="118" t="s">
        <v>1709</v>
      </c>
      <c r="AA1" s="118" t="s">
        <v>1710</v>
      </c>
      <c r="AB1" s="118" t="s">
        <v>1755</v>
      </c>
      <c r="AC1" s="118" t="s">
        <v>1711</v>
      </c>
    </row>
    <row r="2" spans="1:29" x14ac:dyDescent="0.25">
      <c r="A2" s="118" t="s">
        <v>1789</v>
      </c>
      <c r="B2" s="118" t="s">
        <v>1788</v>
      </c>
      <c r="C2" s="118"/>
      <c r="D2" s="118"/>
      <c r="E2" s="118" t="s">
        <v>1811</v>
      </c>
      <c r="F2" s="118" t="s">
        <v>1791</v>
      </c>
      <c r="G2" s="118" t="s">
        <v>1798</v>
      </c>
      <c r="H2" s="118" t="s">
        <v>1799</v>
      </c>
      <c r="I2" s="118" t="s">
        <v>1797</v>
      </c>
      <c r="J2" s="118" t="s">
        <v>1793</v>
      </c>
      <c r="K2" s="118" t="s">
        <v>1792</v>
      </c>
      <c r="L2" s="118" t="s">
        <v>1805</v>
      </c>
      <c r="M2" s="118" t="s">
        <v>1796</v>
      </c>
      <c r="N2" s="118" t="s">
        <v>1794</v>
      </c>
      <c r="O2" s="118" t="s">
        <v>1795</v>
      </c>
      <c r="P2" s="118" t="s">
        <v>1699</v>
      </c>
      <c r="Q2" s="118" t="s">
        <v>1806</v>
      </c>
      <c r="R2" s="118" t="s">
        <v>1807</v>
      </c>
      <c r="S2" s="118" t="s">
        <v>1808</v>
      </c>
      <c r="T2" s="118" t="s">
        <v>1703</v>
      </c>
      <c r="U2" s="118" t="s">
        <v>1802</v>
      </c>
      <c r="V2" s="118" t="s">
        <v>1803</v>
      </c>
      <c r="W2" s="118" t="s">
        <v>1810</v>
      </c>
      <c r="X2" s="118" t="s">
        <v>1809</v>
      </c>
      <c r="Y2" s="118" t="s">
        <v>1804</v>
      </c>
      <c r="Z2" s="118" t="s">
        <v>1800</v>
      </c>
      <c r="AA2" s="118" t="s">
        <v>1801</v>
      </c>
      <c r="AB2" s="118"/>
      <c r="AC2" s="118" t="s">
        <v>1711</v>
      </c>
    </row>
    <row r="3" spans="1:29" x14ac:dyDescent="0.25">
      <c r="A3" s="230">
        <v>0.76495370370370375</v>
      </c>
      <c r="B3" s="19">
        <v>45023</v>
      </c>
      <c r="C3" s="118"/>
      <c r="D3" s="118"/>
      <c r="E3" s="118">
        <v>753.8</v>
      </c>
      <c r="F3" s="118">
        <v>284.60000000000002</v>
      </c>
      <c r="G3" s="118">
        <v>349.6</v>
      </c>
      <c r="H3" s="118">
        <v>349560</v>
      </c>
      <c r="I3" s="118">
        <v>0.17</v>
      </c>
      <c r="J3" s="118">
        <v>354.8</v>
      </c>
      <c r="K3" s="118">
        <v>0.28499999999999998</v>
      </c>
      <c r="L3" s="118">
        <v>0.29799999999999999</v>
      </c>
      <c r="M3" s="118">
        <v>0.40500000000000003</v>
      </c>
      <c r="N3" s="118">
        <v>99.2</v>
      </c>
      <c r="O3" s="118">
        <v>9.93</v>
      </c>
      <c r="P3" s="118">
        <v>99.6</v>
      </c>
      <c r="Q3" s="118">
        <v>40.703310000000002</v>
      </c>
      <c r="R3" s="118">
        <v>-85.935779999999994</v>
      </c>
      <c r="S3" s="118">
        <v>218</v>
      </c>
      <c r="T3" s="118">
        <v>135.4</v>
      </c>
      <c r="U3" s="118">
        <v>7.82</v>
      </c>
      <c r="V3" s="118">
        <v>-84.1</v>
      </c>
      <c r="W3" s="118">
        <v>11.8</v>
      </c>
      <c r="X3" s="118">
        <v>0</v>
      </c>
      <c r="Y3" s="118">
        <v>15.279</v>
      </c>
      <c r="Z3" s="118">
        <v>154.01</v>
      </c>
      <c r="AA3" s="118">
        <v>0</v>
      </c>
      <c r="AB3" s="19">
        <v>45023</v>
      </c>
      <c r="AC3" s="118" t="s">
        <v>1829</v>
      </c>
    </row>
    <row r="4" spans="1:29" x14ac:dyDescent="0.25">
      <c r="A4" s="230">
        <v>0.64456018518518521</v>
      </c>
      <c r="B4" s="19">
        <v>45023</v>
      </c>
      <c r="C4" s="118"/>
      <c r="D4" s="118"/>
      <c r="E4" s="118">
        <v>754.9</v>
      </c>
      <c r="F4" s="118">
        <v>302.10000000000002</v>
      </c>
      <c r="G4" s="118">
        <v>410.6</v>
      </c>
      <c r="H4" s="118">
        <v>410641</v>
      </c>
      <c r="I4" s="118">
        <v>0.2</v>
      </c>
      <c r="J4" s="118">
        <v>417.8</v>
      </c>
      <c r="K4" s="118">
        <v>0.32200000000000001</v>
      </c>
      <c r="L4" s="118">
        <v>0.33300000000000002</v>
      </c>
      <c r="M4" s="118">
        <v>0.45800000000000002</v>
      </c>
      <c r="N4" s="118">
        <v>93.1</v>
      </c>
      <c r="O4" s="118">
        <v>10.210000000000001</v>
      </c>
      <c r="P4" s="118">
        <v>93.5</v>
      </c>
      <c r="Q4" s="118">
        <v>40.680709999999998</v>
      </c>
      <c r="R4" s="118">
        <v>-85.895650000000003</v>
      </c>
      <c r="S4" s="118">
        <v>219.9</v>
      </c>
      <c r="T4" s="118">
        <v>290.3</v>
      </c>
      <c r="U4" s="118">
        <v>6.05</v>
      </c>
      <c r="V4" s="118">
        <v>17.100000000000001</v>
      </c>
      <c r="W4" s="118">
        <v>11.8</v>
      </c>
      <c r="X4" s="118">
        <v>0</v>
      </c>
      <c r="Y4" s="118">
        <v>11.161</v>
      </c>
      <c r="Z4" s="118">
        <v>114.88</v>
      </c>
      <c r="AA4" s="118">
        <v>0</v>
      </c>
      <c r="AB4" s="19">
        <v>45023</v>
      </c>
      <c r="AC4" s="118" t="s">
        <v>1827</v>
      </c>
    </row>
    <row r="5" spans="1:29" x14ac:dyDescent="0.25">
      <c r="A5" s="230">
        <v>0.67726851851851855</v>
      </c>
      <c r="B5" s="19">
        <v>45023</v>
      </c>
      <c r="C5" s="118"/>
      <c r="D5" s="118"/>
      <c r="E5" s="118">
        <v>754.9</v>
      </c>
      <c r="F5" s="118">
        <v>425.4</v>
      </c>
      <c r="G5" s="118">
        <v>555</v>
      </c>
      <c r="H5" s="118">
        <v>554985</v>
      </c>
      <c r="I5" s="118">
        <v>0.27</v>
      </c>
      <c r="J5" s="118">
        <v>564.29999999999995</v>
      </c>
      <c r="K5" s="118">
        <v>0.33500000000000002</v>
      </c>
      <c r="L5" s="118">
        <v>0.33300000000000002</v>
      </c>
      <c r="M5" s="118">
        <v>0.47699999999999998</v>
      </c>
      <c r="N5" s="118">
        <v>90.2</v>
      </c>
      <c r="O5" s="118">
        <v>9.5299999999999994</v>
      </c>
      <c r="P5" s="118">
        <v>90.6</v>
      </c>
      <c r="Q5" s="118">
        <v>40.668480000000002</v>
      </c>
      <c r="R5" s="118">
        <v>-85.84872</v>
      </c>
      <c r="S5" s="118">
        <v>223.6</v>
      </c>
      <c r="T5" s="118">
        <v>189.3</v>
      </c>
      <c r="U5" s="118">
        <v>7.74</v>
      </c>
      <c r="V5" s="118">
        <v>-79.3</v>
      </c>
      <c r="W5" s="118">
        <v>11.8</v>
      </c>
      <c r="X5" s="118">
        <v>0</v>
      </c>
      <c r="Y5" s="118">
        <v>12.773</v>
      </c>
      <c r="Z5" s="118">
        <v>73.319999999999993</v>
      </c>
      <c r="AA5" s="118">
        <v>0</v>
      </c>
      <c r="AB5" s="19">
        <v>45023</v>
      </c>
      <c r="AC5" s="118" t="s">
        <v>1828</v>
      </c>
    </row>
    <row r="6" spans="1:29" x14ac:dyDescent="0.25">
      <c r="A6" s="230">
        <v>0.85327546296296297</v>
      </c>
      <c r="B6" s="19">
        <v>45023</v>
      </c>
      <c r="C6" s="118"/>
      <c r="D6" s="118"/>
      <c r="E6" s="118">
        <v>752.2</v>
      </c>
      <c r="F6" s="118">
        <v>344.6</v>
      </c>
      <c r="G6" s="118">
        <v>433.2</v>
      </c>
      <c r="H6" s="118">
        <v>433178</v>
      </c>
      <c r="I6" s="118">
        <v>0.21</v>
      </c>
      <c r="J6" s="118">
        <v>440</v>
      </c>
      <c r="K6" s="118">
        <v>0.27600000000000002</v>
      </c>
      <c r="L6" s="118">
        <v>0.27400000000000002</v>
      </c>
      <c r="M6" s="118">
        <v>0.39200000000000002</v>
      </c>
      <c r="N6" s="118">
        <v>91.1</v>
      </c>
      <c r="O6" s="118">
        <v>9.32</v>
      </c>
      <c r="P6" s="118">
        <v>91.5</v>
      </c>
      <c r="Q6" s="118">
        <v>40.772579999999998</v>
      </c>
      <c r="R6" s="118">
        <v>-85.640159999999995</v>
      </c>
      <c r="S6" s="118">
        <v>220.8</v>
      </c>
      <c r="T6" s="118">
        <v>154.80000000000001</v>
      </c>
      <c r="U6" s="118">
        <v>7.81</v>
      </c>
      <c r="V6" s="118">
        <v>-83.5</v>
      </c>
      <c r="W6" s="118">
        <v>11.8</v>
      </c>
      <c r="X6" s="118">
        <v>0</v>
      </c>
      <c r="Y6" s="118">
        <v>14.295</v>
      </c>
      <c r="Z6" s="118">
        <v>157.35</v>
      </c>
      <c r="AA6" s="118">
        <v>0</v>
      </c>
      <c r="AB6" s="19">
        <v>45023</v>
      </c>
      <c r="AC6" s="118" t="s">
        <v>1843</v>
      </c>
    </row>
    <row r="7" spans="1:29" x14ac:dyDescent="0.25">
      <c r="A7" s="230">
        <v>0.82635416666666661</v>
      </c>
      <c r="B7" s="19">
        <v>45023</v>
      </c>
      <c r="C7" s="118"/>
      <c r="D7" s="118"/>
      <c r="E7" s="118">
        <v>752.8</v>
      </c>
      <c r="F7" s="118">
        <v>433.3</v>
      </c>
      <c r="G7" s="118">
        <v>541.5</v>
      </c>
      <c r="H7" s="118">
        <v>541452</v>
      </c>
      <c r="I7" s="118">
        <v>0.26</v>
      </c>
      <c r="J7" s="118">
        <v>549.9</v>
      </c>
      <c r="K7" s="118">
        <v>0.312</v>
      </c>
      <c r="L7" s="118">
        <v>0.29799999999999999</v>
      </c>
      <c r="M7" s="118">
        <v>0.443</v>
      </c>
      <c r="N7" s="118">
        <v>92.2</v>
      </c>
      <c r="O7" s="118">
        <v>9.3800000000000008</v>
      </c>
      <c r="P7" s="118">
        <v>92.6</v>
      </c>
      <c r="Q7" s="118">
        <v>40.780389999999997</v>
      </c>
      <c r="R7" s="118">
        <v>-85.636380000000003</v>
      </c>
      <c r="S7" s="118">
        <v>216.3</v>
      </c>
      <c r="T7" s="118">
        <v>160.6</v>
      </c>
      <c r="U7" s="118">
        <v>7.84</v>
      </c>
      <c r="V7" s="118">
        <v>-84.8</v>
      </c>
      <c r="W7" s="118">
        <v>11.8</v>
      </c>
      <c r="X7" s="118">
        <v>0</v>
      </c>
      <c r="Y7" s="118">
        <v>14.541</v>
      </c>
      <c r="Z7" s="118">
        <v>102.07</v>
      </c>
      <c r="AA7" s="118">
        <v>0</v>
      </c>
      <c r="AB7" s="19">
        <v>45023</v>
      </c>
      <c r="AC7" s="118" t="s">
        <v>1842</v>
      </c>
    </row>
    <row r="8" spans="1:29" x14ac:dyDescent="0.25">
      <c r="A8" s="188">
        <v>0.63761574074074079</v>
      </c>
      <c r="B8" s="19">
        <v>45040</v>
      </c>
      <c r="C8" s="118"/>
      <c r="D8" s="118"/>
      <c r="E8" s="118">
        <v>749.2</v>
      </c>
      <c r="F8" s="118">
        <v>475.8</v>
      </c>
      <c r="G8" s="118">
        <v>623.20000000000005</v>
      </c>
      <c r="H8" s="118">
        <v>623198</v>
      </c>
      <c r="I8" s="118">
        <v>0.3</v>
      </c>
      <c r="J8" s="118">
        <v>633.79999999999995</v>
      </c>
      <c r="K8" s="118">
        <v>0.54400000000000004</v>
      </c>
      <c r="L8" s="118">
        <v>0.57199999999999995</v>
      </c>
      <c r="M8" s="118">
        <v>0.77400000000000002</v>
      </c>
      <c r="N8" s="118">
        <v>121.8</v>
      </c>
      <c r="O8" s="118">
        <v>123.6</v>
      </c>
      <c r="P8" s="118">
        <v>12.92</v>
      </c>
      <c r="Q8" s="118">
        <v>40.834879999999998</v>
      </c>
      <c r="R8" s="118">
        <v>-86.807770000000005</v>
      </c>
      <c r="S8" s="118">
        <v>192.7</v>
      </c>
      <c r="T8" s="118">
        <v>230.7</v>
      </c>
      <c r="U8" s="118">
        <v>8.2799999999999994</v>
      </c>
      <c r="V8" s="118">
        <v>-98</v>
      </c>
      <c r="W8" s="118">
        <v>11.7</v>
      </c>
      <c r="X8" s="118">
        <v>0</v>
      </c>
      <c r="Y8" s="118">
        <v>12.612</v>
      </c>
      <c r="Z8" s="118">
        <v>5.84</v>
      </c>
      <c r="AA8" s="118">
        <v>0</v>
      </c>
      <c r="AB8" s="19">
        <v>45040</v>
      </c>
      <c r="AC8" s="118" t="s">
        <v>515</v>
      </c>
    </row>
    <row r="9" spans="1:29" x14ac:dyDescent="0.25">
      <c r="A9" s="188">
        <v>0.64692129629629624</v>
      </c>
      <c r="B9" s="19">
        <v>45040</v>
      </c>
      <c r="C9" s="118"/>
      <c r="D9" s="118"/>
      <c r="E9" s="118">
        <v>749</v>
      </c>
      <c r="F9" s="118">
        <v>468.3</v>
      </c>
      <c r="G9" s="118">
        <v>640.1</v>
      </c>
      <c r="H9" s="118">
        <v>640147</v>
      </c>
      <c r="I9" s="118">
        <v>0.31</v>
      </c>
      <c r="J9" s="118">
        <v>651.4</v>
      </c>
      <c r="K9" s="118">
        <v>0.49299999999999999</v>
      </c>
      <c r="L9" s="118">
        <v>0.48799999999999999</v>
      </c>
      <c r="M9" s="118">
        <v>0.70099999999999996</v>
      </c>
      <c r="N9" s="118">
        <v>112.1</v>
      </c>
      <c r="O9" s="118">
        <v>113.8</v>
      </c>
      <c r="P9" s="118">
        <v>12.35</v>
      </c>
      <c r="Q9" s="118">
        <v>40.840789999999998</v>
      </c>
      <c r="R9" s="118">
        <v>-86.804919999999996</v>
      </c>
      <c r="S9" s="118">
        <v>191.9</v>
      </c>
      <c r="T9" s="118">
        <v>164.5</v>
      </c>
      <c r="U9" s="118">
        <v>8.52</v>
      </c>
      <c r="V9" s="118">
        <v>-110.4</v>
      </c>
      <c r="W9" s="118">
        <v>11.8</v>
      </c>
      <c r="X9" s="118">
        <v>0</v>
      </c>
      <c r="Y9" s="118">
        <v>10.948</v>
      </c>
      <c r="Z9" s="118">
        <v>4.66</v>
      </c>
      <c r="AA9" s="118">
        <v>0</v>
      </c>
      <c r="AB9" s="19">
        <v>45040</v>
      </c>
      <c r="AC9" s="118" t="s">
        <v>515</v>
      </c>
    </row>
    <row r="10" spans="1:29" x14ac:dyDescent="0.25">
      <c r="A10" s="188">
        <v>0.65559027777777779</v>
      </c>
      <c r="B10" s="19">
        <v>45040</v>
      </c>
      <c r="C10" s="118"/>
      <c r="D10" s="118"/>
      <c r="E10" s="118">
        <v>749</v>
      </c>
      <c r="F10" s="118">
        <v>465.5</v>
      </c>
      <c r="G10" s="118">
        <v>667.4</v>
      </c>
      <c r="H10" s="118">
        <v>667391</v>
      </c>
      <c r="I10" s="118">
        <v>0.33</v>
      </c>
      <c r="J10" s="118">
        <v>679.2</v>
      </c>
      <c r="K10" s="118">
        <v>0.53900000000000003</v>
      </c>
      <c r="L10" s="118">
        <v>0.52700000000000002</v>
      </c>
      <c r="M10" s="118">
        <v>0.76700000000000002</v>
      </c>
      <c r="N10" s="118">
        <v>135</v>
      </c>
      <c r="O10" s="118">
        <v>137</v>
      </c>
      <c r="P10" s="118">
        <v>15.52</v>
      </c>
      <c r="Q10" s="118">
        <v>40.842820000000003</v>
      </c>
      <c r="R10" s="118">
        <v>-86.816339999999997</v>
      </c>
      <c r="S10" s="118">
        <v>193.2</v>
      </c>
      <c r="T10" s="118">
        <v>192.4</v>
      </c>
      <c r="U10" s="118">
        <v>8.52</v>
      </c>
      <c r="V10" s="118">
        <v>-109.7</v>
      </c>
      <c r="W10" s="118">
        <v>11.8</v>
      </c>
      <c r="X10" s="118">
        <v>0</v>
      </c>
      <c r="Y10" s="118">
        <v>9.1660000000000004</v>
      </c>
      <c r="Z10" s="118">
        <v>2.25</v>
      </c>
      <c r="AA10" s="118">
        <v>0</v>
      </c>
      <c r="AB10" s="19">
        <v>45040</v>
      </c>
      <c r="AC10" s="118" t="s">
        <v>515</v>
      </c>
    </row>
    <row r="11" spans="1:29" x14ac:dyDescent="0.25">
      <c r="A11" s="188">
        <v>0.66391203703703705</v>
      </c>
      <c r="B11" s="19">
        <v>45040</v>
      </c>
      <c r="C11" s="118"/>
      <c r="D11" s="118"/>
      <c r="E11" s="118">
        <v>749.2</v>
      </c>
      <c r="F11" s="118">
        <v>455.8</v>
      </c>
      <c r="G11" s="118">
        <v>641.9</v>
      </c>
      <c r="H11" s="118">
        <v>641946</v>
      </c>
      <c r="I11" s="118">
        <v>0.31</v>
      </c>
      <c r="J11" s="118">
        <v>653.29999999999995</v>
      </c>
      <c r="K11" s="118">
        <v>0.501</v>
      </c>
      <c r="L11" s="118">
        <v>0.51200000000000001</v>
      </c>
      <c r="M11" s="118">
        <v>0.71199999999999997</v>
      </c>
      <c r="N11" s="118">
        <v>100.3</v>
      </c>
      <c r="O11" s="118">
        <v>101.8</v>
      </c>
      <c r="P11" s="118">
        <v>11.35</v>
      </c>
      <c r="Q11" s="118">
        <v>40.847239999999999</v>
      </c>
      <c r="R11" s="118">
        <v>-86.81371</v>
      </c>
      <c r="S11" s="118">
        <v>193.6</v>
      </c>
      <c r="T11" s="118">
        <v>204.8</v>
      </c>
      <c r="U11" s="118">
        <v>8.3800000000000008</v>
      </c>
      <c r="V11" s="118">
        <v>-102.7</v>
      </c>
      <c r="W11" s="118">
        <v>11.7</v>
      </c>
      <c r="X11" s="118">
        <v>0</v>
      </c>
      <c r="Y11" s="118">
        <v>9.8170000000000002</v>
      </c>
      <c r="Z11" s="118">
        <v>3.14</v>
      </c>
      <c r="AA11" s="118">
        <v>0</v>
      </c>
      <c r="AB11" s="19">
        <v>45040</v>
      </c>
      <c r="AC11" s="118" t="s">
        <v>515</v>
      </c>
    </row>
    <row r="12" spans="1:29" x14ac:dyDescent="0.25">
      <c r="A12" s="188">
        <v>0.68280092592592589</v>
      </c>
      <c r="B12" s="19">
        <v>45040</v>
      </c>
      <c r="C12" s="118"/>
      <c r="D12" s="118"/>
      <c r="E12" s="118">
        <v>749</v>
      </c>
      <c r="F12" s="118">
        <v>477.6</v>
      </c>
      <c r="G12" s="118">
        <v>618.20000000000005</v>
      </c>
      <c r="H12" s="118">
        <v>618193</v>
      </c>
      <c r="I12" s="118">
        <v>0.3</v>
      </c>
      <c r="J12" s="118">
        <v>628.5</v>
      </c>
      <c r="K12" s="118">
        <v>0.51100000000000001</v>
      </c>
      <c r="L12" s="118">
        <v>0.51700000000000002</v>
      </c>
      <c r="M12" s="118">
        <v>0.72599999999999998</v>
      </c>
      <c r="N12" s="118">
        <v>117.3</v>
      </c>
      <c r="O12" s="118">
        <v>119.1</v>
      </c>
      <c r="P12" s="118">
        <v>12.32</v>
      </c>
      <c r="Q12" s="118">
        <v>40.82403</v>
      </c>
      <c r="R12" s="118">
        <v>-86.795940000000002</v>
      </c>
      <c r="S12" s="118">
        <v>192.2</v>
      </c>
      <c r="T12" s="118">
        <v>165.8</v>
      </c>
      <c r="U12" s="118">
        <v>8.3699999999999992</v>
      </c>
      <c r="V12" s="118">
        <v>-103</v>
      </c>
      <c r="W12" s="118">
        <v>11.8</v>
      </c>
      <c r="X12" s="118">
        <v>0</v>
      </c>
      <c r="Y12" s="118">
        <v>13.089</v>
      </c>
      <c r="Z12" s="118">
        <v>5.6</v>
      </c>
      <c r="AA12" s="118">
        <v>0</v>
      </c>
      <c r="AB12" s="19">
        <v>45040</v>
      </c>
      <c r="AC12" s="118" t="s">
        <v>515</v>
      </c>
    </row>
    <row r="13" spans="1:29" x14ac:dyDescent="0.25">
      <c r="A13" s="188">
        <v>0.70373842592592595</v>
      </c>
      <c r="B13" s="19">
        <v>45040</v>
      </c>
      <c r="C13" s="118"/>
      <c r="D13" s="118"/>
      <c r="E13" s="118">
        <v>748.8</v>
      </c>
      <c r="F13" s="118">
        <v>455.2</v>
      </c>
      <c r="G13" s="118">
        <v>627.79999999999995</v>
      </c>
      <c r="H13" s="118">
        <v>627760</v>
      </c>
      <c r="I13" s="118">
        <v>0.31</v>
      </c>
      <c r="J13" s="118">
        <v>638.9</v>
      </c>
      <c r="K13" s="118">
        <v>0.52900000000000003</v>
      </c>
      <c r="L13" s="118">
        <v>0.504</v>
      </c>
      <c r="M13" s="118">
        <v>0.752</v>
      </c>
      <c r="N13" s="118">
        <v>95.6</v>
      </c>
      <c r="O13" s="118">
        <v>97</v>
      </c>
      <c r="P13" s="118">
        <v>10.62</v>
      </c>
      <c r="Q13" s="118">
        <v>40.823160000000001</v>
      </c>
      <c r="R13" s="118">
        <v>-86.791169999999994</v>
      </c>
      <c r="S13" s="118">
        <v>191.2</v>
      </c>
      <c r="T13" s="118">
        <v>177.2</v>
      </c>
      <c r="U13" s="118">
        <v>8.34</v>
      </c>
      <c r="V13" s="118">
        <v>-101</v>
      </c>
      <c r="W13" s="118">
        <v>11.8</v>
      </c>
      <c r="X13" s="118">
        <v>0</v>
      </c>
      <c r="Y13" s="118">
        <v>10.611000000000001</v>
      </c>
      <c r="Z13" s="118">
        <v>2.78</v>
      </c>
      <c r="AA13" s="118">
        <v>0</v>
      </c>
      <c r="AB13" s="19">
        <v>45040</v>
      </c>
      <c r="AC13" s="118" t="s">
        <v>515</v>
      </c>
    </row>
    <row r="14" spans="1:29" x14ac:dyDescent="0.25">
      <c r="A14" s="188">
        <v>0.71376157407407403</v>
      </c>
      <c r="B14" s="19">
        <v>45040</v>
      </c>
      <c r="C14" s="118"/>
      <c r="D14" s="118"/>
      <c r="E14" s="118">
        <v>748.7</v>
      </c>
      <c r="F14" s="118">
        <v>454.7</v>
      </c>
      <c r="G14" s="118">
        <v>624.1</v>
      </c>
      <c r="H14" s="118">
        <v>624058</v>
      </c>
      <c r="I14" s="118">
        <v>0.31</v>
      </c>
      <c r="J14" s="118">
        <v>635.1</v>
      </c>
      <c r="K14" s="118">
        <v>0.51400000000000001</v>
      </c>
      <c r="L14" s="118">
        <v>0.51400000000000001</v>
      </c>
      <c r="M14" s="118">
        <v>0.73099999999999998</v>
      </c>
      <c r="N14" s="118">
        <v>94.3</v>
      </c>
      <c r="O14" s="118">
        <v>95.7</v>
      </c>
      <c r="P14" s="118">
        <v>10.42</v>
      </c>
      <c r="Q14" s="118">
        <v>40.809220000000003</v>
      </c>
      <c r="R14" s="118">
        <v>-86.790869999999998</v>
      </c>
      <c r="S14" s="118">
        <v>191</v>
      </c>
      <c r="T14" s="118">
        <v>197.8</v>
      </c>
      <c r="U14" s="118">
        <v>8.3000000000000007</v>
      </c>
      <c r="V14" s="118">
        <v>-98.7</v>
      </c>
      <c r="W14" s="118">
        <v>11.7</v>
      </c>
      <c r="X14" s="118">
        <v>0</v>
      </c>
      <c r="Y14" s="118">
        <v>10.795</v>
      </c>
      <c r="Z14" s="118">
        <v>2.8</v>
      </c>
      <c r="AA14" s="118">
        <v>0</v>
      </c>
      <c r="AB14" s="19">
        <v>45040</v>
      </c>
      <c r="AC14" s="118" t="s">
        <v>515</v>
      </c>
    </row>
    <row r="15" spans="1:29" x14ac:dyDescent="0.25">
      <c r="A15" s="188">
        <v>0.72</v>
      </c>
      <c r="B15" s="19">
        <v>45040</v>
      </c>
      <c r="C15" s="118"/>
      <c r="D15" s="118"/>
      <c r="E15" s="118">
        <v>748.6</v>
      </c>
      <c r="F15" s="118">
        <v>457</v>
      </c>
      <c r="G15" s="118">
        <v>624.5</v>
      </c>
      <c r="H15" s="118">
        <v>624480</v>
      </c>
      <c r="I15" s="118">
        <v>0.31</v>
      </c>
      <c r="J15" s="118">
        <v>635.5</v>
      </c>
      <c r="K15" s="118">
        <v>0.53100000000000003</v>
      </c>
      <c r="L15" s="118">
        <v>0.66100000000000003</v>
      </c>
      <c r="M15" s="118">
        <v>0.755</v>
      </c>
      <c r="N15" s="118">
        <v>93.6</v>
      </c>
      <c r="O15" s="118">
        <v>95</v>
      </c>
      <c r="P15" s="118">
        <v>10.31</v>
      </c>
      <c r="Q15" s="118">
        <v>40.809040000000003</v>
      </c>
      <c r="R15" s="118">
        <v>-86.793700000000001</v>
      </c>
      <c r="S15" s="118">
        <v>197.6</v>
      </c>
      <c r="T15" s="118">
        <v>209.3</v>
      </c>
      <c r="U15" s="118">
        <v>8.25</v>
      </c>
      <c r="V15" s="118">
        <v>-96</v>
      </c>
      <c r="W15" s="118">
        <v>11.8</v>
      </c>
      <c r="X15" s="118">
        <v>0</v>
      </c>
      <c r="Y15" s="118">
        <v>10.962</v>
      </c>
      <c r="Z15" s="118">
        <v>2.95</v>
      </c>
      <c r="AA15" s="118">
        <v>0</v>
      </c>
      <c r="AB15" s="19">
        <v>45040</v>
      </c>
      <c r="AC15" s="118" t="s">
        <v>515</v>
      </c>
    </row>
    <row r="16" spans="1:29" x14ac:dyDescent="0.25">
      <c r="A16" s="188">
        <v>0.73109953703703701</v>
      </c>
      <c r="B16" s="19">
        <v>45040</v>
      </c>
      <c r="C16" s="118"/>
      <c r="D16" s="118"/>
      <c r="E16" s="118">
        <v>748.4</v>
      </c>
      <c r="F16" s="118">
        <v>459.8</v>
      </c>
      <c r="G16" s="118">
        <v>625.4</v>
      </c>
      <c r="H16" s="118">
        <v>625365</v>
      </c>
      <c r="I16" s="118">
        <v>0.31</v>
      </c>
      <c r="J16" s="118">
        <v>636.29999999999995</v>
      </c>
      <c r="K16" s="118">
        <v>0.48299999999999998</v>
      </c>
      <c r="L16" s="118">
        <v>0.52600000000000002</v>
      </c>
      <c r="M16" s="118">
        <v>0.68700000000000006</v>
      </c>
      <c r="N16" s="118">
        <v>92.2</v>
      </c>
      <c r="O16" s="118">
        <v>93.6</v>
      </c>
      <c r="P16" s="118">
        <v>10.119999999999999</v>
      </c>
      <c r="Q16" s="118">
        <v>40.803840000000001</v>
      </c>
      <c r="R16" s="118">
        <v>-86.776250000000005</v>
      </c>
      <c r="S16" s="118">
        <v>197.7</v>
      </c>
      <c r="T16" s="118">
        <v>192.7</v>
      </c>
      <c r="U16" s="118">
        <v>8.2899999999999991</v>
      </c>
      <c r="V16" s="118">
        <v>-98.5</v>
      </c>
      <c r="W16" s="118">
        <v>11.8</v>
      </c>
      <c r="X16" s="118">
        <v>0</v>
      </c>
      <c r="Y16" s="118">
        <v>11.137</v>
      </c>
      <c r="Z16" s="118">
        <v>3.38</v>
      </c>
      <c r="AA16" s="118">
        <v>0</v>
      </c>
      <c r="AB16" s="19">
        <v>45040</v>
      </c>
      <c r="AC16" s="118" t="s">
        <v>515</v>
      </c>
    </row>
    <row r="17" spans="1:29" x14ac:dyDescent="0.25">
      <c r="A17" s="188">
        <v>0.74212962962962958</v>
      </c>
      <c r="B17" s="19">
        <v>45040</v>
      </c>
      <c r="C17" s="118"/>
      <c r="D17" s="118"/>
      <c r="E17" s="118">
        <v>748.3</v>
      </c>
      <c r="F17" s="118">
        <v>467.3</v>
      </c>
      <c r="G17" s="118">
        <v>623.70000000000005</v>
      </c>
      <c r="H17" s="118">
        <v>623705</v>
      </c>
      <c r="I17" s="118">
        <v>0.31</v>
      </c>
      <c r="J17" s="118">
        <v>634.5</v>
      </c>
      <c r="K17" s="118">
        <v>0.47199999999999998</v>
      </c>
      <c r="L17" s="118">
        <v>0.49099999999999999</v>
      </c>
      <c r="M17" s="118">
        <v>0.67100000000000004</v>
      </c>
      <c r="N17" s="118">
        <v>93.3</v>
      </c>
      <c r="O17" s="118">
        <v>94.7</v>
      </c>
      <c r="P17" s="118">
        <v>10.07</v>
      </c>
      <c r="Q17" s="118">
        <v>40.794370000000001</v>
      </c>
      <c r="R17" s="118">
        <v>-86.772639999999996</v>
      </c>
      <c r="S17" s="118">
        <v>191.3</v>
      </c>
      <c r="T17" s="118">
        <v>214.2</v>
      </c>
      <c r="U17" s="118">
        <v>8.27</v>
      </c>
      <c r="V17" s="118">
        <v>-97.1</v>
      </c>
      <c r="W17" s="118">
        <v>11.8</v>
      </c>
      <c r="X17" s="118">
        <v>0</v>
      </c>
      <c r="Y17" s="118">
        <v>11.87</v>
      </c>
      <c r="Z17" s="118">
        <v>4.51</v>
      </c>
      <c r="AA17" s="118">
        <v>0</v>
      </c>
      <c r="AB17" s="19">
        <v>45040</v>
      </c>
      <c r="AC17" s="118" t="s">
        <v>515</v>
      </c>
    </row>
    <row r="18" spans="1:29" x14ac:dyDescent="0.25">
      <c r="A18" s="188">
        <v>0.7518055555555555</v>
      </c>
      <c r="B18" s="19">
        <v>45040</v>
      </c>
      <c r="C18" s="118"/>
      <c r="D18" s="118"/>
      <c r="E18" s="118">
        <v>748.2</v>
      </c>
      <c r="F18" s="118">
        <v>480.3</v>
      </c>
      <c r="G18" s="118">
        <v>622.6</v>
      </c>
      <c r="H18" s="118">
        <v>622595</v>
      </c>
      <c r="I18" s="118">
        <v>0.3</v>
      </c>
      <c r="J18" s="118">
        <v>633</v>
      </c>
      <c r="K18" s="118">
        <v>0.50600000000000001</v>
      </c>
      <c r="L18" s="118">
        <v>0.51300000000000001</v>
      </c>
      <c r="M18" s="118">
        <v>0.71899999999999997</v>
      </c>
      <c r="N18" s="118">
        <v>97.8</v>
      </c>
      <c r="O18" s="118">
        <v>99.3</v>
      </c>
      <c r="P18" s="118">
        <v>10.28</v>
      </c>
      <c r="Q18" s="118">
        <v>40.786769999999997</v>
      </c>
      <c r="R18" s="118">
        <v>-86.770709999999994</v>
      </c>
      <c r="S18" s="118">
        <v>195.8</v>
      </c>
      <c r="T18" s="118">
        <v>206.6</v>
      </c>
      <c r="U18" s="118">
        <v>8.3000000000000007</v>
      </c>
      <c r="V18" s="118">
        <v>-99.4</v>
      </c>
      <c r="W18" s="118">
        <v>11.8</v>
      </c>
      <c r="X18" s="118">
        <v>0</v>
      </c>
      <c r="Y18" s="118">
        <v>13.03</v>
      </c>
      <c r="Z18" s="118">
        <v>4.05</v>
      </c>
      <c r="AA18" s="118">
        <v>0</v>
      </c>
      <c r="AB18" s="19">
        <v>45040</v>
      </c>
      <c r="AC18" s="118" t="s">
        <v>515</v>
      </c>
    </row>
    <row r="19" spans="1:29" x14ac:dyDescent="0.25">
      <c r="A19" s="188">
        <v>0.76126157407407402</v>
      </c>
      <c r="B19" s="19">
        <v>45040</v>
      </c>
      <c r="C19" s="118"/>
      <c r="D19" s="118"/>
      <c r="E19" s="118">
        <v>748</v>
      </c>
      <c r="F19" s="118">
        <v>477.3</v>
      </c>
      <c r="G19" s="118">
        <v>622.79999999999995</v>
      </c>
      <c r="H19" s="118">
        <v>622819</v>
      </c>
      <c r="I19" s="118">
        <v>0.3</v>
      </c>
      <c r="J19" s="118">
        <v>633.29999999999995</v>
      </c>
      <c r="K19" s="118">
        <v>0.503</v>
      </c>
      <c r="L19" s="118">
        <v>0.46700000000000003</v>
      </c>
      <c r="M19" s="118">
        <v>0.71499999999999997</v>
      </c>
      <c r="N19" s="118">
        <v>92.1</v>
      </c>
      <c r="O19" s="118">
        <v>93.4</v>
      </c>
      <c r="P19" s="118">
        <v>9.73</v>
      </c>
      <c r="Q19" s="118">
        <v>40.781860000000002</v>
      </c>
      <c r="R19" s="118">
        <v>-86.760980000000004</v>
      </c>
      <c r="S19" s="118">
        <v>188.1</v>
      </c>
      <c r="T19" s="118">
        <v>210.2</v>
      </c>
      <c r="U19" s="118">
        <v>8.1999999999999993</v>
      </c>
      <c r="V19" s="118">
        <v>-93.9</v>
      </c>
      <c r="W19" s="118">
        <v>11.8</v>
      </c>
      <c r="X19" s="118">
        <v>0</v>
      </c>
      <c r="Y19" s="118">
        <v>12.763999999999999</v>
      </c>
      <c r="Z19" s="118">
        <v>4.68</v>
      </c>
      <c r="AA19" s="118">
        <v>0</v>
      </c>
      <c r="AB19" s="19">
        <v>45040</v>
      </c>
      <c r="AC19" s="118" t="s">
        <v>515</v>
      </c>
    </row>
    <row r="20" spans="1:29" x14ac:dyDescent="0.25">
      <c r="A20" s="230">
        <v>0.72541666666666671</v>
      </c>
      <c r="B20" s="19">
        <v>45056</v>
      </c>
      <c r="C20" s="118"/>
      <c r="D20" s="118"/>
      <c r="E20" s="118">
        <v>744.6</v>
      </c>
      <c r="F20" s="118">
        <v>459.4</v>
      </c>
      <c r="G20" s="118">
        <v>509.1</v>
      </c>
      <c r="H20" s="118">
        <v>509072</v>
      </c>
      <c r="I20" s="118">
        <v>0.25</v>
      </c>
      <c r="J20" s="118">
        <v>513.70000000000005</v>
      </c>
      <c r="K20" s="118">
        <v>0.123</v>
      </c>
      <c r="L20" s="118">
        <v>0.121</v>
      </c>
      <c r="M20" s="118">
        <v>0.17499999999999999</v>
      </c>
      <c r="N20" s="118">
        <v>98</v>
      </c>
      <c r="O20" s="118">
        <v>8.9</v>
      </c>
      <c r="P20" s="118">
        <v>99.6</v>
      </c>
      <c r="Q20" s="118">
        <v>40.71405</v>
      </c>
      <c r="R20" s="118">
        <v>-85.936760000000007</v>
      </c>
      <c r="S20" s="118">
        <v>216</v>
      </c>
      <c r="T20" s="118">
        <v>104.9</v>
      </c>
      <c r="U20" s="118">
        <v>8.35</v>
      </c>
      <c r="V20" s="118">
        <v>-120.3</v>
      </c>
      <c r="W20" s="118">
        <v>11.8</v>
      </c>
      <c r="X20" s="118">
        <v>0</v>
      </c>
      <c r="Y20" s="118">
        <v>19.896000000000001</v>
      </c>
      <c r="Z20" s="118">
        <v>10.56</v>
      </c>
      <c r="AA20" s="118">
        <v>0</v>
      </c>
      <c r="AB20" s="19">
        <v>45056</v>
      </c>
      <c r="AC20" s="118" t="s">
        <v>1837</v>
      </c>
    </row>
    <row r="21" spans="1:29" x14ac:dyDescent="0.25">
      <c r="A21" s="230">
        <v>0.73025462962962961</v>
      </c>
      <c r="B21" s="19">
        <v>45056</v>
      </c>
      <c r="C21" s="118"/>
      <c r="D21" s="118"/>
      <c r="E21" s="118">
        <v>744.4</v>
      </c>
      <c r="F21" s="118">
        <v>463.6</v>
      </c>
      <c r="G21" s="118">
        <v>502.5</v>
      </c>
      <c r="H21" s="118">
        <v>502469</v>
      </c>
      <c r="I21" s="118">
        <v>0.24</v>
      </c>
      <c r="J21" s="118">
        <v>506.2</v>
      </c>
      <c r="K21" s="118">
        <v>0.121</v>
      </c>
      <c r="L21" s="118">
        <v>0.111</v>
      </c>
      <c r="M21" s="118">
        <v>0.17199999999999999</v>
      </c>
      <c r="N21" s="118">
        <v>106.2</v>
      </c>
      <c r="O21" s="118">
        <v>9.4600000000000009</v>
      </c>
      <c r="P21" s="118">
        <v>107.9</v>
      </c>
      <c r="Q21" s="118">
        <v>40.71452</v>
      </c>
      <c r="R21" s="118">
        <v>-85.937749999999994</v>
      </c>
      <c r="S21" s="118">
        <v>216.2</v>
      </c>
      <c r="T21" s="118">
        <v>145.69999999999999</v>
      </c>
      <c r="U21" s="118">
        <v>8.25</v>
      </c>
      <c r="V21" s="118">
        <v>-114.8</v>
      </c>
      <c r="W21" s="118">
        <v>11.8</v>
      </c>
      <c r="X21" s="118">
        <v>0</v>
      </c>
      <c r="Y21" s="118">
        <v>20.951000000000001</v>
      </c>
      <c r="Z21" s="118">
        <v>30.98</v>
      </c>
      <c r="AA21" s="118">
        <v>0</v>
      </c>
      <c r="AB21" s="19">
        <v>45056</v>
      </c>
      <c r="AC21" s="118" t="s">
        <v>1838</v>
      </c>
    </row>
    <row r="22" spans="1:29" x14ac:dyDescent="0.25">
      <c r="A22" s="230">
        <v>0.63519675925925922</v>
      </c>
      <c r="B22" s="19">
        <v>45056</v>
      </c>
      <c r="C22" s="118"/>
      <c r="D22" s="118"/>
      <c r="E22" s="118">
        <v>745.1</v>
      </c>
      <c r="F22" s="118">
        <v>430.4</v>
      </c>
      <c r="G22" s="118">
        <v>482.1</v>
      </c>
      <c r="H22" s="118">
        <v>482106</v>
      </c>
      <c r="I22" s="118">
        <v>0.23</v>
      </c>
      <c r="J22" s="118">
        <v>486.8</v>
      </c>
      <c r="K22" s="118">
        <v>0.14000000000000001</v>
      </c>
      <c r="L22" s="118">
        <v>0.14599999999999999</v>
      </c>
      <c r="M22" s="118">
        <v>0.19800000000000001</v>
      </c>
      <c r="N22" s="118">
        <v>113.5</v>
      </c>
      <c r="O22" s="118">
        <v>10.43</v>
      </c>
      <c r="P22" s="118">
        <v>115.2</v>
      </c>
      <c r="Q22" s="118">
        <v>40.705680000000001</v>
      </c>
      <c r="R22" s="118">
        <v>-85.954350000000005</v>
      </c>
      <c r="S22" s="118">
        <v>214.6</v>
      </c>
      <c r="T22" s="118">
        <v>186.4</v>
      </c>
      <c r="U22" s="118">
        <v>8.32</v>
      </c>
      <c r="V22" s="118">
        <v>-118.3</v>
      </c>
      <c r="W22" s="118">
        <v>11.8</v>
      </c>
      <c r="X22" s="118">
        <v>0</v>
      </c>
      <c r="Y22" s="118">
        <v>19.39</v>
      </c>
      <c r="Z22" s="118">
        <v>12.23</v>
      </c>
      <c r="AA22" s="118">
        <v>0</v>
      </c>
      <c r="AB22" s="19">
        <v>45056</v>
      </c>
      <c r="AC22" s="118" t="s">
        <v>1833</v>
      </c>
    </row>
    <row r="23" spans="1:29" x14ac:dyDescent="0.25">
      <c r="A23" s="230">
        <v>0.6691435185185185</v>
      </c>
      <c r="B23" s="19">
        <v>45056</v>
      </c>
      <c r="C23" s="118"/>
      <c r="D23" s="118"/>
      <c r="E23" s="118">
        <v>744.5</v>
      </c>
      <c r="F23" s="118">
        <v>427.3</v>
      </c>
      <c r="G23" s="118">
        <v>447.9</v>
      </c>
      <c r="H23" s="118">
        <v>447921</v>
      </c>
      <c r="I23" s="118">
        <v>0.22</v>
      </c>
      <c r="J23" s="118">
        <v>450</v>
      </c>
      <c r="K23" s="118">
        <v>0.13</v>
      </c>
      <c r="L23" s="118">
        <v>0.14199999999999999</v>
      </c>
      <c r="M23" s="118">
        <v>0.185</v>
      </c>
      <c r="N23" s="118">
        <v>103.4</v>
      </c>
      <c r="O23" s="118">
        <v>8.93</v>
      </c>
      <c r="P23" s="118">
        <v>105</v>
      </c>
      <c r="Q23" s="118">
        <v>40.705080000000002</v>
      </c>
      <c r="R23" s="118">
        <v>-85.953230000000005</v>
      </c>
      <c r="S23" s="118">
        <v>218.4</v>
      </c>
      <c r="T23" s="118">
        <v>164.8</v>
      </c>
      <c r="U23" s="118">
        <v>8.5</v>
      </c>
      <c r="V23" s="118">
        <v>-130.19999999999999</v>
      </c>
      <c r="W23" s="118">
        <v>11.8</v>
      </c>
      <c r="X23" s="118">
        <v>0</v>
      </c>
      <c r="Y23" s="118">
        <v>22.588999999999999</v>
      </c>
      <c r="Z23" s="118">
        <v>23.23</v>
      </c>
      <c r="AA23" s="118">
        <v>0</v>
      </c>
      <c r="AB23" s="19">
        <v>45056</v>
      </c>
      <c r="AC23" s="118" t="s">
        <v>1834</v>
      </c>
    </row>
    <row r="24" spans="1:29" x14ac:dyDescent="0.25">
      <c r="A24" s="230">
        <v>0.68096064814814816</v>
      </c>
      <c r="B24" s="19">
        <v>45056</v>
      </c>
      <c r="C24" s="118"/>
      <c r="D24" s="118"/>
      <c r="E24" s="118">
        <v>744.5</v>
      </c>
      <c r="F24" s="118">
        <v>428.1</v>
      </c>
      <c r="G24" s="118">
        <v>483.2</v>
      </c>
      <c r="H24" s="118">
        <v>483210</v>
      </c>
      <c r="I24" s="118">
        <v>0.23</v>
      </c>
      <c r="J24" s="118">
        <v>488.2</v>
      </c>
      <c r="K24" s="118">
        <v>0.126</v>
      </c>
      <c r="L24" s="118">
        <v>0.127</v>
      </c>
      <c r="M24" s="118">
        <v>0.17799999999999999</v>
      </c>
      <c r="N24" s="118">
        <v>99.9</v>
      </c>
      <c r="O24" s="118">
        <v>9.25</v>
      </c>
      <c r="P24" s="118">
        <v>101.5</v>
      </c>
      <c r="Q24" s="118">
        <v>40.705329999999996</v>
      </c>
      <c r="R24" s="118">
        <v>-85.953000000000003</v>
      </c>
      <c r="S24" s="118">
        <v>225.3</v>
      </c>
      <c r="T24" s="118">
        <v>162.69999999999999</v>
      </c>
      <c r="U24" s="118">
        <v>8.1199999999999992</v>
      </c>
      <c r="V24" s="118">
        <v>-106.3</v>
      </c>
      <c r="W24" s="118">
        <v>11.8</v>
      </c>
      <c r="X24" s="118">
        <v>0</v>
      </c>
      <c r="Y24" s="118">
        <v>19.032</v>
      </c>
      <c r="Z24" s="118">
        <v>237.49</v>
      </c>
      <c r="AA24" s="118">
        <v>0</v>
      </c>
      <c r="AB24" s="19">
        <v>45056</v>
      </c>
      <c r="AC24" s="118" t="s">
        <v>1836</v>
      </c>
    </row>
    <row r="25" spans="1:29" x14ac:dyDescent="0.25">
      <c r="A25" s="230">
        <v>0.67881944444444442</v>
      </c>
      <c r="B25" s="19">
        <v>45056</v>
      </c>
      <c r="C25" s="118"/>
      <c r="D25" s="118"/>
      <c r="E25" s="118">
        <v>744.6</v>
      </c>
      <c r="F25" s="118">
        <v>430</v>
      </c>
      <c r="G25" s="118">
        <v>456.3</v>
      </c>
      <c r="H25" s="118">
        <v>456350</v>
      </c>
      <c r="I25" s="118">
        <v>0.22</v>
      </c>
      <c r="J25" s="118">
        <v>458.9</v>
      </c>
      <c r="K25" s="118">
        <v>0.128</v>
      </c>
      <c r="L25" s="118">
        <v>0.122</v>
      </c>
      <c r="M25" s="118">
        <v>0.182</v>
      </c>
      <c r="N25" s="118">
        <v>114.1</v>
      </c>
      <c r="O25" s="118">
        <v>9.98</v>
      </c>
      <c r="P25" s="118">
        <v>115.9</v>
      </c>
      <c r="Q25" s="118">
        <v>40.705689999999997</v>
      </c>
      <c r="R25" s="118">
        <v>-85.952449999999999</v>
      </c>
      <c r="S25" s="118">
        <v>224.1</v>
      </c>
      <c r="T25" s="118">
        <v>147.30000000000001</v>
      </c>
      <c r="U25" s="118">
        <v>8.3800000000000008</v>
      </c>
      <c r="V25" s="118">
        <v>-122.4</v>
      </c>
      <c r="W25" s="118">
        <v>11.8</v>
      </c>
      <c r="X25" s="118">
        <v>0</v>
      </c>
      <c r="Y25" s="118">
        <v>21.978000000000002</v>
      </c>
      <c r="Z25" s="118">
        <v>26.49</v>
      </c>
      <c r="AA25" s="118">
        <v>0</v>
      </c>
      <c r="AB25" s="19">
        <v>45056</v>
      </c>
      <c r="AC25" s="118" t="s">
        <v>1835</v>
      </c>
    </row>
    <row r="26" spans="1:29" x14ac:dyDescent="0.25">
      <c r="A26" s="230">
        <v>0.59875</v>
      </c>
      <c r="B26" s="19">
        <v>45056</v>
      </c>
      <c r="C26" s="118"/>
      <c r="D26" s="118"/>
      <c r="E26" s="118">
        <v>745.7</v>
      </c>
      <c r="F26" s="118">
        <v>496.7</v>
      </c>
      <c r="G26" s="118">
        <v>545.79999999999995</v>
      </c>
      <c r="H26" s="118">
        <v>545761</v>
      </c>
      <c r="I26" s="118">
        <v>0.26</v>
      </c>
      <c r="J26" s="118">
        <v>550.4</v>
      </c>
      <c r="K26" s="118">
        <v>0.14499999999999999</v>
      </c>
      <c r="L26" s="118">
        <v>0.14000000000000001</v>
      </c>
      <c r="M26" s="118">
        <v>0.20599999999999999</v>
      </c>
      <c r="N26" s="118">
        <v>114.1</v>
      </c>
      <c r="O26" s="118">
        <v>10.29</v>
      </c>
      <c r="P26" s="118">
        <v>115.9</v>
      </c>
      <c r="Q26" s="118">
        <v>40.680689999999998</v>
      </c>
      <c r="R26" s="118">
        <v>-85.895799999999994</v>
      </c>
      <c r="S26" s="118">
        <v>217.6</v>
      </c>
      <c r="T26" s="118">
        <v>156.69999999999999</v>
      </c>
      <c r="U26" s="118">
        <v>8.76</v>
      </c>
      <c r="V26" s="118">
        <v>-144.6</v>
      </c>
      <c r="W26" s="118">
        <v>11.8</v>
      </c>
      <c r="X26" s="118">
        <v>0</v>
      </c>
      <c r="Y26" s="118">
        <v>20.280999999999999</v>
      </c>
      <c r="Z26" s="118">
        <v>12.68</v>
      </c>
      <c r="AA26" s="118">
        <v>0</v>
      </c>
      <c r="AB26" s="19">
        <v>45056</v>
      </c>
      <c r="AC26" s="118" t="s">
        <v>1827</v>
      </c>
    </row>
    <row r="27" spans="1:29" x14ac:dyDescent="0.25">
      <c r="A27" s="230">
        <v>0.60487268518518522</v>
      </c>
      <c r="B27" s="19">
        <v>45056</v>
      </c>
      <c r="C27" s="118"/>
      <c r="D27" s="118"/>
      <c r="E27" s="118">
        <v>745.6</v>
      </c>
      <c r="F27" s="118">
        <v>502.8</v>
      </c>
      <c r="G27" s="118">
        <v>537.5</v>
      </c>
      <c r="H27" s="118">
        <v>537528</v>
      </c>
      <c r="I27" s="118">
        <v>0.26</v>
      </c>
      <c r="J27" s="118">
        <v>540.9</v>
      </c>
      <c r="K27" s="118">
        <v>0.13700000000000001</v>
      </c>
      <c r="L27" s="118">
        <v>0.14699999999999999</v>
      </c>
      <c r="M27" s="118">
        <v>0.19400000000000001</v>
      </c>
      <c r="N27" s="118">
        <v>125.2</v>
      </c>
      <c r="O27" s="118">
        <v>11.01</v>
      </c>
      <c r="P27" s="118">
        <v>127.1</v>
      </c>
      <c r="Q27" s="118">
        <v>40.68074</v>
      </c>
      <c r="R27" s="118">
        <v>-85.895859999999999</v>
      </c>
      <c r="S27" s="118">
        <v>221.4</v>
      </c>
      <c r="T27" s="118">
        <v>159.4</v>
      </c>
      <c r="U27" s="118">
        <v>8.56</v>
      </c>
      <c r="V27" s="118">
        <v>-133.19999999999999</v>
      </c>
      <c r="W27" s="118">
        <v>11.8</v>
      </c>
      <c r="X27" s="118">
        <v>0</v>
      </c>
      <c r="Y27" s="118">
        <v>21.616</v>
      </c>
      <c r="Z27" s="118">
        <v>155.33000000000001</v>
      </c>
      <c r="AA27" s="118">
        <v>0</v>
      </c>
      <c r="AB27" s="19">
        <v>45056</v>
      </c>
      <c r="AC27" s="118" t="s">
        <v>1831</v>
      </c>
    </row>
    <row r="28" spans="1:29" x14ac:dyDescent="0.25">
      <c r="A28" s="230">
        <v>0.60723379629629626</v>
      </c>
      <c r="B28" s="19">
        <v>45056</v>
      </c>
      <c r="C28" s="118"/>
      <c r="D28" s="118"/>
      <c r="E28" s="118">
        <v>745.5</v>
      </c>
      <c r="F28" s="118">
        <v>497.3</v>
      </c>
      <c r="G28" s="118">
        <v>543.9</v>
      </c>
      <c r="H28" s="118">
        <v>543859</v>
      </c>
      <c r="I28" s="118">
        <v>0.26</v>
      </c>
      <c r="J28" s="118">
        <v>548.20000000000005</v>
      </c>
      <c r="K28" s="118">
        <v>0.128</v>
      </c>
      <c r="L28" s="118">
        <v>0.14699999999999999</v>
      </c>
      <c r="M28" s="118">
        <v>0.182</v>
      </c>
      <c r="N28" s="118">
        <v>113</v>
      </c>
      <c r="O28" s="118">
        <v>10.15</v>
      </c>
      <c r="P28" s="118">
        <v>114.7</v>
      </c>
      <c r="Q28" s="118">
        <v>40.680819999999997</v>
      </c>
      <c r="R28" s="118">
        <v>-85.895809999999997</v>
      </c>
      <c r="S28" s="118">
        <v>224</v>
      </c>
      <c r="T28" s="118">
        <v>151.80000000000001</v>
      </c>
      <c r="U28" s="118">
        <v>8.56</v>
      </c>
      <c r="V28" s="118">
        <v>-132.6</v>
      </c>
      <c r="W28" s="118">
        <v>11.8</v>
      </c>
      <c r="X28" s="118">
        <v>0</v>
      </c>
      <c r="Y28" s="118">
        <v>20.515000000000001</v>
      </c>
      <c r="Z28" s="118">
        <v>40.78</v>
      </c>
      <c r="AA28" s="118">
        <v>0</v>
      </c>
      <c r="AB28" s="19">
        <v>45056</v>
      </c>
      <c r="AC28" s="118" t="s">
        <v>1832</v>
      </c>
    </row>
    <row r="29" spans="1:29" x14ac:dyDescent="0.25">
      <c r="A29" s="230">
        <v>0.50895833333333329</v>
      </c>
      <c r="B29" s="19">
        <v>45056</v>
      </c>
      <c r="C29" s="118"/>
      <c r="D29" s="118"/>
      <c r="E29" s="118">
        <v>746.8</v>
      </c>
      <c r="F29" s="118">
        <v>483</v>
      </c>
      <c r="G29" s="118">
        <v>521.4</v>
      </c>
      <c r="H29" s="118">
        <v>521424</v>
      </c>
      <c r="I29" s="118">
        <v>0.25</v>
      </c>
      <c r="J29" s="118">
        <v>525.1</v>
      </c>
      <c r="K29" s="118">
        <v>0.14699999999999999</v>
      </c>
      <c r="L29" s="118">
        <v>0.151</v>
      </c>
      <c r="M29" s="118">
        <v>0.20899999999999999</v>
      </c>
      <c r="N29" s="118">
        <v>99.1</v>
      </c>
      <c r="O29" s="118">
        <v>8.8000000000000007</v>
      </c>
      <c r="P29" s="118">
        <v>100.7</v>
      </c>
      <c r="Q29" s="118">
        <v>0</v>
      </c>
      <c r="R29" s="118">
        <v>0</v>
      </c>
      <c r="S29" s="118">
        <v>0</v>
      </c>
      <c r="T29" s="118">
        <v>282.60000000000002</v>
      </c>
      <c r="U29" s="118">
        <v>7.63</v>
      </c>
      <c r="V29" s="118">
        <v>-77.5</v>
      </c>
      <c r="W29" s="118">
        <v>11.8</v>
      </c>
      <c r="X29" s="118">
        <v>0</v>
      </c>
      <c r="Y29" s="118">
        <v>21.145</v>
      </c>
      <c r="Z29" s="118">
        <v>34.49</v>
      </c>
      <c r="AA29" s="118">
        <v>0</v>
      </c>
      <c r="AB29" s="19">
        <v>45056</v>
      </c>
      <c r="AC29" s="118" t="s">
        <v>1828</v>
      </c>
    </row>
    <row r="30" spans="1:29" x14ac:dyDescent="0.25">
      <c r="A30" s="230">
        <v>0.52209490740740738</v>
      </c>
      <c r="B30" s="19">
        <v>45056</v>
      </c>
      <c r="C30" s="118"/>
      <c r="D30" s="118"/>
      <c r="E30" s="118">
        <v>746.7</v>
      </c>
      <c r="F30" s="118">
        <v>490.3</v>
      </c>
      <c r="G30" s="118">
        <v>533.4</v>
      </c>
      <c r="H30" s="118">
        <v>533365</v>
      </c>
      <c r="I30" s="118">
        <v>0.26</v>
      </c>
      <c r="J30" s="118">
        <v>537.4</v>
      </c>
      <c r="K30" s="118">
        <v>0.14599999999999999</v>
      </c>
      <c r="L30" s="118">
        <v>0.14899999999999999</v>
      </c>
      <c r="M30" s="118">
        <v>0.20699999999999999</v>
      </c>
      <c r="N30" s="118">
        <v>97</v>
      </c>
      <c r="O30" s="118">
        <v>8.67</v>
      </c>
      <c r="P30" s="118">
        <v>98.6</v>
      </c>
      <c r="Q30" s="118">
        <v>40.668570000000003</v>
      </c>
      <c r="R30" s="118">
        <v>-85.848879999999994</v>
      </c>
      <c r="S30" s="118">
        <v>219.9</v>
      </c>
      <c r="T30" s="118">
        <v>123</v>
      </c>
      <c r="U30" s="118">
        <v>7.98</v>
      </c>
      <c r="V30" s="118">
        <v>-98.3</v>
      </c>
      <c r="W30" s="118">
        <v>11.8</v>
      </c>
      <c r="X30" s="118">
        <v>0</v>
      </c>
      <c r="Y30" s="118">
        <v>20.782</v>
      </c>
      <c r="Z30" s="118">
        <v>36.79</v>
      </c>
      <c r="AA30" s="118">
        <v>0</v>
      </c>
      <c r="AB30" s="19">
        <v>45056</v>
      </c>
      <c r="AC30" s="118" t="s">
        <v>1830</v>
      </c>
    </row>
    <row r="31" spans="1:29" x14ac:dyDescent="0.25">
      <c r="A31" s="230">
        <v>0.59377314814814819</v>
      </c>
      <c r="B31" s="19">
        <v>45063</v>
      </c>
      <c r="C31" s="118"/>
      <c r="D31" s="118"/>
      <c r="E31" s="118">
        <v>744</v>
      </c>
      <c r="F31" s="118">
        <v>471.9</v>
      </c>
      <c r="G31" s="118">
        <v>540.79999999999995</v>
      </c>
      <c r="H31" s="118">
        <v>540791</v>
      </c>
      <c r="I31" s="118">
        <v>0.26</v>
      </c>
      <c r="J31" s="118">
        <v>546.9</v>
      </c>
      <c r="K31" s="118">
        <v>0.624</v>
      </c>
      <c r="L31" s="118">
        <v>0.61399999999999999</v>
      </c>
      <c r="M31" s="118">
        <v>0.88600000000000001</v>
      </c>
      <c r="N31" s="118">
        <v>72.400000000000006</v>
      </c>
      <c r="O31" s="118">
        <v>6.8</v>
      </c>
      <c r="P31" s="118">
        <v>74.3</v>
      </c>
      <c r="Q31" s="118">
        <v>40.730060000000002</v>
      </c>
      <c r="R31" s="118">
        <v>-86.757320000000007</v>
      </c>
      <c r="S31" s="118">
        <v>189.2</v>
      </c>
      <c r="T31" s="118">
        <v>212.9</v>
      </c>
      <c r="U31" s="118">
        <v>7.32</v>
      </c>
      <c r="V31" s="118">
        <v>-52.3</v>
      </c>
      <c r="W31" s="118">
        <v>11.8</v>
      </c>
      <c r="X31" s="118">
        <v>0</v>
      </c>
      <c r="Y31" s="118">
        <v>18.327999999999999</v>
      </c>
      <c r="Z31" s="118">
        <v>11.96</v>
      </c>
      <c r="AA31" s="118">
        <v>0</v>
      </c>
      <c r="AB31" s="19">
        <v>45063</v>
      </c>
      <c r="AC31" s="118" t="s">
        <v>1812</v>
      </c>
    </row>
    <row r="32" spans="1:29" x14ac:dyDescent="0.25">
      <c r="A32" s="230">
        <v>0.60244212962962962</v>
      </c>
      <c r="B32" s="19">
        <v>45063</v>
      </c>
      <c r="C32" s="118"/>
      <c r="D32" s="118"/>
      <c r="E32" s="118">
        <v>743.9</v>
      </c>
      <c r="F32" s="118">
        <v>470.6</v>
      </c>
      <c r="G32" s="118">
        <v>541.79999999999995</v>
      </c>
      <c r="H32" s="118">
        <v>541764</v>
      </c>
      <c r="I32" s="118">
        <v>0.26</v>
      </c>
      <c r="J32" s="118">
        <v>548</v>
      </c>
      <c r="K32" s="118">
        <v>0.28000000000000003</v>
      </c>
      <c r="L32" s="118">
        <v>0.27900000000000003</v>
      </c>
      <c r="M32" s="118">
        <v>0.39800000000000002</v>
      </c>
      <c r="N32" s="118">
        <v>80.7</v>
      </c>
      <c r="O32" s="118">
        <v>7.61</v>
      </c>
      <c r="P32" s="118">
        <v>82.7</v>
      </c>
      <c r="Q32" s="118">
        <v>40.729349999999997</v>
      </c>
      <c r="R32" s="118">
        <v>-86.756860000000003</v>
      </c>
      <c r="S32" s="118">
        <v>188.5</v>
      </c>
      <c r="T32" s="118">
        <v>223.3</v>
      </c>
      <c r="U32" s="118">
        <v>7.48</v>
      </c>
      <c r="V32" s="118">
        <v>-61</v>
      </c>
      <c r="W32" s="118">
        <v>11.8</v>
      </c>
      <c r="X32" s="118">
        <v>0</v>
      </c>
      <c r="Y32" s="118">
        <v>18.123999999999999</v>
      </c>
      <c r="Z32" s="118">
        <v>12.95</v>
      </c>
      <c r="AA32" s="118">
        <v>0</v>
      </c>
      <c r="AB32" s="19">
        <v>45063</v>
      </c>
      <c r="AC32" s="118" t="s">
        <v>1813</v>
      </c>
    </row>
    <row r="33" spans="1:29" x14ac:dyDescent="0.25">
      <c r="A33" s="230">
        <v>0.61186342592592591</v>
      </c>
      <c r="B33" s="19">
        <v>45063</v>
      </c>
      <c r="C33" s="118"/>
      <c r="D33" s="118"/>
      <c r="E33" s="118">
        <v>744.1</v>
      </c>
      <c r="F33" s="118">
        <v>466.6</v>
      </c>
      <c r="G33" s="118">
        <v>536.79999999999995</v>
      </c>
      <c r="H33" s="118">
        <v>536817</v>
      </c>
      <c r="I33" s="118">
        <v>0.26</v>
      </c>
      <c r="J33" s="118">
        <v>543</v>
      </c>
      <c r="K33" s="118">
        <v>0.308</v>
      </c>
      <c r="L33" s="118">
        <v>0.28399999999999997</v>
      </c>
      <c r="M33" s="118">
        <v>0.437</v>
      </c>
      <c r="N33" s="118">
        <v>77.5</v>
      </c>
      <c r="O33" s="118">
        <v>7.3</v>
      </c>
      <c r="P33" s="118">
        <v>79.400000000000006</v>
      </c>
      <c r="Q33" s="118">
        <v>40.72871</v>
      </c>
      <c r="R33" s="118">
        <v>-86.755979999999994</v>
      </c>
      <c r="S33" s="118">
        <v>187.1</v>
      </c>
      <c r="T33" s="118">
        <v>206.5</v>
      </c>
      <c r="U33" s="118">
        <v>7.48</v>
      </c>
      <c r="V33" s="118">
        <v>-61.3</v>
      </c>
      <c r="W33" s="118">
        <v>11.8</v>
      </c>
      <c r="X33" s="118">
        <v>0</v>
      </c>
      <c r="Y33" s="118">
        <v>18.155999999999999</v>
      </c>
      <c r="Z33" s="118">
        <v>11.89</v>
      </c>
      <c r="AA33" s="118">
        <v>0</v>
      </c>
      <c r="AB33" s="19">
        <v>45063</v>
      </c>
      <c r="AC33" s="118" t="s">
        <v>1814</v>
      </c>
    </row>
    <row r="34" spans="1:29" x14ac:dyDescent="0.25">
      <c r="A34" s="230">
        <v>0.62930555555555556</v>
      </c>
      <c r="B34" s="19">
        <v>45063</v>
      </c>
      <c r="C34" s="118"/>
      <c r="D34" s="118"/>
      <c r="E34" s="118">
        <v>744.2</v>
      </c>
      <c r="F34" s="118">
        <v>467.1</v>
      </c>
      <c r="G34" s="118">
        <v>535.20000000000005</v>
      </c>
      <c r="H34" s="118">
        <v>535191</v>
      </c>
      <c r="I34" s="118">
        <v>0.26</v>
      </c>
      <c r="J34" s="118">
        <v>541.20000000000005</v>
      </c>
      <c r="K34" s="118">
        <v>0.31</v>
      </c>
      <c r="L34" s="118">
        <v>0.34100000000000003</v>
      </c>
      <c r="M34" s="118">
        <v>0.441</v>
      </c>
      <c r="N34" s="118">
        <v>75.599999999999994</v>
      </c>
      <c r="O34" s="118">
        <v>7.09</v>
      </c>
      <c r="P34" s="118">
        <v>77.5</v>
      </c>
      <c r="Q34" s="118">
        <v>40.723619999999997</v>
      </c>
      <c r="R34" s="118">
        <v>-86.756510000000006</v>
      </c>
      <c r="S34" s="118">
        <v>186.8</v>
      </c>
      <c r="T34" s="118">
        <v>197.1</v>
      </c>
      <c r="U34" s="118">
        <v>7.47</v>
      </c>
      <c r="V34" s="118">
        <v>-60.6</v>
      </c>
      <c r="W34" s="118">
        <v>11.8</v>
      </c>
      <c r="X34" s="118">
        <v>0</v>
      </c>
      <c r="Y34" s="118">
        <v>18.338999999999999</v>
      </c>
      <c r="Z34" s="118">
        <v>13.4</v>
      </c>
      <c r="AA34" s="118">
        <v>0</v>
      </c>
      <c r="AB34" s="19">
        <v>45063</v>
      </c>
      <c r="AC34" s="118" t="s">
        <v>1815</v>
      </c>
    </row>
    <row r="35" spans="1:29" x14ac:dyDescent="0.25">
      <c r="A35" s="230">
        <v>0.64793981481481477</v>
      </c>
      <c r="B35" s="19">
        <v>45063</v>
      </c>
      <c r="C35" s="118"/>
      <c r="D35" s="118"/>
      <c r="E35" s="118">
        <v>744.3</v>
      </c>
      <c r="F35" s="118">
        <v>468.2</v>
      </c>
      <c r="G35" s="118">
        <v>535.79999999999995</v>
      </c>
      <c r="H35" s="118">
        <v>535797</v>
      </c>
      <c r="I35" s="118">
        <v>0.26</v>
      </c>
      <c r="J35" s="118">
        <v>541.79999999999995</v>
      </c>
      <c r="K35" s="118">
        <v>0.30399999999999999</v>
      </c>
      <c r="L35" s="118">
        <v>0.30199999999999999</v>
      </c>
      <c r="M35" s="118">
        <v>0.432</v>
      </c>
      <c r="N35" s="118">
        <v>76.599999999999994</v>
      </c>
      <c r="O35" s="118">
        <v>7.19</v>
      </c>
      <c r="P35" s="118">
        <v>78.599999999999994</v>
      </c>
      <c r="Q35" s="118">
        <v>40.720309999999998</v>
      </c>
      <c r="R35" s="118">
        <v>-86.754230000000007</v>
      </c>
      <c r="S35" s="118">
        <v>189.2</v>
      </c>
      <c r="T35" s="118">
        <v>194.8</v>
      </c>
      <c r="U35" s="118">
        <v>7.53</v>
      </c>
      <c r="V35" s="118">
        <v>-63.7</v>
      </c>
      <c r="W35" s="118">
        <v>11.8</v>
      </c>
      <c r="X35" s="118">
        <v>0</v>
      </c>
      <c r="Y35" s="118">
        <v>18.390999999999998</v>
      </c>
      <c r="Z35" s="118">
        <v>11.81</v>
      </c>
      <c r="AA35" s="118">
        <v>0</v>
      </c>
      <c r="AB35" s="19">
        <v>45063</v>
      </c>
      <c r="AC35" s="118" t="s">
        <v>1816</v>
      </c>
    </row>
    <row r="36" spans="1:29" x14ac:dyDescent="0.25">
      <c r="A36" s="230">
        <v>0.66180555555555554</v>
      </c>
      <c r="B36" s="19">
        <v>45063</v>
      </c>
      <c r="C36" s="118"/>
      <c r="D36" s="118"/>
      <c r="E36" s="118">
        <v>744.4</v>
      </c>
      <c r="F36" s="118">
        <v>459.8</v>
      </c>
      <c r="G36" s="118">
        <v>524.1</v>
      </c>
      <c r="H36" s="118">
        <v>524113</v>
      </c>
      <c r="I36" s="118">
        <v>0.25</v>
      </c>
      <c r="J36" s="118">
        <v>529.9</v>
      </c>
      <c r="K36" s="118">
        <v>0.28399999999999997</v>
      </c>
      <c r="L36" s="118">
        <v>0.27300000000000002</v>
      </c>
      <c r="M36" s="118">
        <v>0.40400000000000003</v>
      </c>
      <c r="N36" s="118">
        <v>73.8</v>
      </c>
      <c r="O36" s="118">
        <v>6.89</v>
      </c>
      <c r="P36" s="118">
        <v>75.599999999999994</v>
      </c>
      <c r="Q36" s="118">
        <v>40.721400000000003</v>
      </c>
      <c r="R36" s="118">
        <v>-86.749619999999993</v>
      </c>
      <c r="S36" s="118">
        <v>189.6</v>
      </c>
      <c r="T36" s="118">
        <v>198.3</v>
      </c>
      <c r="U36" s="118">
        <v>7.47</v>
      </c>
      <c r="V36" s="118">
        <v>-60.5</v>
      </c>
      <c r="W36" s="118">
        <v>11.8</v>
      </c>
      <c r="X36" s="118">
        <v>0</v>
      </c>
      <c r="Y36" s="118">
        <v>18.579999999999998</v>
      </c>
      <c r="Z36" s="118">
        <v>10.71</v>
      </c>
      <c r="AA36" s="118">
        <v>0</v>
      </c>
      <c r="AB36" s="19">
        <v>45063</v>
      </c>
      <c r="AC36" s="118" t="s">
        <v>1817</v>
      </c>
    </row>
    <row r="37" spans="1:29" x14ac:dyDescent="0.25">
      <c r="A37" s="230">
        <v>0.63959490740740743</v>
      </c>
      <c r="B37" s="19">
        <v>45063</v>
      </c>
      <c r="C37" s="118"/>
      <c r="D37" s="118"/>
      <c r="E37" s="118">
        <v>744.3</v>
      </c>
      <c r="F37" s="118">
        <v>468</v>
      </c>
      <c r="G37" s="118">
        <v>535.20000000000005</v>
      </c>
      <c r="H37" s="118">
        <v>535250</v>
      </c>
      <c r="I37" s="118">
        <v>0.26</v>
      </c>
      <c r="J37" s="118">
        <v>541.20000000000005</v>
      </c>
      <c r="K37" s="118">
        <v>0.24299999999999999</v>
      </c>
      <c r="L37" s="118">
        <v>0.23499999999999999</v>
      </c>
      <c r="M37" s="118">
        <v>0.34599999999999997</v>
      </c>
      <c r="N37" s="118">
        <v>77.2</v>
      </c>
      <c r="O37" s="118">
        <v>7.24</v>
      </c>
      <c r="P37" s="118">
        <v>79.2</v>
      </c>
      <c r="Q37" s="118">
        <v>40.722059999999999</v>
      </c>
      <c r="R37" s="118">
        <v>-86.755290000000002</v>
      </c>
      <c r="S37" s="118">
        <v>185.5</v>
      </c>
      <c r="T37" s="118">
        <v>191.6</v>
      </c>
      <c r="U37" s="118">
        <v>7.51</v>
      </c>
      <c r="V37" s="118">
        <v>-62.9</v>
      </c>
      <c r="W37" s="118">
        <v>11.8</v>
      </c>
      <c r="X37" s="118">
        <v>0</v>
      </c>
      <c r="Y37" s="118">
        <v>18.423999999999999</v>
      </c>
      <c r="Z37" s="118">
        <v>11.81</v>
      </c>
      <c r="AA37" s="118">
        <v>0</v>
      </c>
      <c r="AB37" s="19">
        <v>45063</v>
      </c>
      <c r="AC37" s="118" t="s">
        <v>1818</v>
      </c>
    </row>
    <row r="38" spans="1:29" x14ac:dyDescent="0.25">
      <c r="A38" s="230">
        <v>0.67153935185185187</v>
      </c>
      <c r="B38" s="19">
        <v>45063</v>
      </c>
      <c r="C38" s="118"/>
      <c r="D38" s="118"/>
      <c r="E38" s="118">
        <v>744.4</v>
      </c>
      <c r="F38" s="118">
        <v>468.5</v>
      </c>
      <c r="G38" s="118">
        <v>531.5</v>
      </c>
      <c r="H38" s="118">
        <v>531542</v>
      </c>
      <c r="I38" s="118">
        <v>0.26</v>
      </c>
      <c r="J38" s="118">
        <v>537.20000000000005</v>
      </c>
      <c r="K38" s="118">
        <v>0.28000000000000003</v>
      </c>
      <c r="L38" s="118">
        <v>0.28999999999999998</v>
      </c>
      <c r="M38" s="118">
        <v>0.39800000000000002</v>
      </c>
      <c r="N38" s="118">
        <v>77.099999999999994</v>
      </c>
      <c r="O38" s="118">
        <v>7.17</v>
      </c>
      <c r="P38" s="118">
        <v>79</v>
      </c>
      <c r="Q38" s="118">
        <v>40.715580000000003</v>
      </c>
      <c r="R38" s="118">
        <v>-86.748180000000005</v>
      </c>
      <c r="S38" s="118">
        <v>188.7</v>
      </c>
      <c r="T38" s="118">
        <v>217.3</v>
      </c>
      <c r="U38" s="118">
        <v>7.58</v>
      </c>
      <c r="V38" s="118">
        <v>-66.599999999999994</v>
      </c>
      <c r="W38" s="118">
        <v>11.8</v>
      </c>
      <c r="X38" s="118">
        <v>0</v>
      </c>
      <c r="Y38" s="118">
        <v>18.786999999999999</v>
      </c>
      <c r="Z38" s="118">
        <v>9.92</v>
      </c>
      <c r="AA38" s="118">
        <v>0</v>
      </c>
      <c r="AB38" s="19">
        <v>45063</v>
      </c>
      <c r="AC38" s="118" t="s">
        <v>1819</v>
      </c>
    </row>
    <row r="39" spans="1:29" x14ac:dyDescent="0.25">
      <c r="A39" s="230">
        <v>0.68335648148148154</v>
      </c>
      <c r="B39" s="19">
        <v>45063</v>
      </c>
      <c r="C39" s="118"/>
      <c r="D39" s="118"/>
      <c r="E39" s="118">
        <v>744.6</v>
      </c>
      <c r="F39" s="118">
        <v>472.1</v>
      </c>
      <c r="G39" s="118">
        <v>531.5</v>
      </c>
      <c r="H39" s="118">
        <v>531504</v>
      </c>
      <c r="I39" s="118">
        <v>0.26</v>
      </c>
      <c r="J39" s="118">
        <v>536.9</v>
      </c>
      <c r="K39" s="118">
        <v>0.25900000000000001</v>
      </c>
      <c r="L39" s="118">
        <v>0.26100000000000001</v>
      </c>
      <c r="M39" s="118">
        <v>0.36799999999999999</v>
      </c>
      <c r="N39" s="118">
        <v>77.900000000000006</v>
      </c>
      <c r="O39" s="118">
        <v>7.19</v>
      </c>
      <c r="P39" s="118">
        <v>79.8</v>
      </c>
      <c r="Q39" s="118">
        <v>40.714619999999996</v>
      </c>
      <c r="R39" s="118">
        <v>-86.749510000000001</v>
      </c>
      <c r="S39" s="118">
        <v>192.7</v>
      </c>
      <c r="T39" s="118">
        <v>217.3</v>
      </c>
      <c r="U39" s="118">
        <v>7.5</v>
      </c>
      <c r="V39" s="118">
        <v>-62.6</v>
      </c>
      <c r="W39" s="118">
        <v>11.8</v>
      </c>
      <c r="X39" s="118">
        <v>0</v>
      </c>
      <c r="Y39" s="118">
        <v>19.148</v>
      </c>
      <c r="Z39" s="118">
        <v>9.1999999999999993</v>
      </c>
      <c r="AA39" s="118">
        <v>0</v>
      </c>
      <c r="AB39" s="19">
        <v>45063</v>
      </c>
      <c r="AC39" s="118" t="s">
        <v>1820</v>
      </c>
    </row>
    <row r="40" spans="1:29" x14ac:dyDescent="0.25">
      <c r="A40" s="230">
        <v>0.68057870370370366</v>
      </c>
      <c r="B40" s="19">
        <v>45068</v>
      </c>
      <c r="C40" s="118"/>
      <c r="D40" s="118"/>
      <c r="E40" s="118">
        <v>744.6</v>
      </c>
      <c r="F40" s="118">
        <v>415.7</v>
      </c>
      <c r="G40" s="118">
        <v>456.8</v>
      </c>
      <c r="H40" s="118">
        <v>456806</v>
      </c>
      <c r="I40" s="118">
        <v>0.22</v>
      </c>
      <c r="J40" s="118">
        <v>460.6</v>
      </c>
      <c r="K40" s="118">
        <v>0.63800000000000001</v>
      </c>
      <c r="L40" s="118">
        <v>0.65</v>
      </c>
      <c r="M40" s="118">
        <v>0.90500000000000003</v>
      </c>
      <c r="N40" s="118">
        <v>183.1</v>
      </c>
      <c r="O40" s="118">
        <v>16.53</v>
      </c>
      <c r="P40" s="118">
        <v>186.3</v>
      </c>
      <c r="Q40" s="118">
        <v>40.776310000000002</v>
      </c>
      <c r="R40" s="118">
        <v>-85.630260000000007</v>
      </c>
      <c r="S40" s="118">
        <v>227.6</v>
      </c>
      <c r="T40" s="118">
        <v>106.4</v>
      </c>
      <c r="U40" s="118">
        <v>8.8000000000000007</v>
      </c>
      <c r="V40" s="118">
        <v>-144.5</v>
      </c>
      <c r="W40" s="118">
        <v>11.8</v>
      </c>
      <c r="X40" s="118">
        <v>0</v>
      </c>
      <c r="Y40" s="118">
        <v>20.286999999999999</v>
      </c>
      <c r="Z40" s="118">
        <v>5.34</v>
      </c>
      <c r="AA40" s="118">
        <v>0</v>
      </c>
      <c r="AB40" s="19">
        <v>45068</v>
      </c>
      <c r="AC40" s="118" t="s">
        <v>516</v>
      </c>
    </row>
    <row r="41" spans="1:29" x14ac:dyDescent="0.25">
      <c r="A41" s="230">
        <v>0.63806712962962964</v>
      </c>
      <c r="B41" s="19">
        <v>45068</v>
      </c>
      <c r="C41" s="118"/>
      <c r="D41" s="118"/>
      <c r="E41" s="118">
        <v>744.6</v>
      </c>
      <c r="F41" s="118">
        <v>413.4</v>
      </c>
      <c r="G41" s="118">
        <v>457.8</v>
      </c>
      <c r="H41" s="118">
        <v>457811</v>
      </c>
      <c r="I41" s="118">
        <v>0.22</v>
      </c>
      <c r="J41" s="118">
        <v>461.9</v>
      </c>
      <c r="K41" s="118">
        <v>0.45200000000000001</v>
      </c>
      <c r="L41" s="118">
        <v>0.45800000000000002</v>
      </c>
      <c r="M41" s="118">
        <v>0.64200000000000002</v>
      </c>
      <c r="N41" s="118">
        <v>163.30000000000001</v>
      </c>
      <c r="O41" s="118">
        <v>14.85</v>
      </c>
      <c r="P41" s="118">
        <v>166.1</v>
      </c>
      <c r="Q41" s="118">
        <v>40.780079999999998</v>
      </c>
      <c r="R41" s="118">
        <v>-85.634799999999998</v>
      </c>
      <c r="S41" s="118">
        <v>224</v>
      </c>
      <c r="T41" s="118">
        <v>118.9</v>
      </c>
      <c r="U41" s="118">
        <v>8.75</v>
      </c>
      <c r="V41" s="118">
        <v>-141.30000000000001</v>
      </c>
      <c r="W41" s="118">
        <v>11.8</v>
      </c>
      <c r="X41" s="118">
        <v>0</v>
      </c>
      <c r="Y41" s="118">
        <v>19.922000000000001</v>
      </c>
      <c r="Z41" s="118">
        <v>6.45</v>
      </c>
      <c r="AA41" s="118">
        <v>0</v>
      </c>
      <c r="AB41" s="19">
        <v>45068</v>
      </c>
      <c r="AC41" s="118" t="s">
        <v>1844</v>
      </c>
    </row>
    <row r="42" spans="1:29" x14ac:dyDescent="0.25">
      <c r="A42" s="230">
        <v>0.84584490740740736</v>
      </c>
      <c r="B42" s="19">
        <v>45068</v>
      </c>
      <c r="C42" s="118"/>
      <c r="D42" s="118"/>
      <c r="E42" s="118">
        <v>743.4</v>
      </c>
      <c r="F42" s="118">
        <v>400.1</v>
      </c>
      <c r="G42" s="118">
        <v>424.9</v>
      </c>
      <c r="H42" s="118">
        <v>424884</v>
      </c>
      <c r="I42" s="118">
        <v>0.2</v>
      </c>
      <c r="J42" s="118">
        <v>427.3</v>
      </c>
      <c r="K42" s="118">
        <v>0.317</v>
      </c>
      <c r="L42" s="118">
        <v>0.32100000000000001</v>
      </c>
      <c r="M42" s="118">
        <v>0.44900000000000001</v>
      </c>
      <c r="N42" s="118">
        <v>250.4</v>
      </c>
      <c r="O42" s="118">
        <v>21.9</v>
      </c>
      <c r="P42" s="118">
        <v>254.8</v>
      </c>
      <c r="Q42" s="118">
        <v>40.771839999999997</v>
      </c>
      <c r="R42" s="118">
        <v>-85.647180000000006</v>
      </c>
      <c r="S42" s="118">
        <v>228.1</v>
      </c>
      <c r="T42" s="118">
        <v>138.9</v>
      </c>
      <c r="U42" s="118">
        <v>9.09</v>
      </c>
      <c r="V42" s="118">
        <v>-161.6</v>
      </c>
      <c r="W42" s="118">
        <v>11.8</v>
      </c>
      <c r="X42" s="118">
        <v>0</v>
      </c>
      <c r="Y42" s="118">
        <v>21.95</v>
      </c>
      <c r="Z42" s="118">
        <v>11.24</v>
      </c>
      <c r="AA42" s="118">
        <v>0</v>
      </c>
      <c r="AB42" s="19">
        <v>45068</v>
      </c>
      <c r="AC42" s="118" t="s">
        <v>1853</v>
      </c>
    </row>
    <row r="43" spans="1:29" x14ac:dyDescent="0.25">
      <c r="A43" s="230">
        <v>0.85973379629629632</v>
      </c>
      <c r="B43" s="19">
        <v>45068</v>
      </c>
      <c r="C43" s="118"/>
      <c r="D43" s="118"/>
      <c r="E43" s="118">
        <v>743.1</v>
      </c>
      <c r="F43" s="118">
        <v>413.7</v>
      </c>
      <c r="G43" s="118">
        <v>416.2</v>
      </c>
      <c r="H43" s="118">
        <v>416196</v>
      </c>
      <c r="I43" s="118">
        <v>0.2</v>
      </c>
      <c r="J43" s="118">
        <v>416.4</v>
      </c>
      <c r="K43" s="118">
        <v>0.36399999999999999</v>
      </c>
      <c r="L43" s="118">
        <v>0.372</v>
      </c>
      <c r="M43" s="118">
        <v>0.51600000000000001</v>
      </c>
      <c r="N43" s="118">
        <v>280.3</v>
      </c>
      <c r="O43" s="118">
        <v>23.27</v>
      </c>
      <c r="P43" s="118">
        <v>285.2</v>
      </c>
      <c r="Q43" s="118">
        <v>40.770310000000002</v>
      </c>
      <c r="R43" s="118">
        <v>-85.645660000000007</v>
      </c>
      <c r="S43" s="118">
        <v>231.2</v>
      </c>
      <c r="T43" s="118">
        <v>141.19999999999999</v>
      </c>
      <c r="U43" s="118">
        <v>9.09</v>
      </c>
      <c r="V43" s="118">
        <v>-163.19999999999999</v>
      </c>
      <c r="W43" s="118">
        <v>11.8</v>
      </c>
      <c r="X43" s="118">
        <v>0</v>
      </c>
      <c r="Y43" s="118">
        <v>24.69</v>
      </c>
      <c r="Z43" s="118">
        <v>13.77</v>
      </c>
      <c r="AA43" s="118">
        <v>0</v>
      </c>
      <c r="AB43" s="19">
        <v>45068</v>
      </c>
      <c r="AC43" s="118" t="s">
        <v>1854</v>
      </c>
    </row>
    <row r="44" spans="1:29" x14ac:dyDescent="0.25">
      <c r="A44" s="230">
        <v>0.65230324074074075</v>
      </c>
      <c r="B44" s="19">
        <v>45068</v>
      </c>
      <c r="C44" s="118"/>
      <c r="D44" s="118"/>
      <c r="E44" s="118">
        <v>744.6</v>
      </c>
      <c r="F44" s="118">
        <v>413.4</v>
      </c>
      <c r="G44" s="118">
        <v>457.2</v>
      </c>
      <c r="H44" s="118">
        <v>457236</v>
      </c>
      <c r="I44" s="118">
        <v>0.22</v>
      </c>
      <c r="J44" s="118">
        <v>461.3</v>
      </c>
      <c r="K44" s="118">
        <v>0.56899999999999995</v>
      </c>
      <c r="L44" s="118">
        <v>0.61599999999999999</v>
      </c>
      <c r="M44" s="118">
        <v>0.80800000000000005</v>
      </c>
      <c r="N44" s="118">
        <v>172.8</v>
      </c>
      <c r="O44" s="118">
        <v>15.7</v>
      </c>
      <c r="P44" s="118">
        <v>175.8</v>
      </c>
      <c r="Q44" s="118">
        <v>40.775950000000002</v>
      </c>
      <c r="R44" s="118">
        <v>-85.631129999999999</v>
      </c>
      <c r="S44" s="118">
        <v>226.1</v>
      </c>
      <c r="T44" s="118">
        <v>111</v>
      </c>
      <c r="U44" s="118">
        <v>8.7799999999999994</v>
      </c>
      <c r="V44" s="118">
        <v>-143.19999999999999</v>
      </c>
      <c r="W44" s="118">
        <v>11.8</v>
      </c>
      <c r="X44" s="118">
        <v>0</v>
      </c>
      <c r="Y44" s="118">
        <v>19.981999999999999</v>
      </c>
      <c r="Z44" s="118">
        <v>6.54</v>
      </c>
      <c r="AA44" s="118">
        <v>0</v>
      </c>
      <c r="AB44" s="19">
        <v>45068</v>
      </c>
      <c r="AC44" s="118" t="s">
        <v>1845</v>
      </c>
    </row>
    <row r="45" spans="1:29" x14ac:dyDescent="0.25">
      <c r="A45" s="230">
        <v>0.67041666666666666</v>
      </c>
      <c r="B45" s="19">
        <v>45068</v>
      </c>
      <c r="C45" s="118"/>
      <c r="D45" s="118"/>
      <c r="E45" s="118">
        <v>744.7</v>
      </c>
      <c r="F45" s="118">
        <v>419</v>
      </c>
      <c r="G45" s="118">
        <v>455.7</v>
      </c>
      <c r="H45" s="118">
        <v>455652</v>
      </c>
      <c r="I45" s="118">
        <v>0.22</v>
      </c>
      <c r="J45" s="118">
        <v>459.1</v>
      </c>
      <c r="K45" s="118">
        <v>0.55500000000000005</v>
      </c>
      <c r="L45" s="118">
        <v>0.57099999999999995</v>
      </c>
      <c r="M45" s="118">
        <v>0.78800000000000003</v>
      </c>
      <c r="N45" s="118">
        <v>189.7</v>
      </c>
      <c r="O45" s="118">
        <v>16.96</v>
      </c>
      <c r="P45" s="118">
        <v>193</v>
      </c>
      <c r="Q45" s="118">
        <v>40.775019999999998</v>
      </c>
      <c r="R45" s="118">
        <v>-85.631919999999994</v>
      </c>
      <c r="S45" s="118">
        <v>239.7</v>
      </c>
      <c r="T45" s="118">
        <v>105.6</v>
      </c>
      <c r="U45" s="118">
        <v>8.84</v>
      </c>
      <c r="V45" s="118">
        <v>-146.80000000000001</v>
      </c>
      <c r="W45" s="118">
        <v>11.8</v>
      </c>
      <c r="X45" s="118">
        <v>0</v>
      </c>
      <c r="Y45" s="118">
        <v>20.788</v>
      </c>
      <c r="Z45" s="118">
        <v>8.92</v>
      </c>
      <c r="AA45" s="118">
        <v>0</v>
      </c>
      <c r="AB45" s="19">
        <v>45068</v>
      </c>
      <c r="AC45" s="118" t="s">
        <v>1846</v>
      </c>
    </row>
    <row r="46" spans="1:29" x14ac:dyDescent="0.25">
      <c r="A46" s="230">
        <v>0.69118055555555558</v>
      </c>
      <c r="B46" s="19">
        <v>45068</v>
      </c>
      <c r="C46" s="118"/>
      <c r="D46" s="118"/>
      <c r="E46" s="118">
        <v>744.4</v>
      </c>
      <c r="F46" s="118">
        <v>413.5</v>
      </c>
      <c r="G46" s="118">
        <v>454.6</v>
      </c>
      <c r="H46" s="118">
        <v>454611</v>
      </c>
      <c r="I46" s="118">
        <v>0.22</v>
      </c>
      <c r="J46" s="118">
        <v>458.5</v>
      </c>
      <c r="K46" s="118">
        <v>0.54</v>
      </c>
      <c r="L46" s="118">
        <v>0.53200000000000003</v>
      </c>
      <c r="M46" s="118">
        <v>0.76700000000000002</v>
      </c>
      <c r="N46" s="118">
        <v>184.1</v>
      </c>
      <c r="O46" s="118">
        <v>16.63</v>
      </c>
      <c r="P46" s="118">
        <v>187.3</v>
      </c>
      <c r="Q46" s="118">
        <v>40.776609999999998</v>
      </c>
      <c r="R46" s="118">
        <v>-85.631829999999994</v>
      </c>
      <c r="S46" s="118">
        <v>226.4</v>
      </c>
      <c r="T46" s="118">
        <v>144.19999999999999</v>
      </c>
      <c r="U46" s="118">
        <v>8.84</v>
      </c>
      <c r="V46" s="118">
        <v>-146.9</v>
      </c>
      <c r="W46" s="118">
        <v>11.8</v>
      </c>
      <c r="X46" s="118">
        <v>0</v>
      </c>
      <c r="Y46" s="118">
        <v>20.266999999999999</v>
      </c>
      <c r="Z46" s="118">
        <v>7.04</v>
      </c>
      <c r="AA46" s="118">
        <v>0</v>
      </c>
      <c r="AB46" s="19">
        <v>45068</v>
      </c>
      <c r="AC46" s="118" t="s">
        <v>1847</v>
      </c>
    </row>
    <row r="47" spans="1:29" x14ac:dyDescent="0.25">
      <c r="A47" s="230">
        <v>0.69813657407407403</v>
      </c>
      <c r="B47" s="19">
        <v>45068</v>
      </c>
      <c r="C47" s="118"/>
      <c r="D47" s="118"/>
      <c r="E47" s="118">
        <v>744.3</v>
      </c>
      <c r="F47" s="118">
        <v>417</v>
      </c>
      <c r="G47" s="118">
        <v>455.4</v>
      </c>
      <c r="H47" s="118">
        <v>455370</v>
      </c>
      <c r="I47" s="118">
        <v>0.22</v>
      </c>
      <c r="J47" s="118">
        <v>459</v>
      </c>
      <c r="K47" s="118">
        <v>0.52400000000000002</v>
      </c>
      <c r="L47" s="118">
        <v>0.51300000000000001</v>
      </c>
      <c r="M47" s="118">
        <v>0.74399999999999999</v>
      </c>
      <c r="N47" s="118">
        <v>179.5</v>
      </c>
      <c r="O47" s="118">
        <v>16.11</v>
      </c>
      <c r="P47" s="118">
        <v>182.6</v>
      </c>
      <c r="Q47" s="118">
        <v>40.776470000000003</v>
      </c>
      <c r="R47" s="118">
        <v>-85.632549999999995</v>
      </c>
      <c r="S47" s="118">
        <v>220.7</v>
      </c>
      <c r="T47" s="118">
        <v>126.5</v>
      </c>
      <c r="U47" s="118">
        <v>8.7899999999999991</v>
      </c>
      <c r="V47" s="118">
        <v>-143.9</v>
      </c>
      <c r="W47" s="118">
        <v>11.8</v>
      </c>
      <c r="X47" s="118">
        <v>0</v>
      </c>
      <c r="Y47" s="118">
        <v>20.585999999999999</v>
      </c>
      <c r="Z47" s="118">
        <v>7.03</v>
      </c>
      <c r="AA47" s="118">
        <v>0</v>
      </c>
      <c r="AB47" s="19">
        <v>45068</v>
      </c>
      <c r="AC47" s="118" t="s">
        <v>1848</v>
      </c>
    </row>
    <row r="48" spans="1:29" x14ac:dyDescent="0.25">
      <c r="A48" s="230">
        <v>0.70192129629629629</v>
      </c>
      <c r="B48" s="19">
        <v>45068</v>
      </c>
      <c r="C48" s="118"/>
      <c r="D48" s="118"/>
      <c r="E48" s="118">
        <v>744.4</v>
      </c>
      <c r="F48" s="118">
        <v>423.6</v>
      </c>
      <c r="G48" s="118">
        <v>458.2</v>
      </c>
      <c r="H48" s="118">
        <v>458245</v>
      </c>
      <c r="I48" s="118">
        <v>0.22</v>
      </c>
      <c r="J48" s="118">
        <v>461.5</v>
      </c>
      <c r="K48" s="118">
        <v>0.35699999999999998</v>
      </c>
      <c r="L48" s="118">
        <v>0.37</v>
      </c>
      <c r="M48" s="118">
        <v>0.50700000000000001</v>
      </c>
      <c r="N48" s="118">
        <v>182.2</v>
      </c>
      <c r="O48" s="118">
        <v>16.21</v>
      </c>
      <c r="P48" s="118">
        <v>185.3</v>
      </c>
      <c r="Q48" s="118">
        <v>40.777940000000001</v>
      </c>
      <c r="R48" s="118">
        <v>-85.63306</v>
      </c>
      <c r="S48" s="118">
        <v>220.4</v>
      </c>
      <c r="T48" s="118">
        <v>151.69999999999999</v>
      </c>
      <c r="U48" s="118">
        <v>8.8699999999999992</v>
      </c>
      <c r="V48" s="118">
        <v>-148.5</v>
      </c>
      <c r="W48" s="118">
        <v>11.8</v>
      </c>
      <c r="X48" s="118">
        <v>0</v>
      </c>
      <c r="Y48" s="118">
        <v>21.045000000000002</v>
      </c>
      <c r="Z48" s="118">
        <v>4.84</v>
      </c>
      <c r="AA48" s="118">
        <v>0</v>
      </c>
      <c r="AB48" s="19">
        <v>45068</v>
      </c>
      <c r="AC48" s="118" t="s">
        <v>1849</v>
      </c>
    </row>
    <row r="49" spans="1:29" x14ac:dyDescent="0.25">
      <c r="A49" s="230">
        <v>0.71233796296296292</v>
      </c>
      <c r="B49" s="19">
        <v>45068</v>
      </c>
      <c r="C49" s="118"/>
      <c r="D49" s="118"/>
      <c r="E49" s="118">
        <v>744.4</v>
      </c>
      <c r="F49" s="118">
        <v>411.3</v>
      </c>
      <c r="G49" s="118">
        <v>450.4</v>
      </c>
      <c r="H49" s="118">
        <v>450429</v>
      </c>
      <c r="I49" s="118">
        <v>0.22</v>
      </c>
      <c r="J49" s="118">
        <v>454.1</v>
      </c>
      <c r="K49" s="118">
        <v>0.57599999999999996</v>
      </c>
      <c r="L49" s="118">
        <v>0.57399999999999995</v>
      </c>
      <c r="M49" s="118">
        <v>0.81799999999999995</v>
      </c>
      <c r="N49" s="118">
        <v>199.1</v>
      </c>
      <c r="O49" s="118">
        <v>17.920000000000002</v>
      </c>
      <c r="P49" s="118">
        <v>202.5</v>
      </c>
      <c r="Q49" s="118">
        <v>40.778820000000003</v>
      </c>
      <c r="R49" s="118">
        <v>-85.634559999999993</v>
      </c>
      <c r="S49" s="118">
        <v>227.1</v>
      </c>
      <c r="T49" s="118">
        <v>151.6</v>
      </c>
      <c r="U49" s="118">
        <v>8.94</v>
      </c>
      <c r="V49" s="118">
        <v>-152.19999999999999</v>
      </c>
      <c r="W49" s="118">
        <v>11.8</v>
      </c>
      <c r="X49" s="118">
        <v>0</v>
      </c>
      <c r="Y49" s="118">
        <v>20.443999999999999</v>
      </c>
      <c r="Z49" s="118">
        <v>8.1300000000000008</v>
      </c>
      <c r="AA49" s="118">
        <v>0</v>
      </c>
      <c r="AB49" s="19">
        <v>45068</v>
      </c>
      <c r="AC49" s="118" t="s">
        <v>1850</v>
      </c>
    </row>
    <row r="50" spans="1:29" x14ac:dyDescent="0.25">
      <c r="A50" s="230">
        <v>0.80973379629629627</v>
      </c>
      <c r="B50" s="19">
        <v>45068</v>
      </c>
      <c r="C50" s="118"/>
      <c r="D50" s="118"/>
      <c r="E50" s="118">
        <v>743.6</v>
      </c>
      <c r="F50" s="118">
        <v>372.6</v>
      </c>
      <c r="G50" s="118">
        <v>390.7</v>
      </c>
      <c r="H50" s="118">
        <v>390655</v>
      </c>
      <c r="I50" s="118">
        <v>0.19</v>
      </c>
      <c r="J50" s="118">
        <v>392.4</v>
      </c>
      <c r="K50" s="118">
        <v>0.32100000000000001</v>
      </c>
      <c r="L50" s="118">
        <v>0.307</v>
      </c>
      <c r="M50" s="118">
        <v>0.45600000000000002</v>
      </c>
      <c r="N50" s="118">
        <v>313.5</v>
      </c>
      <c r="O50" s="118">
        <v>27.08</v>
      </c>
      <c r="P50" s="118">
        <v>318.89999999999998</v>
      </c>
      <c r="Q50" s="118">
        <v>40.772359999999999</v>
      </c>
      <c r="R50" s="118">
        <v>-85.644130000000004</v>
      </c>
      <c r="S50" s="118">
        <v>223.3</v>
      </c>
      <c r="T50" s="118">
        <v>119.7</v>
      </c>
      <c r="U50" s="118">
        <v>9.4700000000000006</v>
      </c>
      <c r="V50" s="118">
        <v>-184.3</v>
      </c>
      <c r="W50" s="118">
        <v>11.8</v>
      </c>
      <c r="X50" s="118">
        <v>0</v>
      </c>
      <c r="Y50" s="118">
        <v>22.574000000000002</v>
      </c>
      <c r="Z50" s="118">
        <v>31.02</v>
      </c>
      <c r="AA50" s="118">
        <v>0</v>
      </c>
      <c r="AB50" s="19">
        <v>45068</v>
      </c>
      <c r="AC50" s="118" t="s">
        <v>1851</v>
      </c>
    </row>
    <row r="51" spans="1:29" x14ac:dyDescent="0.25">
      <c r="A51" s="230">
        <v>0.83060185185185187</v>
      </c>
      <c r="B51" s="19">
        <v>45068</v>
      </c>
      <c r="C51" s="118"/>
      <c r="D51" s="118"/>
      <c r="E51" s="118">
        <v>743.5</v>
      </c>
      <c r="F51" s="118">
        <v>416.2</v>
      </c>
      <c r="G51" s="118">
        <v>430.6</v>
      </c>
      <c r="H51" s="118">
        <v>430628</v>
      </c>
      <c r="I51" s="118">
        <v>0.21</v>
      </c>
      <c r="J51" s="118">
        <v>432.1</v>
      </c>
      <c r="K51" s="118">
        <v>0.309</v>
      </c>
      <c r="L51" s="118">
        <v>0.30499999999999999</v>
      </c>
      <c r="M51" s="118">
        <v>0.439</v>
      </c>
      <c r="N51" s="118">
        <v>227</v>
      </c>
      <c r="O51" s="118">
        <v>19.37</v>
      </c>
      <c r="P51" s="118">
        <v>230.9</v>
      </c>
      <c r="Q51" s="118">
        <v>40.769880000000001</v>
      </c>
      <c r="R51" s="118">
        <v>-85.647189999999995</v>
      </c>
      <c r="S51" s="118">
        <v>228.7</v>
      </c>
      <c r="T51" s="118">
        <v>141.80000000000001</v>
      </c>
      <c r="U51" s="118">
        <v>9.0399999999999991</v>
      </c>
      <c r="V51" s="118">
        <v>-159.30000000000001</v>
      </c>
      <c r="W51" s="118">
        <v>11.8</v>
      </c>
      <c r="X51" s="118">
        <v>0</v>
      </c>
      <c r="Y51" s="118">
        <v>23.251000000000001</v>
      </c>
      <c r="Z51" s="118">
        <v>5.79</v>
      </c>
      <c r="AA51" s="118">
        <v>0</v>
      </c>
      <c r="AB51" s="19">
        <v>45068</v>
      </c>
      <c r="AC51" s="118" t="s">
        <v>1852</v>
      </c>
    </row>
    <row r="52" spans="1:29" x14ac:dyDescent="0.25">
      <c r="A52" s="230">
        <v>0.59835648148148146</v>
      </c>
      <c r="B52" s="19">
        <v>45071</v>
      </c>
      <c r="C52" s="118"/>
      <c r="D52" s="118"/>
      <c r="E52" s="118">
        <v>750.3</v>
      </c>
      <c r="F52" s="118">
        <v>522.9</v>
      </c>
      <c r="G52" s="118">
        <v>568.70000000000005</v>
      </c>
      <c r="H52" s="118">
        <v>568730</v>
      </c>
      <c r="I52" s="118">
        <v>0.28000000000000003</v>
      </c>
      <c r="J52" s="118">
        <v>573.1</v>
      </c>
      <c r="K52" s="118">
        <v>0.56899999999999995</v>
      </c>
      <c r="L52" s="118">
        <v>0.58099999999999996</v>
      </c>
      <c r="M52" s="118">
        <v>0.80800000000000005</v>
      </c>
      <c r="N52" s="118">
        <v>182.1</v>
      </c>
      <c r="O52" s="118">
        <v>16.28</v>
      </c>
      <c r="P52" s="118">
        <v>184.7</v>
      </c>
      <c r="Q52" s="118">
        <v>40.834699999999998</v>
      </c>
      <c r="R52" s="118">
        <v>-86.807990000000004</v>
      </c>
      <c r="S52" s="118">
        <v>197.6</v>
      </c>
      <c r="T52" s="118">
        <v>173.5</v>
      </c>
      <c r="U52" s="118">
        <v>8.0299999999999994</v>
      </c>
      <c r="V52" s="118">
        <v>-101.9</v>
      </c>
      <c r="W52" s="118">
        <v>11.8</v>
      </c>
      <c r="X52" s="118">
        <v>0</v>
      </c>
      <c r="Y52" s="118">
        <v>20.777999999999999</v>
      </c>
      <c r="Z52" s="118">
        <v>9.3800000000000008</v>
      </c>
      <c r="AA52" s="118">
        <v>0</v>
      </c>
      <c r="AB52" s="19">
        <v>45071</v>
      </c>
      <c r="AC52" s="118" t="s">
        <v>1875</v>
      </c>
    </row>
    <row r="53" spans="1:29" x14ac:dyDescent="0.25">
      <c r="A53" s="230">
        <v>0.82814814814814819</v>
      </c>
      <c r="B53" s="19">
        <v>45071</v>
      </c>
      <c r="C53" s="118"/>
      <c r="D53" s="118"/>
      <c r="E53" s="118">
        <v>749.1</v>
      </c>
      <c r="F53" s="118">
        <v>637.20000000000005</v>
      </c>
      <c r="G53" s="118">
        <v>680.1</v>
      </c>
      <c r="H53" s="118">
        <v>680066</v>
      </c>
      <c r="I53" s="118">
        <v>0.33</v>
      </c>
      <c r="J53" s="118">
        <v>684.2</v>
      </c>
      <c r="K53" s="118">
        <v>0.52500000000000002</v>
      </c>
      <c r="L53" s="118">
        <v>0.53600000000000003</v>
      </c>
      <c r="M53" s="118">
        <v>0.746</v>
      </c>
      <c r="N53" s="118">
        <v>137.1</v>
      </c>
      <c r="O53" s="118">
        <v>12.03</v>
      </c>
      <c r="P53" s="118">
        <v>139</v>
      </c>
      <c r="Q53" s="118">
        <v>40.79513</v>
      </c>
      <c r="R53" s="118">
        <v>-86.772260000000003</v>
      </c>
      <c r="S53" s="118">
        <v>195.3</v>
      </c>
      <c r="T53" s="118">
        <v>236.1</v>
      </c>
      <c r="U53" s="118">
        <v>8.1</v>
      </c>
      <c r="V53" s="118">
        <v>-106.3</v>
      </c>
      <c r="W53" s="118">
        <v>11.8</v>
      </c>
      <c r="X53" s="118">
        <v>0</v>
      </c>
      <c r="Y53" s="118">
        <v>21.696999999999999</v>
      </c>
      <c r="Z53" s="118">
        <v>5.6</v>
      </c>
      <c r="AA53" s="118">
        <v>0</v>
      </c>
      <c r="AB53" s="19">
        <v>45071</v>
      </c>
      <c r="AC53" s="118" t="s">
        <v>1741</v>
      </c>
    </row>
    <row r="54" spans="1:29" x14ac:dyDescent="0.25">
      <c r="A54" s="230">
        <v>0.83908564814814812</v>
      </c>
      <c r="B54" s="19">
        <v>45071</v>
      </c>
      <c r="C54" s="118"/>
      <c r="D54" s="118"/>
      <c r="E54" s="118">
        <v>748.9</v>
      </c>
      <c r="F54" s="118">
        <v>610.29999999999995</v>
      </c>
      <c r="G54" s="118">
        <v>639.79999999999995</v>
      </c>
      <c r="H54" s="118">
        <v>639813</v>
      </c>
      <c r="I54" s="118">
        <v>0.31</v>
      </c>
      <c r="J54" s="118">
        <v>642.70000000000005</v>
      </c>
      <c r="K54" s="118">
        <v>0.51300000000000001</v>
      </c>
      <c r="L54" s="118">
        <v>0.50600000000000001</v>
      </c>
      <c r="M54" s="118">
        <v>0.72799999999999998</v>
      </c>
      <c r="N54" s="118">
        <v>184</v>
      </c>
      <c r="O54" s="118">
        <v>15.88</v>
      </c>
      <c r="P54" s="118">
        <v>186.6</v>
      </c>
      <c r="Q54" s="118">
        <v>40.786960000000001</v>
      </c>
      <c r="R54" s="118">
        <v>-86.770970000000005</v>
      </c>
      <c r="S54" s="118">
        <v>198.4</v>
      </c>
      <c r="T54" s="118">
        <v>220.1</v>
      </c>
      <c r="U54" s="118">
        <v>8.35</v>
      </c>
      <c r="V54" s="118">
        <v>-121.2</v>
      </c>
      <c r="W54" s="118">
        <v>11.8</v>
      </c>
      <c r="X54" s="118">
        <v>0</v>
      </c>
      <c r="Y54" s="118">
        <v>22.584</v>
      </c>
      <c r="Z54" s="118">
        <v>6.71</v>
      </c>
      <c r="AA54" s="118">
        <v>0</v>
      </c>
      <c r="AB54" s="19">
        <v>45071</v>
      </c>
      <c r="AC54" s="118" t="s">
        <v>1742</v>
      </c>
    </row>
    <row r="55" spans="1:29" x14ac:dyDescent="0.25">
      <c r="A55" s="230">
        <v>0.62634259259259262</v>
      </c>
      <c r="B55" s="19">
        <v>45071</v>
      </c>
      <c r="C55" s="118"/>
      <c r="D55" s="118"/>
      <c r="E55" s="118">
        <v>750.1</v>
      </c>
      <c r="F55" s="118">
        <v>562.6</v>
      </c>
      <c r="G55" s="118">
        <v>603.79999999999995</v>
      </c>
      <c r="H55" s="118">
        <v>603756</v>
      </c>
      <c r="I55" s="118">
        <v>0.28999999999999998</v>
      </c>
      <c r="J55" s="118">
        <v>607.70000000000005</v>
      </c>
      <c r="K55" s="118">
        <v>0.58699999999999997</v>
      </c>
      <c r="L55" s="118">
        <v>0.59699999999999998</v>
      </c>
      <c r="M55" s="118">
        <v>0.83399999999999996</v>
      </c>
      <c r="N55" s="118">
        <v>157.19999999999999</v>
      </c>
      <c r="O55" s="118">
        <v>13.87</v>
      </c>
      <c r="P55" s="118">
        <v>159.4</v>
      </c>
      <c r="Q55" s="118">
        <v>40.840119999999999</v>
      </c>
      <c r="R55" s="118">
        <v>-86.810940000000002</v>
      </c>
      <c r="S55" s="118">
        <v>195.2</v>
      </c>
      <c r="T55" s="118">
        <v>190.9</v>
      </c>
      <c r="U55" s="118">
        <v>7.91</v>
      </c>
      <c r="V55" s="118">
        <v>-95</v>
      </c>
      <c r="W55" s="118">
        <v>11.8</v>
      </c>
      <c r="X55" s="118">
        <v>0</v>
      </c>
      <c r="Y55" s="118">
        <v>21.43</v>
      </c>
      <c r="Z55" s="118">
        <v>10.93</v>
      </c>
      <c r="AA55" s="118">
        <v>0</v>
      </c>
      <c r="AB55" s="19">
        <v>45071</v>
      </c>
      <c r="AC55" s="118" t="s">
        <v>1881</v>
      </c>
    </row>
    <row r="56" spans="1:29" x14ac:dyDescent="0.25">
      <c r="A56" s="230">
        <v>0.61334490740740744</v>
      </c>
      <c r="B56" s="19">
        <v>45071</v>
      </c>
      <c r="C56" s="118"/>
      <c r="D56" s="118"/>
      <c r="E56" s="118">
        <v>750.1</v>
      </c>
      <c r="F56" s="118">
        <v>551.4</v>
      </c>
      <c r="G56" s="118">
        <v>598.20000000000005</v>
      </c>
      <c r="H56" s="118">
        <v>598226</v>
      </c>
      <c r="I56" s="118">
        <v>0.28999999999999998</v>
      </c>
      <c r="J56" s="118">
        <v>602.70000000000005</v>
      </c>
      <c r="K56" s="118">
        <v>0.51100000000000001</v>
      </c>
      <c r="L56" s="118">
        <v>0.50900000000000001</v>
      </c>
      <c r="M56" s="118">
        <v>0.72599999999999998</v>
      </c>
      <c r="N56" s="118">
        <v>153.4</v>
      </c>
      <c r="O56" s="118">
        <v>13.68</v>
      </c>
      <c r="P56" s="118">
        <v>155.6</v>
      </c>
      <c r="Q56" s="118">
        <v>40.840699999999998</v>
      </c>
      <c r="R56" s="118">
        <v>-86.805090000000007</v>
      </c>
      <c r="S56" s="118">
        <v>195</v>
      </c>
      <c r="T56" s="118">
        <v>187.9</v>
      </c>
      <c r="U56" s="118">
        <v>7.69</v>
      </c>
      <c r="V56" s="118">
        <v>-82.2</v>
      </c>
      <c r="W56" s="118">
        <v>11.8</v>
      </c>
      <c r="X56" s="118">
        <v>0</v>
      </c>
      <c r="Y56" s="118">
        <v>20.905000000000001</v>
      </c>
      <c r="Z56" s="118">
        <v>8.2899999999999991</v>
      </c>
      <c r="AA56" s="118">
        <v>0</v>
      </c>
      <c r="AB56" s="19">
        <v>45071</v>
      </c>
      <c r="AC56" s="118" t="s">
        <v>1876</v>
      </c>
    </row>
    <row r="57" spans="1:29" x14ac:dyDescent="0.25">
      <c r="A57" s="230">
        <v>0.64009259259259255</v>
      </c>
      <c r="B57" s="19">
        <v>45071</v>
      </c>
      <c r="C57" s="118"/>
      <c r="D57" s="118"/>
      <c r="E57" s="118">
        <v>750.4</v>
      </c>
      <c r="F57" s="118">
        <v>599.70000000000005</v>
      </c>
      <c r="G57" s="118">
        <v>637.70000000000005</v>
      </c>
      <c r="H57" s="118">
        <v>637684</v>
      </c>
      <c r="I57" s="118">
        <v>0.31</v>
      </c>
      <c r="J57" s="118">
        <v>641.4</v>
      </c>
      <c r="K57" s="118">
        <v>0.433</v>
      </c>
      <c r="L57" s="118">
        <v>0.45600000000000002</v>
      </c>
      <c r="M57" s="118">
        <v>0.61499999999999999</v>
      </c>
      <c r="N57" s="118">
        <v>103.2</v>
      </c>
      <c r="O57" s="118">
        <v>9.0299999999999994</v>
      </c>
      <c r="P57" s="118">
        <v>104.6</v>
      </c>
      <c r="Q57" s="118">
        <v>40.842799999999997</v>
      </c>
      <c r="R57" s="118">
        <v>-86.816950000000006</v>
      </c>
      <c r="S57" s="118">
        <v>197.7</v>
      </c>
      <c r="T57" s="118">
        <v>200.2</v>
      </c>
      <c r="U57" s="118">
        <v>7.78</v>
      </c>
      <c r="V57" s="118">
        <v>-87.7</v>
      </c>
      <c r="W57" s="118">
        <v>11.8</v>
      </c>
      <c r="X57" s="118">
        <v>0</v>
      </c>
      <c r="Y57" s="118">
        <v>21.882999999999999</v>
      </c>
      <c r="Z57" s="118">
        <v>9.01</v>
      </c>
      <c r="AA57" s="118">
        <v>0</v>
      </c>
      <c r="AB57" s="19">
        <v>45071</v>
      </c>
      <c r="AC57" s="118" t="s">
        <v>1877</v>
      </c>
    </row>
    <row r="58" spans="1:29" x14ac:dyDescent="0.25">
      <c r="A58" s="230">
        <v>0.65540509259259261</v>
      </c>
      <c r="B58" s="19">
        <v>45071</v>
      </c>
      <c r="C58" s="118"/>
      <c r="D58" s="118"/>
      <c r="E58" s="118">
        <v>750.1</v>
      </c>
      <c r="F58" s="118">
        <v>566.79999999999995</v>
      </c>
      <c r="G58" s="118">
        <v>606.4</v>
      </c>
      <c r="H58" s="118">
        <v>606394</v>
      </c>
      <c r="I58" s="118">
        <v>0.28999999999999998</v>
      </c>
      <c r="J58" s="118">
        <v>610.20000000000005</v>
      </c>
      <c r="K58" s="118">
        <v>0.52900000000000003</v>
      </c>
      <c r="L58" s="118">
        <v>0.54400000000000004</v>
      </c>
      <c r="M58" s="118">
        <v>0.751</v>
      </c>
      <c r="N58" s="118">
        <v>159.30000000000001</v>
      </c>
      <c r="O58" s="118">
        <v>14.02</v>
      </c>
      <c r="P58" s="118">
        <v>161.6</v>
      </c>
      <c r="Q58" s="118">
        <v>40.847659999999998</v>
      </c>
      <c r="R58" s="118">
        <v>-86.813839999999999</v>
      </c>
      <c r="S58" s="118">
        <v>193.1</v>
      </c>
      <c r="T58" s="118">
        <v>200.8</v>
      </c>
      <c r="U58" s="118">
        <v>8.0500000000000007</v>
      </c>
      <c r="V58" s="118">
        <v>-103.3</v>
      </c>
      <c r="W58" s="118">
        <v>11.8</v>
      </c>
      <c r="X58" s="118">
        <v>0</v>
      </c>
      <c r="Y58" s="118">
        <v>21.585000000000001</v>
      </c>
      <c r="Z58" s="118">
        <v>9.15</v>
      </c>
      <c r="AA58" s="118">
        <v>0</v>
      </c>
      <c r="AB58" s="19">
        <v>45071</v>
      </c>
      <c r="AC58" s="118" t="s">
        <v>1878</v>
      </c>
    </row>
    <row r="59" spans="1:29" x14ac:dyDescent="0.25">
      <c r="A59" s="230">
        <v>0.7329282407407407</v>
      </c>
      <c r="B59" s="19">
        <v>45071</v>
      </c>
      <c r="C59" s="118"/>
      <c r="D59" s="118"/>
      <c r="E59" s="118">
        <v>749.7</v>
      </c>
      <c r="F59" s="118">
        <v>629.1</v>
      </c>
      <c r="G59" s="118">
        <v>692.3</v>
      </c>
      <c r="H59" s="118">
        <v>692270</v>
      </c>
      <c r="I59" s="118">
        <v>0.34</v>
      </c>
      <c r="J59" s="118">
        <v>698.2</v>
      </c>
      <c r="K59" s="118">
        <v>0.54100000000000004</v>
      </c>
      <c r="L59" s="118">
        <v>0.57499999999999996</v>
      </c>
      <c r="M59" s="118">
        <v>0.76900000000000002</v>
      </c>
      <c r="N59" s="118">
        <v>86.9</v>
      </c>
      <c r="O59" s="118">
        <v>7.85</v>
      </c>
      <c r="P59" s="118">
        <v>88.1</v>
      </c>
      <c r="Q59" s="118">
        <v>40.834960000000002</v>
      </c>
      <c r="R59" s="118">
        <v>-86.782079999999993</v>
      </c>
      <c r="S59" s="118">
        <v>199.8</v>
      </c>
      <c r="T59" s="118">
        <v>184.5</v>
      </c>
      <c r="U59" s="118">
        <v>7.87</v>
      </c>
      <c r="V59" s="118">
        <v>-92.9</v>
      </c>
      <c r="W59" s="118">
        <v>11.8</v>
      </c>
      <c r="X59" s="118">
        <v>0</v>
      </c>
      <c r="Y59" s="118">
        <v>20.221</v>
      </c>
      <c r="Z59" s="118">
        <v>5.89</v>
      </c>
      <c r="AA59" s="118">
        <v>0</v>
      </c>
      <c r="AB59" s="19">
        <v>45071</v>
      </c>
      <c r="AC59" s="118" t="s">
        <v>1736</v>
      </c>
    </row>
    <row r="60" spans="1:29" x14ac:dyDescent="0.25">
      <c r="A60" s="230">
        <v>0.75417824074074069</v>
      </c>
      <c r="B60" s="19">
        <v>45071</v>
      </c>
      <c r="C60" s="118"/>
      <c r="D60" s="118"/>
      <c r="E60" s="118">
        <v>749.5</v>
      </c>
      <c r="F60" s="118">
        <v>634.20000000000005</v>
      </c>
      <c r="G60" s="118">
        <v>707.6</v>
      </c>
      <c r="H60" s="118">
        <v>707616</v>
      </c>
      <c r="I60" s="118">
        <v>0.35</v>
      </c>
      <c r="J60" s="118">
        <v>714.4</v>
      </c>
      <c r="K60" s="118">
        <v>1.0189999999999999</v>
      </c>
      <c r="L60" s="118">
        <v>0.89</v>
      </c>
      <c r="M60" s="118">
        <v>1.4470000000000001</v>
      </c>
      <c r="N60" s="118">
        <v>84</v>
      </c>
      <c r="O60" s="118">
        <v>7.68</v>
      </c>
      <c r="P60" s="118">
        <v>85.2</v>
      </c>
      <c r="Q60" s="118">
        <v>40.847119999999997</v>
      </c>
      <c r="R60" s="118">
        <v>-86.760210000000001</v>
      </c>
      <c r="S60" s="118">
        <v>194.4</v>
      </c>
      <c r="T60" s="118">
        <v>213.4</v>
      </c>
      <c r="U60" s="118">
        <v>7.82</v>
      </c>
      <c r="V60" s="118">
        <v>-89.9</v>
      </c>
      <c r="W60" s="118">
        <v>11.8</v>
      </c>
      <c r="X60" s="118">
        <v>0</v>
      </c>
      <c r="Y60" s="118">
        <v>19.567</v>
      </c>
      <c r="Z60" s="118">
        <v>6.17</v>
      </c>
      <c r="AA60" s="118">
        <v>0</v>
      </c>
      <c r="AB60" s="19">
        <v>45071</v>
      </c>
      <c r="AC60" s="118" t="s">
        <v>1882</v>
      </c>
    </row>
    <row r="61" spans="1:29" x14ac:dyDescent="0.25">
      <c r="A61" s="230">
        <v>0.79699074074074072</v>
      </c>
      <c r="B61" s="19">
        <v>45071</v>
      </c>
      <c r="C61" s="118"/>
      <c r="D61" s="118"/>
      <c r="E61" s="118">
        <v>749.2</v>
      </c>
      <c r="F61" s="118">
        <v>652.29999999999995</v>
      </c>
      <c r="G61" s="118">
        <v>699.2</v>
      </c>
      <c r="H61" s="118">
        <v>699230</v>
      </c>
      <c r="I61" s="118">
        <v>0.34</v>
      </c>
      <c r="J61" s="118">
        <v>703.7</v>
      </c>
      <c r="K61" s="118">
        <v>0.48499999999999999</v>
      </c>
      <c r="L61" s="118">
        <v>0.48899999999999999</v>
      </c>
      <c r="M61" s="118">
        <v>0.68899999999999995</v>
      </c>
      <c r="N61" s="118">
        <v>96.5</v>
      </c>
      <c r="O61" s="118">
        <v>8.5</v>
      </c>
      <c r="P61" s="118">
        <v>97.9</v>
      </c>
      <c r="Q61" s="118">
        <v>40.810899999999997</v>
      </c>
      <c r="R61" s="118">
        <v>-86.794589999999999</v>
      </c>
      <c r="S61" s="118">
        <v>194.6</v>
      </c>
      <c r="T61" s="118">
        <v>242.6</v>
      </c>
      <c r="U61" s="118">
        <v>7.86</v>
      </c>
      <c r="V61" s="118">
        <v>-92.6</v>
      </c>
      <c r="W61" s="118">
        <v>11.8</v>
      </c>
      <c r="X61" s="118">
        <v>0</v>
      </c>
      <c r="Y61" s="118">
        <v>21.486000000000001</v>
      </c>
      <c r="Z61" s="118">
        <v>6.09</v>
      </c>
      <c r="AA61" s="118">
        <v>0</v>
      </c>
      <c r="AB61" s="19">
        <v>45071</v>
      </c>
      <c r="AC61" s="118" t="s">
        <v>1737</v>
      </c>
    </row>
    <row r="62" spans="1:29" x14ac:dyDescent="0.25">
      <c r="A62" s="230">
        <v>0.81468750000000001</v>
      </c>
      <c r="B62" s="19">
        <v>45071</v>
      </c>
      <c r="C62" s="118"/>
      <c r="D62" s="118"/>
      <c r="E62" s="118">
        <v>749.2</v>
      </c>
      <c r="F62" s="118">
        <v>624.20000000000005</v>
      </c>
      <c r="G62" s="118">
        <v>670</v>
      </c>
      <c r="H62" s="118">
        <v>670045</v>
      </c>
      <c r="I62" s="118">
        <v>0.33</v>
      </c>
      <c r="J62" s="118">
        <v>674.4</v>
      </c>
      <c r="K62" s="118">
        <v>0.56699999999999995</v>
      </c>
      <c r="L62" s="118">
        <v>0.57399999999999995</v>
      </c>
      <c r="M62" s="118">
        <v>0.80500000000000005</v>
      </c>
      <c r="N62" s="118">
        <v>133.69999999999999</v>
      </c>
      <c r="O62" s="118">
        <v>11.8</v>
      </c>
      <c r="P62" s="118">
        <v>135.6</v>
      </c>
      <c r="Q62" s="118">
        <v>40.803840000000001</v>
      </c>
      <c r="R62" s="118">
        <v>-86.776610000000005</v>
      </c>
      <c r="S62" s="118">
        <v>194.5</v>
      </c>
      <c r="T62" s="118">
        <v>226.3</v>
      </c>
      <c r="U62" s="118">
        <v>8.0500000000000007</v>
      </c>
      <c r="V62" s="118">
        <v>-103.8</v>
      </c>
      <c r="W62" s="118">
        <v>11.8</v>
      </c>
      <c r="X62" s="118">
        <v>0</v>
      </c>
      <c r="Y62" s="118">
        <v>21.420999999999999</v>
      </c>
      <c r="Z62" s="118">
        <v>5.7</v>
      </c>
      <c r="AA62" s="118">
        <v>0</v>
      </c>
      <c r="AB62" s="19">
        <v>45071</v>
      </c>
      <c r="AC62" s="118" t="s">
        <v>1739</v>
      </c>
    </row>
    <row r="63" spans="1:29" x14ac:dyDescent="0.25">
      <c r="A63" s="230">
        <v>0.4597222222222222</v>
      </c>
      <c r="B63" s="19">
        <v>45085</v>
      </c>
      <c r="C63" s="118"/>
      <c r="D63" s="118"/>
      <c r="E63" s="118">
        <v>738.3</v>
      </c>
      <c r="F63" s="118">
        <v>462.1</v>
      </c>
      <c r="G63" s="118">
        <v>482.6</v>
      </c>
      <c r="H63" s="118">
        <v>482615</v>
      </c>
      <c r="I63" s="118">
        <v>0.23</v>
      </c>
      <c r="J63" s="118">
        <v>484.6</v>
      </c>
      <c r="K63" s="118">
        <v>6.6000000000000003E-2</v>
      </c>
      <c r="L63" s="118">
        <v>5.8999999999999997E-2</v>
      </c>
      <c r="M63" s="118">
        <v>9.2999999999999999E-2</v>
      </c>
      <c r="N63" s="118">
        <v>86.7</v>
      </c>
      <c r="O63" s="118">
        <v>7.46</v>
      </c>
      <c r="P63" s="118">
        <v>89</v>
      </c>
      <c r="Q63" s="118">
        <v>40.803319999999999</v>
      </c>
      <c r="R63" s="118">
        <v>-85.665220000000005</v>
      </c>
      <c r="S63" s="118">
        <v>235.3</v>
      </c>
      <c r="T63" s="118">
        <v>201.4</v>
      </c>
      <c r="U63" s="118">
        <v>8.3800000000000008</v>
      </c>
      <c r="V63" s="118">
        <v>-106.9</v>
      </c>
      <c r="W63" s="118">
        <v>11.8</v>
      </c>
      <c r="X63" s="118">
        <v>0</v>
      </c>
      <c r="Y63" s="118">
        <v>22.771999999999998</v>
      </c>
      <c r="Z63" s="118">
        <v>-5.2</v>
      </c>
      <c r="AA63" s="118">
        <v>0</v>
      </c>
      <c r="AB63" s="19">
        <v>45085</v>
      </c>
      <c r="AC63" s="118" t="s">
        <v>1855</v>
      </c>
    </row>
    <row r="64" spans="1:29" x14ac:dyDescent="0.25">
      <c r="A64" s="230">
        <v>0.49549768518518517</v>
      </c>
      <c r="B64" s="19">
        <v>45085</v>
      </c>
      <c r="C64" s="118"/>
      <c r="D64" s="118"/>
      <c r="E64" s="118">
        <v>738</v>
      </c>
      <c r="F64" s="118">
        <v>470.1</v>
      </c>
      <c r="G64" s="118">
        <v>481.3</v>
      </c>
      <c r="H64" s="118">
        <v>481260</v>
      </c>
      <c r="I64" s="118">
        <v>0.23</v>
      </c>
      <c r="J64" s="118">
        <v>482.4</v>
      </c>
      <c r="K64" s="118">
        <v>0.126</v>
      </c>
      <c r="L64" s="118">
        <v>0.13700000000000001</v>
      </c>
      <c r="M64" s="118">
        <v>0.17899999999999999</v>
      </c>
      <c r="N64" s="118">
        <v>94.4</v>
      </c>
      <c r="O64" s="118">
        <v>7.97</v>
      </c>
      <c r="P64" s="118">
        <v>96.8</v>
      </c>
      <c r="Q64" s="118">
        <v>40.792059999999999</v>
      </c>
      <c r="R64" s="118">
        <v>-85.667000000000002</v>
      </c>
      <c r="S64" s="118">
        <v>221.7</v>
      </c>
      <c r="T64" s="118">
        <v>189.2</v>
      </c>
      <c r="U64" s="118">
        <v>8.39</v>
      </c>
      <c r="V64" s="118">
        <v>-107.7</v>
      </c>
      <c r="W64" s="118">
        <v>11.8</v>
      </c>
      <c r="X64" s="118">
        <v>0</v>
      </c>
      <c r="Y64" s="118">
        <v>23.79</v>
      </c>
      <c r="Z64" s="118">
        <v>-2.95</v>
      </c>
      <c r="AA64" s="118">
        <v>0</v>
      </c>
      <c r="AB64" s="19">
        <v>45085</v>
      </c>
      <c r="AC64" s="118" t="s">
        <v>1857</v>
      </c>
    </row>
    <row r="65" spans="1:29" x14ac:dyDescent="0.25">
      <c r="A65" s="230">
        <v>0.52528935185185188</v>
      </c>
      <c r="B65" s="19">
        <v>45085</v>
      </c>
      <c r="C65" s="118"/>
      <c r="D65" s="118"/>
      <c r="E65" s="118">
        <v>738</v>
      </c>
      <c r="F65" s="118">
        <v>461</v>
      </c>
      <c r="G65" s="118">
        <v>467</v>
      </c>
      <c r="H65" s="118">
        <v>466997</v>
      </c>
      <c r="I65" s="118">
        <v>0.22</v>
      </c>
      <c r="J65" s="118">
        <v>467.6</v>
      </c>
      <c r="K65" s="118">
        <v>0.16800000000000001</v>
      </c>
      <c r="L65" s="118">
        <v>0.17</v>
      </c>
      <c r="M65" s="118">
        <v>0.23799999999999999</v>
      </c>
      <c r="N65" s="118">
        <v>125.2</v>
      </c>
      <c r="O65" s="118">
        <v>10.46</v>
      </c>
      <c r="P65" s="118">
        <v>128.5</v>
      </c>
      <c r="Q65" s="118">
        <v>40.773069999999997</v>
      </c>
      <c r="R65" s="118">
        <v>-85.639560000000003</v>
      </c>
      <c r="S65" s="118">
        <v>253.8</v>
      </c>
      <c r="T65" s="118">
        <v>179.5</v>
      </c>
      <c r="U65" s="118">
        <v>8.77</v>
      </c>
      <c r="V65" s="118">
        <v>-127.9</v>
      </c>
      <c r="W65" s="118">
        <v>11.8</v>
      </c>
      <c r="X65" s="118">
        <v>0</v>
      </c>
      <c r="Y65" s="118">
        <v>24.327000000000002</v>
      </c>
      <c r="Z65" s="118">
        <v>-2.96</v>
      </c>
      <c r="AA65" s="118">
        <v>0</v>
      </c>
      <c r="AB65" s="19">
        <v>45085</v>
      </c>
      <c r="AC65" s="118" t="s">
        <v>1843</v>
      </c>
    </row>
    <row r="66" spans="1:29" x14ac:dyDescent="0.25">
      <c r="A66" s="230">
        <v>0.54152777777777783</v>
      </c>
      <c r="B66" s="19">
        <v>45085</v>
      </c>
      <c r="C66" s="118"/>
      <c r="D66" s="118"/>
      <c r="E66" s="118">
        <v>738</v>
      </c>
      <c r="F66" s="118">
        <v>471.3</v>
      </c>
      <c r="G66" s="118">
        <v>467.8</v>
      </c>
      <c r="H66" s="118">
        <v>467757</v>
      </c>
      <c r="I66" s="118">
        <v>0.22</v>
      </c>
      <c r="J66" s="118">
        <v>467.4</v>
      </c>
      <c r="K66" s="118">
        <v>0.125</v>
      </c>
      <c r="L66" s="118">
        <v>0.128</v>
      </c>
      <c r="M66" s="118">
        <v>0.17699999999999999</v>
      </c>
      <c r="N66" s="118">
        <v>127.7</v>
      </c>
      <c r="O66" s="118">
        <v>10.46</v>
      </c>
      <c r="P66" s="118">
        <v>131</v>
      </c>
      <c r="Q66" s="118">
        <v>40.776769999999999</v>
      </c>
      <c r="R66" s="118">
        <v>-85.646029999999996</v>
      </c>
      <c r="S66" s="118">
        <v>222.6</v>
      </c>
      <c r="T66" s="118">
        <v>190.9</v>
      </c>
      <c r="U66" s="118">
        <v>8.73</v>
      </c>
      <c r="V66" s="118">
        <v>-125.9</v>
      </c>
      <c r="W66" s="118">
        <v>11.8</v>
      </c>
      <c r="X66" s="118">
        <v>0</v>
      </c>
      <c r="Y66" s="118">
        <v>25.391999999999999</v>
      </c>
      <c r="Z66" s="118">
        <v>-0.65</v>
      </c>
      <c r="AA66" s="118">
        <v>0</v>
      </c>
      <c r="AB66" s="19">
        <v>45085</v>
      </c>
      <c r="AC66" s="118" t="s">
        <v>1858</v>
      </c>
    </row>
    <row r="67" spans="1:29" x14ac:dyDescent="0.25">
      <c r="A67" s="230">
        <v>0.552337962962963</v>
      </c>
      <c r="B67" s="19">
        <v>45085</v>
      </c>
      <c r="C67" s="118"/>
      <c r="D67" s="118"/>
      <c r="E67" s="118">
        <v>737.9</v>
      </c>
      <c r="F67" s="118">
        <v>464.9</v>
      </c>
      <c r="G67" s="118">
        <v>474.2</v>
      </c>
      <c r="H67" s="118">
        <v>474207</v>
      </c>
      <c r="I67" s="118">
        <v>0.23</v>
      </c>
      <c r="J67" s="118">
        <v>475.1</v>
      </c>
      <c r="K67" s="118">
        <v>0.14799999999999999</v>
      </c>
      <c r="L67" s="118">
        <v>0.14099999999999999</v>
      </c>
      <c r="M67" s="118">
        <v>0.21</v>
      </c>
      <c r="N67" s="118">
        <v>117.2</v>
      </c>
      <c r="O67" s="118">
        <v>9.86</v>
      </c>
      <c r="P67" s="118">
        <v>120.3</v>
      </c>
      <c r="Q67" s="118">
        <v>40.779919999999997</v>
      </c>
      <c r="R67" s="118">
        <v>-85.644589999999994</v>
      </c>
      <c r="S67" s="118">
        <v>225.6</v>
      </c>
      <c r="T67" s="118">
        <v>176.7</v>
      </c>
      <c r="U67" s="118">
        <v>8.7100000000000009</v>
      </c>
      <c r="V67" s="118">
        <v>-124.7</v>
      </c>
      <c r="W67" s="118">
        <v>11.8</v>
      </c>
      <c r="X67" s="118">
        <v>0</v>
      </c>
      <c r="Y67" s="118">
        <v>23.975999999999999</v>
      </c>
      <c r="Z67" s="118">
        <v>-1.57</v>
      </c>
      <c r="AA67" s="118">
        <v>0</v>
      </c>
      <c r="AB67" s="19">
        <v>45085</v>
      </c>
      <c r="AC67" s="118" t="s">
        <v>1859</v>
      </c>
    </row>
    <row r="68" spans="1:29" x14ac:dyDescent="0.25">
      <c r="A68" s="230">
        <v>0.58060185185185187</v>
      </c>
      <c r="B68" s="19">
        <v>45085</v>
      </c>
      <c r="C68" s="118"/>
      <c r="D68" s="118"/>
      <c r="E68" s="118">
        <v>737.7</v>
      </c>
      <c r="F68" s="118">
        <v>398.1</v>
      </c>
      <c r="G68" s="118">
        <v>389.2</v>
      </c>
      <c r="H68" s="118">
        <v>389185</v>
      </c>
      <c r="I68" s="118">
        <v>0.19</v>
      </c>
      <c r="J68" s="118">
        <v>388.2</v>
      </c>
      <c r="K68" s="118">
        <v>0.11</v>
      </c>
      <c r="L68" s="118">
        <v>0.113</v>
      </c>
      <c r="M68" s="118">
        <v>0.156</v>
      </c>
      <c r="N68" s="118">
        <v>123.5</v>
      </c>
      <c r="O68" s="118">
        <v>9.98</v>
      </c>
      <c r="P68" s="118">
        <v>126.7</v>
      </c>
      <c r="Q68" s="118">
        <v>40.77948</v>
      </c>
      <c r="R68" s="118">
        <v>-85.636250000000004</v>
      </c>
      <c r="S68" s="118">
        <v>225.3</v>
      </c>
      <c r="T68" s="118">
        <v>145.19999999999999</v>
      </c>
      <c r="U68" s="118">
        <v>8.75</v>
      </c>
      <c r="V68" s="118">
        <v>-127.2</v>
      </c>
      <c r="W68" s="118">
        <v>11.8</v>
      </c>
      <c r="X68" s="118">
        <v>0</v>
      </c>
      <c r="Y68" s="118">
        <v>26.198</v>
      </c>
      <c r="Z68" s="118">
        <v>5.24</v>
      </c>
      <c r="AA68" s="118">
        <v>0</v>
      </c>
      <c r="AB68" s="19">
        <v>45085</v>
      </c>
      <c r="AC68" s="118" t="s">
        <v>1842</v>
      </c>
    </row>
    <row r="69" spans="1:29" x14ac:dyDescent="0.25">
      <c r="A69" s="230">
        <v>0.60993055555555553</v>
      </c>
      <c r="B69" s="19">
        <v>45085</v>
      </c>
      <c r="C69" s="118"/>
      <c r="D69" s="118"/>
      <c r="E69" s="118">
        <v>737.5</v>
      </c>
      <c r="F69" s="118">
        <v>493.8</v>
      </c>
      <c r="G69" s="118">
        <v>494.3</v>
      </c>
      <c r="H69" s="118">
        <v>494285</v>
      </c>
      <c r="I69" s="118">
        <v>0.24</v>
      </c>
      <c r="J69" s="118">
        <v>494.3</v>
      </c>
      <c r="K69" s="118">
        <v>0.14799999999999999</v>
      </c>
      <c r="L69" s="118">
        <v>0.14199999999999999</v>
      </c>
      <c r="M69" s="118">
        <v>0.21</v>
      </c>
      <c r="N69" s="118">
        <v>138.1</v>
      </c>
      <c r="O69" s="118">
        <v>11.41</v>
      </c>
      <c r="P69" s="118">
        <v>141.69999999999999</v>
      </c>
      <c r="Q69" s="118">
        <v>40.772370000000002</v>
      </c>
      <c r="R69" s="118">
        <v>-85.605069999999998</v>
      </c>
      <c r="S69" s="118">
        <v>229.5</v>
      </c>
      <c r="T69" s="118">
        <v>108.3</v>
      </c>
      <c r="U69" s="118">
        <v>8.9</v>
      </c>
      <c r="V69" s="118">
        <v>-134.80000000000001</v>
      </c>
      <c r="W69" s="118">
        <v>11.8</v>
      </c>
      <c r="X69" s="118">
        <v>0</v>
      </c>
      <c r="Y69" s="118">
        <v>24.954000000000001</v>
      </c>
      <c r="Z69" s="118">
        <v>-2.78</v>
      </c>
      <c r="AA69" s="118">
        <v>0</v>
      </c>
      <c r="AB69" s="19">
        <v>45085</v>
      </c>
      <c r="AC69" s="118" t="s">
        <v>1860</v>
      </c>
    </row>
    <row r="70" spans="1:29" x14ac:dyDescent="0.25">
      <c r="A70" s="230">
        <v>0.64905092592592595</v>
      </c>
      <c r="B70" s="19">
        <v>45085</v>
      </c>
      <c r="C70" s="118"/>
      <c r="D70" s="118"/>
      <c r="E70" s="118">
        <v>737.4</v>
      </c>
      <c r="F70" s="118">
        <v>553.5</v>
      </c>
      <c r="G70" s="118">
        <v>549.29999999999995</v>
      </c>
      <c r="H70" s="118">
        <v>549287</v>
      </c>
      <c r="I70" s="118">
        <v>0.26</v>
      </c>
      <c r="J70" s="118">
        <v>548.79999999999995</v>
      </c>
      <c r="K70" s="118">
        <v>0.32300000000000001</v>
      </c>
      <c r="L70" s="118">
        <v>0.32600000000000001</v>
      </c>
      <c r="M70" s="118">
        <v>0.45800000000000002</v>
      </c>
      <c r="N70" s="118">
        <v>140.6</v>
      </c>
      <c r="O70" s="118">
        <v>11.51</v>
      </c>
      <c r="P70" s="118">
        <v>144.19999999999999</v>
      </c>
      <c r="Q70" s="118">
        <v>40.75121</v>
      </c>
      <c r="R70" s="118">
        <v>-85.581900000000005</v>
      </c>
      <c r="S70" s="118">
        <v>221.3</v>
      </c>
      <c r="T70" s="118">
        <v>223.7</v>
      </c>
      <c r="U70" s="118">
        <v>8.59</v>
      </c>
      <c r="V70" s="118">
        <v>-118.8</v>
      </c>
      <c r="W70" s="118">
        <v>11.8</v>
      </c>
      <c r="X70" s="118">
        <v>0</v>
      </c>
      <c r="Y70" s="118">
        <v>25.402000000000001</v>
      </c>
      <c r="Z70" s="118">
        <v>2.5</v>
      </c>
      <c r="AA70" s="118">
        <v>0</v>
      </c>
      <c r="AB70" s="19">
        <v>45085</v>
      </c>
      <c r="AC70" s="118" t="s">
        <v>1861</v>
      </c>
    </row>
    <row r="71" spans="1:29" x14ac:dyDescent="0.25">
      <c r="A71" s="230">
        <v>0.46791666666666665</v>
      </c>
      <c r="B71" s="19">
        <v>45085</v>
      </c>
      <c r="C71" s="118"/>
      <c r="D71" s="118"/>
      <c r="E71" s="118">
        <v>738.3</v>
      </c>
      <c r="F71" s="118">
        <v>468.5</v>
      </c>
      <c r="G71" s="118">
        <v>480.5</v>
      </c>
      <c r="H71" s="118">
        <v>480498</v>
      </c>
      <c r="I71" s="118">
        <v>0.23</v>
      </c>
      <c r="J71" s="118">
        <v>481.7</v>
      </c>
      <c r="K71" s="118">
        <v>6.2E-2</v>
      </c>
      <c r="L71" s="118">
        <v>7.3999999999999996E-2</v>
      </c>
      <c r="M71" s="118">
        <v>8.7999999999999995E-2</v>
      </c>
      <c r="N71" s="118">
        <v>91.3</v>
      </c>
      <c r="O71" s="118">
        <v>7.72</v>
      </c>
      <c r="P71" s="118">
        <v>93.6</v>
      </c>
      <c r="Q71" s="118">
        <v>40.803370000000001</v>
      </c>
      <c r="R71" s="118">
        <v>-85.664739999999995</v>
      </c>
      <c r="S71" s="118">
        <v>232.2</v>
      </c>
      <c r="T71" s="118">
        <v>207</v>
      </c>
      <c r="U71" s="118">
        <v>8.25</v>
      </c>
      <c r="V71" s="118">
        <v>-100.1</v>
      </c>
      <c r="W71" s="118">
        <v>11.8</v>
      </c>
      <c r="X71" s="118">
        <v>0</v>
      </c>
      <c r="Y71" s="118">
        <v>23.693999999999999</v>
      </c>
      <c r="Z71" s="118">
        <v>-3.81</v>
      </c>
      <c r="AA71" s="118">
        <v>0</v>
      </c>
      <c r="AB71" s="19">
        <v>45085</v>
      </c>
      <c r="AC71" s="118" t="s">
        <v>1856</v>
      </c>
    </row>
    <row r="72" spans="1:29" x14ac:dyDescent="0.25">
      <c r="A72" s="230">
        <v>0.57862268518518523</v>
      </c>
      <c r="B72" s="19">
        <v>45086</v>
      </c>
      <c r="C72" s="118"/>
      <c r="D72" s="118"/>
      <c r="E72" s="118">
        <v>742.3</v>
      </c>
      <c r="F72" s="118">
        <v>712.1</v>
      </c>
      <c r="G72" s="118">
        <v>722.8</v>
      </c>
      <c r="H72" s="118">
        <v>722775</v>
      </c>
      <c r="I72" s="118">
        <v>0.35</v>
      </c>
      <c r="J72" s="118">
        <v>723.9</v>
      </c>
      <c r="K72" s="118">
        <v>0.22800000000000001</v>
      </c>
      <c r="L72" s="118">
        <v>0.40799999999999997</v>
      </c>
      <c r="M72" s="118">
        <v>0.32400000000000001</v>
      </c>
      <c r="N72" s="118">
        <v>110.2</v>
      </c>
      <c r="O72" s="118">
        <v>9.2200000000000006</v>
      </c>
      <c r="P72" s="118">
        <v>112.9</v>
      </c>
      <c r="Q72" s="118">
        <v>40.731879999999997</v>
      </c>
      <c r="R72" s="118">
        <v>-86.75506</v>
      </c>
      <c r="S72" s="118">
        <v>182.4</v>
      </c>
      <c r="T72" s="118">
        <v>187.2</v>
      </c>
      <c r="U72" s="118">
        <v>8.07</v>
      </c>
      <c r="V72" s="118">
        <v>-102.5</v>
      </c>
      <c r="W72" s="118">
        <v>11.8</v>
      </c>
      <c r="X72" s="118">
        <v>0</v>
      </c>
      <c r="Y72" s="118">
        <v>24.228999999999999</v>
      </c>
      <c r="Z72" s="118">
        <v>4.58</v>
      </c>
      <c r="AA72" s="118">
        <v>0</v>
      </c>
      <c r="AB72" s="19">
        <v>45086</v>
      </c>
      <c r="AC72" s="118" t="s">
        <v>1825</v>
      </c>
    </row>
    <row r="73" spans="1:29" x14ac:dyDescent="0.25">
      <c r="A73" s="230">
        <v>0.41848379629629628</v>
      </c>
      <c r="B73" s="19">
        <v>45086</v>
      </c>
      <c r="C73" s="118"/>
      <c r="D73" s="118"/>
      <c r="E73" s="118">
        <v>743.2</v>
      </c>
      <c r="F73" s="118">
        <v>670.7</v>
      </c>
      <c r="G73" s="118">
        <v>703.9</v>
      </c>
      <c r="H73" s="118">
        <v>703945</v>
      </c>
      <c r="I73" s="118">
        <v>0.34</v>
      </c>
      <c r="J73" s="118">
        <v>707.2</v>
      </c>
      <c r="K73" s="118">
        <v>0.22</v>
      </c>
      <c r="L73" s="118">
        <v>0.23100000000000001</v>
      </c>
      <c r="M73" s="118">
        <v>0.313</v>
      </c>
      <c r="N73" s="118">
        <v>103.1</v>
      </c>
      <c r="O73" s="118">
        <v>8.91</v>
      </c>
      <c r="P73" s="118">
        <v>105.6</v>
      </c>
      <c r="Q73" s="118">
        <v>40.693629999999999</v>
      </c>
      <c r="R73" s="118">
        <v>-86.766940000000005</v>
      </c>
      <c r="S73" s="118">
        <v>187.8</v>
      </c>
      <c r="T73" s="118">
        <v>269</v>
      </c>
      <c r="U73" s="118">
        <v>6.43</v>
      </c>
      <c r="V73" s="118">
        <v>-4.3</v>
      </c>
      <c r="W73" s="118">
        <v>11.8</v>
      </c>
      <c r="X73" s="118">
        <v>0</v>
      </c>
      <c r="Y73" s="118">
        <v>22.527000000000001</v>
      </c>
      <c r="Z73" s="118">
        <v>6.76</v>
      </c>
      <c r="AA73" s="118">
        <v>0</v>
      </c>
      <c r="AB73" s="19">
        <v>45086</v>
      </c>
      <c r="AC73" s="118" t="s">
        <v>1821</v>
      </c>
    </row>
    <row r="74" spans="1:29" x14ac:dyDescent="0.25">
      <c r="A74" s="230">
        <v>0.4611574074074074</v>
      </c>
      <c r="B74" s="19">
        <v>45086</v>
      </c>
      <c r="C74" s="118"/>
      <c r="D74" s="118"/>
      <c r="E74" s="118">
        <v>742.9</v>
      </c>
      <c r="F74" s="118">
        <v>663.1</v>
      </c>
      <c r="G74" s="118">
        <v>681.4</v>
      </c>
      <c r="H74" s="118">
        <v>681360</v>
      </c>
      <c r="I74" s="118">
        <v>0.33</v>
      </c>
      <c r="J74" s="118">
        <v>683.2</v>
      </c>
      <c r="K74" s="118">
        <v>0.14199999999999999</v>
      </c>
      <c r="L74" s="118">
        <v>0.159</v>
      </c>
      <c r="M74" s="118">
        <v>0.20100000000000001</v>
      </c>
      <c r="N74" s="118">
        <v>114.6</v>
      </c>
      <c r="O74" s="118">
        <v>9.7100000000000009</v>
      </c>
      <c r="P74" s="118">
        <v>117.4</v>
      </c>
      <c r="Q74" s="118">
        <v>40.665909999999997</v>
      </c>
      <c r="R74" s="118">
        <v>-86.752849999999995</v>
      </c>
      <c r="S74" s="118">
        <v>183.5</v>
      </c>
      <c r="T74" s="118">
        <v>143.9</v>
      </c>
      <c r="U74" s="118">
        <v>8.16</v>
      </c>
      <c r="V74" s="118">
        <v>-108.1</v>
      </c>
      <c r="W74" s="118">
        <v>11.8</v>
      </c>
      <c r="X74" s="118">
        <v>0</v>
      </c>
      <c r="Y74" s="118">
        <v>23.597999999999999</v>
      </c>
      <c r="Z74" s="118">
        <v>5.36</v>
      </c>
      <c r="AA74" s="118">
        <v>0</v>
      </c>
      <c r="AB74" s="19">
        <v>45086</v>
      </c>
      <c r="AC74" s="118" t="s">
        <v>1822</v>
      </c>
    </row>
    <row r="75" spans="1:29" x14ac:dyDescent="0.25">
      <c r="A75" s="230">
        <v>0.49157407407407405</v>
      </c>
      <c r="B75" s="19">
        <v>45086</v>
      </c>
      <c r="C75" s="118"/>
      <c r="D75" s="118"/>
      <c r="E75" s="118">
        <v>742.7</v>
      </c>
      <c r="F75" s="118">
        <v>693.3</v>
      </c>
      <c r="G75" s="118">
        <v>710.8</v>
      </c>
      <c r="H75" s="118">
        <v>710805</v>
      </c>
      <c r="I75" s="118">
        <v>0.35</v>
      </c>
      <c r="J75" s="118">
        <v>712.6</v>
      </c>
      <c r="K75" s="118">
        <v>0.121</v>
      </c>
      <c r="L75" s="118">
        <v>0.13</v>
      </c>
      <c r="M75" s="118">
        <v>0.17199999999999999</v>
      </c>
      <c r="N75" s="118">
        <v>111.9</v>
      </c>
      <c r="O75" s="118">
        <v>9.4499999999999993</v>
      </c>
      <c r="P75" s="118">
        <v>114.6</v>
      </c>
      <c r="Q75" s="118">
        <v>40.680999999999997</v>
      </c>
      <c r="R75" s="118">
        <v>-86.752350000000007</v>
      </c>
      <c r="S75" s="118">
        <v>183.7</v>
      </c>
      <c r="T75" s="118">
        <v>139.4</v>
      </c>
      <c r="U75" s="118">
        <v>8.02</v>
      </c>
      <c r="V75" s="118">
        <v>-99.8</v>
      </c>
      <c r="W75" s="118">
        <v>11.8</v>
      </c>
      <c r="X75" s="118">
        <v>0</v>
      </c>
      <c r="Y75" s="118">
        <v>23.712</v>
      </c>
      <c r="Z75" s="118">
        <v>4.49</v>
      </c>
      <c r="AA75" s="118">
        <v>0</v>
      </c>
      <c r="AB75" s="19">
        <v>45086</v>
      </c>
      <c r="AC75" s="118" t="s">
        <v>1823</v>
      </c>
    </row>
    <row r="76" spans="1:29" x14ac:dyDescent="0.25">
      <c r="A76" s="230">
        <v>0.5289814814814815</v>
      </c>
      <c r="B76" s="19">
        <v>45086</v>
      </c>
      <c r="C76" s="118"/>
      <c r="D76" s="118"/>
      <c r="E76" s="118">
        <v>742.9</v>
      </c>
      <c r="F76" s="118">
        <v>722.1</v>
      </c>
      <c r="G76" s="118">
        <v>738.1</v>
      </c>
      <c r="H76" s="118">
        <v>738073</v>
      </c>
      <c r="I76" s="118">
        <v>0.36</v>
      </c>
      <c r="J76" s="118">
        <v>739.7</v>
      </c>
      <c r="K76" s="118">
        <v>0.224</v>
      </c>
      <c r="L76" s="118">
        <v>0.247</v>
      </c>
      <c r="M76" s="118">
        <v>0.318</v>
      </c>
      <c r="N76" s="118">
        <v>111.2</v>
      </c>
      <c r="O76" s="118">
        <v>9.3699999999999992</v>
      </c>
      <c r="P76" s="118">
        <v>114</v>
      </c>
      <c r="Q76" s="118">
        <v>40.73086</v>
      </c>
      <c r="R76" s="118">
        <v>-86.757940000000005</v>
      </c>
      <c r="S76" s="118">
        <v>191.1</v>
      </c>
      <c r="T76" s="118">
        <v>121.3</v>
      </c>
      <c r="U76" s="118">
        <v>7.97</v>
      </c>
      <c r="V76" s="118">
        <v>-97</v>
      </c>
      <c r="W76" s="118">
        <v>11.8</v>
      </c>
      <c r="X76" s="118">
        <v>0</v>
      </c>
      <c r="Y76" s="118">
        <v>23.864000000000001</v>
      </c>
      <c r="Z76" s="118">
        <v>7.56</v>
      </c>
      <c r="AA76" s="118">
        <v>0</v>
      </c>
      <c r="AB76" s="19">
        <v>45086</v>
      </c>
      <c r="AC76" s="118" t="s">
        <v>1824</v>
      </c>
    </row>
    <row r="77" spans="1:29" x14ac:dyDescent="0.25">
      <c r="A77" s="230">
        <v>0.62089120370370365</v>
      </c>
      <c r="B77" s="19">
        <v>45086</v>
      </c>
      <c r="C77" s="118"/>
      <c r="D77" s="118"/>
      <c r="E77" s="118">
        <v>742</v>
      </c>
      <c r="F77" s="118">
        <v>720.4</v>
      </c>
      <c r="G77" s="118">
        <v>725.2</v>
      </c>
      <c r="H77" s="118">
        <v>725243</v>
      </c>
      <c r="I77" s="118">
        <v>0.35</v>
      </c>
      <c r="J77" s="118">
        <v>725.7</v>
      </c>
      <c r="K77" s="118">
        <v>0.109</v>
      </c>
      <c r="L77" s="118">
        <v>0.10199999999999999</v>
      </c>
      <c r="M77" s="118">
        <v>0.154</v>
      </c>
      <c r="N77" s="118">
        <v>123</v>
      </c>
      <c r="O77" s="118">
        <v>10.210000000000001</v>
      </c>
      <c r="P77" s="118">
        <v>126</v>
      </c>
      <c r="Q77" s="118">
        <v>40.745559999999998</v>
      </c>
      <c r="R77" s="118">
        <v>-86.757180000000005</v>
      </c>
      <c r="S77" s="118">
        <v>184.2</v>
      </c>
      <c r="T77" s="118">
        <v>142.1</v>
      </c>
      <c r="U77" s="118">
        <v>8.06</v>
      </c>
      <c r="V77" s="118">
        <v>-102.5</v>
      </c>
      <c r="W77" s="118">
        <v>11.8</v>
      </c>
      <c r="X77" s="118">
        <v>0</v>
      </c>
      <c r="Y77" s="118">
        <v>24.652999999999999</v>
      </c>
      <c r="Z77" s="118">
        <v>10.19</v>
      </c>
      <c r="AA77" s="118">
        <v>0</v>
      </c>
      <c r="AB77" s="19">
        <v>45086</v>
      </c>
      <c r="AC77" s="118" t="s">
        <v>1826</v>
      </c>
    </row>
    <row r="78" spans="1:29" x14ac:dyDescent="0.25">
      <c r="A78" s="230">
        <v>0.72190972222222227</v>
      </c>
      <c r="B78" s="19">
        <v>45092</v>
      </c>
      <c r="C78" s="118"/>
      <c r="D78" s="118"/>
      <c r="E78" s="118">
        <v>733.9</v>
      </c>
      <c r="F78" s="118">
        <v>465.2</v>
      </c>
      <c r="G78" s="118">
        <v>497.4</v>
      </c>
      <c r="H78" s="118">
        <v>497420</v>
      </c>
      <c r="I78" s="118">
        <v>0.24</v>
      </c>
      <c r="J78" s="118">
        <v>500.5</v>
      </c>
      <c r="K78" s="118">
        <v>0.58899999999999997</v>
      </c>
      <c r="L78" s="118">
        <v>0.57799999999999996</v>
      </c>
      <c r="M78" s="118">
        <v>0.83599999999999997</v>
      </c>
      <c r="N78" s="118">
        <v>146.1</v>
      </c>
      <c r="O78" s="118">
        <v>12.85</v>
      </c>
      <c r="P78" s="118">
        <v>150.69999999999999</v>
      </c>
      <c r="Q78" s="118">
        <v>40.714109999999998</v>
      </c>
      <c r="R78" s="118">
        <v>-85.937070000000006</v>
      </c>
      <c r="S78" s="118">
        <v>215.4</v>
      </c>
      <c r="T78" s="118">
        <v>109.7</v>
      </c>
      <c r="U78" s="118">
        <v>9.1999999999999993</v>
      </c>
      <c r="V78" s="118">
        <v>-144.69999999999999</v>
      </c>
      <c r="W78" s="118">
        <v>11.8</v>
      </c>
      <c r="X78" s="118">
        <v>0</v>
      </c>
      <c r="Y78" s="118">
        <v>21.611000000000001</v>
      </c>
      <c r="Z78" s="118">
        <v>16.87</v>
      </c>
      <c r="AA78" s="118">
        <v>0</v>
      </c>
      <c r="AB78" s="19">
        <v>45092</v>
      </c>
      <c r="AC78" s="118" t="s">
        <v>1837</v>
      </c>
    </row>
    <row r="79" spans="1:29" x14ac:dyDescent="0.25">
      <c r="A79" s="230">
        <v>0.74010416666666667</v>
      </c>
      <c r="B79" s="19">
        <v>45092</v>
      </c>
      <c r="C79" s="118"/>
      <c r="D79" s="118"/>
      <c r="E79" s="118">
        <v>733.9</v>
      </c>
      <c r="F79" s="118">
        <v>469.6</v>
      </c>
      <c r="G79" s="118">
        <v>491.7</v>
      </c>
      <c r="H79" s="118">
        <v>491690</v>
      </c>
      <c r="I79" s="118">
        <v>0.24</v>
      </c>
      <c r="J79" s="118">
        <v>493.9</v>
      </c>
      <c r="K79" s="118">
        <v>0.125</v>
      </c>
      <c r="L79" s="118">
        <v>0.13400000000000001</v>
      </c>
      <c r="M79" s="118">
        <v>0.17799999999999999</v>
      </c>
      <c r="N79" s="118">
        <v>165.5</v>
      </c>
      <c r="O79" s="118">
        <v>14.27</v>
      </c>
      <c r="P79" s="118">
        <v>170.7</v>
      </c>
      <c r="Q79" s="118">
        <v>40.714590000000001</v>
      </c>
      <c r="R79" s="118">
        <v>-85.937870000000004</v>
      </c>
      <c r="S79" s="118">
        <v>224.1</v>
      </c>
      <c r="T79" s="118">
        <v>146.4</v>
      </c>
      <c r="U79" s="118">
        <v>9.1199999999999992</v>
      </c>
      <c r="V79" s="118">
        <v>-140.80000000000001</v>
      </c>
      <c r="W79" s="118">
        <v>11.8</v>
      </c>
      <c r="X79" s="118">
        <v>0</v>
      </c>
      <c r="Y79" s="118">
        <v>22.652000000000001</v>
      </c>
      <c r="Z79" s="118">
        <v>32.659999999999997</v>
      </c>
      <c r="AA79" s="118">
        <v>0</v>
      </c>
      <c r="AB79" s="19">
        <v>45092</v>
      </c>
      <c r="AC79" s="118" t="s">
        <v>1838</v>
      </c>
    </row>
    <row r="80" spans="1:29" x14ac:dyDescent="0.25">
      <c r="A80" s="230">
        <v>0.60797453703703708</v>
      </c>
      <c r="B80" s="19">
        <v>45092</v>
      </c>
      <c r="C80" s="118"/>
      <c r="D80" s="118"/>
      <c r="E80" s="118">
        <v>734.5</v>
      </c>
      <c r="F80" s="118">
        <v>462.9</v>
      </c>
      <c r="G80" s="118">
        <v>509.3</v>
      </c>
      <c r="H80" s="118">
        <v>509267</v>
      </c>
      <c r="I80" s="118">
        <v>0.25</v>
      </c>
      <c r="J80" s="118">
        <v>513.6</v>
      </c>
      <c r="K80" s="118">
        <v>0.45700000000000002</v>
      </c>
      <c r="L80" s="118">
        <v>0.44900000000000001</v>
      </c>
      <c r="M80" s="118">
        <v>0.64900000000000002</v>
      </c>
      <c r="N80" s="118">
        <v>107.3</v>
      </c>
      <c r="O80" s="118">
        <v>9.6999999999999993</v>
      </c>
      <c r="P80" s="118">
        <v>110.7</v>
      </c>
      <c r="Q80" s="118">
        <v>40.705280000000002</v>
      </c>
      <c r="R80" s="118">
        <v>-85.953739999999996</v>
      </c>
      <c r="S80" s="118">
        <v>220.1</v>
      </c>
      <c r="T80" s="118">
        <v>139.4</v>
      </c>
      <c r="U80" s="118">
        <v>8.49</v>
      </c>
      <c r="V80" s="118">
        <v>-106</v>
      </c>
      <c r="W80" s="118">
        <v>11.8</v>
      </c>
      <c r="X80" s="118">
        <v>0</v>
      </c>
      <c r="Y80" s="118">
        <v>20.234999999999999</v>
      </c>
      <c r="Z80" s="118">
        <v>7.3</v>
      </c>
      <c r="AA80" s="118">
        <v>0</v>
      </c>
      <c r="AB80" s="19">
        <v>45092</v>
      </c>
      <c r="AC80" s="118" t="s">
        <v>1839</v>
      </c>
    </row>
    <row r="81" spans="1:29" x14ac:dyDescent="0.25">
      <c r="A81" s="230">
        <v>0.63898148148148148</v>
      </c>
      <c r="B81" s="19">
        <v>45092</v>
      </c>
      <c r="C81" s="118"/>
      <c r="D81" s="118"/>
      <c r="E81" s="118">
        <v>734.5</v>
      </c>
      <c r="F81" s="118">
        <v>459.8</v>
      </c>
      <c r="G81" s="118">
        <v>497.5</v>
      </c>
      <c r="H81" s="118">
        <v>497484</v>
      </c>
      <c r="I81" s="118">
        <v>0.24</v>
      </c>
      <c r="J81" s="118">
        <v>501.1</v>
      </c>
      <c r="K81" s="118">
        <v>0.34699999999999998</v>
      </c>
      <c r="L81" s="118">
        <v>0.34399999999999997</v>
      </c>
      <c r="M81" s="118">
        <v>0.49199999999999999</v>
      </c>
      <c r="N81" s="118">
        <v>135.9</v>
      </c>
      <c r="O81" s="118">
        <v>12.09</v>
      </c>
      <c r="P81" s="118">
        <v>140.19999999999999</v>
      </c>
      <c r="Q81" s="118">
        <v>40.703330000000001</v>
      </c>
      <c r="R81" s="118">
        <v>-85.936359999999993</v>
      </c>
      <c r="S81" s="118">
        <v>226.7</v>
      </c>
      <c r="T81" s="118">
        <v>176.8</v>
      </c>
      <c r="U81" s="118">
        <v>8.76</v>
      </c>
      <c r="V81" s="118">
        <v>-120.8</v>
      </c>
      <c r="W81" s="118">
        <v>11.8</v>
      </c>
      <c r="X81" s="118">
        <v>0</v>
      </c>
      <c r="Y81" s="118">
        <v>21.032</v>
      </c>
      <c r="Z81" s="118">
        <v>11.69</v>
      </c>
      <c r="AA81" s="118">
        <v>0</v>
      </c>
      <c r="AB81" s="19">
        <v>45092</v>
      </c>
      <c r="AC81" s="118" t="s">
        <v>1829</v>
      </c>
    </row>
    <row r="82" spans="1:29" x14ac:dyDescent="0.25">
      <c r="A82" s="230">
        <v>0.64951388888888884</v>
      </c>
      <c r="B82" s="19">
        <v>45092</v>
      </c>
      <c r="C82" s="118"/>
      <c r="D82" s="118"/>
      <c r="E82" s="118">
        <v>734.4</v>
      </c>
      <c r="F82" s="118">
        <v>462.5</v>
      </c>
      <c r="G82" s="118">
        <v>499.8</v>
      </c>
      <c r="H82" s="118">
        <v>499785</v>
      </c>
      <c r="I82" s="118">
        <v>0.24</v>
      </c>
      <c r="J82" s="118">
        <v>503.3</v>
      </c>
      <c r="K82" s="118">
        <v>0.24399999999999999</v>
      </c>
      <c r="L82" s="118">
        <v>0.247</v>
      </c>
      <c r="M82" s="118">
        <v>0.34599999999999997</v>
      </c>
      <c r="N82" s="118">
        <v>119.7</v>
      </c>
      <c r="O82" s="118">
        <v>10.63</v>
      </c>
      <c r="P82" s="118">
        <v>123.4</v>
      </c>
      <c r="Q82" s="118">
        <v>40.702080000000002</v>
      </c>
      <c r="R82" s="118">
        <v>-85.935590000000005</v>
      </c>
      <c r="S82" s="118">
        <v>226.7</v>
      </c>
      <c r="T82" s="118">
        <v>138.30000000000001</v>
      </c>
      <c r="U82" s="118">
        <v>8.69</v>
      </c>
      <c r="V82" s="118">
        <v>-117.1</v>
      </c>
      <c r="W82" s="118">
        <v>11.8</v>
      </c>
      <c r="X82" s="118">
        <v>0</v>
      </c>
      <c r="Y82" s="118">
        <v>21.09</v>
      </c>
      <c r="Z82" s="118">
        <v>9.33</v>
      </c>
      <c r="AA82" s="118">
        <v>0</v>
      </c>
      <c r="AB82" s="19">
        <v>45092</v>
      </c>
      <c r="AC82" s="118" t="s">
        <v>1840</v>
      </c>
    </row>
    <row r="83" spans="1:29" x14ac:dyDescent="0.25">
      <c r="A83" s="230">
        <v>0.66035879629629635</v>
      </c>
      <c r="B83" s="19">
        <v>45092</v>
      </c>
      <c r="C83" s="118"/>
      <c r="D83" s="118"/>
      <c r="E83" s="118">
        <v>734.3</v>
      </c>
      <c r="F83" s="118">
        <v>462.5</v>
      </c>
      <c r="G83" s="118">
        <v>497.4</v>
      </c>
      <c r="H83" s="118">
        <v>497393</v>
      </c>
      <c r="I83" s="118">
        <v>0.24</v>
      </c>
      <c r="J83" s="118">
        <v>500.7</v>
      </c>
      <c r="K83" s="118">
        <v>0.154</v>
      </c>
      <c r="L83" s="118">
        <v>0.151</v>
      </c>
      <c r="M83" s="118">
        <v>0.218</v>
      </c>
      <c r="N83" s="118">
        <v>136.30000000000001</v>
      </c>
      <c r="O83" s="118">
        <v>12.06</v>
      </c>
      <c r="P83" s="118">
        <v>140.6</v>
      </c>
      <c r="Q83" s="118">
        <v>40.700800000000001</v>
      </c>
      <c r="R83" s="118">
        <v>-85.935059999999993</v>
      </c>
      <c r="S83" s="118">
        <v>226.6</v>
      </c>
      <c r="T83" s="118">
        <v>140.80000000000001</v>
      </c>
      <c r="U83" s="118">
        <v>8.83</v>
      </c>
      <c r="V83" s="118">
        <v>-124.3</v>
      </c>
      <c r="W83" s="118">
        <v>11.8</v>
      </c>
      <c r="X83" s="118">
        <v>0</v>
      </c>
      <c r="Y83" s="118">
        <v>21.329000000000001</v>
      </c>
      <c r="Z83" s="118">
        <v>10.17</v>
      </c>
      <c r="AA83" s="118">
        <v>0</v>
      </c>
      <c r="AB83" s="19">
        <v>45092</v>
      </c>
      <c r="AC83" s="118" t="s">
        <v>1841</v>
      </c>
    </row>
    <row r="84" spans="1:29" x14ac:dyDescent="0.25">
      <c r="A84" s="230">
        <v>0.77401620370370372</v>
      </c>
      <c r="B84" s="19">
        <v>45092</v>
      </c>
      <c r="C84" s="118"/>
      <c r="D84" s="118"/>
      <c r="E84" s="118">
        <v>733.7</v>
      </c>
      <c r="F84" s="118">
        <v>465</v>
      </c>
      <c r="G84" s="118">
        <v>496.5</v>
      </c>
      <c r="H84" s="118">
        <v>496474</v>
      </c>
      <c r="I84" s="118">
        <v>0.24</v>
      </c>
      <c r="J84" s="118">
        <v>499.5</v>
      </c>
      <c r="K84" s="118">
        <v>0.55200000000000005</v>
      </c>
      <c r="L84" s="118">
        <v>0.54100000000000004</v>
      </c>
      <c r="M84" s="118">
        <v>0.78400000000000003</v>
      </c>
      <c r="N84" s="118">
        <v>-137</v>
      </c>
      <c r="O84" s="118">
        <v>-12.04</v>
      </c>
      <c r="P84" s="118">
        <v>-141.4</v>
      </c>
      <c r="Q84" s="118">
        <v>40.680390000000003</v>
      </c>
      <c r="R84" s="118">
        <v>-85.895300000000006</v>
      </c>
      <c r="S84" s="118">
        <v>226.6</v>
      </c>
      <c r="T84" s="118">
        <v>119.5</v>
      </c>
      <c r="U84" s="118">
        <v>8.9</v>
      </c>
      <c r="V84" s="118">
        <v>-128.5</v>
      </c>
      <c r="W84" s="118">
        <v>11.8</v>
      </c>
      <c r="X84" s="118">
        <v>0</v>
      </c>
      <c r="Y84" s="118">
        <v>21.681000000000001</v>
      </c>
      <c r="Z84" s="118">
        <v>7.6</v>
      </c>
      <c r="AA84" s="118">
        <v>0</v>
      </c>
      <c r="AB84" s="19">
        <v>45092</v>
      </c>
      <c r="AC84" s="118" t="s">
        <v>1827</v>
      </c>
    </row>
    <row r="85" spans="1:29" x14ac:dyDescent="0.25">
      <c r="A85" s="230">
        <v>0.79184027777777777</v>
      </c>
      <c r="B85" s="19">
        <v>45092</v>
      </c>
      <c r="C85" s="118"/>
      <c r="D85" s="118"/>
      <c r="E85" s="118">
        <v>733.6</v>
      </c>
      <c r="F85" s="118">
        <v>486.2</v>
      </c>
      <c r="G85" s="118">
        <v>506.5</v>
      </c>
      <c r="H85" s="118">
        <v>506541</v>
      </c>
      <c r="I85" s="118">
        <v>0.24</v>
      </c>
      <c r="J85" s="118">
        <v>508.6</v>
      </c>
      <c r="K85" s="118">
        <v>0.53600000000000003</v>
      </c>
      <c r="L85" s="118">
        <v>0.53</v>
      </c>
      <c r="M85" s="118">
        <v>0.76100000000000001</v>
      </c>
      <c r="N85" s="118">
        <v>355.4</v>
      </c>
      <c r="O85" s="118">
        <v>30.51</v>
      </c>
      <c r="P85" s="118">
        <v>366.7</v>
      </c>
      <c r="Q85" s="118">
        <v>40.668529999999997</v>
      </c>
      <c r="R85" s="118">
        <v>-85.848740000000006</v>
      </c>
      <c r="S85" s="118">
        <v>232.2</v>
      </c>
      <c r="T85" s="118">
        <v>133.19999999999999</v>
      </c>
      <c r="U85" s="118">
        <v>9.07</v>
      </c>
      <c r="V85" s="118">
        <v>-138.30000000000001</v>
      </c>
      <c r="W85" s="118">
        <v>11.8</v>
      </c>
      <c r="X85" s="118">
        <v>0</v>
      </c>
      <c r="Y85" s="118">
        <v>22.893999999999998</v>
      </c>
      <c r="Z85" s="118">
        <v>52.04</v>
      </c>
      <c r="AA85" s="118">
        <v>0</v>
      </c>
      <c r="AB85" s="19">
        <v>45092</v>
      </c>
      <c r="AC85" s="118" t="s">
        <v>1828</v>
      </c>
    </row>
    <row r="86" spans="1:29" x14ac:dyDescent="0.25">
      <c r="A86" s="230">
        <v>0.43434027777777778</v>
      </c>
      <c r="B86" s="19">
        <v>45097</v>
      </c>
      <c r="C86" s="118"/>
      <c r="D86" s="118"/>
      <c r="E86" s="118">
        <v>744.3</v>
      </c>
      <c r="F86" s="118">
        <v>696.5</v>
      </c>
      <c r="G86" s="118">
        <v>715.3</v>
      </c>
      <c r="H86" s="118">
        <v>715281</v>
      </c>
      <c r="I86" s="118">
        <v>0.35</v>
      </c>
      <c r="J86" s="118">
        <v>717.2</v>
      </c>
      <c r="K86" s="118">
        <v>0.14099999999999999</v>
      </c>
      <c r="L86" s="118">
        <v>0.14399999999999999</v>
      </c>
      <c r="M86" s="118">
        <v>0.2</v>
      </c>
      <c r="N86" s="118">
        <v>132.6</v>
      </c>
      <c r="O86" s="118">
        <v>11.22</v>
      </c>
      <c r="P86" s="118">
        <v>135.69999999999999</v>
      </c>
      <c r="Q86" s="118">
        <v>40.693820000000002</v>
      </c>
      <c r="R86" s="118">
        <v>-86.766490000000005</v>
      </c>
      <c r="S86" s="118">
        <v>232.6</v>
      </c>
      <c r="T86" s="118">
        <v>205.5</v>
      </c>
      <c r="U86" s="118">
        <v>7.41</v>
      </c>
      <c r="V86" s="118">
        <v>-64.400000000000006</v>
      </c>
      <c r="W86" s="118">
        <v>11.8</v>
      </c>
      <c r="X86" s="118">
        <v>0</v>
      </c>
      <c r="Y86" s="118">
        <v>23.625</v>
      </c>
      <c r="Z86" s="118">
        <v>4.3</v>
      </c>
      <c r="AA86" s="118">
        <v>0</v>
      </c>
      <c r="AB86" s="19">
        <v>45097</v>
      </c>
      <c r="AC86" s="118" t="s">
        <v>1821</v>
      </c>
    </row>
    <row r="87" spans="1:29" x14ac:dyDescent="0.25">
      <c r="A87" s="230">
        <v>0.71050925925925923</v>
      </c>
      <c r="B87" s="19">
        <v>45097</v>
      </c>
      <c r="C87" s="118"/>
      <c r="D87" s="118"/>
      <c r="E87" s="118">
        <v>743.3</v>
      </c>
      <c r="F87" s="118">
        <v>696.9</v>
      </c>
      <c r="G87" s="118">
        <v>696.4</v>
      </c>
      <c r="H87" s="118">
        <v>696393</v>
      </c>
      <c r="I87" s="118">
        <v>0.34</v>
      </c>
      <c r="J87" s="118">
        <v>696.3</v>
      </c>
      <c r="K87" s="118">
        <v>0.154</v>
      </c>
      <c r="L87" s="118">
        <v>0.16800000000000001</v>
      </c>
      <c r="M87" s="118">
        <v>0.219</v>
      </c>
      <c r="N87" s="118">
        <v>-154.69999999999999</v>
      </c>
      <c r="O87" s="118">
        <v>-12.75</v>
      </c>
      <c r="P87" s="118">
        <v>-158.30000000000001</v>
      </c>
      <c r="Q87" s="118">
        <v>40.667119999999997</v>
      </c>
      <c r="R87" s="118">
        <v>-86.753050000000002</v>
      </c>
      <c r="S87" s="118">
        <v>187</v>
      </c>
      <c r="T87" s="118">
        <v>93.7</v>
      </c>
      <c r="U87" s="118">
        <v>8.2799999999999994</v>
      </c>
      <c r="V87" s="118">
        <v>-116.1</v>
      </c>
      <c r="W87" s="118">
        <v>11.8</v>
      </c>
      <c r="X87" s="118">
        <v>0</v>
      </c>
      <c r="Y87" s="118">
        <v>25.036000000000001</v>
      </c>
      <c r="Z87" s="118">
        <v>6.1</v>
      </c>
      <c r="AA87" s="118">
        <v>0</v>
      </c>
      <c r="AB87" s="19">
        <v>45097</v>
      </c>
      <c r="AC87" s="118" t="s">
        <v>1822</v>
      </c>
    </row>
    <row r="88" spans="1:29" x14ac:dyDescent="0.25">
      <c r="A88" s="230">
        <v>0.67785879629629631</v>
      </c>
      <c r="B88" s="19">
        <v>45097</v>
      </c>
      <c r="C88" s="118"/>
      <c r="D88" s="118"/>
      <c r="E88" s="118">
        <v>743.5</v>
      </c>
      <c r="F88" s="118">
        <v>722.6</v>
      </c>
      <c r="G88" s="118">
        <v>712.4</v>
      </c>
      <c r="H88" s="118">
        <v>712435</v>
      </c>
      <c r="I88" s="118">
        <v>0.35</v>
      </c>
      <c r="J88" s="118">
        <v>711.4</v>
      </c>
      <c r="K88" s="118">
        <v>0.10100000000000001</v>
      </c>
      <c r="L88" s="118">
        <v>0.108</v>
      </c>
      <c r="M88" s="118">
        <v>0.14399999999999999</v>
      </c>
      <c r="N88" s="118">
        <v>-135.9</v>
      </c>
      <c r="O88" s="118">
        <v>-11.05</v>
      </c>
      <c r="P88" s="118">
        <v>-139</v>
      </c>
      <c r="Q88" s="118">
        <v>40.680860000000003</v>
      </c>
      <c r="R88" s="118">
        <v>-86.752200000000002</v>
      </c>
      <c r="S88" s="118">
        <v>190.8</v>
      </c>
      <c r="T88" s="118">
        <v>64.900000000000006</v>
      </c>
      <c r="U88" s="118">
        <v>8.33</v>
      </c>
      <c r="V88" s="118">
        <v>-119.5</v>
      </c>
      <c r="W88" s="118">
        <v>11.8</v>
      </c>
      <c r="X88" s="118">
        <v>0</v>
      </c>
      <c r="Y88" s="118">
        <v>25.745999999999999</v>
      </c>
      <c r="Z88" s="118">
        <v>3.69</v>
      </c>
      <c r="AA88" s="118">
        <v>0</v>
      </c>
      <c r="AB88" s="19">
        <v>45097</v>
      </c>
      <c r="AC88" s="118" t="s">
        <v>1823</v>
      </c>
    </row>
    <row r="89" spans="1:29" x14ac:dyDescent="0.25">
      <c r="A89" s="230">
        <v>0.64515046296296297</v>
      </c>
      <c r="B89" s="19">
        <v>45097</v>
      </c>
      <c r="C89" s="118"/>
      <c r="D89" s="118"/>
      <c r="E89" s="118">
        <v>743.5</v>
      </c>
      <c r="F89" s="118">
        <v>766.8</v>
      </c>
      <c r="G89" s="118">
        <v>770.7</v>
      </c>
      <c r="H89" s="118">
        <v>770739</v>
      </c>
      <c r="I89" s="118">
        <v>0.38</v>
      </c>
      <c r="J89" s="118">
        <v>771.1</v>
      </c>
      <c r="K89" s="118">
        <v>0.19800000000000001</v>
      </c>
      <c r="L89" s="118">
        <v>0.219</v>
      </c>
      <c r="M89" s="118">
        <v>0.28100000000000003</v>
      </c>
      <c r="N89" s="118">
        <v>156.1</v>
      </c>
      <c r="O89" s="118">
        <v>12.94</v>
      </c>
      <c r="P89" s="118">
        <v>159.80000000000001</v>
      </c>
      <c r="Q89" s="118">
        <v>40.731020000000001</v>
      </c>
      <c r="R89" s="118">
        <v>-86.757949999999994</v>
      </c>
      <c r="S89" s="118">
        <v>207.3</v>
      </c>
      <c r="T89" s="118">
        <v>51.8</v>
      </c>
      <c r="U89" s="118">
        <v>8.65</v>
      </c>
      <c r="V89" s="118">
        <v>-137.69999999999999</v>
      </c>
      <c r="W89" s="118">
        <v>11.8</v>
      </c>
      <c r="X89" s="118">
        <v>0</v>
      </c>
      <c r="Y89" s="118">
        <v>24.73</v>
      </c>
      <c r="Z89" s="118">
        <v>5.51</v>
      </c>
      <c r="AA89" s="118">
        <v>0</v>
      </c>
      <c r="AB89" s="19">
        <v>45097</v>
      </c>
      <c r="AC89" s="118" t="s">
        <v>1824</v>
      </c>
    </row>
    <row r="90" spans="1:29" x14ac:dyDescent="0.25">
      <c r="A90" s="230">
        <v>0.58269675925925923</v>
      </c>
      <c r="B90" s="19">
        <v>45097</v>
      </c>
      <c r="C90" s="118"/>
      <c r="D90" s="118"/>
      <c r="E90" s="118">
        <v>743.9</v>
      </c>
      <c r="F90" s="118">
        <v>739.9</v>
      </c>
      <c r="G90" s="118">
        <v>767.3</v>
      </c>
      <c r="H90" s="118">
        <v>767251</v>
      </c>
      <c r="I90" s="118">
        <v>0.37</v>
      </c>
      <c r="J90" s="118">
        <v>770</v>
      </c>
      <c r="K90" s="118">
        <v>9.8000000000000004E-2</v>
      </c>
      <c r="L90" s="118">
        <v>9.6000000000000002E-2</v>
      </c>
      <c r="M90" s="118">
        <v>0.13900000000000001</v>
      </c>
      <c r="N90" s="118">
        <v>120.7</v>
      </c>
      <c r="O90" s="118">
        <v>10.31</v>
      </c>
      <c r="P90" s="118">
        <v>123.6</v>
      </c>
      <c r="Q90" s="118">
        <v>40.745449999999998</v>
      </c>
      <c r="R90" s="118">
        <v>-86.757230000000007</v>
      </c>
      <c r="S90" s="118">
        <v>193.2</v>
      </c>
      <c r="T90" s="118">
        <v>123.6</v>
      </c>
      <c r="U90" s="118">
        <v>8.02</v>
      </c>
      <c r="V90" s="118">
        <v>-100.5</v>
      </c>
      <c r="W90" s="118">
        <v>11.8</v>
      </c>
      <c r="X90" s="118">
        <v>0</v>
      </c>
      <c r="Y90" s="118">
        <v>23.137</v>
      </c>
      <c r="Z90" s="118">
        <v>3.01</v>
      </c>
      <c r="AA90" s="118">
        <v>0</v>
      </c>
      <c r="AB90" s="19">
        <v>45097</v>
      </c>
      <c r="AC90" s="118" t="s">
        <v>1826</v>
      </c>
    </row>
    <row r="91" spans="1:29" x14ac:dyDescent="0.25">
      <c r="A91" s="230">
        <v>0.53687499999999999</v>
      </c>
      <c r="B91" s="19">
        <v>45097</v>
      </c>
      <c r="C91" s="118"/>
      <c r="D91" s="118"/>
      <c r="E91" s="118">
        <v>743.3</v>
      </c>
      <c r="F91" s="118">
        <v>770.9</v>
      </c>
      <c r="G91" s="118">
        <v>784.6</v>
      </c>
      <c r="H91" s="118">
        <v>784614</v>
      </c>
      <c r="I91" s="118">
        <v>0.38</v>
      </c>
      <c r="J91" s="118">
        <v>786</v>
      </c>
      <c r="K91" s="118">
        <v>0.11799999999999999</v>
      </c>
      <c r="L91" s="118">
        <v>0.125</v>
      </c>
      <c r="M91" s="118">
        <v>0.16700000000000001</v>
      </c>
      <c r="N91" s="118">
        <v>124.5</v>
      </c>
      <c r="O91" s="118">
        <v>10.44</v>
      </c>
      <c r="P91" s="118">
        <v>127.4</v>
      </c>
      <c r="Q91" s="118">
        <v>40.808770000000003</v>
      </c>
      <c r="R91" s="118">
        <v>-86.794629999999998</v>
      </c>
      <c r="S91" s="118">
        <v>205</v>
      </c>
      <c r="T91" s="118">
        <v>123.2</v>
      </c>
      <c r="U91" s="118">
        <v>8.02</v>
      </c>
      <c r="V91" s="118">
        <v>-100.5</v>
      </c>
      <c r="W91" s="118">
        <v>11.8</v>
      </c>
      <c r="X91" s="118">
        <v>0</v>
      </c>
      <c r="Y91" s="118">
        <v>24.084</v>
      </c>
      <c r="Z91" s="118">
        <v>1.9</v>
      </c>
      <c r="AA91" s="118">
        <v>0</v>
      </c>
      <c r="AB91" s="19">
        <v>45097</v>
      </c>
      <c r="AC91" s="118" t="s">
        <v>1885</v>
      </c>
    </row>
    <row r="92" spans="1:29" x14ac:dyDescent="0.25">
      <c r="A92" s="230">
        <v>0.50509259259259254</v>
      </c>
      <c r="B92" s="19">
        <v>45097</v>
      </c>
      <c r="C92" s="118"/>
      <c r="D92" s="118"/>
      <c r="E92" s="118">
        <v>743.2</v>
      </c>
      <c r="F92" s="118">
        <v>643.79999999999995</v>
      </c>
      <c r="G92" s="118">
        <v>658.1</v>
      </c>
      <c r="H92" s="118">
        <v>658098</v>
      </c>
      <c r="I92" s="118">
        <v>0.32</v>
      </c>
      <c r="J92" s="118">
        <v>659.5</v>
      </c>
      <c r="K92" s="118">
        <v>9.1999999999999998E-2</v>
      </c>
      <c r="L92" s="118">
        <v>9.5000000000000001E-2</v>
      </c>
      <c r="M92" s="118">
        <v>0.13</v>
      </c>
      <c r="N92" s="118">
        <v>162.80000000000001</v>
      </c>
      <c r="O92" s="118">
        <v>13.71</v>
      </c>
      <c r="P92" s="118">
        <v>166.5</v>
      </c>
      <c r="Q92" s="118">
        <v>40.823839999999997</v>
      </c>
      <c r="R92" s="118">
        <v>-86.794569999999993</v>
      </c>
      <c r="S92" s="118">
        <v>201.8</v>
      </c>
      <c r="T92" s="118">
        <v>119.4</v>
      </c>
      <c r="U92" s="118">
        <v>8.1</v>
      </c>
      <c r="V92" s="118">
        <v>-105.4</v>
      </c>
      <c r="W92" s="118">
        <v>11.8</v>
      </c>
      <c r="X92" s="118">
        <v>0</v>
      </c>
      <c r="Y92" s="118">
        <v>23.86</v>
      </c>
      <c r="Z92" s="118">
        <v>3.08</v>
      </c>
      <c r="AA92" s="118">
        <v>0</v>
      </c>
      <c r="AB92" s="19">
        <v>45097</v>
      </c>
      <c r="AC92" s="118" t="s">
        <v>1884</v>
      </c>
    </row>
    <row r="93" spans="1:29" x14ac:dyDescent="0.25">
      <c r="A93" s="230">
        <v>0.47621527777777778</v>
      </c>
      <c r="B93" s="19">
        <v>45097</v>
      </c>
      <c r="C93" s="118"/>
      <c r="D93" s="118"/>
      <c r="E93" s="118">
        <v>743.2</v>
      </c>
      <c r="F93" s="118">
        <v>785.8</v>
      </c>
      <c r="G93" s="118">
        <v>782</v>
      </c>
      <c r="H93" s="118">
        <v>781996</v>
      </c>
      <c r="I93" s="118">
        <v>0.38</v>
      </c>
      <c r="J93" s="118">
        <v>781.6</v>
      </c>
      <c r="K93" s="118">
        <v>0.10299999999999999</v>
      </c>
      <c r="L93" s="118">
        <v>0.107</v>
      </c>
      <c r="M93" s="118">
        <v>0.14599999999999999</v>
      </c>
      <c r="N93" s="118">
        <v>87.9</v>
      </c>
      <c r="O93" s="118">
        <v>7.21</v>
      </c>
      <c r="P93" s="118">
        <v>89.9</v>
      </c>
      <c r="Q93" s="118">
        <v>40.843420000000002</v>
      </c>
      <c r="R93" s="118">
        <v>-86.81747</v>
      </c>
      <c r="S93" s="118">
        <v>202</v>
      </c>
      <c r="T93" s="118">
        <v>-79.8</v>
      </c>
      <c r="U93" s="118">
        <v>7.4</v>
      </c>
      <c r="V93" s="118">
        <v>-64.099999999999994</v>
      </c>
      <c r="W93" s="118">
        <v>11.8</v>
      </c>
      <c r="X93" s="118">
        <v>0</v>
      </c>
      <c r="Y93" s="118">
        <v>25.247</v>
      </c>
      <c r="Z93" s="118">
        <v>153.78</v>
      </c>
      <c r="AA93" s="118">
        <v>0</v>
      </c>
      <c r="AB93" s="19">
        <v>45097</v>
      </c>
      <c r="AC93" s="118" t="s">
        <v>1883</v>
      </c>
    </row>
    <row r="94" spans="1:29" x14ac:dyDescent="0.25">
      <c r="A94" s="230">
        <v>0.65694444444444444</v>
      </c>
      <c r="B94" s="19">
        <v>45100</v>
      </c>
      <c r="C94" s="118"/>
      <c r="D94" s="118"/>
      <c r="E94" s="118">
        <v>739.6</v>
      </c>
      <c r="F94" s="118">
        <v>554.20000000000005</v>
      </c>
      <c r="G94" s="118">
        <v>561.70000000000005</v>
      </c>
      <c r="H94" s="118">
        <v>561669</v>
      </c>
      <c r="I94" s="118">
        <v>0.27</v>
      </c>
      <c r="J94" s="118">
        <v>562.4</v>
      </c>
      <c r="K94" s="118">
        <v>0.24</v>
      </c>
      <c r="L94" s="118">
        <v>0.24399999999999999</v>
      </c>
      <c r="M94" s="118">
        <v>0.34100000000000003</v>
      </c>
      <c r="N94" s="118">
        <v>-213.5</v>
      </c>
      <c r="O94" s="118">
        <v>-17.850000000000001</v>
      </c>
      <c r="P94" s="118">
        <v>-213.5</v>
      </c>
      <c r="Q94" s="118">
        <v>40.772170000000003</v>
      </c>
      <c r="R94" s="118">
        <v>-85.644499999999994</v>
      </c>
      <c r="S94" s="118">
        <v>229.3</v>
      </c>
      <c r="T94" s="118">
        <v>192.9</v>
      </c>
      <c r="U94" s="118">
        <v>8.3800000000000008</v>
      </c>
      <c r="V94" s="118">
        <v>-121.1</v>
      </c>
      <c r="W94" s="118">
        <v>11.8</v>
      </c>
      <c r="X94" s="118">
        <v>0</v>
      </c>
      <c r="Y94" s="118">
        <v>24.303000000000001</v>
      </c>
      <c r="Z94" s="118">
        <v>4.84</v>
      </c>
      <c r="AA94" s="118">
        <v>0</v>
      </c>
      <c r="AB94" s="19">
        <v>45100</v>
      </c>
      <c r="AC94" s="118" t="s">
        <v>1862</v>
      </c>
    </row>
    <row r="95" spans="1:29" x14ac:dyDescent="0.25">
      <c r="A95" s="230">
        <v>0.79098379629629634</v>
      </c>
      <c r="B95" s="19">
        <v>45100</v>
      </c>
      <c r="C95" s="118"/>
      <c r="D95" s="118"/>
      <c r="E95" s="118">
        <v>739.1</v>
      </c>
      <c r="F95" s="118">
        <v>661.2</v>
      </c>
      <c r="G95" s="118">
        <v>672.1</v>
      </c>
      <c r="H95" s="118">
        <v>672116</v>
      </c>
      <c r="I95" s="118">
        <v>0.33</v>
      </c>
      <c r="J95" s="118">
        <v>673.2</v>
      </c>
      <c r="K95" s="118">
        <v>0.23499999999999999</v>
      </c>
      <c r="L95" s="118">
        <v>0.27</v>
      </c>
      <c r="M95" s="118">
        <v>0.33400000000000002</v>
      </c>
      <c r="N95" s="118">
        <v>-331.7</v>
      </c>
      <c r="O95" s="118">
        <v>-27.79</v>
      </c>
      <c r="P95" s="118">
        <v>-331.7</v>
      </c>
      <c r="Q95" s="118">
        <v>40.756169999999997</v>
      </c>
      <c r="R95" s="118">
        <v>-85.581829999999997</v>
      </c>
      <c r="S95" s="118">
        <v>228.8</v>
      </c>
      <c r="T95" s="118">
        <v>124.2</v>
      </c>
      <c r="U95" s="118">
        <v>8.5500000000000007</v>
      </c>
      <c r="V95" s="118">
        <v>-131.4</v>
      </c>
      <c r="W95" s="118">
        <v>11.8</v>
      </c>
      <c r="X95" s="118">
        <v>0</v>
      </c>
      <c r="Y95" s="118">
        <v>24.149000000000001</v>
      </c>
      <c r="Z95" s="118">
        <v>6.4</v>
      </c>
      <c r="AA95" s="118">
        <v>0</v>
      </c>
      <c r="AB95" s="19">
        <v>45100</v>
      </c>
      <c r="AC95" s="118" t="s">
        <v>1871</v>
      </c>
    </row>
    <row r="96" spans="1:29" x14ac:dyDescent="0.25">
      <c r="A96" s="230">
        <v>0.82640046296296299</v>
      </c>
      <c r="B96" s="19">
        <v>45100</v>
      </c>
      <c r="C96" s="118"/>
      <c r="D96" s="118"/>
      <c r="E96" s="118">
        <v>738.8</v>
      </c>
      <c r="F96" s="118">
        <v>751.2</v>
      </c>
      <c r="G96" s="118">
        <v>756.1</v>
      </c>
      <c r="H96" s="118">
        <v>756113</v>
      </c>
      <c r="I96" s="118">
        <v>0.37</v>
      </c>
      <c r="J96" s="118">
        <v>756.6</v>
      </c>
      <c r="K96" s="118">
        <v>0.20899999999999999</v>
      </c>
      <c r="L96" s="118">
        <v>0.20699999999999999</v>
      </c>
      <c r="M96" s="118">
        <v>0.29699999999999999</v>
      </c>
      <c r="N96" s="118">
        <v>-206.4</v>
      </c>
      <c r="O96" s="118">
        <v>-17.13</v>
      </c>
      <c r="P96" s="118">
        <v>-206.4</v>
      </c>
      <c r="Q96" s="118">
        <v>40.745739999999998</v>
      </c>
      <c r="R96" s="118">
        <v>-85.568849999999998</v>
      </c>
      <c r="S96" s="118">
        <v>230.3</v>
      </c>
      <c r="T96" s="118">
        <v>145.80000000000001</v>
      </c>
      <c r="U96" s="118">
        <v>8.39</v>
      </c>
      <c r="V96" s="118">
        <v>-122</v>
      </c>
      <c r="W96" s="118">
        <v>11.8</v>
      </c>
      <c r="X96" s="118">
        <v>0</v>
      </c>
      <c r="Y96" s="118">
        <v>24.661000000000001</v>
      </c>
      <c r="Z96" s="118">
        <v>9.33</v>
      </c>
      <c r="AA96" s="118">
        <v>0</v>
      </c>
      <c r="AB96" s="19">
        <v>45100</v>
      </c>
      <c r="AC96" s="118" t="s">
        <v>1872</v>
      </c>
    </row>
    <row r="97" spans="1:29" x14ac:dyDescent="0.25">
      <c r="A97" s="230">
        <v>0.84239583333333334</v>
      </c>
      <c r="B97" s="19">
        <v>45100</v>
      </c>
      <c r="C97" s="118"/>
      <c r="D97" s="118"/>
      <c r="E97" s="118">
        <v>738.7</v>
      </c>
      <c r="F97" s="118">
        <v>839.4</v>
      </c>
      <c r="G97" s="118">
        <v>829.9</v>
      </c>
      <c r="H97" s="118">
        <v>829923</v>
      </c>
      <c r="I97" s="118">
        <v>0.41</v>
      </c>
      <c r="J97" s="118">
        <v>828.9</v>
      </c>
      <c r="K97" s="118">
        <v>0.251</v>
      </c>
      <c r="L97" s="118">
        <v>0.24199999999999999</v>
      </c>
      <c r="M97" s="118">
        <v>0.35599999999999998</v>
      </c>
      <c r="N97" s="118">
        <v>-159.9</v>
      </c>
      <c r="O97" s="118">
        <v>-13.04</v>
      </c>
      <c r="P97" s="118">
        <v>-159.9</v>
      </c>
      <c r="Q97" s="118">
        <v>40.746699999999997</v>
      </c>
      <c r="R97" s="118">
        <v>-85.548580000000001</v>
      </c>
      <c r="S97" s="118">
        <v>230.9</v>
      </c>
      <c r="T97" s="118">
        <v>99.4</v>
      </c>
      <c r="U97" s="118">
        <v>8.6</v>
      </c>
      <c r="V97" s="118">
        <v>-135.1</v>
      </c>
      <c r="W97" s="118">
        <v>11.8</v>
      </c>
      <c r="X97" s="118">
        <v>0</v>
      </c>
      <c r="Y97" s="118">
        <v>25.596</v>
      </c>
      <c r="Z97" s="118">
        <v>20.93</v>
      </c>
      <c r="AA97" s="118">
        <v>0</v>
      </c>
      <c r="AB97" s="19">
        <v>45100</v>
      </c>
      <c r="AC97" s="118" t="s">
        <v>1873</v>
      </c>
    </row>
    <row r="98" spans="1:29" x14ac:dyDescent="0.25">
      <c r="A98" s="230">
        <v>0.88820601851851855</v>
      </c>
      <c r="B98" s="19">
        <v>45100</v>
      </c>
      <c r="C98" s="118"/>
      <c r="D98" s="118"/>
      <c r="E98" s="118">
        <v>738.4</v>
      </c>
      <c r="F98" s="118">
        <v>572</v>
      </c>
      <c r="G98" s="118">
        <v>565.79999999999995</v>
      </c>
      <c r="H98" s="118">
        <v>565811</v>
      </c>
      <c r="I98" s="118">
        <v>0.27</v>
      </c>
      <c r="J98" s="118">
        <v>565.20000000000005</v>
      </c>
      <c r="K98" s="118">
        <v>0.22900000000000001</v>
      </c>
      <c r="L98" s="118">
        <v>0.23400000000000001</v>
      </c>
      <c r="M98" s="118">
        <v>0.32500000000000001</v>
      </c>
      <c r="N98" s="118">
        <v>-285.5</v>
      </c>
      <c r="O98" s="118">
        <v>-23.31</v>
      </c>
      <c r="P98" s="118">
        <v>-285.5</v>
      </c>
      <c r="Q98" s="118">
        <v>40.780119999999997</v>
      </c>
      <c r="R98" s="118">
        <v>-85.636970000000005</v>
      </c>
      <c r="S98" s="118">
        <v>232</v>
      </c>
      <c r="T98" s="118">
        <v>129.6</v>
      </c>
      <c r="U98" s="118">
        <v>8.56</v>
      </c>
      <c r="V98" s="118">
        <v>-132.5</v>
      </c>
      <c r="W98" s="118">
        <v>11.8</v>
      </c>
      <c r="X98" s="118">
        <v>0</v>
      </c>
      <c r="Y98" s="118">
        <v>25.571999999999999</v>
      </c>
      <c r="Z98" s="118">
        <v>6.06</v>
      </c>
      <c r="AA98" s="118">
        <v>0</v>
      </c>
      <c r="AB98" s="19">
        <v>45100</v>
      </c>
      <c r="AC98" s="118" t="s">
        <v>1874</v>
      </c>
    </row>
    <row r="99" spans="1:29" x14ac:dyDescent="0.25">
      <c r="A99" s="230">
        <v>0.66672453703703705</v>
      </c>
      <c r="B99" s="19">
        <v>45100</v>
      </c>
      <c r="C99" s="118"/>
      <c r="D99" s="118"/>
      <c r="E99" s="118">
        <v>739.6</v>
      </c>
      <c r="F99" s="118">
        <v>557.4</v>
      </c>
      <c r="G99" s="118">
        <v>562.5</v>
      </c>
      <c r="H99" s="118">
        <v>562497</v>
      </c>
      <c r="I99" s="118">
        <v>0.27</v>
      </c>
      <c r="J99" s="118">
        <v>563</v>
      </c>
      <c r="K99" s="118">
        <v>0.23599999999999999</v>
      </c>
      <c r="L99" s="118">
        <v>0.23</v>
      </c>
      <c r="M99" s="118">
        <v>0.33500000000000002</v>
      </c>
      <c r="N99" s="118">
        <v>-241</v>
      </c>
      <c r="O99" s="118">
        <v>-20.059999999999999</v>
      </c>
      <c r="P99" s="118">
        <v>-241</v>
      </c>
      <c r="Q99" s="118">
        <v>40.770890000000001</v>
      </c>
      <c r="R99" s="118">
        <v>-85.648250000000004</v>
      </c>
      <c r="S99" s="118">
        <v>227.6</v>
      </c>
      <c r="T99" s="118">
        <v>156.5</v>
      </c>
      <c r="U99" s="118">
        <v>8.5500000000000007</v>
      </c>
      <c r="V99" s="118">
        <v>-131.4</v>
      </c>
      <c r="W99" s="118">
        <v>11.8</v>
      </c>
      <c r="X99" s="118">
        <v>0</v>
      </c>
      <c r="Y99" s="118">
        <v>24.523</v>
      </c>
      <c r="Z99" s="118">
        <v>6.92</v>
      </c>
      <c r="AA99" s="118">
        <v>0</v>
      </c>
      <c r="AB99" s="19">
        <v>45100</v>
      </c>
      <c r="AC99" s="118" t="s">
        <v>1863</v>
      </c>
    </row>
    <row r="100" spans="1:29" x14ac:dyDescent="0.25">
      <c r="A100" s="230">
        <v>0.69111111111111112</v>
      </c>
      <c r="B100" s="19">
        <v>45100</v>
      </c>
      <c r="C100" s="118"/>
      <c r="D100" s="118"/>
      <c r="E100" s="118">
        <v>739.5</v>
      </c>
      <c r="F100" s="118">
        <v>556.5</v>
      </c>
      <c r="G100" s="118">
        <v>566.70000000000005</v>
      </c>
      <c r="H100" s="118">
        <v>566722</v>
      </c>
      <c r="I100" s="118">
        <v>0.27</v>
      </c>
      <c r="J100" s="118">
        <v>567.79999999999995</v>
      </c>
      <c r="K100" s="118">
        <v>0.26800000000000002</v>
      </c>
      <c r="L100" s="118">
        <v>0.27800000000000002</v>
      </c>
      <c r="M100" s="118">
        <v>0.38</v>
      </c>
      <c r="N100" s="118">
        <v>-271.10000000000002</v>
      </c>
      <c r="O100" s="118">
        <v>-22.76</v>
      </c>
      <c r="P100" s="118">
        <v>-271.10000000000002</v>
      </c>
      <c r="Q100" s="118">
        <v>40.780970000000003</v>
      </c>
      <c r="R100" s="118">
        <v>-85.643940000000001</v>
      </c>
      <c r="S100" s="118">
        <v>233</v>
      </c>
      <c r="T100" s="118">
        <v>141.69999999999999</v>
      </c>
      <c r="U100" s="118">
        <v>8.4700000000000006</v>
      </c>
      <c r="V100" s="118">
        <v>-126.3</v>
      </c>
      <c r="W100" s="118">
        <v>11.8</v>
      </c>
      <c r="X100" s="118">
        <v>0</v>
      </c>
      <c r="Y100" s="118">
        <v>24.06</v>
      </c>
      <c r="Z100" s="118">
        <v>5.76</v>
      </c>
      <c r="AA100" s="118">
        <v>0</v>
      </c>
      <c r="AB100" s="19">
        <v>45100</v>
      </c>
      <c r="AC100" s="118" t="s">
        <v>1864</v>
      </c>
    </row>
    <row r="101" spans="1:29" x14ac:dyDescent="0.25">
      <c r="A101" s="230">
        <v>0.70604166666666668</v>
      </c>
      <c r="B101" s="19">
        <v>45100</v>
      </c>
      <c r="C101" s="118"/>
      <c r="D101" s="118"/>
      <c r="E101" s="118">
        <v>739.6</v>
      </c>
      <c r="F101" s="118">
        <v>562.79999999999995</v>
      </c>
      <c r="G101" s="118">
        <v>573.70000000000005</v>
      </c>
      <c r="H101" s="118">
        <v>573680</v>
      </c>
      <c r="I101" s="118">
        <v>0.28000000000000003</v>
      </c>
      <c r="J101" s="118">
        <v>574.79999999999995</v>
      </c>
      <c r="K101" s="118">
        <v>0.214</v>
      </c>
      <c r="L101" s="118">
        <v>0.221</v>
      </c>
      <c r="M101" s="118">
        <v>0.30399999999999999</v>
      </c>
      <c r="N101" s="118">
        <v>-249.7</v>
      </c>
      <c r="O101" s="118">
        <v>-20.98</v>
      </c>
      <c r="P101" s="118">
        <v>-249.7</v>
      </c>
      <c r="Q101" s="118">
        <v>40.784289999999999</v>
      </c>
      <c r="R101" s="118">
        <v>-85.637829999999994</v>
      </c>
      <c r="S101" s="118">
        <v>230.4</v>
      </c>
      <c r="T101" s="118">
        <v>140.6</v>
      </c>
      <c r="U101" s="118">
        <v>8.52</v>
      </c>
      <c r="V101" s="118">
        <v>-129.19999999999999</v>
      </c>
      <c r="W101" s="118">
        <v>11.8</v>
      </c>
      <c r="X101" s="118">
        <v>0</v>
      </c>
      <c r="Y101" s="118">
        <v>24.003</v>
      </c>
      <c r="Z101" s="118">
        <v>5.1100000000000003</v>
      </c>
      <c r="AA101" s="118">
        <v>0</v>
      </c>
      <c r="AB101" s="19">
        <v>45100</v>
      </c>
      <c r="AC101" s="118" t="s">
        <v>1865</v>
      </c>
    </row>
    <row r="102" spans="1:29" x14ac:dyDescent="0.25">
      <c r="A102" s="230">
        <v>0.72304398148148152</v>
      </c>
      <c r="B102" s="19">
        <v>45100</v>
      </c>
      <c r="C102" s="118"/>
      <c r="D102" s="118"/>
      <c r="E102" s="118">
        <v>739.6</v>
      </c>
      <c r="F102" s="118">
        <v>565</v>
      </c>
      <c r="G102" s="118">
        <v>581.4</v>
      </c>
      <c r="H102" s="118">
        <v>581354</v>
      </c>
      <c r="I102" s="118">
        <v>0.28000000000000003</v>
      </c>
      <c r="J102" s="118">
        <v>583</v>
      </c>
      <c r="K102" s="118">
        <v>0.23400000000000001</v>
      </c>
      <c r="L102" s="118">
        <v>0.248</v>
      </c>
      <c r="M102" s="118">
        <v>0.33200000000000002</v>
      </c>
      <c r="N102" s="118">
        <v>-282.3</v>
      </c>
      <c r="O102" s="118">
        <v>-23.94</v>
      </c>
      <c r="P102" s="118">
        <v>-282.3</v>
      </c>
      <c r="Q102" s="118">
        <v>40.775269999999999</v>
      </c>
      <c r="R102" s="118">
        <v>-85.623660000000001</v>
      </c>
      <c r="S102" s="118">
        <v>229.8</v>
      </c>
      <c r="T102" s="118">
        <v>158.4</v>
      </c>
      <c r="U102" s="118">
        <v>8.51</v>
      </c>
      <c r="V102" s="118">
        <v>-128.69999999999999</v>
      </c>
      <c r="W102" s="118">
        <v>11.8</v>
      </c>
      <c r="X102" s="118">
        <v>0</v>
      </c>
      <c r="Y102" s="118">
        <v>23.524000000000001</v>
      </c>
      <c r="Z102" s="118">
        <v>5.51</v>
      </c>
      <c r="AA102" s="118">
        <v>0</v>
      </c>
      <c r="AB102" s="19">
        <v>45100</v>
      </c>
      <c r="AC102" s="118" t="s">
        <v>1866</v>
      </c>
    </row>
    <row r="103" spans="1:29" x14ac:dyDescent="0.25">
      <c r="A103" s="230">
        <v>0.73624999999999996</v>
      </c>
      <c r="B103" s="19">
        <v>45100</v>
      </c>
      <c r="C103" s="118"/>
      <c r="D103" s="118"/>
      <c r="E103" s="118">
        <v>739.5</v>
      </c>
      <c r="F103" s="118">
        <v>578.20000000000005</v>
      </c>
      <c r="G103" s="118">
        <v>587</v>
      </c>
      <c r="H103" s="118">
        <v>586963</v>
      </c>
      <c r="I103" s="118">
        <v>0.28000000000000003</v>
      </c>
      <c r="J103" s="118">
        <v>587.9</v>
      </c>
      <c r="K103" s="118">
        <v>0.23200000000000001</v>
      </c>
      <c r="L103" s="118">
        <v>0.23300000000000001</v>
      </c>
      <c r="M103" s="118">
        <v>0.33</v>
      </c>
      <c r="N103" s="118">
        <v>-244.3</v>
      </c>
      <c r="O103" s="118">
        <v>-20.45</v>
      </c>
      <c r="P103" s="118">
        <v>-244.3</v>
      </c>
      <c r="Q103" s="118">
        <v>40.77561</v>
      </c>
      <c r="R103" s="118">
        <v>-85.606409999999997</v>
      </c>
      <c r="S103" s="118">
        <v>230.4</v>
      </c>
      <c r="T103" s="118">
        <v>171.8</v>
      </c>
      <c r="U103" s="118">
        <v>8.6199999999999992</v>
      </c>
      <c r="V103" s="118">
        <v>-135.9</v>
      </c>
      <c r="W103" s="118">
        <v>11.8</v>
      </c>
      <c r="X103" s="118">
        <v>0</v>
      </c>
      <c r="Y103" s="118">
        <v>24.216999999999999</v>
      </c>
      <c r="Z103" s="118">
        <v>7.55</v>
      </c>
      <c r="AA103" s="118">
        <v>0</v>
      </c>
      <c r="AB103" s="19">
        <v>45100</v>
      </c>
      <c r="AC103" s="118" t="s">
        <v>1867</v>
      </c>
    </row>
    <row r="104" spans="1:29" x14ac:dyDescent="0.25">
      <c r="A104" s="230">
        <v>0.75168981481481478</v>
      </c>
      <c r="B104" s="19">
        <v>45100</v>
      </c>
      <c r="C104" s="118"/>
      <c r="D104" s="118"/>
      <c r="E104" s="118">
        <v>739.3</v>
      </c>
      <c r="F104" s="118">
        <v>592</v>
      </c>
      <c r="G104" s="118">
        <v>605.79999999999995</v>
      </c>
      <c r="H104" s="118">
        <v>605797</v>
      </c>
      <c r="I104" s="118">
        <v>0.28999999999999998</v>
      </c>
      <c r="J104" s="118">
        <v>607.20000000000005</v>
      </c>
      <c r="K104" s="118">
        <v>0.223</v>
      </c>
      <c r="L104" s="118">
        <v>0.23599999999999999</v>
      </c>
      <c r="M104" s="118">
        <v>0.317</v>
      </c>
      <c r="N104" s="118">
        <v>-175</v>
      </c>
      <c r="O104" s="118">
        <v>-14.76</v>
      </c>
      <c r="P104" s="118">
        <v>-175</v>
      </c>
      <c r="Q104" s="118">
        <v>40.775480000000002</v>
      </c>
      <c r="R104" s="118">
        <v>-85.580020000000005</v>
      </c>
      <c r="S104" s="118">
        <v>231</v>
      </c>
      <c r="T104" s="118">
        <v>142.30000000000001</v>
      </c>
      <c r="U104" s="118">
        <v>8.4499999999999993</v>
      </c>
      <c r="V104" s="118">
        <v>-125.1</v>
      </c>
      <c r="W104" s="118">
        <v>11.8</v>
      </c>
      <c r="X104" s="118">
        <v>0</v>
      </c>
      <c r="Y104" s="118">
        <v>23.808</v>
      </c>
      <c r="Z104" s="118">
        <v>4.78</v>
      </c>
      <c r="AA104" s="118">
        <v>0</v>
      </c>
      <c r="AB104" s="19">
        <v>45100</v>
      </c>
      <c r="AC104" s="118" t="s">
        <v>1868</v>
      </c>
    </row>
    <row r="105" spans="1:29" x14ac:dyDescent="0.25">
      <c r="A105" s="230">
        <v>0.76894675925925926</v>
      </c>
      <c r="B105" s="19">
        <v>45100</v>
      </c>
      <c r="C105" s="118"/>
      <c r="D105" s="118"/>
      <c r="E105" s="118">
        <v>739.3</v>
      </c>
      <c r="F105" s="118">
        <v>578.9</v>
      </c>
      <c r="G105" s="118">
        <v>588.79999999999995</v>
      </c>
      <c r="H105" s="118">
        <v>588837</v>
      </c>
      <c r="I105" s="118">
        <v>0.28000000000000003</v>
      </c>
      <c r="J105" s="118">
        <v>589.79999999999995</v>
      </c>
      <c r="K105" s="118">
        <v>0.22600000000000001</v>
      </c>
      <c r="L105" s="118">
        <v>0.22</v>
      </c>
      <c r="M105" s="118">
        <v>0.32100000000000001</v>
      </c>
      <c r="N105" s="118">
        <v>-333.5</v>
      </c>
      <c r="O105" s="118">
        <v>-27.97</v>
      </c>
      <c r="P105" s="118">
        <v>-333.5</v>
      </c>
      <c r="Q105" s="118">
        <v>40.766820000000003</v>
      </c>
      <c r="R105" s="118">
        <v>-85.597579999999994</v>
      </c>
      <c r="S105" s="118">
        <v>230.3</v>
      </c>
      <c r="T105" s="118">
        <v>149.4</v>
      </c>
      <c r="U105" s="118">
        <v>8.65</v>
      </c>
      <c r="V105" s="118">
        <v>-137.30000000000001</v>
      </c>
      <c r="W105" s="118">
        <v>11.8</v>
      </c>
      <c r="X105" s="118">
        <v>0</v>
      </c>
      <c r="Y105" s="118">
        <v>24.117999999999999</v>
      </c>
      <c r="Z105" s="118">
        <v>5.94</v>
      </c>
      <c r="AA105" s="118">
        <v>0</v>
      </c>
      <c r="AB105" s="19">
        <v>45100</v>
      </c>
      <c r="AC105" s="118" t="s">
        <v>1869</v>
      </c>
    </row>
    <row r="106" spans="1:29" x14ac:dyDescent="0.25">
      <c r="A106" s="230">
        <v>0.78031249999999996</v>
      </c>
      <c r="B106" s="19">
        <v>45100</v>
      </c>
      <c r="C106" s="118"/>
      <c r="D106" s="118"/>
      <c r="E106" s="118">
        <v>739</v>
      </c>
      <c r="F106" s="118">
        <v>615.29999999999995</v>
      </c>
      <c r="G106" s="118">
        <v>617.9</v>
      </c>
      <c r="H106" s="118">
        <v>617923</v>
      </c>
      <c r="I106" s="118">
        <v>0.3</v>
      </c>
      <c r="J106" s="118">
        <v>618.20000000000005</v>
      </c>
      <c r="K106" s="118">
        <v>0.22600000000000001</v>
      </c>
      <c r="L106" s="118">
        <v>0.22</v>
      </c>
      <c r="M106" s="118">
        <v>0.32100000000000001</v>
      </c>
      <c r="N106" s="118">
        <v>-245.1</v>
      </c>
      <c r="O106" s="118">
        <v>-20.309999999999999</v>
      </c>
      <c r="P106" s="118">
        <v>-245.1</v>
      </c>
      <c r="Q106" s="118">
        <v>40.756369999999997</v>
      </c>
      <c r="R106" s="118">
        <v>-85.594440000000006</v>
      </c>
      <c r="S106" s="118">
        <v>231.8</v>
      </c>
      <c r="T106" s="118">
        <v>148.30000000000001</v>
      </c>
      <c r="U106" s="118">
        <v>8.76</v>
      </c>
      <c r="V106" s="118">
        <v>-144.19999999999999</v>
      </c>
      <c r="W106" s="118">
        <v>11.8</v>
      </c>
      <c r="X106" s="118">
        <v>0</v>
      </c>
      <c r="Y106" s="118">
        <v>24.774000000000001</v>
      </c>
      <c r="Z106" s="118">
        <v>10.33</v>
      </c>
      <c r="AA106" s="118">
        <v>0</v>
      </c>
      <c r="AB106" s="19">
        <v>45100</v>
      </c>
      <c r="AC106" s="118" t="s">
        <v>1870</v>
      </c>
    </row>
    <row r="107" spans="1:29" x14ac:dyDescent="0.25">
      <c r="A107" s="230">
        <v>0.42001157407407408</v>
      </c>
      <c r="B107" s="19">
        <v>45104</v>
      </c>
      <c r="C107" s="118"/>
      <c r="D107" s="118"/>
      <c r="E107" s="118">
        <v>737.4</v>
      </c>
      <c r="F107" s="118">
        <v>467.1</v>
      </c>
      <c r="G107" s="118">
        <v>483.8</v>
      </c>
      <c r="H107" s="118">
        <v>483778</v>
      </c>
      <c r="I107" s="118">
        <v>0.23</v>
      </c>
      <c r="J107" s="118">
        <v>485.4</v>
      </c>
      <c r="K107" s="118">
        <v>0.25900000000000001</v>
      </c>
      <c r="L107" s="118">
        <v>0.27400000000000002</v>
      </c>
      <c r="M107" s="118">
        <v>0.36699999999999999</v>
      </c>
      <c r="N107" s="118">
        <v>-347</v>
      </c>
      <c r="O107" s="118">
        <v>-29.62</v>
      </c>
      <c r="P107" s="118">
        <v>-347</v>
      </c>
      <c r="Q107" s="118">
        <v>40.714109999999998</v>
      </c>
      <c r="R107" s="118">
        <v>-85.937079999999995</v>
      </c>
      <c r="S107" s="118">
        <v>221.1</v>
      </c>
      <c r="T107" s="118">
        <v>241.6</v>
      </c>
      <c r="U107" s="118">
        <v>7.96</v>
      </c>
      <c r="V107" s="118">
        <v>-99.2</v>
      </c>
      <c r="W107" s="118">
        <v>11.8</v>
      </c>
      <c r="X107" s="118">
        <v>0</v>
      </c>
      <c r="Y107" s="118">
        <v>23.190999999999999</v>
      </c>
      <c r="Z107" s="118">
        <v>7.35</v>
      </c>
      <c r="AA107" s="118">
        <v>0</v>
      </c>
      <c r="AB107" s="19">
        <v>45104</v>
      </c>
      <c r="AC107" s="118" t="s">
        <v>1837</v>
      </c>
    </row>
    <row r="108" spans="1:29" x14ac:dyDescent="0.25">
      <c r="A108" s="230">
        <v>0.43093749999999997</v>
      </c>
      <c r="B108" s="19">
        <v>45104</v>
      </c>
      <c r="C108" s="118"/>
      <c r="D108" s="118"/>
      <c r="E108" s="118">
        <v>737.2</v>
      </c>
      <c r="F108" s="118">
        <v>463</v>
      </c>
      <c r="G108" s="118">
        <v>482.8</v>
      </c>
      <c r="H108" s="118">
        <v>482752</v>
      </c>
      <c r="I108" s="118">
        <v>0.23</v>
      </c>
      <c r="J108" s="118">
        <v>484.7</v>
      </c>
      <c r="K108" s="118">
        <v>3.9E-2</v>
      </c>
      <c r="L108" s="118">
        <v>5.2999999999999999E-2</v>
      </c>
      <c r="M108" s="118">
        <v>5.5E-2</v>
      </c>
      <c r="N108" s="118">
        <v>-351.9</v>
      </c>
      <c r="O108" s="118">
        <v>-30.23</v>
      </c>
      <c r="P108" s="118">
        <v>-351.9</v>
      </c>
      <c r="Q108" s="118">
        <v>40.714649999999999</v>
      </c>
      <c r="R108" s="118">
        <v>-85.937790000000007</v>
      </c>
      <c r="S108" s="118">
        <v>221.6</v>
      </c>
      <c r="T108" s="118">
        <v>185.5</v>
      </c>
      <c r="U108" s="118">
        <v>8.0500000000000007</v>
      </c>
      <c r="V108" s="118">
        <v>-104.4</v>
      </c>
      <c r="W108" s="118">
        <v>11.8</v>
      </c>
      <c r="X108" s="118">
        <v>0</v>
      </c>
      <c r="Y108" s="118">
        <v>22.863</v>
      </c>
      <c r="Z108" s="118">
        <v>16.100000000000001</v>
      </c>
      <c r="AA108" s="118">
        <v>0</v>
      </c>
      <c r="AB108" s="19">
        <v>45104</v>
      </c>
      <c r="AC108" s="118" t="s">
        <v>1838</v>
      </c>
    </row>
    <row r="109" spans="1:29" x14ac:dyDescent="0.25">
      <c r="A109" s="230">
        <v>0.46438657407407408</v>
      </c>
      <c r="B109" s="19">
        <v>45104</v>
      </c>
      <c r="C109" s="118"/>
      <c r="D109" s="118"/>
      <c r="E109" s="118">
        <v>737.5</v>
      </c>
      <c r="F109" s="118">
        <v>459.3</v>
      </c>
      <c r="G109" s="118">
        <v>481.6</v>
      </c>
      <c r="H109" s="118">
        <v>481638</v>
      </c>
      <c r="I109" s="118">
        <v>0.23</v>
      </c>
      <c r="J109" s="118">
        <v>483.8</v>
      </c>
      <c r="K109" s="118">
        <v>0.55000000000000004</v>
      </c>
      <c r="L109" s="118">
        <v>0.53200000000000003</v>
      </c>
      <c r="M109" s="118">
        <v>0.78</v>
      </c>
      <c r="N109" s="118">
        <v>-321.39999999999998</v>
      </c>
      <c r="O109" s="118">
        <v>-27.76</v>
      </c>
      <c r="P109" s="118">
        <v>-321.39999999999998</v>
      </c>
      <c r="Q109" s="118">
        <v>40.70523</v>
      </c>
      <c r="R109" s="118">
        <v>-85.953720000000004</v>
      </c>
      <c r="S109" s="118">
        <v>228.3</v>
      </c>
      <c r="T109" s="118">
        <v>129.4</v>
      </c>
      <c r="U109" s="118">
        <v>8.1199999999999992</v>
      </c>
      <c r="V109" s="118">
        <v>-108.3</v>
      </c>
      <c r="W109" s="118">
        <v>11.8</v>
      </c>
      <c r="X109" s="118">
        <v>0</v>
      </c>
      <c r="Y109" s="118">
        <v>22.576000000000001</v>
      </c>
      <c r="Z109" s="118">
        <v>9.75</v>
      </c>
      <c r="AA109" s="118">
        <v>0</v>
      </c>
      <c r="AB109" s="19">
        <v>45104</v>
      </c>
      <c r="AC109" s="118" t="s">
        <v>1839</v>
      </c>
    </row>
    <row r="110" spans="1:29" x14ac:dyDescent="0.25">
      <c r="A110" s="230">
        <v>0.48378472222222224</v>
      </c>
      <c r="B110" s="19">
        <v>45104</v>
      </c>
      <c r="C110" s="118"/>
      <c r="D110" s="118"/>
      <c r="E110" s="118">
        <v>737.5</v>
      </c>
      <c r="F110" s="118">
        <v>458.7</v>
      </c>
      <c r="G110" s="118">
        <v>478.5</v>
      </c>
      <c r="H110" s="118">
        <v>478452</v>
      </c>
      <c r="I110" s="118">
        <v>0.23</v>
      </c>
      <c r="J110" s="118">
        <v>480.4</v>
      </c>
      <c r="K110" s="118">
        <v>4.3999999999999997E-2</v>
      </c>
      <c r="L110" s="118">
        <v>4.3999999999999997E-2</v>
      </c>
      <c r="M110" s="118">
        <v>6.3E-2</v>
      </c>
      <c r="N110" s="118">
        <v>-348.4</v>
      </c>
      <c r="O110" s="118">
        <v>-29.94</v>
      </c>
      <c r="P110" s="118">
        <v>-348.4</v>
      </c>
      <c r="Q110" s="118">
        <v>40.703360000000004</v>
      </c>
      <c r="R110" s="118">
        <v>-85.936549999999997</v>
      </c>
      <c r="S110" s="118">
        <v>226.7</v>
      </c>
      <c r="T110" s="118">
        <v>110.7</v>
      </c>
      <c r="U110" s="118">
        <v>8.32</v>
      </c>
      <c r="V110" s="118">
        <v>-119.8</v>
      </c>
      <c r="W110" s="118">
        <v>11.8</v>
      </c>
      <c r="X110" s="118">
        <v>0</v>
      </c>
      <c r="Y110" s="118">
        <v>22.837</v>
      </c>
      <c r="Z110" s="118">
        <v>7.79</v>
      </c>
      <c r="AA110" s="118">
        <v>0</v>
      </c>
      <c r="AB110" s="19">
        <v>45104</v>
      </c>
      <c r="AC110" s="118" t="s">
        <v>1829</v>
      </c>
    </row>
    <row r="111" spans="1:29" x14ac:dyDescent="0.25">
      <c r="A111" s="230">
        <v>0.49185185185185187</v>
      </c>
      <c r="B111" s="19">
        <v>45104</v>
      </c>
      <c r="C111" s="118"/>
      <c r="D111" s="118"/>
      <c r="E111" s="118">
        <v>737.7</v>
      </c>
      <c r="F111" s="118">
        <v>457.7</v>
      </c>
      <c r="G111" s="118">
        <v>478.1</v>
      </c>
      <c r="H111" s="118">
        <v>478060</v>
      </c>
      <c r="I111" s="118">
        <v>0.23</v>
      </c>
      <c r="J111" s="118">
        <v>480.1</v>
      </c>
      <c r="K111" s="118">
        <v>5.6000000000000001E-2</v>
      </c>
      <c r="L111" s="118">
        <v>6.7000000000000004E-2</v>
      </c>
      <c r="M111" s="118">
        <v>7.9000000000000001E-2</v>
      </c>
      <c r="N111" s="118">
        <v>-377.1</v>
      </c>
      <c r="O111" s="118">
        <v>-32.450000000000003</v>
      </c>
      <c r="P111" s="118">
        <v>-377.1</v>
      </c>
      <c r="Q111" s="118">
        <v>40.702570000000001</v>
      </c>
      <c r="R111" s="118">
        <v>-85.936120000000003</v>
      </c>
      <c r="S111" s="118">
        <v>224.4</v>
      </c>
      <c r="T111" s="118">
        <v>115.4</v>
      </c>
      <c r="U111" s="118">
        <v>8.32</v>
      </c>
      <c r="V111" s="118">
        <v>-120.1</v>
      </c>
      <c r="W111" s="118">
        <v>11.8</v>
      </c>
      <c r="X111" s="118">
        <v>0</v>
      </c>
      <c r="Y111" s="118">
        <v>22.766999999999999</v>
      </c>
      <c r="Z111" s="118">
        <v>8.02</v>
      </c>
      <c r="AA111" s="118">
        <v>0</v>
      </c>
      <c r="AB111" s="19">
        <v>45104</v>
      </c>
      <c r="AC111" s="118" t="s">
        <v>1840</v>
      </c>
    </row>
    <row r="112" spans="1:29" x14ac:dyDescent="0.25">
      <c r="A112" s="230">
        <v>0.50215277777777778</v>
      </c>
      <c r="B112" s="19">
        <v>45104</v>
      </c>
      <c r="C112" s="118"/>
      <c r="D112" s="118"/>
      <c r="E112" s="118">
        <v>737.8</v>
      </c>
      <c r="F112" s="118">
        <v>454.6</v>
      </c>
      <c r="G112" s="118">
        <v>476.3</v>
      </c>
      <c r="H112" s="118">
        <v>476322</v>
      </c>
      <c r="I112" s="118">
        <v>0.23</v>
      </c>
      <c r="J112" s="118">
        <v>478.5</v>
      </c>
      <c r="K112" s="118">
        <v>4.9000000000000002E-2</v>
      </c>
      <c r="L112" s="118">
        <v>0.05</v>
      </c>
      <c r="M112" s="118">
        <v>7.0000000000000007E-2</v>
      </c>
      <c r="N112" s="118">
        <v>-357.4</v>
      </c>
      <c r="O112" s="118">
        <v>-30.85</v>
      </c>
      <c r="P112" s="118">
        <v>-357.4</v>
      </c>
      <c r="Q112" s="118">
        <v>40.700699999999998</v>
      </c>
      <c r="R112" s="118">
        <v>-85.93526</v>
      </c>
      <c r="S112" s="118">
        <v>225</v>
      </c>
      <c r="T112" s="118">
        <v>113.5</v>
      </c>
      <c r="U112" s="118">
        <v>8.3699999999999992</v>
      </c>
      <c r="V112" s="118">
        <v>-123.1</v>
      </c>
      <c r="W112" s="118">
        <v>11.8</v>
      </c>
      <c r="X112" s="118">
        <v>0</v>
      </c>
      <c r="Y112" s="118">
        <v>22.611999999999998</v>
      </c>
      <c r="Z112" s="118">
        <v>10.28</v>
      </c>
      <c r="AA112" s="118">
        <v>0</v>
      </c>
      <c r="AB112" s="19">
        <v>45104</v>
      </c>
      <c r="AC112" s="118" t="s">
        <v>1841</v>
      </c>
    </row>
    <row r="113" spans="1:29" x14ac:dyDescent="0.25">
      <c r="A113" s="230">
        <v>0.56741898148148151</v>
      </c>
      <c r="B113" s="19">
        <v>45104</v>
      </c>
      <c r="C113" s="118"/>
      <c r="D113" s="118"/>
      <c r="E113" s="118">
        <v>737.9</v>
      </c>
      <c r="F113" s="118">
        <v>478.9</v>
      </c>
      <c r="G113" s="118">
        <v>491.2</v>
      </c>
      <c r="H113" s="118">
        <v>491201</v>
      </c>
      <c r="I113" s="118">
        <v>0.24</v>
      </c>
      <c r="J113" s="118">
        <v>492.4</v>
      </c>
      <c r="K113" s="118">
        <v>0.502</v>
      </c>
      <c r="L113" s="118">
        <v>0.501</v>
      </c>
      <c r="M113" s="118">
        <v>0.71199999999999997</v>
      </c>
      <c r="N113" s="118">
        <v>-328.6</v>
      </c>
      <c r="O113" s="118">
        <v>-27.79</v>
      </c>
      <c r="P113" s="118">
        <v>-328.6</v>
      </c>
      <c r="Q113" s="118">
        <v>40.680399999999999</v>
      </c>
      <c r="R113" s="118">
        <v>-85.895430000000005</v>
      </c>
      <c r="S113" s="118">
        <v>219.7</v>
      </c>
      <c r="T113" s="118">
        <v>122.8</v>
      </c>
      <c r="U113" s="118">
        <v>8.27</v>
      </c>
      <c r="V113" s="118">
        <v>-117.2</v>
      </c>
      <c r="W113" s="118">
        <v>11.8</v>
      </c>
      <c r="X113" s="118">
        <v>0</v>
      </c>
      <c r="Y113" s="118">
        <v>23.692</v>
      </c>
      <c r="Z113" s="118">
        <v>9.11</v>
      </c>
      <c r="AA113" s="118">
        <v>0</v>
      </c>
      <c r="AB113" s="19">
        <v>45104</v>
      </c>
      <c r="AC113" s="118" t="s">
        <v>1827</v>
      </c>
    </row>
    <row r="114" spans="1:29" x14ac:dyDescent="0.25">
      <c r="A114" s="230">
        <v>0.59172453703703709</v>
      </c>
      <c r="B114" s="19">
        <v>45104</v>
      </c>
      <c r="C114" s="118"/>
      <c r="D114" s="118"/>
      <c r="E114" s="118">
        <v>738</v>
      </c>
      <c r="F114" s="118">
        <v>567.4</v>
      </c>
      <c r="G114" s="118">
        <v>579.20000000000005</v>
      </c>
      <c r="H114" s="118">
        <v>579242</v>
      </c>
      <c r="I114" s="118">
        <v>0.28000000000000003</v>
      </c>
      <c r="J114" s="118">
        <v>580.4</v>
      </c>
      <c r="K114" s="118">
        <v>0.05</v>
      </c>
      <c r="L114" s="118">
        <v>4.1000000000000002E-2</v>
      </c>
      <c r="M114" s="118">
        <v>7.0999999999999994E-2</v>
      </c>
      <c r="N114" s="118">
        <v>-414.7</v>
      </c>
      <c r="O114" s="118">
        <v>-34.9</v>
      </c>
      <c r="P114" s="118">
        <v>-414.7</v>
      </c>
      <c r="Q114" s="118">
        <v>40.66854</v>
      </c>
      <c r="R114" s="118">
        <v>-85.848699999999994</v>
      </c>
      <c r="S114" s="118">
        <v>221.6</v>
      </c>
      <c r="T114" s="118">
        <v>100.8</v>
      </c>
      <c r="U114" s="118">
        <v>8.16</v>
      </c>
      <c r="V114" s="118">
        <v>-111.2</v>
      </c>
      <c r="W114" s="118">
        <v>11.8</v>
      </c>
      <c r="X114" s="118">
        <v>0</v>
      </c>
      <c r="Y114" s="118">
        <v>23.933</v>
      </c>
      <c r="Z114" s="118">
        <v>10.16</v>
      </c>
      <c r="AA114" s="118">
        <v>0</v>
      </c>
      <c r="AB114" s="19">
        <v>45104</v>
      </c>
      <c r="AC114" s="118" t="s">
        <v>1828</v>
      </c>
    </row>
    <row r="115" spans="1:29" x14ac:dyDescent="0.25">
      <c r="A115" s="230">
        <v>0.56951388888888888</v>
      </c>
      <c r="B115" s="19">
        <v>45107</v>
      </c>
      <c r="C115" s="118"/>
      <c r="D115" s="118"/>
      <c r="E115" s="118">
        <v>743.6</v>
      </c>
      <c r="F115" s="118">
        <v>677.5</v>
      </c>
      <c r="G115" s="118">
        <v>646.9</v>
      </c>
      <c r="H115" s="118">
        <v>646916</v>
      </c>
      <c r="I115" s="118">
        <v>0.31</v>
      </c>
      <c r="J115" s="118">
        <v>643.6</v>
      </c>
      <c r="K115" s="118">
        <v>0.128</v>
      </c>
      <c r="L115" s="118">
        <v>0.107</v>
      </c>
      <c r="M115" s="118">
        <v>0.182</v>
      </c>
      <c r="N115" s="118">
        <v>-318.39999999999998</v>
      </c>
      <c r="O115" s="118">
        <v>-25.12</v>
      </c>
      <c r="P115" s="118">
        <v>-318.39999999999998</v>
      </c>
      <c r="Q115" s="118">
        <v>40.693730000000002</v>
      </c>
      <c r="R115" s="118">
        <v>-86.766980000000004</v>
      </c>
      <c r="S115" s="118">
        <v>187.3</v>
      </c>
      <c r="T115" s="118">
        <v>104.2</v>
      </c>
      <c r="U115" s="118">
        <v>8.14</v>
      </c>
      <c r="V115" s="118">
        <v>-112.3</v>
      </c>
      <c r="W115" s="118">
        <v>11.8</v>
      </c>
      <c r="X115" s="118">
        <v>0</v>
      </c>
      <c r="Y115" s="118">
        <v>27.477</v>
      </c>
      <c r="Z115" s="118">
        <v>4.9800000000000004</v>
      </c>
      <c r="AA115" s="118">
        <v>0</v>
      </c>
      <c r="AB115" s="19">
        <v>45107</v>
      </c>
      <c r="AC115" s="118" t="s">
        <v>1821</v>
      </c>
    </row>
    <row r="116" spans="1:29" x14ac:dyDescent="0.25">
      <c r="A116" s="230">
        <v>0.61226851851851849</v>
      </c>
      <c r="B116" s="19">
        <v>45107</v>
      </c>
      <c r="C116" s="118"/>
      <c r="D116" s="118"/>
      <c r="E116" s="118">
        <v>744.4</v>
      </c>
      <c r="F116" s="118">
        <v>629.4</v>
      </c>
      <c r="G116" s="118">
        <v>626.70000000000005</v>
      </c>
      <c r="H116" s="118">
        <v>626731</v>
      </c>
      <c r="I116" s="118">
        <v>0.3</v>
      </c>
      <c r="J116" s="118">
        <v>626.5</v>
      </c>
      <c r="K116" s="118">
        <v>0.72899999999999998</v>
      </c>
      <c r="L116" s="118">
        <v>0.71799999999999997</v>
      </c>
      <c r="M116" s="118">
        <v>1.034</v>
      </c>
      <c r="N116" s="118">
        <v>-196.8</v>
      </c>
      <c r="O116" s="118">
        <v>-16.170000000000002</v>
      </c>
      <c r="P116" s="118">
        <v>-196.8</v>
      </c>
      <c r="Q116" s="118">
        <v>40.667859999999997</v>
      </c>
      <c r="R116" s="118">
        <v>-86.753230000000002</v>
      </c>
      <c r="S116" s="118">
        <v>182.7</v>
      </c>
      <c r="T116" s="118">
        <v>77.599999999999994</v>
      </c>
      <c r="U116" s="118">
        <v>8.26</v>
      </c>
      <c r="V116" s="118">
        <v>-118.5</v>
      </c>
      <c r="W116" s="118">
        <v>11.8</v>
      </c>
      <c r="X116" s="118">
        <v>0</v>
      </c>
      <c r="Y116" s="118">
        <v>25.22</v>
      </c>
      <c r="Z116" s="118">
        <v>4.04</v>
      </c>
      <c r="AA116" s="118">
        <v>0</v>
      </c>
      <c r="AB116" s="19">
        <v>45107</v>
      </c>
      <c r="AC116" s="118" t="s">
        <v>1822</v>
      </c>
    </row>
    <row r="117" spans="1:29" x14ac:dyDescent="0.25">
      <c r="A117" s="230">
        <v>0.59172453703703709</v>
      </c>
      <c r="B117" s="19">
        <v>45107</v>
      </c>
      <c r="C117" s="118"/>
      <c r="D117" s="118"/>
      <c r="E117" s="118">
        <v>743.9</v>
      </c>
      <c r="F117" s="118">
        <v>622.29999999999995</v>
      </c>
      <c r="G117" s="118">
        <v>619.1</v>
      </c>
      <c r="H117" s="118">
        <v>619063</v>
      </c>
      <c r="I117" s="118">
        <v>0.3</v>
      </c>
      <c r="J117" s="118">
        <v>618.70000000000005</v>
      </c>
      <c r="K117" s="118">
        <v>0.497</v>
      </c>
      <c r="L117" s="118">
        <v>0.50600000000000001</v>
      </c>
      <c r="M117" s="118">
        <v>0.70499999999999996</v>
      </c>
      <c r="N117" s="118">
        <v>-244.7</v>
      </c>
      <c r="O117" s="118">
        <v>-20.09</v>
      </c>
      <c r="P117" s="118">
        <v>-244.7</v>
      </c>
      <c r="Q117" s="118">
        <v>40.680729999999997</v>
      </c>
      <c r="R117" s="118">
        <v>-86.752070000000003</v>
      </c>
      <c r="S117" s="118">
        <v>184.6</v>
      </c>
      <c r="T117" s="118">
        <v>118.7</v>
      </c>
      <c r="U117" s="118">
        <v>8.2100000000000009</v>
      </c>
      <c r="V117" s="118">
        <v>-115.7</v>
      </c>
      <c r="W117" s="118">
        <v>11.8</v>
      </c>
      <c r="X117" s="118">
        <v>0</v>
      </c>
      <c r="Y117" s="118">
        <v>25.271999999999998</v>
      </c>
      <c r="Z117" s="118">
        <v>2.5499999999999998</v>
      </c>
      <c r="AA117" s="118">
        <v>0</v>
      </c>
      <c r="AB117" s="19">
        <v>45107</v>
      </c>
      <c r="AC117" s="118" t="s">
        <v>1823</v>
      </c>
    </row>
    <row r="118" spans="1:29" x14ac:dyDescent="0.25">
      <c r="A118" s="230">
        <v>0.49569444444444444</v>
      </c>
      <c r="B118" s="19">
        <v>45107</v>
      </c>
      <c r="C118" s="118"/>
      <c r="D118" s="118"/>
      <c r="E118" s="118">
        <v>743.9</v>
      </c>
      <c r="F118" s="118">
        <v>691.2</v>
      </c>
      <c r="G118" s="118">
        <v>695</v>
      </c>
      <c r="H118" s="118">
        <v>694989</v>
      </c>
      <c r="I118" s="118">
        <v>0.34</v>
      </c>
      <c r="J118" s="118">
        <v>695.4</v>
      </c>
      <c r="K118" s="118">
        <v>0.40600000000000003</v>
      </c>
      <c r="L118" s="118">
        <v>0.42099999999999999</v>
      </c>
      <c r="M118" s="118">
        <v>0.57599999999999996</v>
      </c>
      <c r="N118" s="118">
        <v>-561.1</v>
      </c>
      <c r="O118" s="118">
        <v>-46.52</v>
      </c>
      <c r="P118" s="118">
        <v>-561.1</v>
      </c>
      <c r="Q118" s="118">
        <v>40.730829999999997</v>
      </c>
      <c r="R118" s="118">
        <v>-86.757999999999996</v>
      </c>
      <c r="S118" s="118">
        <v>190.6</v>
      </c>
      <c r="T118" s="118">
        <v>126.6</v>
      </c>
      <c r="U118" s="118">
        <v>7.84</v>
      </c>
      <c r="V118" s="118">
        <v>-93.8</v>
      </c>
      <c r="W118" s="118">
        <v>11.8</v>
      </c>
      <c r="X118" s="118">
        <v>0</v>
      </c>
      <c r="Y118" s="118">
        <v>24.718</v>
      </c>
      <c r="Z118" s="118">
        <v>3.87</v>
      </c>
      <c r="AA118" s="118">
        <v>0</v>
      </c>
      <c r="AB118" s="19">
        <v>45107</v>
      </c>
      <c r="AC118" s="118" t="s">
        <v>1824</v>
      </c>
    </row>
    <row r="119" spans="1:29" x14ac:dyDescent="0.25">
      <c r="A119" s="230">
        <v>0.48067129629629629</v>
      </c>
      <c r="B119" s="19">
        <v>45107</v>
      </c>
      <c r="C119" s="118"/>
      <c r="D119" s="118"/>
      <c r="E119" s="118">
        <v>743.5</v>
      </c>
      <c r="F119" s="118">
        <v>687.5</v>
      </c>
      <c r="G119" s="118">
        <v>702.5</v>
      </c>
      <c r="H119" s="118">
        <v>702516</v>
      </c>
      <c r="I119" s="118">
        <v>0.34</v>
      </c>
      <c r="J119" s="118">
        <v>704</v>
      </c>
      <c r="K119" s="118">
        <v>0.16</v>
      </c>
      <c r="L119" s="118">
        <v>0.154</v>
      </c>
      <c r="M119" s="118">
        <v>0.22700000000000001</v>
      </c>
      <c r="N119" s="118">
        <v>-390.4</v>
      </c>
      <c r="O119" s="118">
        <v>-32.869999999999997</v>
      </c>
      <c r="P119" s="118">
        <v>-390.4</v>
      </c>
      <c r="Q119" s="118">
        <v>40.7455</v>
      </c>
      <c r="R119" s="118">
        <v>-86.757230000000007</v>
      </c>
      <c r="S119" s="118">
        <v>183.2</v>
      </c>
      <c r="T119" s="118">
        <v>134.30000000000001</v>
      </c>
      <c r="U119" s="118">
        <v>7.75</v>
      </c>
      <c r="V119" s="118">
        <v>-88.4</v>
      </c>
      <c r="W119" s="118">
        <v>11.8</v>
      </c>
      <c r="X119" s="118">
        <v>0</v>
      </c>
      <c r="Y119" s="118">
        <v>23.879000000000001</v>
      </c>
      <c r="Z119" s="118">
        <v>2.13</v>
      </c>
      <c r="AA119" s="118">
        <v>0</v>
      </c>
      <c r="AB119" s="19">
        <v>45107</v>
      </c>
      <c r="AC119" s="118" t="s">
        <v>1826</v>
      </c>
    </row>
    <row r="120" spans="1:29" x14ac:dyDescent="0.25">
      <c r="A120" s="230">
        <v>0.45973379629629629</v>
      </c>
      <c r="B120" s="19">
        <v>45107</v>
      </c>
      <c r="C120" s="118"/>
      <c r="D120" s="118"/>
      <c r="E120" s="118">
        <v>742.6</v>
      </c>
      <c r="F120" s="118">
        <v>676</v>
      </c>
      <c r="G120" s="118">
        <v>703.5</v>
      </c>
      <c r="H120" s="118">
        <v>703499</v>
      </c>
      <c r="I120" s="118">
        <v>0.34</v>
      </c>
      <c r="J120" s="118">
        <v>706.2</v>
      </c>
      <c r="K120" s="118">
        <v>0.56000000000000005</v>
      </c>
      <c r="L120" s="118">
        <v>0.57999999999999996</v>
      </c>
      <c r="M120" s="118">
        <v>0.79500000000000004</v>
      </c>
      <c r="N120" s="118">
        <v>-331.3</v>
      </c>
      <c r="O120" s="118">
        <v>-28.39</v>
      </c>
      <c r="P120" s="118">
        <v>-331.3</v>
      </c>
      <c r="Q120" s="118">
        <v>40.80874</v>
      </c>
      <c r="R120" s="118">
        <v>-86.794640000000001</v>
      </c>
      <c r="S120" s="118">
        <v>198.3</v>
      </c>
      <c r="T120" s="118">
        <v>126.5</v>
      </c>
      <c r="U120" s="118">
        <v>7.78</v>
      </c>
      <c r="V120" s="118">
        <v>-89.7</v>
      </c>
      <c r="W120" s="118">
        <v>11.8</v>
      </c>
      <c r="X120" s="118">
        <v>0</v>
      </c>
      <c r="Y120" s="118">
        <v>22.954000000000001</v>
      </c>
      <c r="Z120" s="118">
        <v>2.14</v>
      </c>
      <c r="AA120" s="118">
        <v>0</v>
      </c>
      <c r="AB120" s="19">
        <v>45107</v>
      </c>
      <c r="AC120" s="118" t="s">
        <v>1885</v>
      </c>
    </row>
    <row r="121" spans="1:29" x14ac:dyDescent="0.25">
      <c r="A121" s="230">
        <v>0.44226851851851851</v>
      </c>
      <c r="B121" s="19">
        <v>45107</v>
      </c>
      <c r="C121" s="118"/>
      <c r="D121" s="118"/>
      <c r="E121" s="118">
        <v>742.6</v>
      </c>
      <c r="F121" s="118">
        <v>580.79999999999995</v>
      </c>
      <c r="G121" s="118">
        <v>592.9</v>
      </c>
      <c r="H121" s="118">
        <v>592925</v>
      </c>
      <c r="I121" s="118">
        <v>0.28999999999999998</v>
      </c>
      <c r="J121" s="118">
        <v>594.1</v>
      </c>
      <c r="K121" s="118">
        <v>0.49399999999999999</v>
      </c>
      <c r="L121" s="118">
        <v>0.49299999999999999</v>
      </c>
      <c r="M121" s="118">
        <v>0.70099999999999996</v>
      </c>
      <c r="N121" s="118">
        <v>-439.6</v>
      </c>
      <c r="O121" s="118">
        <v>-36.99</v>
      </c>
      <c r="P121" s="118">
        <v>-439.6</v>
      </c>
      <c r="Q121" s="118">
        <v>40.82385</v>
      </c>
      <c r="R121" s="118">
        <v>-86.794709999999995</v>
      </c>
      <c r="S121" s="118">
        <v>195.8</v>
      </c>
      <c r="T121" s="118">
        <v>132.9</v>
      </c>
      <c r="U121" s="118">
        <v>7.76</v>
      </c>
      <c r="V121" s="118">
        <v>-88.6</v>
      </c>
      <c r="W121" s="118">
        <v>11.8</v>
      </c>
      <c r="X121" s="118">
        <v>0</v>
      </c>
      <c r="Y121" s="118">
        <v>23.931000000000001</v>
      </c>
      <c r="Z121" s="118">
        <v>1.69</v>
      </c>
      <c r="AA121" s="118">
        <v>0</v>
      </c>
      <c r="AB121" s="19">
        <v>45107</v>
      </c>
      <c r="AC121" s="118" t="s">
        <v>1884</v>
      </c>
    </row>
    <row r="122" spans="1:29" x14ac:dyDescent="0.25">
      <c r="A122" s="230">
        <v>0.42570601851851853</v>
      </c>
      <c r="B122" s="19">
        <v>45107</v>
      </c>
      <c r="C122" s="118"/>
      <c r="D122" s="118"/>
      <c r="E122" s="118">
        <v>743.1</v>
      </c>
      <c r="F122" s="118">
        <v>590</v>
      </c>
      <c r="G122" s="118">
        <v>616.20000000000005</v>
      </c>
      <c r="H122" s="118">
        <v>616200</v>
      </c>
      <c r="I122" s="118">
        <v>0.3</v>
      </c>
      <c r="J122" s="118">
        <v>618.79999999999995</v>
      </c>
      <c r="K122" s="118">
        <v>0.11799999999999999</v>
      </c>
      <c r="L122" s="118">
        <v>0.113</v>
      </c>
      <c r="M122" s="118">
        <v>0.16800000000000001</v>
      </c>
      <c r="N122" s="118">
        <v>-364.8</v>
      </c>
      <c r="O122" s="118">
        <v>-31.38</v>
      </c>
      <c r="P122" s="118">
        <v>-364.8</v>
      </c>
      <c r="Q122" s="118">
        <v>40.843409999999999</v>
      </c>
      <c r="R122" s="118">
        <v>-86.817449999999994</v>
      </c>
      <c r="S122" s="118">
        <v>191.2</v>
      </c>
      <c r="T122" s="118">
        <v>-66.5</v>
      </c>
      <c r="U122" s="118">
        <v>6.2</v>
      </c>
      <c r="V122" s="118">
        <v>3.8</v>
      </c>
      <c r="W122" s="118">
        <v>11.8</v>
      </c>
      <c r="X122" s="118">
        <v>0</v>
      </c>
      <c r="Y122" s="118">
        <v>22.771000000000001</v>
      </c>
      <c r="Z122" s="118">
        <v>28.76</v>
      </c>
      <c r="AA122" s="118">
        <v>0</v>
      </c>
      <c r="AB122" s="19">
        <v>45107</v>
      </c>
      <c r="AC122" s="118" t="s">
        <v>1883</v>
      </c>
    </row>
    <row r="123" spans="1:29" x14ac:dyDescent="0.25">
      <c r="A123" s="230">
        <v>0.65312499999999996</v>
      </c>
      <c r="B123" s="19">
        <v>45113</v>
      </c>
      <c r="C123" s="118"/>
      <c r="D123" s="118"/>
      <c r="E123" s="118">
        <v>738.6</v>
      </c>
      <c r="F123" s="118">
        <v>502.4</v>
      </c>
      <c r="G123" s="118">
        <v>466.6</v>
      </c>
      <c r="H123" s="118">
        <v>466581</v>
      </c>
      <c r="I123" s="118">
        <v>0.22</v>
      </c>
      <c r="J123" s="118">
        <v>462.7</v>
      </c>
      <c r="K123" s="118">
        <v>0.4</v>
      </c>
      <c r="L123" s="118">
        <v>0.41599999999999998</v>
      </c>
      <c r="M123" s="118">
        <v>0.56599999999999995</v>
      </c>
      <c r="N123" s="118">
        <v>-328.8</v>
      </c>
      <c r="O123" s="118">
        <v>-25.25</v>
      </c>
      <c r="P123" s="118">
        <v>-328.8</v>
      </c>
      <c r="Q123" s="118">
        <v>40.803319999999999</v>
      </c>
      <c r="R123" s="118">
        <v>-85.665210000000002</v>
      </c>
      <c r="S123" s="118">
        <v>223.8</v>
      </c>
      <c r="T123" s="118">
        <v>89.1</v>
      </c>
      <c r="U123" s="118">
        <v>8.51</v>
      </c>
      <c r="V123" s="118">
        <v>-132.9</v>
      </c>
      <c r="W123" s="118">
        <v>11.8</v>
      </c>
      <c r="X123" s="118">
        <v>0</v>
      </c>
      <c r="Y123" s="118">
        <v>29.023</v>
      </c>
      <c r="Z123" s="118">
        <v>2.84</v>
      </c>
      <c r="AA123" s="118">
        <v>0</v>
      </c>
      <c r="AB123" s="19">
        <v>45113</v>
      </c>
      <c r="AC123" s="118" t="s">
        <v>1855</v>
      </c>
    </row>
    <row r="124" spans="1:29" x14ac:dyDescent="0.25">
      <c r="A124" s="230">
        <v>0.63429398148148153</v>
      </c>
      <c r="B124" s="19">
        <v>45113</v>
      </c>
      <c r="C124" s="118"/>
      <c r="D124" s="118"/>
      <c r="E124" s="118">
        <v>738.6</v>
      </c>
      <c r="F124" s="118">
        <v>498.8</v>
      </c>
      <c r="G124" s="118">
        <v>464.6</v>
      </c>
      <c r="H124" s="118">
        <v>464633</v>
      </c>
      <c r="I124" s="118">
        <v>0.22</v>
      </c>
      <c r="J124" s="118">
        <v>460.9</v>
      </c>
      <c r="K124" s="118">
        <v>0.376</v>
      </c>
      <c r="L124" s="118">
        <v>0.38500000000000001</v>
      </c>
      <c r="M124" s="118">
        <v>0.53300000000000003</v>
      </c>
      <c r="N124" s="118">
        <v>-388.9</v>
      </c>
      <c r="O124" s="118">
        <v>-29.95</v>
      </c>
      <c r="P124" s="118">
        <v>-388.9</v>
      </c>
      <c r="Q124" s="118">
        <v>40.792259999999999</v>
      </c>
      <c r="R124" s="118">
        <v>-85.666979999999995</v>
      </c>
      <c r="S124" s="118">
        <v>223</v>
      </c>
      <c r="T124" s="118">
        <v>86.6</v>
      </c>
      <c r="U124" s="118">
        <v>8.49</v>
      </c>
      <c r="V124" s="118">
        <v>-131.69999999999999</v>
      </c>
      <c r="W124" s="118">
        <v>11.8</v>
      </c>
      <c r="X124" s="118">
        <v>0</v>
      </c>
      <c r="Y124" s="118">
        <v>28.852</v>
      </c>
      <c r="Z124" s="118">
        <v>3.31</v>
      </c>
      <c r="AA124" s="118">
        <v>0</v>
      </c>
      <c r="AB124" s="19">
        <v>45113</v>
      </c>
      <c r="AC124" s="118" t="s">
        <v>1857</v>
      </c>
    </row>
    <row r="125" spans="1:29" x14ac:dyDescent="0.25">
      <c r="A125" s="230">
        <v>0.47365740740740742</v>
      </c>
      <c r="B125" s="19">
        <v>45113</v>
      </c>
      <c r="C125" s="118"/>
      <c r="D125" s="118"/>
      <c r="E125" s="118">
        <v>739</v>
      </c>
      <c r="F125" s="118">
        <v>472</v>
      </c>
      <c r="G125" s="118">
        <v>454.9</v>
      </c>
      <c r="H125" s="118">
        <v>454925</v>
      </c>
      <c r="I125" s="118">
        <v>0.22</v>
      </c>
      <c r="J125" s="118">
        <v>453.1</v>
      </c>
      <c r="K125" s="118">
        <v>0.53500000000000003</v>
      </c>
      <c r="L125" s="118">
        <v>0.52900000000000003</v>
      </c>
      <c r="M125" s="118">
        <v>0.75800000000000001</v>
      </c>
      <c r="N125" s="118">
        <v>-272</v>
      </c>
      <c r="O125" s="118">
        <v>-21.66</v>
      </c>
      <c r="P125" s="118">
        <v>-272</v>
      </c>
      <c r="Q125" s="118">
        <v>40.772579999999998</v>
      </c>
      <c r="R125" s="118">
        <v>-85.639939999999996</v>
      </c>
      <c r="S125" s="118">
        <v>229.7</v>
      </c>
      <c r="T125" s="118">
        <v>221.1</v>
      </c>
      <c r="U125" s="118">
        <v>8.1199999999999992</v>
      </c>
      <c r="V125" s="118">
        <v>-108.8</v>
      </c>
      <c r="W125" s="118">
        <v>11.8</v>
      </c>
      <c r="X125" s="118">
        <v>0</v>
      </c>
      <c r="Y125" s="118">
        <v>26.965</v>
      </c>
      <c r="Z125" s="118">
        <v>1.6</v>
      </c>
      <c r="AA125" s="118">
        <v>0</v>
      </c>
      <c r="AB125" s="19">
        <v>45113</v>
      </c>
      <c r="AC125" s="118" t="s">
        <v>1843</v>
      </c>
    </row>
    <row r="126" spans="1:29" x14ac:dyDescent="0.25">
      <c r="A126" s="230">
        <v>0.51579861111111114</v>
      </c>
      <c r="B126" s="19">
        <v>45113</v>
      </c>
      <c r="C126" s="118"/>
      <c r="D126" s="118"/>
      <c r="E126" s="118">
        <v>739.1</v>
      </c>
      <c r="F126" s="118">
        <v>1.3</v>
      </c>
      <c r="G126" s="118">
        <v>1.3</v>
      </c>
      <c r="H126" s="118">
        <v>1316</v>
      </c>
      <c r="I126" s="118">
        <v>0</v>
      </c>
      <c r="J126" s="118">
        <v>1.3</v>
      </c>
      <c r="K126" s="118">
        <v>3.4000000000000002E-2</v>
      </c>
      <c r="L126" s="118">
        <v>4.8000000000000001E-2</v>
      </c>
      <c r="M126" s="118">
        <v>4.9000000000000002E-2</v>
      </c>
      <c r="N126" s="118">
        <v>-219.4</v>
      </c>
      <c r="O126" s="118">
        <v>-17.87</v>
      </c>
      <c r="P126" s="118">
        <v>-219.4</v>
      </c>
      <c r="Q126" s="118">
        <v>40.777500000000003</v>
      </c>
      <c r="R126" s="118">
        <v>-85.646159999999995</v>
      </c>
      <c r="S126" s="118">
        <v>226.2</v>
      </c>
      <c r="T126" s="118">
        <v>91.8</v>
      </c>
      <c r="U126" s="118">
        <v>6.3</v>
      </c>
      <c r="V126" s="118">
        <v>0.3</v>
      </c>
      <c r="W126" s="118">
        <v>11.8</v>
      </c>
      <c r="X126" s="118">
        <v>0</v>
      </c>
      <c r="Y126" s="118">
        <v>25.789000000000001</v>
      </c>
      <c r="Z126" s="118">
        <v>9.2799999999999994</v>
      </c>
      <c r="AA126" s="118">
        <v>0</v>
      </c>
      <c r="AB126" s="19">
        <v>45113</v>
      </c>
      <c r="AC126" s="118" t="s">
        <v>1858</v>
      </c>
    </row>
    <row r="127" spans="1:29" x14ac:dyDescent="0.25">
      <c r="A127" s="230">
        <v>0.53634259259259254</v>
      </c>
      <c r="B127" s="19">
        <v>45113</v>
      </c>
      <c r="C127" s="118"/>
      <c r="D127" s="118"/>
      <c r="E127" s="118">
        <v>739.2</v>
      </c>
      <c r="F127" s="118">
        <v>493.8</v>
      </c>
      <c r="G127" s="118">
        <v>462.6</v>
      </c>
      <c r="H127" s="118">
        <v>462645</v>
      </c>
      <c r="I127" s="118">
        <v>0.22</v>
      </c>
      <c r="J127" s="118">
        <v>459.3</v>
      </c>
      <c r="K127" s="118">
        <v>3.5000000000000003E-2</v>
      </c>
      <c r="L127" s="118">
        <v>0.02</v>
      </c>
      <c r="M127" s="118">
        <v>4.9000000000000002E-2</v>
      </c>
      <c r="N127" s="118">
        <v>-369.7</v>
      </c>
      <c r="O127" s="118">
        <v>-28.64</v>
      </c>
      <c r="P127" s="118">
        <v>-369.7</v>
      </c>
      <c r="Q127" s="118">
        <v>40.779060000000001</v>
      </c>
      <c r="R127" s="118">
        <v>-85.634929999999997</v>
      </c>
      <c r="S127" s="118">
        <v>225.6</v>
      </c>
      <c r="T127" s="118">
        <v>121.3</v>
      </c>
      <c r="U127" s="118">
        <v>8.39</v>
      </c>
      <c r="V127" s="118">
        <v>-125.8</v>
      </c>
      <c r="W127" s="118">
        <v>11.8</v>
      </c>
      <c r="X127" s="118">
        <v>0</v>
      </c>
      <c r="Y127" s="118">
        <v>28.524000000000001</v>
      </c>
      <c r="Z127" s="118">
        <v>3.08</v>
      </c>
      <c r="AA127" s="118">
        <v>0</v>
      </c>
      <c r="AB127" s="19">
        <v>45113</v>
      </c>
      <c r="AC127" s="118" t="s">
        <v>1842</v>
      </c>
    </row>
    <row r="128" spans="1:29" x14ac:dyDescent="0.25">
      <c r="A128" s="230">
        <v>0.57870370370370372</v>
      </c>
      <c r="B128" s="19">
        <v>45113</v>
      </c>
      <c r="C128" s="118"/>
      <c r="D128" s="118"/>
      <c r="E128" s="118">
        <v>738.7</v>
      </c>
      <c r="F128" s="118">
        <v>503.7</v>
      </c>
      <c r="G128" s="118">
        <v>472.4</v>
      </c>
      <c r="H128" s="118">
        <v>472381</v>
      </c>
      <c r="I128" s="118">
        <v>0.23</v>
      </c>
      <c r="J128" s="118">
        <v>469</v>
      </c>
      <c r="K128" s="118">
        <v>0.45600000000000002</v>
      </c>
      <c r="L128" s="118">
        <v>0.45100000000000001</v>
      </c>
      <c r="M128" s="118">
        <v>0.64600000000000002</v>
      </c>
      <c r="N128" s="118">
        <v>-219.5</v>
      </c>
      <c r="O128" s="118">
        <v>-17.02</v>
      </c>
      <c r="P128" s="118">
        <v>-219.5</v>
      </c>
      <c r="Q128" s="118">
        <v>40.77243</v>
      </c>
      <c r="R128" s="118">
        <v>-85.605050000000006</v>
      </c>
      <c r="S128" s="118">
        <v>232.1</v>
      </c>
      <c r="T128" s="118">
        <v>67.7</v>
      </c>
      <c r="U128" s="118">
        <v>8.5299999999999994</v>
      </c>
      <c r="V128" s="118">
        <v>-134.1</v>
      </c>
      <c r="W128" s="118">
        <v>11.8</v>
      </c>
      <c r="X128" s="118">
        <v>0</v>
      </c>
      <c r="Y128" s="118">
        <v>28.475000000000001</v>
      </c>
      <c r="Z128" s="118">
        <v>3.59</v>
      </c>
      <c r="AA128" s="118">
        <v>0</v>
      </c>
      <c r="AB128" s="19">
        <v>45113</v>
      </c>
      <c r="AC128" s="118" t="s">
        <v>1860</v>
      </c>
    </row>
    <row r="129" spans="1:29" x14ac:dyDescent="0.25">
      <c r="A129" s="230">
        <v>0.60474537037037035</v>
      </c>
      <c r="B129" s="19">
        <v>45113</v>
      </c>
      <c r="C129" s="118"/>
      <c r="D129" s="118"/>
      <c r="E129" s="118">
        <v>738.6</v>
      </c>
      <c r="F129" s="118">
        <v>566</v>
      </c>
      <c r="G129" s="118">
        <v>538.29999999999995</v>
      </c>
      <c r="H129" s="118">
        <v>538275</v>
      </c>
      <c r="I129" s="118">
        <v>0.26</v>
      </c>
      <c r="J129" s="118">
        <v>535.29999999999995</v>
      </c>
      <c r="K129" s="118">
        <v>0.51400000000000001</v>
      </c>
      <c r="L129" s="118">
        <v>0.499</v>
      </c>
      <c r="M129" s="118">
        <v>0.72899999999999998</v>
      </c>
      <c r="N129" s="118">
        <v>-275.5</v>
      </c>
      <c r="O129" s="118">
        <v>-21.65</v>
      </c>
      <c r="P129" s="118">
        <v>-275.5</v>
      </c>
      <c r="Q129" s="118">
        <v>40.751109999999997</v>
      </c>
      <c r="R129" s="118">
        <v>-85.581569999999999</v>
      </c>
      <c r="S129" s="118">
        <v>237.6</v>
      </c>
      <c r="T129" s="118">
        <v>101.8</v>
      </c>
      <c r="U129" s="118">
        <v>8.36</v>
      </c>
      <c r="V129" s="118">
        <v>-123.3</v>
      </c>
      <c r="W129" s="118">
        <v>11.8</v>
      </c>
      <c r="X129" s="118">
        <v>0</v>
      </c>
      <c r="Y129" s="118">
        <v>27.696999999999999</v>
      </c>
      <c r="Z129" s="118">
        <v>2.94</v>
      </c>
      <c r="AA129" s="118">
        <v>0</v>
      </c>
      <c r="AB129" s="19">
        <v>45113</v>
      </c>
      <c r="AC129" s="118" t="s">
        <v>1861</v>
      </c>
    </row>
    <row r="130" spans="1:29" x14ac:dyDescent="0.25">
      <c r="A130" s="230">
        <v>0.49456018518518519</v>
      </c>
      <c r="B130" s="19">
        <v>45118</v>
      </c>
      <c r="C130" s="118"/>
      <c r="D130" s="118"/>
      <c r="E130" s="118">
        <v>739.8</v>
      </c>
      <c r="F130" s="118">
        <v>533.20000000000005</v>
      </c>
      <c r="G130" s="118">
        <v>508.7</v>
      </c>
      <c r="H130" s="118">
        <v>508673</v>
      </c>
      <c r="I130" s="118">
        <v>0.24</v>
      </c>
      <c r="J130" s="118">
        <v>506</v>
      </c>
      <c r="K130" s="118">
        <v>0.10199999999999999</v>
      </c>
      <c r="L130" s="118">
        <v>9.0999999999999998E-2</v>
      </c>
      <c r="M130" s="118">
        <v>0.14499999999999999</v>
      </c>
      <c r="N130" s="118">
        <v>-355.5</v>
      </c>
      <c r="O130" s="118">
        <v>-28.03</v>
      </c>
      <c r="P130" s="118">
        <v>-355.5</v>
      </c>
      <c r="Q130" s="118">
        <v>40.680709999999998</v>
      </c>
      <c r="R130" s="118">
        <v>-85.888919999999999</v>
      </c>
      <c r="S130" s="118">
        <v>243.7</v>
      </c>
      <c r="T130" s="118">
        <v>123.2</v>
      </c>
      <c r="U130" s="118">
        <v>8.42</v>
      </c>
      <c r="V130" s="118">
        <v>-126.6</v>
      </c>
      <c r="W130" s="118">
        <v>11.8</v>
      </c>
      <c r="X130" s="118">
        <v>0</v>
      </c>
      <c r="Y130" s="118">
        <v>27.521000000000001</v>
      </c>
      <c r="Z130" s="118">
        <v>15.4</v>
      </c>
      <c r="AA130" s="118">
        <v>0</v>
      </c>
      <c r="AB130" s="19">
        <v>45118</v>
      </c>
      <c r="AC130" s="118" t="s">
        <v>1717</v>
      </c>
    </row>
    <row r="131" spans="1:29" x14ac:dyDescent="0.25">
      <c r="A131" s="230">
        <v>0.6887847222222222</v>
      </c>
      <c r="B131" s="19">
        <v>45118</v>
      </c>
      <c r="C131" s="118"/>
      <c r="D131" s="118"/>
      <c r="E131" s="118">
        <v>739.3</v>
      </c>
      <c r="F131" s="118">
        <v>527.70000000000005</v>
      </c>
      <c r="G131" s="118">
        <v>503.8</v>
      </c>
      <c r="H131" s="118">
        <v>503777</v>
      </c>
      <c r="I131" s="118">
        <v>0.24</v>
      </c>
      <c r="J131" s="118">
        <v>501.2</v>
      </c>
      <c r="K131" s="118">
        <v>0.219</v>
      </c>
      <c r="L131" s="118">
        <v>0.23</v>
      </c>
      <c r="M131" s="118">
        <v>0.31</v>
      </c>
      <c r="N131" s="118">
        <v>-281.39999999999998</v>
      </c>
      <c r="O131" s="118">
        <v>-22.2</v>
      </c>
      <c r="P131" s="118">
        <v>-281.39999999999998</v>
      </c>
      <c r="Q131" s="118">
        <v>40.694020000000002</v>
      </c>
      <c r="R131" s="118">
        <v>-85.918790000000001</v>
      </c>
      <c r="S131" s="118">
        <v>226.2</v>
      </c>
      <c r="T131" s="118">
        <v>121</v>
      </c>
      <c r="U131" s="118">
        <v>8.51</v>
      </c>
      <c r="V131" s="118">
        <v>-131.9</v>
      </c>
      <c r="W131" s="118">
        <v>11.8</v>
      </c>
      <c r="X131" s="118">
        <v>0</v>
      </c>
      <c r="Y131" s="118">
        <v>27.484000000000002</v>
      </c>
      <c r="Z131" s="118">
        <v>8.57</v>
      </c>
      <c r="AA131" s="118">
        <v>0</v>
      </c>
      <c r="AB131" s="19">
        <v>45118</v>
      </c>
      <c r="AC131" s="118" t="s">
        <v>1725</v>
      </c>
    </row>
    <row r="132" spans="1:29" x14ac:dyDescent="0.25">
      <c r="A132" s="230">
        <v>0.51418981481481485</v>
      </c>
      <c r="B132" s="19">
        <v>45118</v>
      </c>
      <c r="C132" s="118"/>
      <c r="D132" s="118"/>
      <c r="E132" s="118">
        <v>739.8</v>
      </c>
      <c r="F132" s="118">
        <v>539.4</v>
      </c>
      <c r="G132" s="118">
        <v>518.6</v>
      </c>
      <c r="H132" s="118">
        <v>518587</v>
      </c>
      <c r="I132" s="118">
        <v>0.25</v>
      </c>
      <c r="J132" s="118">
        <v>516.4</v>
      </c>
      <c r="K132" s="118">
        <v>0.159</v>
      </c>
      <c r="L132" s="118">
        <v>0.152</v>
      </c>
      <c r="M132" s="118">
        <v>0.22600000000000001</v>
      </c>
      <c r="N132" s="118">
        <v>-393.7</v>
      </c>
      <c r="O132" s="118">
        <v>-31.27</v>
      </c>
      <c r="P132" s="118">
        <v>-393.7</v>
      </c>
      <c r="Q132" s="118">
        <v>40.678040000000003</v>
      </c>
      <c r="R132" s="118">
        <v>-85.875950000000003</v>
      </c>
      <c r="S132" s="118">
        <v>223.4</v>
      </c>
      <c r="T132" s="118">
        <v>74.900000000000006</v>
      </c>
      <c r="U132" s="118">
        <v>8.4700000000000006</v>
      </c>
      <c r="V132" s="118">
        <v>-129.5</v>
      </c>
      <c r="W132" s="118">
        <v>11.8</v>
      </c>
      <c r="X132" s="118">
        <v>0</v>
      </c>
      <c r="Y132" s="118">
        <v>27.102</v>
      </c>
      <c r="Z132" s="118">
        <v>5.89</v>
      </c>
      <c r="AA132" s="118">
        <v>0</v>
      </c>
      <c r="AB132" s="19">
        <v>45118</v>
      </c>
      <c r="AC132" s="118" t="s">
        <v>1716</v>
      </c>
    </row>
    <row r="133" spans="1:29" x14ac:dyDescent="0.25">
      <c r="A133" s="230">
        <v>0.53188657407407403</v>
      </c>
      <c r="B133" s="19">
        <v>45118</v>
      </c>
      <c r="C133" s="118"/>
      <c r="D133" s="118"/>
      <c r="E133" s="118">
        <v>739.9</v>
      </c>
      <c r="F133" s="118">
        <v>552.20000000000005</v>
      </c>
      <c r="G133" s="118">
        <v>532</v>
      </c>
      <c r="H133" s="118">
        <v>532037</v>
      </c>
      <c r="I133" s="118">
        <v>0.26</v>
      </c>
      <c r="J133" s="118">
        <v>529.9</v>
      </c>
      <c r="K133" s="118">
        <v>0.23</v>
      </c>
      <c r="L133" s="118">
        <v>0.247</v>
      </c>
      <c r="M133" s="118">
        <v>0.32500000000000001</v>
      </c>
      <c r="N133" s="118">
        <v>-328.4</v>
      </c>
      <c r="O133" s="118">
        <v>-26.14</v>
      </c>
      <c r="P133" s="118">
        <v>-328.4</v>
      </c>
      <c r="Q133" s="118">
        <v>40.671460000000003</v>
      </c>
      <c r="R133" s="118">
        <v>-85.868229999999997</v>
      </c>
      <c r="S133" s="118">
        <v>226.3</v>
      </c>
      <c r="T133" s="118">
        <v>84.5</v>
      </c>
      <c r="U133" s="118">
        <v>8.4499999999999993</v>
      </c>
      <c r="V133" s="118">
        <v>-128.19999999999999</v>
      </c>
      <c r="W133" s="118">
        <v>11.8</v>
      </c>
      <c r="X133" s="118">
        <v>0</v>
      </c>
      <c r="Y133" s="118">
        <v>26.986000000000001</v>
      </c>
      <c r="Z133" s="118">
        <v>4.6900000000000004</v>
      </c>
      <c r="AA133" s="118">
        <v>0</v>
      </c>
      <c r="AB133" s="19">
        <v>45118</v>
      </c>
      <c r="AC133" s="118" t="s">
        <v>1715</v>
      </c>
    </row>
    <row r="134" spans="1:29" x14ac:dyDescent="0.25">
      <c r="A134" s="230">
        <v>0.55891203703703707</v>
      </c>
      <c r="B134" s="19">
        <v>45118</v>
      </c>
      <c r="C134" s="118"/>
      <c r="D134" s="118"/>
      <c r="E134" s="118">
        <v>739.9</v>
      </c>
      <c r="F134" s="118">
        <v>575.1</v>
      </c>
      <c r="G134" s="118">
        <v>550.5</v>
      </c>
      <c r="H134" s="118">
        <v>550480</v>
      </c>
      <c r="I134" s="118">
        <v>0.26</v>
      </c>
      <c r="J134" s="118">
        <v>547.79999999999995</v>
      </c>
      <c r="K134" s="118">
        <v>0.19500000000000001</v>
      </c>
      <c r="L134" s="118">
        <v>0.20499999999999999</v>
      </c>
      <c r="M134" s="118">
        <v>0.27700000000000002</v>
      </c>
      <c r="N134" s="118">
        <v>-357.7</v>
      </c>
      <c r="O134" s="118">
        <v>-28.29</v>
      </c>
      <c r="P134" s="118">
        <v>-357.7</v>
      </c>
      <c r="Q134" s="118">
        <v>40.663469999999997</v>
      </c>
      <c r="R134" s="118">
        <v>-85.864739999999998</v>
      </c>
      <c r="S134" s="118">
        <v>225</v>
      </c>
      <c r="T134" s="118">
        <v>108.9</v>
      </c>
      <c r="U134" s="118">
        <v>8.44</v>
      </c>
      <c r="V134" s="118">
        <v>-127.6</v>
      </c>
      <c r="W134" s="118">
        <v>11.8</v>
      </c>
      <c r="X134" s="118">
        <v>0</v>
      </c>
      <c r="Y134" s="118">
        <v>27.341000000000001</v>
      </c>
      <c r="Z134" s="118">
        <v>3.66</v>
      </c>
      <c r="AA134" s="118">
        <v>0</v>
      </c>
      <c r="AB134" s="19">
        <v>45118</v>
      </c>
      <c r="AC134" s="118" t="s">
        <v>1714</v>
      </c>
    </row>
    <row r="135" spans="1:29" x14ac:dyDescent="0.25">
      <c r="A135" s="230">
        <v>0.5763773148148148</v>
      </c>
      <c r="B135" s="19">
        <v>45118</v>
      </c>
      <c r="C135" s="118"/>
      <c r="D135" s="118"/>
      <c r="E135" s="118">
        <v>739.9</v>
      </c>
      <c r="F135" s="118">
        <v>578.20000000000005</v>
      </c>
      <c r="G135" s="118">
        <v>557.20000000000005</v>
      </c>
      <c r="H135" s="118">
        <v>557215</v>
      </c>
      <c r="I135" s="118">
        <v>0.27</v>
      </c>
      <c r="J135" s="118">
        <v>555</v>
      </c>
      <c r="K135" s="118">
        <v>0.19600000000000001</v>
      </c>
      <c r="L135" s="118">
        <v>0.20100000000000001</v>
      </c>
      <c r="M135" s="118">
        <v>0.27800000000000002</v>
      </c>
      <c r="N135" s="118">
        <v>-334.4</v>
      </c>
      <c r="O135" s="118">
        <v>-26.62</v>
      </c>
      <c r="P135" s="118">
        <v>-334.4</v>
      </c>
      <c r="Q135" s="118">
        <v>40.66883</v>
      </c>
      <c r="R135" s="118">
        <v>-85.846440000000001</v>
      </c>
      <c r="S135" s="118">
        <v>222.1</v>
      </c>
      <c r="T135" s="118">
        <v>104.2</v>
      </c>
      <c r="U135" s="118">
        <v>8.32</v>
      </c>
      <c r="V135" s="118">
        <v>-120.7</v>
      </c>
      <c r="W135" s="118">
        <v>11.8</v>
      </c>
      <c r="X135" s="118">
        <v>0</v>
      </c>
      <c r="Y135" s="118">
        <v>26.975000000000001</v>
      </c>
      <c r="Z135" s="118">
        <v>6.32</v>
      </c>
      <c r="AA135" s="118">
        <v>0</v>
      </c>
      <c r="AB135" s="19">
        <v>45118</v>
      </c>
      <c r="AC135" s="118" t="s">
        <v>1713</v>
      </c>
    </row>
    <row r="136" spans="1:29" x14ac:dyDescent="0.25">
      <c r="A136" s="230">
        <v>0.58862268518518523</v>
      </c>
      <c r="B136" s="19">
        <v>45118</v>
      </c>
      <c r="C136" s="118"/>
      <c r="D136" s="118"/>
      <c r="E136" s="118">
        <v>739.6</v>
      </c>
      <c r="F136" s="118">
        <v>585.5</v>
      </c>
      <c r="G136" s="118">
        <v>560.79999999999995</v>
      </c>
      <c r="H136" s="118">
        <v>560751</v>
      </c>
      <c r="I136" s="118">
        <v>0.27</v>
      </c>
      <c r="J136" s="118">
        <v>558.1</v>
      </c>
      <c r="K136" s="118">
        <v>0.34499999999999997</v>
      </c>
      <c r="L136" s="118">
        <v>0.34699999999999998</v>
      </c>
      <c r="M136" s="118">
        <v>0.48899999999999999</v>
      </c>
      <c r="N136" s="118">
        <v>-289.60000000000002</v>
      </c>
      <c r="O136" s="118">
        <v>-22.91</v>
      </c>
      <c r="P136" s="118">
        <v>-289.60000000000002</v>
      </c>
      <c r="Q136" s="118">
        <v>40.674329999999998</v>
      </c>
      <c r="R136" s="118">
        <v>-85.830830000000006</v>
      </c>
      <c r="S136" s="118">
        <v>223.7</v>
      </c>
      <c r="T136" s="118">
        <v>115.8</v>
      </c>
      <c r="U136" s="118">
        <v>8.2899999999999991</v>
      </c>
      <c r="V136" s="118">
        <v>-118.8</v>
      </c>
      <c r="W136" s="118">
        <v>11.8</v>
      </c>
      <c r="X136" s="118">
        <v>0</v>
      </c>
      <c r="Y136" s="118">
        <v>27.31</v>
      </c>
      <c r="Z136" s="118">
        <v>7.75</v>
      </c>
      <c r="AA136" s="118">
        <v>0</v>
      </c>
      <c r="AB136" s="19">
        <v>45118</v>
      </c>
      <c r="AC136" s="118" t="s">
        <v>1712</v>
      </c>
    </row>
    <row r="137" spans="1:29" x14ac:dyDescent="0.25">
      <c r="A137" s="230">
        <v>0.62442129629629628</v>
      </c>
      <c r="B137" s="19">
        <v>45118</v>
      </c>
      <c r="C137" s="118"/>
      <c r="D137" s="118"/>
      <c r="E137" s="118">
        <v>739.6</v>
      </c>
      <c r="F137" s="118">
        <v>532</v>
      </c>
      <c r="G137" s="118">
        <v>510.9</v>
      </c>
      <c r="H137" s="118">
        <v>510928</v>
      </c>
      <c r="I137" s="118">
        <v>0.24</v>
      </c>
      <c r="J137" s="118">
        <v>508.7</v>
      </c>
      <c r="K137" s="118">
        <v>0.39</v>
      </c>
      <c r="L137" s="118">
        <v>0.378</v>
      </c>
      <c r="M137" s="118">
        <v>0.55300000000000005</v>
      </c>
      <c r="N137" s="118">
        <v>-233.2</v>
      </c>
      <c r="O137" s="118">
        <v>-18.510000000000002</v>
      </c>
      <c r="P137" s="118">
        <v>-233.2</v>
      </c>
      <c r="Q137" s="118">
        <v>40.689160000000001</v>
      </c>
      <c r="R137" s="118">
        <v>-85.897800000000004</v>
      </c>
      <c r="S137" s="118">
        <v>225.8</v>
      </c>
      <c r="T137" s="118">
        <v>100.9</v>
      </c>
      <c r="U137" s="118">
        <v>8.52</v>
      </c>
      <c r="V137" s="118">
        <v>-132.30000000000001</v>
      </c>
      <c r="W137" s="118">
        <v>11.8</v>
      </c>
      <c r="X137" s="118">
        <v>0</v>
      </c>
      <c r="Y137" s="118">
        <v>27.158000000000001</v>
      </c>
      <c r="Z137" s="118">
        <v>8.02</v>
      </c>
      <c r="AA137" s="118">
        <v>0</v>
      </c>
      <c r="AB137" s="19">
        <v>45118</v>
      </c>
      <c r="AC137" s="118" t="s">
        <v>1724</v>
      </c>
    </row>
    <row r="138" spans="1:29" x14ac:dyDescent="0.25">
      <c r="A138" s="230">
        <v>0.64949074074074076</v>
      </c>
      <c r="B138" s="19">
        <v>45118</v>
      </c>
      <c r="C138" s="118"/>
      <c r="D138" s="118"/>
      <c r="E138" s="118">
        <v>739.8</v>
      </c>
      <c r="F138" s="118">
        <v>526.20000000000005</v>
      </c>
      <c r="G138" s="118">
        <v>499.7</v>
      </c>
      <c r="H138" s="118">
        <v>499695</v>
      </c>
      <c r="I138" s="118">
        <v>0.24</v>
      </c>
      <c r="J138" s="118">
        <v>496.8</v>
      </c>
      <c r="K138" s="118">
        <v>0.442</v>
      </c>
      <c r="L138" s="118">
        <v>0.44700000000000001</v>
      </c>
      <c r="M138" s="118">
        <v>0.626</v>
      </c>
      <c r="N138" s="118">
        <v>-454.1</v>
      </c>
      <c r="O138" s="118">
        <v>-35.65</v>
      </c>
      <c r="P138" s="118">
        <v>-454.1</v>
      </c>
      <c r="Q138" s="118">
        <v>40.693759999999997</v>
      </c>
      <c r="R138" s="118">
        <v>-85.906019999999998</v>
      </c>
      <c r="S138" s="118">
        <v>226.9</v>
      </c>
      <c r="T138" s="118">
        <v>112.7</v>
      </c>
      <c r="U138" s="118">
        <v>8.58</v>
      </c>
      <c r="V138" s="118">
        <v>-136.19999999999999</v>
      </c>
      <c r="W138" s="118">
        <v>11.8</v>
      </c>
      <c r="X138" s="118">
        <v>0</v>
      </c>
      <c r="Y138" s="118">
        <v>27.774000000000001</v>
      </c>
      <c r="Z138" s="118">
        <v>8.5</v>
      </c>
      <c r="AA138" s="118">
        <v>0</v>
      </c>
      <c r="AB138" s="19">
        <v>45118</v>
      </c>
      <c r="AC138" s="118" t="s">
        <v>1722</v>
      </c>
    </row>
    <row r="139" spans="1:29" x14ac:dyDescent="0.25">
      <c r="A139" s="230">
        <v>0.66336805555555556</v>
      </c>
      <c r="B139" s="19">
        <v>45118</v>
      </c>
      <c r="C139" s="118"/>
      <c r="D139" s="118"/>
      <c r="E139" s="118">
        <v>739.4</v>
      </c>
      <c r="F139" s="118">
        <v>523.9</v>
      </c>
      <c r="G139" s="118">
        <v>507.6</v>
      </c>
      <c r="H139" s="118">
        <v>507553</v>
      </c>
      <c r="I139" s="118">
        <v>0.24</v>
      </c>
      <c r="J139" s="118">
        <v>505.8</v>
      </c>
      <c r="K139" s="118">
        <v>0.35899999999999999</v>
      </c>
      <c r="L139" s="118">
        <v>0.34699999999999998</v>
      </c>
      <c r="M139" s="118">
        <v>0.50900000000000001</v>
      </c>
      <c r="N139" s="118">
        <v>-382.6</v>
      </c>
      <c r="O139" s="118">
        <v>-30.62</v>
      </c>
      <c r="P139" s="118">
        <v>-382.6</v>
      </c>
      <c r="Q139" s="118">
        <v>40.703440000000001</v>
      </c>
      <c r="R139" s="118">
        <v>-85.929519999999997</v>
      </c>
      <c r="S139" s="118">
        <v>224.7</v>
      </c>
      <c r="T139" s="118">
        <v>130.5</v>
      </c>
      <c r="U139" s="118">
        <v>8.4</v>
      </c>
      <c r="V139" s="118">
        <v>-125.1</v>
      </c>
      <c r="W139" s="118">
        <v>11.8</v>
      </c>
      <c r="X139" s="118">
        <v>0</v>
      </c>
      <c r="Y139" s="118">
        <v>26.686</v>
      </c>
      <c r="Z139" s="118">
        <v>6.88</v>
      </c>
      <c r="AA139" s="118">
        <v>0</v>
      </c>
      <c r="AB139" s="19">
        <v>45118</v>
      </c>
      <c r="AC139" s="118" t="s">
        <v>1718</v>
      </c>
    </row>
    <row r="140" spans="1:29" x14ac:dyDescent="0.25">
      <c r="A140" s="230">
        <v>0.58402777777777781</v>
      </c>
      <c r="B140" s="19">
        <v>45120</v>
      </c>
      <c r="C140" s="118"/>
      <c r="D140" s="118"/>
      <c r="E140" s="118">
        <v>741.3</v>
      </c>
      <c r="F140" s="118">
        <v>683.2</v>
      </c>
      <c r="G140" s="118">
        <v>649.29999999999995</v>
      </c>
      <c r="H140" s="118">
        <v>649296</v>
      </c>
      <c r="I140" s="118">
        <v>0.31</v>
      </c>
      <c r="J140" s="118">
        <v>645.6</v>
      </c>
      <c r="K140" s="118">
        <v>0.159</v>
      </c>
      <c r="L140" s="118">
        <v>0.17399999999999999</v>
      </c>
      <c r="M140" s="118">
        <v>0.22500000000000001</v>
      </c>
      <c r="N140" s="118">
        <v>-288.5</v>
      </c>
      <c r="O140" s="118">
        <v>-22.65</v>
      </c>
      <c r="P140" s="118">
        <v>-288.5</v>
      </c>
      <c r="Q140" s="118">
        <v>40.693660000000001</v>
      </c>
      <c r="R140" s="118">
        <v>-86.767039999999994</v>
      </c>
      <c r="S140" s="118">
        <v>169.5</v>
      </c>
      <c r="T140" s="118">
        <v>71.599999999999994</v>
      </c>
      <c r="U140" s="118">
        <v>8.1300000000000008</v>
      </c>
      <c r="V140" s="118">
        <v>-113.6</v>
      </c>
      <c r="W140" s="118">
        <v>11.8</v>
      </c>
      <c r="X140" s="118">
        <v>0</v>
      </c>
      <c r="Y140" s="118">
        <v>27.734000000000002</v>
      </c>
      <c r="Z140" s="118">
        <v>8.64</v>
      </c>
      <c r="AA140" s="118">
        <v>0</v>
      </c>
      <c r="AB140" s="19">
        <v>45120</v>
      </c>
      <c r="AC140" s="118" t="s">
        <v>1821</v>
      </c>
    </row>
    <row r="141" spans="1:29" x14ac:dyDescent="0.25">
      <c r="A141" s="230">
        <v>0.40553240740740742</v>
      </c>
      <c r="B141" s="19">
        <v>45120</v>
      </c>
      <c r="C141" s="118"/>
      <c r="D141" s="118"/>
      <c r="E141" s="118">
        <v>741.5</v>
      </c>
      <c r="F141" s="118">
        <v>642.29999999999995</v>
      </c>
      <c r="G141" s="118">
        <v>636.1</v>
      </c>
      <c r="H141" s="118">
        <v>636087</v>
      </c>
      <c r="I141" s="118">
        <v>0.31</v>
      </c>
      <c r="J141" s="118">
        <v>635.4</v>
      </c>
      <c r="K141" s="118">
        <v>8.8999999999999996E-2</v>
      </c>
      <c r="L141" s="118">
        <v>9.7000000000000003E-2</v>
      </c>
      <c r="M141" s="118">
        <v>0.126</v>
      </c>
      <c r="N141" s="118">
        <v>-302.5</v>
      </c>
      <c r="O141" s="118">
        <v>-24.72</v>
      </c>
      <c r="P141" s="118">
        <v>-302.5</v>
      </c>
      <c r="Q141" s="118">
        <v>40.66581</v>
      </c>
      <c r="R141" s="118">
        <v>-86.752939999999995</v>
      </c>
      <c r="S141" s="118">
        <v>196.2</v>
      </c>
      <c r="T141" s="118">
        <v>226.4</v>
      </c>
      <c r="U141" s="118">
        <v>6.09</v>
      </c>
      <c r="V141" s="118">
        <v>7.9</v>
      </c>
      <c r="W141" s="118">
        <v>11.8</v>
      </c>
      <c r="X141" s="118">
        <v>0</v>
      </c>
      <c r="Y141" s="118">
        <v>25.512</v>
      </c>
      <c r="Z141" s="118">
        <v>5</v>
      </c>
      <c r="AA141" s="118">
        <v>0</v>
      </c>
      <c r="AB141" s="19">
        <v>45120</v>
      </c>
      <c r="AC141" s="118" t="s">
        <v>1822</v>
      </c>
    </row>
    <row r="142" spans="1:29" x14ac:dyDescent="0.25">
      <c r="A142" s="230">
        <v>0.42482638888888891</v>
      </c>
      <c r="B142" s="19">
        <v>45120</v>
      </c>
      <c r="C142" s="118"/>
      <c r="D142" s="118"/>
      <c r="E142" s="118">
        <v>741.4</v>
      </c>
      <c r="F142" s="118">
        <v>655.20000000000005</v>
      </c>
      <c r="G142" s="118">
        <v>634.9</v>
      </c>
      <c r="H142" s="118">
        <v>634886</v>
      </c>
      <c r="I142" s="118">
        <v>0.31</v>
      </c>
      <c r="J142" s="118">
        <v>632.70000000000005</v>
      </c>
      <c r="K142" s="118">
        <v>0.10100000000000001</v>
      </c>
      <c r="L142" s="118">
        <v>0.1</v>
      </c>
      <c r="M142" s="118">
        <v>0.14399999999999999</v>
      </c>
      <c r="N142" s="118">
        <v>-292.2</v>
      </c>
      <c r="O142" s="118">
        <v>-23.38</v>
      </c>
      <c r="P142" s="118">
        <v>-292.2</v>
      </c>
      <c r="Q142" s="118">
        <v>40.68074</v>
      </c>
      <c r="R142" s="118">
        <v>-86.752080000000007</v>
      </c>
      <c r="S142" s="118">
        <v>186.8</v>
      </c>
      <c r="T142" s="118">
        <v>94.9</v>
      </c>
      <c r="U142" s="118">
        <v>7.73</v>
      </c>
      <c r="V142" s="118">
        <v>-89.4</v>
      </c>
      <c r="W142" s="118">
        <v>11.8</v>
      </c>
      <c r="X142" s="118">
        <v>0</v>
      </c>
      <c r="Y142" s="118">
        <v>26.672999999999998</v>
      </c>
      <c r="Z142" s="118">
        <v>6.97</v>
      </c>
      <c r="AA142" s="118">
        <v>0</v>
      </c>
      <c r="AB142" s="19">
        <v>45120</v>
      </c>
      <c r="AC142" s="118" t="s">
        <v>1823</v>
      </c>
    </row>
    <row r="143" spans="1:29" x14ac:dyDescent="0.25">
      <c r="A143" s="230">
        <v>0.55583333333333329</v>
      </c>
      <c r="B143" s="19">
        <v>45120</v>
      </c>
      <c r="C143" s="118"/>
      <c r="D143" s="118"/>
      <c r="E143" s="118">
        <v>741.3</v>
      </c>
      <c r="F143" s="118">
        <v>722.5</v>
      </c>
      <c r="G143" s="118">
        <v>707.4</v>
      </c>
      <c r="H143" s="118">
        <v>707424</v>
      </c>
      <c r="I143" s="118">
        <v>0.34</v>
      </c>
      <c r="J143" s="118">
        <v>705.8</v>
      </c>
      <c r="K143" s="118">
        <v>8.5999999999999993E-2</v>
      </c>
      <c r="L143" s="118">
        <v>9.0999999999999998E-2</v>
      </c>
      <c r="M143" s="118">
        <v>0.122</v>
      </c>
      <c r="N143" s="118">
        <v>-303.10000000000002</v>
      </c>
      <c r="O143" s="118">
        <v>-24.49</v>
      </c>
      <c r="P143" s="118">
        <v>-303.10000000000002</v>
      </c>
      <c r="Q143" s="118">
        <v>40.73086</v>
      </c>
      <c r="R143" s="118">
        <v>-86.757999999999996</v>
      </c>
      <c r="S143" s="118">
        <v>194.2</v>
      </c>
      <c r="T143" s="118">
        <v>76.099999999999994</v>
      </c>
      <c r="U143" s="118">
        <v>7.8</v>
      </c>
      <c r="V143" s="118">
        <v>-93.4</v>
      </c>
      <c r="W143" s="118">
        <v>11.8</v>
      </c>
      <c r="X143" s="118">
        <v>0</v>
      </c>
      <c r="Y143" s="118">
        <v>26.119</v>
      </c>
      <c r="Z143" s="118">
        <v>8.52</v>
      </c>
      <c r="AA143" s="118">
        <v>0</v>
      </c>
      <c r="AB143" s="19">
        <v>45120</v>
      </c>
      <c r="AC143" s="118" t="s">
        <v>1824</v>
      </c>
    </row>
    <row r="144" spans="1:29" x14ac:dyDescent="0.25">
      <c r="A144" s="230">
        <v>0.44827546296296295</v>
      </c>
      <c r="B144" s="19">
        <v>45120</v>
      </c>
      <c r="C144" s="118"/>
      <c r="D144" s="118"/>
      <c r="E144" s="118">
        <v>741.7</v>
      </c>
      <c r="F144" s="118">
        <v>705.8</v>
      </c>
      <c r="G144" s="118">
        <v>706.8</v>
      </c>
      <c r="H144" s="118">
        <v>706793</v>
      </c>
      <c r="I144" s="118">
        <v>0.34</v>
      </c>
      <c r="J144" s="118">
        <v>706.9</v>
      </c>
      <c r="K144" s="118">
        <v>0.10299999999999999</v>
      </c>
      <c r="L144" s="118">
        <v>0.10100000000000001</v>
      </c>
      <c r="M144" s="118">
        <v>0.14699999999999999</v>
      </c>
      <c r="N144" s="118">
        <v>-261.8</v>
      </c>
      <c r="O144" s="118">
        <v>-21.62</v>
      </c>
      <c r="P144" s="118">
        <v>-261.8</v>
      </c>
      <c r="Q144" s="118">
        <v>40.745480000000001</v>
      </c>
      <c r="R144" s="118">
        <v>-86.757289999999998</v>
      </c>
      <c r="S144" s="118">
        <v>187.7</v>
      </c>
      <c r="T144" s="118">
        <v>80.5</v>
      </c>
      <c r="U144" s="118">
        <v>7.75</v>
      </c>
      <c r="V144" s="118">
        <v>-90.7</v>
      </c>
      <c r="W144" s="118">
        <v>11.8</v>
      </c>
      <c r="X144" s="118">
        <v>0</v>
      </c>
      <c r="Y144" s="118">
        <v>24.925999999999998</v>
      </c>
      <c r="Z144" s="118">
        <v>5.84</v>
      </c>
      <c r="AA144" s="118">
        <v>0</v>
      </c>
      <c r="AB144" s="19">
        <v>45120</v>
      </c>
      <c r="AC144" s="118" t="s">
        <v>1826</v>
      </c>
    </row>
    <row r="145" spans="1:29" x14ac:dyDescent="0.25">
      <c r="A145" s="230">
        <v>0.47224537037037034</v>
      </c>
      <c r="B145" s="19">
        <v>45120</v>
      </c>
      <c r="C145" s="118"/>
      <c r="D145" s="118"/>
      <c r="E145" s="118">
        <v>740.8</v>
      </c>
      <c r="F145" s="118">
        <v>725.9</v>
      </c>
      <c r="G145" s="118">
        <v>720.6</v>
      </c>
      <c r="H145" s="118">
        <v>720631</v>
      </c>
      <c r="I145" s="118">
        <v>0.35</v>
      </c>
      <c r="J145" s="118">
        <v>720.1</v>
      </c>
      <c r="K145" s="118">
        <v>0.17</v>
      </c>
      <c r="L145" s="118">
        <v>0.185</v>
      </c>
      <c r="M145" s="118">
        <v>0.24199999999999999</v>
      </c>
      <c r="N145" s="118">
        <v>-264.89999999999998</v>
      </c>
      <c r="O145" s="118">
        <v>-21.69</v>
      </c>
      <c r="P145" s="118">
        <v>-264.89999999999998</v>
      </c>
      <c r="Q145" s="118">
        <v>40.808779999999999</v>
      </c>
      <c r="R145" s="118">
        <v>-86.794640000000001</v>
      </c>
      <c r="S145" s="118">
        <v>195.2</v>
      </c>
      <c r="T145" s="118">
        <v>98.1</v>
      </c>
      <c r="U145" s="118">
        <v>8.01</v>
      </c>
      <c r="V145" s="118">
        <v>-105.7</v>
      </c>
      <c r="W145" s="118">
        <v>11.8</v>
      </c>
      <c r="X145" s="118">
        <v>0</v>
      </c>
      <c r="Y145" s="118">
        <v>25.384</v>
      </c>
      <c r="Z145" s="118">
        <v>6.66</v>
      </c>
      <c r="AA145" s="118">
        <v>0</v>
      </c>
      <c r="AB145" s="19">
        <v>45120</v>
      </c>
      <c r="AC145" s="118" t="s">
        <v>1885</v>
      </c>
    </row>
    <row r="146" spans="1:29" x14ac:dyDescent="0.25">
      <c r="A146" s="230">
        <v>0.50049768518518523</v>
      </c>
      <c r="B146" s="19">
        <v>45120</v>
      </c>
      <c r="C146" s="118"/>
      <c r="D146" s="118"/>
      <c r="E146" s="118">
        <v>740.6</v>
      </c>
      <c r="F146" s="118">
        <v>632.6</v>
      </c>
      <c r="G146" s="118">
        <v>628.70000000000005</v>
      </c>
      <c r="H146" s="118">
        <v>628698</v>
      </c>
      <c r="I146" s="118">
        <v>0.3</v>
      </c>
      <c r="J146" s="118">
        <v>628.29999999999995</v>
      </c>
      <c r="K146" s="118">
        <v>8.3000000000000004E-2</v>
      </c>
      <c r="L146" s="118">
        <v>6.9000000000000006E-2</v>
      </c>
      <c r="M146" s="118">
        <v>0.11799999999999999</v>
      </c>
      <c r="N146" s="118">
        <v>-308.3</v>
      </c>
      <c r="O146" s="118">
        <v>-25.29</v>
      </c>
      <c r="P146" s="118">
        <v>-308.3</v>
      </c>
      <c r="Q146" s="118">
        <v>40.823830000000001</v>
      </c>
      <c r="R146" s="118">
        <v>-86.794589999999999</v>
      </c>
      <c r="S146" s="118">
        <v>195.6</v>
      </c>
      <c r="T146" s="118">
        <v>82.2</v>
      </c>
      <c r="U146" s="118">
        <v>8.01</v>
      </c>
      <c r="V146" s="118">
        <v>-105.8</v>
      </c>
      <c r="W146" s="118">
        <v>11.8</v>
      </c>
      <c r="X146" s="118">
        <v>0</v>
      </c>
      <c r="Y146" s="118">
        <v>25.321000000000002</v>
      </c>
      <c r="Z146" s="118">
        <v>6.52</v>
      </c>
      <c r="AA146" s="118">
        <v>0</v>
      </c>
      <c r="AB146" s="19">
        <v>45120</v>
      </c>
      <c r="AC146" s="118" t="s">
        <v>1884</v>
      </c>
    </row>
    <row r="147" spans="1:29" x14ac:dyDescent="0.25">
      <c r="A147" s="230">
        <v>0.5326967592592593</v>
      </c>
      <c r="B147" s="19">
        <v>45120</v>
      </c>
      <c r="C147" s="118"/>
      <c r="D147" s="118"/>
      <c r="E147" s="118">
        <v>740.5</v>
      </c>
      <c r="F147" s="118">
        <v>748.1</v>
      </c>
      <c r="G147" s="118">
        <v>752.8</v>
      </c>
      <c r="H147" s="118">
        <v>752792</v>
      </c>
      <c r="I147" s="118">
        <v>0.37</v>
      </c>
      <c r="J147" s="118">
        <v>753.3</v>
      </c>
      <c r="K147" s="118">
        <v>7.1999999999999995E-2</v>
      </c>
      <c r="L147" s="118">
        <v>6.4000000000000001E-2</v>
      </c>
      <c r="M147" s="118">
        <v>0.10199999999999999</v>
      </c>
      <c r="N147" s="118">
        <v>-290.5</v>
      </c>
      <c r="O147" s="118">
        <v>-24.1</v>
      </c>
      <c r="P147" s="118">
        <v>-290.5</v>
      </c>
      <c r="Q147" s="118">
        <v>40.843389999999999</v>
      </c>
      <c r="R147" s="118">
        <v>-86.817440000000005</v>
      </c>
      <c r="S147" s="118">
        <v>198.5</v>
      </c>
      <c r="T147" s="118">
        <v>-108.4</v>
      </c>
      <c r="U147" s="118">
        <v>7.43</v>
      </c>
      <c r="V147" s="118">
        <v>-71.3</v>
      </c>
      <c r="W147" s="118">
        <v>11.8</v>
      </c>
      <c r="X147" s="118">
        <v>0</v>
      </c>
      <c r="Y147" s="118">
        <v>24.673999999999999</v>
      </c>
      <c r="Z147" s="118">
        <v>31.86</v>
      </c>
      <c r="AA147" s="118">
        <v>0</v>
      </c>
      <c r="AB147" s="19">
        <v>45120</v>
      </c>
      <c r="AC147" s="118" t="s">
        <v>1883</v>
      </c>
    </row>
    <row r="148" spans="1:29" x14ac:dyDescent="0.25">
      <c r="A148" s="230">
        <v>0.57606481481481486</v>
      </c>
      <c r="B148" s="19">
        <v>45125</v>
      </c>
      <c r="C148" s="118"/>
      <c r="D148" s="118"/>
      <c r="E148" s="118">
        <v>744.1</v>
      </c>
      <c r="F148" s="118">
        <v>762.2</v>
      </c>
      <c r="G148" s="118">
        <v>708.2</v>
      </c>
      <c r="H148" s="118">
        <v>708198</v>
      </c>
      <c r="I148" s="118">
        <v>0.34</v>
      </c>
      <c r="J148" s="118">
        <v>702.3</v>
      </c>
      <c r="K148" s="118">
        <v>0.17799999999999999</v>
      </c>
      <c r="L148" s="118">
        <v>0.192</v>
      </c>
      <c r="M148" s="118">
        <v>0.252</v>
      </c>
      <c r="N148" s="118">
        <v>-288.60000000000002</v>
      </c>
      <c r="O148" s="118">
        <v>-22.16</v>
      </c>
      <c r="P148" s="118">
        <v>-288.60000000000002</v>
      </c>
      <c r="Q148" s="118">
        <v>40.69359</v>
      </c>
      <c r="R148" s="118">
        <v>-86.766970000000001</v>
      </c>
      <c r="S148" s="118">
        <v>187.7</v>
      </c>
      <c r="T148" s="118">
        <v>85.7</v>
      </c>
      <c r="U148" s="118">
        <v>8.39</v>
      </c>
      <c r="V148" s="118">
        <v>-124</v>
      </c>
      <c r="W148" s="118">
        <v>11.8</v>
      </c>
      <c r="X148" s="118">
        <v>0</v>
      </c>
      <c r="Y148" s="118">
        <v>28.992000000000001</v>
      </c>
      <c r="Z148" s="118">
        <v>10.36</v>
      </c>
      <c r="AA148" s="118">
        <v>-23</v>
      </c>
      <c r="AB148" s="19">
        <v>45125</v>
      </c>
      <c r="AC148" s="118" t="s">
        <v>1821</v>
      </c>
    </row>
    <row r="149" spans="1:29" x14ac:dyDescent="0.25">
      <c r="A149" s="230">
        <v>0.40241898148148147</v>
      </c>
      <c r="B149" s="19">
        <v>45125</v>
      </c>
      <c r="C149" s="118"/>
      <c r="D149" s="118"/>
      <c r="E149" s="118">
        <v>744.5</v>
      </c>
      <c r="F149" s="118">
        <v>707.7</v>
      </c>
      <c r="G149" s="118">
        <v>693.7</v>
      </c>
      <c r="H149" s="118">
        <v>693709</v>
      </c>
      <c r="I149" s="118">
        <v>0.34</v>
      </c>
      <c r="J149" s="118">
        <v>692.2</v>
      </c>
      <c r="K149" s="118">
        <v>0.16200000000000001</v>
      </c>
      <c r="L149" s="118">
        <v>0.17699999999999999</v>
      </c>
      <c r="M149" s="118">
        <v>0.22900000000000001</v>
      </c>
      <c r="N149" s="118">
        <v>-293.60000000000002</v>
      </c>
      <c r="O149" s="118">
        <v>-23.76</v>
      </c>
      <c r="P149" s="118">
        <v>-293.60000000000002</v>
      </c>
      <c r="Q149" s="118">
        <v>40.66713</v>
      </c>
      <c r="R149" s="118">
        <v>-86.752340000000004</v>
      </c>
      <c r="S149" s="118">
        <v>178.4</v>
      </c>
      <c r="T149" s="118">
        <v>84.7</v>
      </c>
      <c r="U149" s="118">
        <v>7.94</v>
      </c>
      <c r="V149" s="118">
        <v>-97.3</v>
      </c>
      <c r="W149" s="118">
        <v>11.8</v>
      </c>
      <c r="X149" s="118">
        <v>0</v>
      </c>
      <c r="Y149" s="118">
        <v>26.058</v>
      </c>
      <c r="Z149" s="118">
        <v>5.33</v>
      </c>
      <c r="AA149" s="118">
        <v>-30</v>
      </c>
      <c r="AB149" s="19">
        <v>45125</v>
      </c>
      <c r="AC149" s="118" t="s">
        <v>1822</v>
      </c>
    </row>
    <row r="150" spans="1:29" x14ac:dyDescent="0.25">
      <c r="A150" s="230">
        <v>0.4224074074074074</v>
      </c>
      <c r="B150" s="19">
        <v>45125</v>
      </c>
      <c r="C150" s="118"/>
      <c r="D150" s="118"/>
      <c r="E150" s="118">
        <v>744.4</v>
      </c>
      <c r="F150" s="118">
        <v>732.5</v>
      </c>
      <c r="G150" s="118">
        <v>708.1</v>
      </c>
      <c r="H150" s="118">
        <v>708090</v>
      </c>
      <c r="I150" s="118">
        <v>0.34</v>
      </c>
      <c r="J150" s="118">
        <v>705.5</v>
      </c>
      <c r="K150" s="118">
        <v>0.14000000000000001</v>
      </c>
      <c r="L150" s="118">
        <v>0.14799999999999999</v>
      </c>
      <c r="M150" s="118">
        <v>0.19900000000000001</v>
      </c>
      <c r="N150" s="118">
        <v>-248.6</v>
      </c>
      <c r="O150" s="118">
        <v>-19.84</v>
      </c>
      <c r="P150" s="118">
        <v>-248.6</v>
      </c>
      <c r="Q150" s="118">
        <v>40.68074</v>
      </c>
      <c r="R150" s="118">
        <v>-86.752030000000005</v>
      </c>
      <c r="S150" s="118">
        <v>182.6</v>
      </c>
      <c r="T150" s="118">
        <v>100.1</v>
      </c>
      <c r="U150" s="118">
        <v>8.08</v>
      </c>
      <c r="V150" s="118">
        <v>-105.1</v>
      </c>
      <c r="W150" s="118">
        <v>11.8</v>
      </c>
      <c r="X150" s="118">
        <v>0</v>
      </c>
      <c r="Y150" s="118">
        <v>26.805</v>
      </c>
      <c r="Z150" s="118">
        <v>4.84</v>
      </c>
      <c r="AA150" s="118">
        <v>-31</v>
      </c>
      <c r="AB150" s="19">
        <v>45125</v>
      </c>
      <c r="AC150" s="118" t="s">
        <v>1823</v>
      </c>
    </row>
    <row r="151" spans="1:29" x14ac:dyDescent="0.25">
      <c r="A151" s="230">
        <v>0.54620370370370375</v>
      </c>
      <c r="B151" s="19">
        <v>45125</v>
      </c>
      <c r="C151" s="118"/>
      <c r="D151" s="118"/>
      <c r="E151" s="118">
        <v>744.2</v>
      </c>
      <c r="F151" s="118">
        <v>764.7</v>
      </c>
      <c r="G151" s="118">
        <v>739.5</v>
      </c>
      <c r="H151" s="118">
        <v>739454</v>
      </c>
      <c r="I151" s="118">
        <v>0.36</v>
      </c>
      <c r="J151" s="118">
        <v>736.8</v>
      </c>
      <c r="K151" s="118">
        <v>0.11700000000000001</v>
      </c>
      <c r="L151" s="118">
        <v>0.127</v>
      </c>
      <c r="M151" s="118">
        <v>0.16600000000000001</v>
      </c>
      <c r="N151" s="118">
        <v>-284.5</v>
      </c>
      <c r="O151" s="118">
        <v>-22.71</v>
      </c>
      <c r="P151" s="118">
        <v>-284.5</v>
      </c>
      <c r="Q151" s="118">
        <v>40.730829999999997</v>
      </c>
      <c r="R151" s="118">
        <v>-86.757800000000003</v>
      </c>
      <c r="S151" s="118">
        <v>206.9</v>
      </c>
      <c r="T151" s="118">
        <v>63.1</v>
      </c>
      <c r="U151" s="118">
        <v>8.3000000000000007</v>
      </c>
      <c r="V151" s="118">
        <v>-118.1</v>
      </c>
      <c r="W151" s="118">
        <v>11.8</v>
      </c>
      <c r="X151" s="118">
        <v>0</v>
      </c>
      <c r="Y151" s="118">
        <v>26.791</v>
      </c>
      <c r="Z151" s="118">
        <v>8.5399999999999991</v>
      </c>
      <c r="AA151" s="118">
        <v>-26</v>
      </c>
      <c r="AB151" s="19">
        <v>45125</v>
      </c>
      <c r="AC151" s="118" t="s">
        <v>1824</v>
      </c>
    </row>
    <row r="152" spans="1:29" x14ac:dyDescent="0.25">
      <c r="A152" s="230">
        <v>0.44362268518518516</v>
      </c>
      <c r="B152" s="19">
        <v>45125</v>
      </c>
      <c r="C152" s="118"/>
      <c r="D152" s="118"/>
      <c r="E152" s="118">
        <v>744.1</v>
      </c>
      <c r="F152" s="118">
        <v>765.7</v>
      </c>
      <c r="G152" s="118">
        <v>756</v>
      </c>
      <c r="H152" s="118">
        <v>755979</v>
      </c>
      <c r="I152" s="118">
        <v>0.37</v>
      </c>
      <c r="J152" s="118">
        <v>755</v>
      </c>
      <c r="K152" s="118">
        <v>0.11700000000000001</v>
      </c>
      <c r="L152" s="118">
        <v>0.112</v>
      </c>
      <c r="M152" s="118">
        <v>0.16500000000000001</v>
      </c>
      <c r="N152" s="118">
        <v>-302.10000000000002</v>
      </c>
      <c r="O152" s="118">
        <v>-24.61</v>
      </c>
      <c r="P152" s="118">
        <v>-302.10000000000002</v>
      </c>
      <c r="Q152" s="118">
        <v>40.745460000000001</v>
      </c>
      <c r="R152" s="118">
        <v>-86.757320000000007</v>
      </c>
      <c r="S152" s="118">
        <v>192.6</v>
      </c>
      <c r="T152" s="118">
        <v>86.9</v>
      </c>
      <c r="U152" s="118">
        <v>7.95</v>
      </c>
      <c r="V152" s="118">
        <v>-97.7</v>
      </c>
      <c r="W152" s="118">
        <v>11.8</v>
      </c>
      <c r="X152" s="118">
        <v>0</v>
      </c>
      <c r="Y152" s="118">
        <v>25.672999999999998</v>
      </c>
      <c r="Z152" s="118">
        <v>6.34</v>
      </c>
      <c r="AA152" s="118">
        <v>-29</v>
      </c>
      <c r="AB152" s="19">
        <v>45125</v>
      </c>
      <c r="AC152" s="118" t="s">
        <v>1826</v>
      </c>
    </row>
    <row r="153" spans="1:29" x14ac:dyDescent="0.25">
      <c r="A153" s="230">
        <v>0.5228356481481482</v>
      </c>
      <c r="B153" s="19">
        <v>45125</v>
      </c>
      <c r="C153" s="118"/>
      <c r="D153" s="118"/>
      <c r="E153" s="118">
        <v>743.5</v>
      </c>
      <c r="F153" s="118">
        <v>799.5</v>
      </c>
      <c r="G153" s="118">
        <v>780.1</v>
      </c>
      <c r="H153" s="118">
        <v>780053</v>
      </c>
      <c r="I153" s="118">
        <v>0.38</v>
      </c>
      <c r="J153" s="118">
        <v>778</v>
      </c>
      <c r="K153" s="118">
        <v>0.11799999999999999</v>
      </c>
      <c r="L153" s="118">
        <v>0.11600000000000001</v>
      </c>
      <c r="M153" s="118">
        <v>0.16700000000000001</v>
      </c>
      <c r="N153" s="118">
        <v>-323.8</v>
      </c>
      <c r="O153" s="118">
        <v>-26.08</v>
      </c>
      <c r="P153" s="118">
        <v>-323.8</v>
      </c>
      <c r="Q153" s="118">
        <v>40.808759999999999</v>
      </c>
      <c r="R153" s="118">
        <v>-86.794619999999995</v>
      </c>
      <c r="S153" s="118">
        <v>197.5</v>
      </c>
      <c r="T153" s="118">
        <v>70.400000000000006</v>
      </c>
      <c r="U153" s="118">
        <v>8.16</v>
      </c>
      <c r="V153" s="118">
        <v>-109.9</v>
      </c>
      <c r="W153" s="118">
        <v>11.8</v>
      </c>
      <c r="X153" s="118">
        <v>0</v>
      </c>
      <c r="Y153" s="118">
        <v>26.311</v>
      </c>
      <c r="Z153" s="118">
        <v>4.58</v>
      </c>
      <c r="AA153" s="118">
        <v>-31</v>
      </c>
      <c r="AB153" s="19">
        <v>45125</v>
      </c>
      <c r="AC153" s="118" t="s">
        <v>1885</v>
      </c>
    </row>
    <row r="154" spans="1:29" x14ac:dyDescent="0.25">
      <c r="A154" s="230">
        <v>0.4698148148148148</v>
      </c>
      <c r="B154" s="19">
        <v>45125</v>
      </c>
      <c r="C154" s="118"/>
      <c r="D154" s="118"/>
      <c r="E154" s="118">
        <v>743.4</v>
      </c>
      <c r="F154" s="118">
        <v>686.7</v>
      </c>
      <c r="G154" s="118">
        <v>672.7</v>
      </c>
      <c r="H154" s="118">
        <v>672713</v>
      </c>
      <c r="I154" s="118">
        <v>0.33</v>
      </c>
      <c r="J154" s="118">
        <v>671.2</v>
      </c>
      <c r="K154" s="118">
        <v>0.55200000000000005</v>
      </c>
      <c r="L154" s="118">
        <v>0.54700000000000004</v>
      </c>
      <c r="M154" s="118">
        <v>0.78200000000000003</v>
      </c>
      <c r="N154" s="118">
        <v>-312.60000000000002</v>
      </c>
      <c r="O154" s="118">
        <v>-25.28</v>
      </c>
      <c r="P154" s="118">
        <v>-312.60000000000002</v>
      </c>
      <c r="Q154" s="118">
        <v>40.823830000000001</v>
      </c>
      <c r="R154" s="118">
        <v>-86.794579999999996</v>
      </c>
      <c r="S154" s="118">
        <v>194.4</v>
      </c>
      <c r="T154" s="118">
        <v>80.7</v>
      </c>
      <c r="U154" s="118">
        <v>8.25</v>
      </c>
      <c r="V154" s="118">
        <v>-114.8</v>
      </c>
      <c r="W154" s="118">
        <v>11.8</v>
      </c>
      <c r="X154" s="118">
        <v>0</v>
      </c>
      <c r="Y154" s="118">
        <v>26.091000000000001</v>
      </c>
      <c r="Z154" s="118">
        <v>7.16</v>
      </c>
      <c r="AA154" s="118">
        <v>-28</v>
      </c>
      <c r="AB154" s="19">
        <v>45125</v>
      </c>
      <c r="AC154" s="118" t="s">
        <v>1884</v>
      </c>
    </row>
    <row r="155" spans="1:29" x14ac:dyDescent="0.25">
      <c r="A155" s="230">
        <v>0.49222222222222223</v>
      </c>
      <c r="B155" s="19">
        <v>45125</v>
      </c>
      <c r="C155" s="118"/>
      <c r="D155" s="118"/>
      <c r="E155" s="118">
        <v>743.3</v>
      </c>
      <c r="F155" s="118">
        <v>674.6</v>
      </c>
      <c r="G155" s="118">
        <v>679.5</v>
      </c>
      <c r="H155" s="118">
        <v>679496</v>
      </c>
      <c r="I155" s="118">
        <v>0.33</v>
      </c>
      <c r="J155" s="118">
        <v>680</v>
      </c>
      <c r="K155" s="118">
        <v>0.112</v>
      </c>
      <c r="L155" s="118">
        <v>0.124</v>
      </c>
      <c r="M155" s="118">
        <v>0.158</v>
      </c>
      <c r="N155" s="118">
        <v>-267.60000000000002</v>
      </c>
      <c r="O155" s="118">
        <v>-22.23</v>
      </c>
      <c r="P155" s="118">
        <v>-267.60000000000002</v>
      </c>
      <c r="Q155" s="118">
        <v>40.843409999999999</v>
      </c>
      <c r="R155" s="118">
        <v>-86.817440000000005</v>
      </c>
      <c r="S155" s="118">
        <v>200.6</v>
      </c>
      <c r="T155" s="118">
        <v>-168.2</v>
      </c>
      <c r="U155" s="118">
        <v>7.55</v>
      </c>
      <c r="V155" s="118">
        <v>-74.8</v>
      </c>
      <c r="W155" s="118">
        <v>11.8</v>
      </c>
      <c r="X155" s="118">
        <v>0</v>
      </c>
      <c r="Y155" s="118">
        <v>24.622</v>
      </c>
      <c r="Z155" s="118">
        <v>15599.62</v>
      </c>
      <c r="AA155" s="118">
        <v>-550070</v>
      </c>
      <c r="AB155" s="19">
        <v>45125</v>
      </c>
      <c r="AC155" s="118" t="s">
        <v>1883</v>
      </c>
    </row>
    <row r="156" spans="1:29" x14ac:dyDescent="0.25">
      <c r="A156" s="230">
        <v>0.46863425925925928</v>
      </c>
      <c r="B156" s="19">
        <v>45128</v>
      </c>
      <c r="C156" s="118"/>
      <c r="D156" s="118"/>
      <c r="E156" s="118">
        <v>741.1</v>
      </c>
      <c r="F156" s="118">
        <v>517.79999999999995</v>
      </c>
      <c r="G156" s="118">
        <v>507.8</v>
      </c>
      <c r="H156" s="118">
        <v>507832</v>
      </c>
      <c r="I156" s="118">
        <v>0.24</v>
      </c>
      <c r="J156" s="118">
        <v>506.8</v>
      </c>
      <c r="K156" s="118">
        <v>0.377</v>
      </c>
      <c r="L156" s="118">
        <v>0.38700000000000001</v>
      </c>
      <c r="M156" s="118">
        <v>0.53400000000000003</v>
      </c>
      <c r="N156" s="118" t="s">
        <v>515</v>
      </c>
      <c r="O156" s="118" t="s">
        <v>515</v>
      </c>
      <c r="P156" s="118" t="s">
        <v>515</v>
      </c>
      <c r="Q156" s="118">
        <v>40.772269999999999</v>
      </c>
      <c r="R156" s="118">
        <v>-85.643929999999997</v>
      </c>
      <c r="S156" s="118">
        <v>228.5</v>
      </c>
      <c r="T156" s="118">
        <v>81.2</v>
      </c>
      <c r="U156" s="118">
        <v>8.41</v>
      </c>
      <c r="V156" s="118">
        <v>-120.6</v>
      </c>
      <c r="W156" s="118">
        <v>11.7</v>
      </c>
      <c r="X156" s="118">
        <v>0</v>
      </c>
      <c r="Y156" s="118">
        <v>26.024000000000001</v>
      </c>
      <c r="Z156" s="118">
        <v>6.22</v>
      </c>
      <c r="AA156" s="118">
        <v>-29</v>
      </c>
      <c r="AB156" s="19">
        <v>45128</v>
      </c>
      <c r="AC156" s="118" t="s">
        <v>1862</v>
      </c>
    </row>
    <row r="157" spans="1:29" x14ac:dyDescent="0.25">
      <c r="A157" s="230">
        <v>0.62648148148148153</v>
      </c>
      <c r="B157" s="19">
        <v>45128</v>
      </c>
      <c r="C157" s="118"/>
      <c r="D157" s="118"/>
      <c r="E157" s="118">
        <v>740.3</v>
      </c>
      <c r="F157" s="118">
        <v>553.29999999999995</v>
      </c>
      <c r="G157" s="118">
        <v>533.79999999999995</v>
      </c>
      <c r="H157" s="118">
        <v>533815</v>
      </c>
      <c r="I157" s="118">
        <v>0.26</v>
      </c>
      <c r="J157" s="118">
        <v>531.70000000000005</v>
      </c>
      <c r="K157" s="118">
        <v>0.626</v>
      </c>
      <c r="L157" s="118">
        <v>0.61199999999999999</v>
      </c>
      <c r="M157" s="118">
        <v>0.88700000000000001</v>
      </c>
      <c r="N157" s="118" t="s">
        <v>515</v>
      </c>
      <c r="O157" s="118" t="s">
        <v>515</v>
      </c>
      <c r="P157" s="118" t="s">
        <v>515</v>
      </c>
      <c r="Q157" s="118">
        <v>40.755789999999998</v>
      </c>
      <c r="R157" s="118">
        <v>-85.581199999999995</v>
      </c>
      <c r="S157" s="118">
        <v>231.4</v>
      </c>
      <c r="T157" s="118">
        <v>72.599999999999994</v>
      </c>
      <c r="U157" s="118">
        <v>8.39</v>
      </c>
      <c r="V157" s="118">
        <v>-119.9</v>
      </c>
      <c r="W157" s="118">
        <v>11.7</v>
      </c>
      <c r="X157" s="118">
        <v>0</v>
      </c>
      <c r="Y157" s="118">
        <v>26.91</v>
      </c>
      <c r="Z157" s="118">
        <v>8.25</v>
      </c>
      <c r="AA157" s="118">
        <v>-26</v>
      </c>
      <c r="AB157" s="19">
        <v>45128</v>
      </c>
      <c r="AC157" s="118" t="s">
        <v>1871</v>
      </c>
    </row>
    <row r="158" spans="1:29" x14ac:dyDescent="0.25">
      <c r="A158" s="230">
        <v>0.6398611111111111</v>
      </c>
      <c r="B158" s="19">
        <v>45128</v>
      </c>
      <c r="C158" s="118"/>
      <c r="D158" s="118"/>
      <c r="E158" s="118">
        <v>740.5</v>
      </c>
      <c r="F158" s="118">
        <v>541.20000000000005</v>
      </c>
      <c r="G158" s="118">
        <v>517.1</v>
      </c>
      <c r="H158" s="118">
        <v>517121</v>
      </c>
      <c r="I158" s="118">
        <v>0.25</v>
      </c>
      <c r="J158" s="118">
        <v>514.5</v>
      </c>
      <c r="K158" s="118">
        <v>0.48</v>
      </c>
      <c r="L158" s="118">
        <v>0.48199999999999998</v>
      </c>
      <c r="M158" s="118">
        <v>0.68</v>
      </c>
      <c r="N158" s="118" t="s">
        <v>515</v>
      </c>
      <c r="O158" s="118" t="s">
        <v>515</v>
      </c>
      <c r="P158" s="118" t="s">
        <v>515</v>
      </c>
      <c r="Q158" s="118">
        <v>40.744779999999999</v>
      </c>
      <c r="R158" s="118">
        <v>-85.569270000000003</v>
      </c>
      <c r="S158" s="118">
        <v>230.6</v>
      </c>
      <c r="T158" s="118">
        <v>64.400000000000006</v>
      </c>
      <c r="U158" s="118">
        <v>8.6300000000000008</v>
      </c>
      <c r="V158" s="118">
        <v>-133.5</v>
      </c>
      <c r="W158" s="118">
        <v>11.8</v>
      </c>
      <c r="X158" s="118">
        <v>0</v>
      </c>
      <c r="Y158" s="118">
        <v>27.443000000000001</v>
      </c>
      <c r="Z158" s="118">
        <v>10.82</v>
      </c>
      <c r="AA158" s="118">
        <v>-23</v>
      </c>
      <c r="AB158" s="19">
        <v>45128</v>
      </c>
      <c r="AC158" s="118" t="s">
        <v>1872</v>
      </c>
    </row>
    <row r="159" spans="1:29" x14ac:dyDescent="0.25">
      <c r="A159" s="230">
        <v>0.65089120370370368</v>
      </c>
      <c r="B159" s="19">
        <v>45128</v>
      </c>
      <c r="C159" s="118"/>
      <c r="D159" s="118"/>
      <c r="E159" s="118">
        <v>740.5</v>
      </c>
      <c r="F159" s="118">
        <v>532.29999999999995</v>
      </c>
      <c r="G159" s="118">
        <v>504.5</v>
      </c>
      <c r="H159" s="118">
        <v>504463</v>
      </c>
      <c r="I159" s="118">
        <v>0.24</v>
      </c>
      <c r="J159" s="118">
        <v>501.5</v>
      </c>
      <c r="K159" s="118">
        <v>0.438</v>
      </c>
      <c r="L159" s="118">
        <v>0.434</v>
      </c>
      <c r="M159" s="118">
        <v>0.621</v>
      </c>
      <c r="N159" s="118" t="s">
        <v>515</v>
      </c>
      <c r="O159" s="118" t="s">
        <v>515</v>
      </c>
      <c r="P159" s="118" t="s">
        <v>515</v>
      </c>
      <c r="Q159" s="118">
        <v>40.747140000000002</v>
      </c>
      <c r="R159" s="118">
        <v>-85.549620000000004</v>
      </c>
      <c r="S159" s="118">
        <v>228.3</v>
      </c>
      <c r="T159" s="118">
        <v>62.3</v>
      </c>
      <c r="U159" s="118">
        <v>8.8000000000000007</v>
      </c>
      <c r="V159" s="118">
        <v>-142.9</v>
      </c>
      <c r="W159" s="118">
        <v>11.7</v>
      </c>
      <c r="X159" s="118">
        <v>0</v>
      </c>
      <c r="Y159" s="118">
        <v>27.885999999999999</v>
      </c>
      <c r="Z159" s="118">
        <v>20.49</v>
      </c>
      <c r="AA159" s="118">
        <v>-10</v>
      </c>
      <c r="AB159" s="19">
        <v>45128</v>
      </c>
      <c r="AC159" s="118" t="s">
        <v>1873</v>
      </c>
    </row>
    <row r="160" spans="1:29" x14ac:dyDescent="0.25">
      <c r="A160" s="230">
        <v>0.5356481481481481</v>
      </c>
      <c r="B160" s="19">
        <v>45128</v>
      </c>
      <c r="C160" s="118"/>
      <c r="D160" s="118"/>
      <c r="E160" s="118">
        <v>740.8</v>
      </c>
      <c r="F160" s="118">
        <v>525.4</v>
      </c>
      <c r="G160" s="118">
        <v>512.79999999999995</v>
      </c>
      <c r="H160" s="118">
        <v>512797</v>
      </c>
      <c r="I160" s="118">
        <v>0.25</v>
      </c>
      <c r="J160" s="118">
        <v>511.5</v>
      </c>
      <c r="K160" s="118">
        <v>0.47499999999999998</v>
      </c>
      <c r="L160" s="118">
        <v>0.46700000000000003</v>
      </c>
      <c r="M160" s="118">
        <v>0.67400000000000004</v>
      </c>
      <c r="N160" s="118" t="s">
        <v>515</v>
      </c>
      <c r="O160" s="118" t="s">
        <v>515</v>
      </c>
      <c r="P160" s="118" t="s">
        <v>515</v>
      </c>
      <c r="Q160" s="118">
        <v>40.780329999999999</v>
      </c>
      <c r="R160" s="118">
        <v>-85.637249999999995</v>
      </c>
      <c r="S160" s="118">
        <v>228.7</v>
      </c>
      <c r="T160" s="118">
        <v>58</v>
      </c>
      <c r="U160" s="118">
        <v>8.39</v>
      </c>
      <c r="V160" s="118">
        <v>-119.8</v>
      </c>
      <c r="W160" s="118">
        <v>11.7</v>
      </c>
      <c r="X160" s="118">
        <v>0</v>
      </c>
      <c r="Y160" s="118">
        <v>26.288</v>
      </c>
      <c r="Z160" s="118">
        <v>7.38</v>
      </c>
      <c r="AA160" s="118">
        <v>-27</v>
      </c>
      <c r="AB160" s="19">
        <v>45128</v>
      </c>
      <c r="AC160" s="118" t="s">
        <v>1874</v>
      </c>
    </row>
    <row r="161" spans="1:29" x14ac:dyDescent="0.25">
      <c r="A161" s="230">
        <v>0.48584490740740743</v>
      </c>
      <c r="B161" s="19">
        <v>45128</v>
      </c>
      <c r="C161" s="118"/>
      <c r="D161" s="118"/>
      <c r="E161" s="118">
        <v>741.1</v>
      </c>
      <c r="F161" s="118">
        <v>517.79999999999995</v>
      </c>
      <c r="G161" s="118">
        <v>507.1</v>
      </c>
      <c r="H161" s="118">
        <v>507123</v>
      </c>
      <c r="I161" s="118">
        <v>0.24</v>
      </c>
      <c r="J161" s="118">
        <v>506</v>
      </c>
      <c r="K161" s="118">
        <v>0.217</v>
      </c>
      <c r="L161" s="118">
        <v>0.21199999999999999</v>
      </c>
      <c r="M161" s="118">
        <v>0.307</v>
      </c>
      <c r="N161" s="118" t="s">
        <v>515</v>
      </c>
      <c r="O161" s="118" t="s">
        <v>515</v>
      </c>
      <c r="P161" s="118" t="s">
        <v>515</v>
      </c>
      <c r="Q161" s="118">
        <v>40.77075</v>
      </c>
      <c r="R161" s="118">
        <v>-85.648160000000004</v>
      </c>
      <c r="S161" s="118">
        <v>228.6</v>
      </c>
      <c r="T161" s="118">
        <v>79.7</v>
      </c>
      <c r="U161" s="118">
        <v>8.36</v>
      </c>
      <c r="V161" s="118">
        <v>-117.9</v>
      </c>
      <c r="W161" s="118">
        <v>11.7</v>
      </c>
      <c r="X161" s="118">
        <v>0</v>
      </c>
      <c r="Y161" s="118">
        <v>26.097999999999999</v>
      </c>
      <c r="Z161" s="118">
        <v>6.97</v>
      </c>
      <c r="AA161" s="118">
        <v>-28</v>
      </c>
      <c r="AB161" s="19">
        <v>45128</v>
      </c>
      <c r="AC161" s="118" t="s">
        <v>1863</v>
      </c>
    </row>
    <row r="162" spans="1:29" x14ac:dyDescent="0.25">
      <c r="A162" s="230">
        <v>0.50472222222222218</v>
      </c>
      <c r="B162" s="19">
        <v>45128</v>
      </c>
      <c r="C162" s="118"/>
      <c r="D162" s="118"/>
      <c r="E162" s="118">
        <v>741</v>
      </c>
      <c r="F162" s="118">
        <v>523.4</v>
      </c>
      <c r="G162" s="118">
        <v>512.1</v>
      </c>
      <c r="H162" s="118">
        <v>512080</v>
      </c>
      <c r="I162" s="118">
        <v>0.25</v>
      </c>
      <c r="J162" s="118">
        <v>510.9</v>
      </c>
      <c r="K162" s="118">
        <v>0.51800000000000002</v>
      </c>
      <c r="L162" s="118">
        <v>0.53700000000000003</v>
      </c>
      <c r="M162" s="118">
        <v>0.73499999999999999</v>
      </c>
      <c r="N162" s="118" t="s">
        <v>515</v>
      </c>
      <c r="O162" s="118" t="s">
        <v>515</v>
      </c>
      <c r="P162" s="118" t="s">
        <v>515</v>
      </c>
      <c r="Q162" s="118">
        <v>40.780839999999998</v>
      </c>
      <c r="R162" s="118">
        <v>-85.644570000000002</v>
      </c>
      <c r="S162" s="118">
        <v>228.7</v>
      </c>
      <c r="T162" s="118">
        <v>95.9</v>
      </c>
      <c r="U162" s="118">
        <v>8.3699999999999992</v>
      </c>
      <c r="V162" s="118">
        <v>-118.8</v>
      </c>
      <c r="W162" s="118">
        <v>11.7</v>
      </c>
      <c r="X162" s="118">
        <v>0</v>
      </c>
      <c r="Y162" s="118">
        <v>26.158999999999999</v>
      </c>
      <c r="Z162" s="118">
        <v>6.49</v>
      </c>
      <c r="AA162" s="118">
        <v>-28</v>
      </c>
      <c r="AB162" s="19">
        <v>45128</v>
      </c>
      <c r="AC162" s="118" t="s">
        <v>1864</v>
      </c>
    </row>
    <row r="163" spans="1:29" x14ac:dyDescent="0.25">
      <c r="A163" s="230">
        <v>0.52115740740740746</v>
      </c>
      <c r="B163" s="19">
        <v>45128</v>
      </c>
      <c r="C163" s="118"/>
      <c r="D163" s="118"/>
      <c r="E163" s="118">
        <v>740.8</v>
      </c>
      <c r="F163" s="118">
        <v>526.6</v>
      </c>
      <c r="G163" s="118">
        <v>511.7</v>
      </c>
      <c r="H163" s="118">
        <v>511675</v>
      </c>
      <c r="I163" s="118">
        <v>0.25</v>
      </c>
      <c r="J163" s="118">
        <v>510.1</v>
      </c>
      <c r="K163" s="118">
        <v>0.47799999999999998</v>
      </c>
      <c r="L163" s="118">
        <v>0.47</v>
      </c>
      <c r="M163" s="118">
        <v>0.67700000000000005</v>
      </c>
      <c r="N163" s="118" t="s">
        <v>515</v>
      </c>
      <c r="O163" s="118" t="s">
        <v>515</v>
      </c>
      <c r="P163" s="118" t="s">
        <v>515</v>
      </c>
      <c r="Q163" s="118">
        <v>40.783929999999998</v>
      </c>
      <c r="R163" s="118">
        <v>-85.637820000000005</v>
      </c>
      <c r="S163" s="118">
        <v>228.3</v>
      </c>
      <c r="T163" s="118">
        <v>50.8</v>
      </c>
      <c r="U163" s="118">
        <v>8.44</v>
      </c>
      <c r="V163" s="118">
        <v>-122.5</v>
      </c>
      <c r="W163" s="118">
        <v>11.7</v>
      </c>
      <c r="X163" s="118">
        <v>0</v>
      </c>
      <c r="Y163" s="118">
        <v>26.524000000000001</v>
      </c>
      <c r="Z163" s="118">
        <v>8.1</v>
      </c>
      <c r="AA163" s="118">
        <v>-26</v>
      </c>
      <c r="AB163" s="19">
        <v>45128</v>
      </c>
      <c r="AC163" s="118" t="s">
        <v>1865</v>
      </c>
    </row>
    <row r="164" spans="1:29" x14ac:dyDescent="0.25">
      <c r="A164" s="230">
        <v>0.54807870370370371</v>
      </c>
      <c r="B164" s="19">
        <v>45128</v>
      </c>
      <c r="C164" s="118"/>
      <c r="D164" s="118"/>
      <c r="E164" s="118">
        <v>740.7</v>
      </c>
      <c r="F164" s="118">
        <v>534.1</v>
      </c>
      <c r="G164" s="118">
        <v>518.4</v>
      </c>
      <c r="H164" s="118">
        <v>518434</v>
      </c>
      <c r="I164" s="118">
        <v>0.25</v>
      </c>
      <c r="J164" s="118">
        <v>516.79999999999995</v>
      </c>
      <c r="K164" s="118">
        <v>0.48799999999999999</v>
      </c>
      <c r="L164" s="118">
        <v>0.48899999999999999</v>
      </c>
      <c r="M164" s="118">
        <v>0.69199999999999995</v>
      </c>
      <c r="N164" s="118" t="s">
        <v>515</v>
      </c>
      <c r="O164" s="118" t="s">
        <v>515</v>
      </c>
      <c r="P164" s="118" t="s">
        <v>515</v>
      </c>
      <c r="Q164" s="118">
        <v>40.774929999999998</v>
      </c>
      <c r="R164" s="118">
        <v>-85.623660000000001</v>
      </c>
      <c r="S164" s="118">
        <v>229.5</v>
      </c>
      <c r="T164" s="118">
        <v>69.900000000000006</v>
      </c>
      <c r="U164" s="118">
        <v>8.42</v>
      </c>
      <c r="V164" s="118">
        <v>-121.6</v>
      </c>
      <c r="W164" s="118">
        <v>11.7</v>
      </c>
      <c r="X164" s="118">
        <v>0</v>
      </c>
      <c r="Y164" s="118">
        <v>26.581</v>
      </c>
      <c r="Z164" s="118">
        <v>6.33</v>
      </c>
      <c r="AA164" s="118">
        <v>-29</v>
      </c>
      <c r="AB164" s="19">
        <v>45128</v>
      </c>
      <c r="AC164" s="118" t="s">
        <v>1866</v>
      </c>
    </row>
    <row r="165" spans="1:29" x14ac:dyDescent="0.25">
      <c r="A165" s="230">
        <v>0.562037037037037</v>
      </c>
      <c r="B165" s="19">
        <v>45128</v>
      </c>
      <c r="C165" s="118"/>
      <c r="D165" s="118"/>
      <c r="E165" s="118">
        <v>740.5</v>
      </c>
      <c r="F165" s="118">
        <v>547.6</v>
      </c>
      <c r="G165" s="118">
        <v>532.20000000000005</v>
      </c>
      <c r="H165" s="118">
        <v>532168</v>
      </c>
      <c r="I165" s="118">
        <v>0.26</v>
      </c>
      <c r="J165" s="118">
        <v>530.5</v>
      </c>
      <c r="K165" s="118">
        <v>0.65500000000000003</v>
      </c>
      <c r="L165" s="118">
        <v>0.64200000000000002</v>
      </c>
      <c r="M165" s="118">
        <v>0.92900000000000005</v>
      </c>
      <c r="N165" s="118" t="s">
        <v>515</v>
      </c>
      <c r="O165" s="118" t="s">
        <v>515</v>
      </c>
      <c r="P165" s="118" t="s">
        <v>515</v>
      </c>
      <c r="Q165" s="118">
        <v>40.775219999999997</v>
      </c>
      <c r="R165" s="118">
        <v>-85.606399999999994</v>
      </c>
      <c r="S165" s="118">
        <v>223.7</v>
      </c>
      <c r="T165" s="118">
        <v>61.7</v>
      </c>
      <c r="U165" s="118">
        <v>8.32</v>
      </c>
      <c r="V165" s="118">
        <v>-116.1</v>
      </c>
      <c r="W165" s="118">
        <v>11.7</v>
      </c>
      <c r="X165" s="118">
        <v>0</v>
      </c>
      <c r="Y165" s="118">
        <v>26.513999999999999</v>
      </c>
      <c r="Z165" s="118">
        <v>5.28</v>
      </c>
      <c r="AA165" s="118">
        <v>-30</v>
      </c>
      <c r="AB165" s="19">
        <v>45128</v>
      </c>
      <c r="AC165" s="118" t="s">
        <v>1867</v>
      </c>
    </row>
    <row r="166" spans="1:29" x14ac:dyDescent="0.25">
      <c r="A166" s="230">
        <v>0.58923611111111107</v>
      </c>
      <c r="B166" s="19">
        <v>45128</v>
      </c>
      <c r="C166" s="118"/>
      <c r="D166" s="118"/>
      <c r="E166" s="118">
        <v>740.3</v>
      </c>
      <c r="F166" s="118">
        <v>526.70000000000005</v>
      </c>
      <c r="G166" s="118">
        <v>504</v>
      </c>
      <c r="H166" s="118">
        <v>503988</v>
      </c>
      <c r="I166" s="118">
        <v>0.24</v>
      </c>
      <c r="J166" s="118">
        <v>501.6</v>
      </c>
      <c r="K166" s="118">
        <v>0.495</v>
      </c>
      <c r="L166" s="118">
        <v>0.498</v>
      </c>
      <c r="M166" s="118">
        <v>0.70199999999999996</v>
      </c>
      <c r="N166" s="118" t="s">
        <v>515</v>
      </c>
      <c r="O166" s="118" t="s">
        <v>515</v>
      </c>
      <c r="P166" s="118" t="s">
        <v>515</v>
      </c>
      <c r="Q166" s="118">
        <v>40.775620000000004</v>
      </c>
      <c r="R166" s="118">
        <v>-85.579400000000007</v>
      </c>
      <c r="S166" s="118">
        <v>230.1</v>
      </c>
      <c r="T166" s="118">
        <v>47.2</v>
      </c>
      <c r="U166" s="118">
        <v>8.5399999999999991</v>
      </c>
      <c r="V166" s="118">
        <v>-128.5</v>
      </c>
      <c r="W166" s="118">
        <v>11.7</v>
      </c>
      <c r="X166" s="118">
        <v>0</v>
      </c>
      <c r="Y166" s="118">
        <v>27.361000000000001</v>
      </c>
      <c r="Z166" s="118">
        <v>9.7799999999999994</v>
      </c>
      <c r="AA166" s="118">
        <v>-24</v>
      </c>
      <c r="AB166" s="19">
        <v>45128</v>
      </c>
      <c r="AC166" s="118" t="s">
        <v>1868</v>
      </c>
    </row>
    <row r="167" spans="1:29" x14ac:dyDescent="0.25">
      <c r="A167" s="230">
        <v>0.5750925925925926</v>
      </c>
      <c r="B167" s="19">
        <v>45128</v>
      </c>
      <c r="C167" s="118"/>
      <c r="D167" s="118"/>
      <c r="E167" s="118">
        <v>740.4</v>
      </c>
      <c r="F167" s="118">
        <v>535.29999999999995</v>
      </c>
      <c r="G167" s="118">
        <v>515.70000000000005</v>
      </c>
      <c r="H167" s="118">
        <v>515653</v>
      </c>
      <c r="I167" s="118">
        <v>0.25</v>
      </c>
      <c r="J167" s="118">
        <v>513.6</v>
      </c>
      <c r="K167" s="118">
        <v>0.51400000000000001</v>
      </c>
      <c r="L167" s="118">
        <v>0.505</v>
      </c>
      <c r="M167" s="118">
        <v>0.72799999999999998</v>
      </c>
      <c r="N167" s="118" t="s">
        <v>515</v>
      </c>
      <c r="O167" s="118" t="s">
        <v>515</v>
      </c>
      <c r="P167" s="118" t="s">
        <v>515</v>
      </c>
      <c r="Q167" s="118">
        <v>40.766280000000002</v>
      </c>
      <c r="R167" s="118">
        <v>-85.597880000000004</v>
      </c>
      <c r="S167" s="118">
        <v>227.8</v>
      </c>
      <c r="T167" s="118">
        <v>45.2</v>
      </c>
      <c r="U167" s="118">
        <v>8.4700000000000006</v>
      </c>
      <c r="V167" s="118">
        <v>-124.3</v>
      </c>
      <c r="W167" s="118">
        <v>11.8</v>
      </c>
      <c r="X167" s="118">
        <v>0</v>
      </c>
      <c r="Y167" s="118">
        <v>26.991</v>
      </c>
      <c r="Z167" s="118">
        <v>5.34</v>
      </c>
      <c r="AA167" s="118">
        <v>-30</v>
      </c>
      <c r="AB167" s="19">
        <v>45128</v>
      </c>
      <c r="AC167" s="118" t="s">
        <v>1869</v>
      </c>
    </row>
    <row r="168" spans="1:29" x14ac:dyDescent="0.25">
      <c r="A168" s="230">
        <v>0.60424768518518523</v>
      </c>
      <c r="B168" s="19">
        <v>45128</v>
      </c>
      <c r="C168" s="118"/>
      <c r="D168" s="118"/>
      <c r="E168" s="118">
        <v>740.4</v>
      </c>
      <c r="F168" s="118">
        <v>538.29999999999995</v>
      </c>
      <c r="G168" s="118">
        <v>518.5</v>
      </c>
      <c r="H168" s="118">
        <v>518541</v>
      </c>
      <c r="I168" s="118">
        <v>0.25</v>
      </c>
      <c r="J168" s="118">
        <v>516.4</v>
      </c>
      <c r="K168" s="118">
        <v>0.36299999999999999</v>
      </c>
      <c r="L168" s="118">
        <v>0.34499999999999997</v>
      </c>
      <c r="M168" s="118">
        <v>0.51400000000000001</v>
      </c>
      <c r="N168" s="118" t="s">
        <v>515</v>
      </c>
      <c r="O168" s="118" t="s">
        <v>515</v>
      </c>
      <c r="P168" s="118" t="s">
        <v>515</v>
      </c>
      <c r="Q168" s="118">
        <v>40.756300000000003</v>
      </c>
      <c r="R168" s="118">
        <v>-85.595110000000005</v>
      </c>
      <c r="S168" s="118">
        <v>226.8</v>
      </c>
      <c r="T168" s="118">
        <v>47.6</v>
      </c>
      <c r="U168" s="118">
        <v>8.5</v>
      </c>
      <c r="V168" s="118">
        <v>-126</v>
      </c>
      <c r="W168" s="118">
        <v>11.7</v>
      </c>
      <c r="X168" s="118">
        <v>0</v>
      </c>
      <c r="Y168" s="118">
        <v>26.994</v>
      </c>
      <c r="Z168" s="118">
        <v>5.88</v>
      </c>
      <c r="AA168" s="118">
        <v>-29</v>
      </c>
      <c r="AB168" s="19">
        <v>45128</v>
      </c>
      <c r="AC168" s="118" t="s">
        <v>1870</v>
      </c>
    </row>
    <row r="169" spans="1:29" x14ac:dyDescent="0.25">
      <c r="A169" s="230">
        <v>0.4427314814814815</v>
      </c>
      <c r="B169" s="19">
        <v>45134</v>
      </c>
      <c r="C169" s="118"/>
      <c r="D169" s="118"/>
      <c r="E169" s="118">
        <v>740.4</v>
      </c>
      <c r="F169" s="118">
        <v>600.20000000000005</v>
      </c>
      <c r="G169" s="118">
        <v>574.5</v>
      </c>
      <c r="H169" s="118">
        <v>574487</v>
      </c>
      <c r="I169" s="118">
        <v>0.28000000000000003</v>
      </c>
      <c r="J169" s="118">
        <v>571.70000000000005</v>
      </c>
      <c r="K169" s="118">
        <v>0.33700000000000002</v>
      </c>
      <c r="L169" s="118">
        <v>0.32700000000000001</v>
      </c>
      <c r="M169" s="118">
        <v>0.47699999999999998</v>
      </c>
      <c r="N169" s="118" t="s">
        <v>515</v>
      </c>
      <c r="O169" s="118" t="s">
        <v>515</v>
      </c>
      <c r="P169" s="118" t="s">
        <v>515</v>
      </c>
      <c r="Q169" s="118">
        <v>40.681690000000003</v>
      </c>
      <c r="R169" s="118">
        <v>-85.888779999999997</v>
      </c>
      <c r="S169" s="118">
        <v>230.2</v>
      </c>
      <c r="T169" s="118">
        <v>81.400000000000006</v>
      </c>
      <c r="U169" s="118">
        <v>8.0500000000000007</v>
      </c>
      <c r="V169" s="118">
        <v>-110.4</v>
      </c>
      <c r="W169" s="118">
        <v>11.7</v>
      </c>
      <c r="X169" s="118">
        <v>0</v>
      </c>
      <c r="Y169" s="118">
        <v>27.344000000000001</v>
      </c>
      <c r="Z169" s="118">
        <v>3.17</v>
      </c>
      <c r="AA169" s="118">
        <v>-33</v>
      </c>
      <c r="AB169" s="19">
        <v>45134</v>
      </c>
      <c r="AC169" s="118" t="s">
        <v>1717</v>
      </c>
    </row>
    <row r="170" spans="1:29" x14ac:dyDescent="0.25">
      <c r="A170" s="230">
        <v>0.61561342592592594</v>
      </c>
      <c r="B170" s="19">
        <v>45134</v>
      </c>
      <c r="C170" s="118"/>
      <c r="D170" s="118"/>
      <c r="E170" s="118">
        <v>740.8</v>
      </c>
      <c r="F170" s="118">
        <v>598.6</v>
      </c>
      <c r="G170" s="118">
        <v>559.20000000000005</v>
      </c>
      <c r="H170" s="118">
        <v>559196</v>
      </c>
      <c r="I170" s="118">
        <v>0.27</v>
      </c>
      <c r="J170" s="118">
        <v>554.9</v>
      </c>
      <c r="K170" s="118">
        <v>0.39600000000000002</v>
      </c>
      <c r="L170" s="118">
        <v>0.39</v>
      </c>
      <c r="M170" s="118">
        <v>0.56200000000000006</v>
      </c>
      <c r="N170" s="118" t="s">
        <v>515</v>
      </c>
      <c r="O170" s="118" t="s">
        <v>515</v>
      </c>
      <c r="P170" s="118" t="s">
        <v>515</v>
      </c>
      <c r="Q170" s="118">
        <v>40.69332</v>
      </c>
      <c r="R170" s="118">
        <v>-85.919759999999997</v>
      </c>
      <c r="S170" s="118">
        <v>221.7</v>
      </c>
      <c r="T170" s="118">
        <v>63.1</v>
      </c>
      <c r="U170" s="118">
        <v>8.2899999999999991</v>
      </c>
      <c r="V170" s="118">
        <v>-124.9</v>
      </c>
      <c r="W170" s="118">
        <v>11.8</v>
      </c>
      <c r="X170" s="118">
        <v>0</v>
      </c>
      <c r="Y170" s="118">
        <v>28.689</v>
      </c>
      <c r="Z170" s="118">
        <v>3.53</v>
      </c>
      <c r="AA170" s="118">
        <v>-32</v>
      </c>
      <c r="AB170" s="19">
        <v>45134</v>
      </c>
      <c r="AC170" s="118" t="s">
        <v>1725</v>
      </c>
    </row>
    <row r="171" spans="1:29" x14ac:dyDescent="0.25">
      <c r="A171" s="230">
        <v>0.64657407407407408</v>
      </c>
      <c r="B171" s="19">
        <v>45134</v>
      </c>
      <c r="C171" s="118"/>
      <c r="D171" s="118"/>
      <c r="E171" s="118">
        <v>740.7</v>
      </c>
      <c r="F171" s="118">
        <v>622.20000000000005</v>
      </c>
      <c r="G171" s="118">
        <v>560</v>
      </c>
      <c r="H171" s="118">
        <v>559970</v>
      </c>
      <c r="I171" s="118">
        <v>0.27</v>
      </c>
      <c r="J171" s="118">
        <v>553</v>
      </c>
      <c r="K171" s="118">
        <v>0.40200000000000002</v>
      </c>
      <c r="L171" s="118">
        <v>0.4</v>
      </c>
      <c r="M171" s="118">
        <v>0.56899999999999995</v>
      </c>
      <c r="N171" s="118" t="s">
        <v>515</v>
      </c>
      <c r="O171" s="118" t="s">
        <v>515</v>
      </c>
      <c r="P171" s="118" t="s">
        <v>515</v>
      </c>
      <c r="Q171" s="118">
        <v>40.713749999999997</v>
      </c>
      <c r="R171" s="118">
        <v>-85.936920000000001</v>
      </c>
      <c r="S171" s="118">
        <v>222</v>
      </c>
      <c r="T171" s="118">
        <v>61.7</v>
      </c>
      <c r="U171" s="118">
        <v>8.2899999999999991</v>
      </c>
      <c r="V171" s="118">
        <v>-125.5</v>
      </c>
      <c r="W171" s="118">
        <v>11.8</v>
      </c>
      <c r="X171" s="118">
        <v>0</v>
      </c>
      <c r="Y171" s="118">
        <v>30.814</v>
      </c>
      <c r="Z171" s="118">
        <v>3.48</v>
      </c>
      <c r="AA171" s="118">
        <v>-32</v>
      </c>
      <c r="AB171" s="19">
        <v>45134</v>
      </c>
      <c r="AC171" s="118" t="s">
        <v>1719</v>
      </c>
    </row>
    <row r="172" spans="1:29" x14ac:dyDescent="0.25">
      <c r="A172" s="230">
        <v>0.65658564814814813</v>
      </c>
      <c r="B172" s="19">
        <v>45134</v>
      </c>
      <c r="C172" s="118"/>
      <c r="D172" s="118"/>
      <c r="E172" s="118">
        <v>740.5</v>
      </c>
      <c r="F172" s="118">
        <v>602.4</v>
      </c>
      <c r="G172" s="118">
        <v>557</v>
      </c>
      <c r="H172" s="118">
        <v>557002</v>
      </c>
      <c r="I172" s="118">
        <v>0.27</v>
      </c>
      <c r="J172" s="118">
        <v>552</v>
      </c>
      <c r="K172" s="118">
        <v>0.56000000000000005</v>
      </c>
      <c r="L172" s="118">
        <v>0.57399999999999995</v>
      </c>
      <c r="M172" s="118">
        <v>0.79300000000000004</v>
      </c>
      <c r="N172" s="118" t="s">
        <v>515</v>
      </c>
      <c r="O172" s="118" t="s">
        <v>515</v>
      </c>
      <c r="P172" s="118" t="s">
        <v>515</v>
      </c>
      <c r="Q172" s="118">
        <v>40.711039999999997</v>
      </c>
      <c r="R172" s="118">
        <v>-85.953779999999995</v>
      </c>
      <c r="S172" s="118">
        <v>223.2</v>
      </c>
      <c r="T172" s="118">
        <v>60.8</v>
      </c>
      <c r="U172" s="118">
        <v>8.36</v>
      </c>
      <c r="V172" s="118">
        <v>-129.6</v>
      </c>
      <c r="W172" s="118">
        <v>11.8</v>
      </c>
      <c r="X172" s="118">
        <v>0</v>
      </c>
      <c r="Y172" s="118">
        <v>29.263000000000002</v>
      </c>
      <c r="Z172" s="118">
        <v>3.29</v>
      </c>
      <c r="AA172" s="118">
        <v>-33</v>
      </c>
      <c r="AB172" s="19">
        <v>45134</v>
      </c>
      <c r="AC172" s="118" t="s">
        <v>1720</v>
      </c>
    </row>
    <row r="173" spans="1:29" x14ac:dyDescent="0.25">
      <c r="A173" s="230">
        <v>0.5309490740740741</v>
      </c>
      <c r="B173" s="19">
        <v>45134</v>
      </c>
      <c r="C173" s="118"/>
      <c r="D173" s="118"/>
      <c r="E173" s="118">
        <v>741</v>
      </c>
      <c r="F173" s="118">
        <v>649.4</v>
      </c>
      <c r="G173" s="118">
        <v>594.29999999999995</v>
      </c>
      <c r="H173" s="118">
        <v>594265</v>
      </c>
      <c r="I173" s="118">
        <v>0.28000000000000003</v>
      </c>
      <c r="J173" s="118">
        <v>588.20000000000005</v>
      </c>
      <c r="K173" s="118">
        <v>0.32500000000000001</v>
      </c>
      <c r="L173" s="118">
        <v>0.33</v>
      </c>
      <c r="M173" s="118">
        <v>0.46100000000000002</v>
      </c>
      <c r="N173" s="118" t="s">
        <v>515</v>
      </c>
      <c r="O173" s="118" t="s">
        <v>515</v>
      </c>
      <c r="P173" s="118" t="s">
        <v>515</v>
      </c>
      <c r="Q173" s="118">
        <v>40.674959999999999</v>
      </c>
      <c r="R173" s="118">
        <v>-85.835459999999998</v>
      </c>
      <c r="S173" s="118">
        <v>221</v>
      </c>
      <c r="T173" s="118">
        <v>41.6</v>
      </c>
      <c r="U173" s="118">
        <v>8.19</v>
      </c>
      <c r="V173" s="118">
        <v>-119.5</v>
      </c>
      <c r="W173" s="118">
        <v>11.8</v>
      </c>
      <c r="X173" s="118">
        <v>0</v>
      </c>
      <c r="Y173" s="118">
        <v>29.861999999999998</v>
      </c>
      <c r="Z173" s="118">
        <v>3.24</v>
      </c>
      <c r="AA173" s="118">
        <v>-33</v>
      </c>
      <c r="AB173" s="19">
        <v>45134</v>
      </c>
      <c r="AC173" s="118" t="s">
        <v>1721</v>
      </c>
    </row>
    <row r="174" spans="1:29" x14ac:dyDescent="0.25">
      <c r="A174" s="230">
        <v>0.54458333333333331</v>
      </c>
      <c r="B174" s="19">
        <v>45134</v>
      </c>
      <c r="C174" s="118"/>
      <c r="D174" s="118"/>
      <c r="E174" s="118">
        <v>741</v>
      </c>
      <c r="F174" s="118">
        <v>635.5</v>
      </c>
      <c r="G174" s="118">
        <v>594.5</v>
      </c>
      <c r="H174" s="118">
        <v>594472</v>
      </c>
      <c r="I174" s="118">
        <v>0.28999999999999998</v>
      </c>
      <c r="J174" s="118">
        <v>590</v>
      </c>
      <c r="K174" s="118">
        <v>0.39200000000000002</v>
      </c>
      <c r="L174" s="118">
        <v>0.39100000000000001</v>
      </c>
      <c r="M174" s="118">
        <v>0.55500000000000005</v>
      </c>
      <c r="N174" s="118" t="s">
        <v>515</v>
      </c>
      <c r="O174" s="118" t="s">
        <v>515</v>
      </c>
      <c r="P174" s="118" t="s">
        <v>515</v>
      </c>
      <c r="Q174" s="118">
        <v>40.673729999999999</v>
      </c>
      <c r="R174" s="118">
        <v>-85.841239999999999</v>
      </c>
      <c r="S174" s="118">
        <v>221.1</v>
      </c>
      <c r="T174" s="118">
        <v>35.1</v>
      </c>
      <c r="U174" s="118">
        <v>8.3000000000000007</v>
      </c>
      <c r="V174" s="118">
        <v>-125.6</v>
      </c>
      <c r="W174" s="118">
        <v>11.8</v>
      </c>
      <c r="X174" s="118">
        <v>0</v>
      </c>
      <c r="Y174" s="118">
        <v>28.611999999999998</v>
      </c>
      <c r="Z174" s="118">
        <v>4.87</v>
      </c>
      <c r="AA174" s="118">
        <v>-31</v>
      </c>
      <c r="AB174" s="19">
        <v>45134</v>
      </c>
      <c r="AC174" s="118" t="s">
        <v>1726</v>
      </c>
    </row>
    <row r="175" spans="1:29" x14ac:dyDescent="0.25">
      <c r="A175" s="230">
        <v>0.67800925925925926</v>
      </c>
      <c r="B175" s="19">
        <v>45134</v>
      </c>
      <c r="C175" s="118"/>
      <c r="D175" s="118"/>
      <c r="E175" s="118">
        <v>740.5</v>
      </c>
      <c r="F175" s="118">
        <v>587.4</v>
      </c>
      <c r="G175" s="118">
        <v>552.1</v>
      </c>
      <c r="H175" s="118">
        <v>552106</v>
      </c>
      <c r="I175" s="118">
        <v>0.26</v>
      </c>
      <c r="J175" s="118">
        <v>548.29999999999995</v>
      </c>
      <c r="K175" s="118">
        <v>0.55700000000000005</v>
      </c>
      <c r="L175" s="118">
        <v>0.57099999999999995</v>
      </c>
      <c r="M175" s="118">
        <v>0.78900000000000003</v>
      </c>
      <c r="N175" s="118" t="s">
        <v>515</v>
      </c>
      <c r="O175" s="118" t="s">
        <v>515</v>
      </c>
      <c r="P175" s="118" t="s">
        <v>515</v>
      </c>
      <c r="Q175" s="118">
        <v>40.707369999999997</v>
      </c>
      <c r="R175" s="118">
        <v>-85.939970000000002</v>
      </c>
      <c r="S175" s="118">
        <v>224.8</v>
      </c>
      <c r="T175" s="118">
        <v>56.8</v>
      </c>
      <c r="U175" s="118">
        <v>8.4</v>
      </c>
      <c r="V175" s="118">
        <v>-131.4</v>
      </c>
      <c r="W175" s="118">
        <v>11.8</v>
      </c>
      <c r="X175" s="118">
        <v>0</v>
      </c>
      <c r="Y175" s="118">
        <v>28.347000000000001</v>
      </c>
      <c r="Z175" s="118">
        <v>5.54</v>
      </c>
      <c r="AA175" s="118">
        <v>-30</v>
      </c>
      <c r="AB175" s="19">
        <v>45134</v>
      </c>
      <c r="AC175" s="118" t="s">
        <v>1727</v>
      </c>
    </row>
    <row r="176" spans="1:29" x14ac:dyDescent="0.25">
      <c r="A176" s="230">
        <v>0.46538194444444442</v>
      </c>
      <c r="B176" s="19">
        <v>45134</v>
      </c>
      <c r="C176" s="118"/>
      <c r="D176" s="118"/>
      <c r="E176" s="118">
        <v>740.8</v>
      </c>
      <c r="F176" s="118">
        <v>607.9</v>
      </c>
      <c r="G176" s="118">
        <v>574.70000000000005</v>
      </c>
      <c r="H176" s="118">
        <v>574667</v>
      </c>
      <c r="I176" s="118">
        <v>0.28000000000000003</v>
      </c>
      <c r="J176" s="118">
        <v>571.1</v>
      </c>
      <c r="K176" s="118">
        <v>0.36099999999999999</v>
      </c>
      <c r="L176" s="118">
        <v>0.35799999999999998</v>
      </c>
      <c r="M176" s="118">
        <v>0.51100000000000001</v>
      </c>
      <c r="N176" s="118" t="s">
        <v>515</v>
      </c>
      <c r="O176" s="118" t="s">
        <v>515</v>
      </c>
      <c r="P176" s="118" t="s">
        <v>515</v>
      </c>
      <c r="Q176" s="118">
        <v>40.676909999999999</v>
      </c>
      <c r="R176" s="118">
        <v>-85.876400000000004</v>
      </c>
      <c r="S176" s="118">
        <v>222.6</v>
      </c>
      <c r="T176" s="118">
        <v>77.8</v>
      </c>
      <c r="U176" s="118">
        <v>8.18</v>
      </c>
      <c r="V176" s="118">
        <v>-118.5</v>
      </c>
      <c r="W176" s="118">
        <v>11.7</v>
      </c>
      <c r="X176" s="118">
        <v>0</v>
      </c>
      <c r="Y176" s="118">
        <v>28.027000000000001</v>
      </c>
      <c r="Z176" s="118">
        <v>3.4</v>
      </c>
      <c r="AA176" s="118">
        <v>-33</v>
      </c>
      <c r="AB176" s="19">
        <v>45134</v>
      </c>
      <c r="AC176" s="118" t="s">
        <v>1716</v>
      </c>
    </row>
    <row r="177" spans="1:29" x14ac:dyDescent="0.25">
      <c r="A177" s="230">
        <v>0.47885416666666669</v>
      </c>
      <c r="B177" s="19">
        <v>45134</v>
      </c>
      <c r="C177" s="118"/>
      <c r="D177" s="118"/>
      <c r="E177" s="118">
        <v>740.8</v>
      </c>
      <c r="F177" s="118">
        <v>609.1</v>
      </c>
      <c r="G177" s="118">
        <v>585.79999999999995</v>
      </c>
      <c r="H177" s="118">
        <v>585820</v>
      </c>
      <c r="I177" s="118">
        <v>0.28000000000000003</v>
      </c>
      <c r="J177" s="118">
        <v>583.29999999999995</v>
      </c>
      <c r="K177" s="118">
        <v>0.9</v>
      </c>
      <c r="L177" s="118">
        <v>0.89</v>
      </c>
      <c r="M177" s="118">
        <v>1.2749999999999999</v>
      </c>
      <c r="N177" s="118" t="s">
        <v>515</v>
      </c>
      <c r="O177" s="118" t="s">
        <v>515</v>
      </c>
      <c r="P177" s="118" t="s">
        <v>515</v>
      </c>
      <c r="Q177" s="118">
        <v>40.670729999999999</v>
      </c>
      <c r="R177" s="118">
        <v>-85.869500000000002</v>
      </c>
      <c r="S177" s="118">
        <v>215.4</v>
      </c>
      <c r="T177" s="118">
        <v>66.8</v>
      </c>
      <c r="U177" s="118">
        <v>8.1999999999999993</v>
      </c>
      <c r="V177" s="118">
        <v>-119.2</v>
      </c>
      <c r="W177" s="118">
        <v>11.7</v>
      </c>
      <c r="X177" s="118">
        <v>0</v>
      </c>
      <c r="Y177" s="118">
        <v>27.077999999999999</v>
      </c>
      <c r="Z177" s="118">
        <v>4.5999999999999996</v>
      </c>
      <c r="AA177" s="118">
        <v>-31</v>
      </c>
      <c r="AB177" s="19">
        <v>45134</v>
      </c>
      <c r="AC177" s="118" t="s">
        <v>1715</v>
      </c>
    </row>
    <row r="178" spans="1:29" x14ac:dyDescent="0.25">
      <c r="A178" s="230">
        <v>0.49039351851851853</v>
      </c>
      <c r="B178" s="19">
        <v>45134</v>
      </c>
      <c r="C178" s="118"/>
      <c r="D178" s="118"/>
      <c r="E178" s="118">
        <v>740.9</v>
      </c>
      <c r="F178" s="118">
        <v>625.9</v>
      </c>
      <c r="G178" s="118">
        <v>595.9</v>
      </c>
      <c r="H178" s="118">
        <v>595911</v>
      </c>
      <c r="I178" s="118">
        <v>0.28999999999999998</v>
      </c>
      <c r="J178" s="118">
        <v>592.70000000000005</v>
      </c>
      <c r="K178" s="118">
        <v>0.29599999999999999</v>
      </c>
      <c r="L178" s="118">
        <v>0.28799999999999998</v>
      </c>
      <c r="M178" s="118">
        <v>0.42</v>
      </c>
      <c r="N178" s="118" t="s">
        <v>515</v>
      </c>
      <c r="O178" s="118" t="s">
        <v>515</v>
      </c>
      <c r="P178" s="118" t="s">
        <v>515</v>
      </c>
      <c r="Q178" s="118">
        <v>40.663069999999998</v>
      </c>
      <c r="R178" s="118">
        <v>-85.865989999999996</v>
      </c>
      <c r="S178" s="118">
        <v>218.5</v>
      </c>
      <c r="T178" s="118">
        <v>89.6</v>
      </c>
      <c r="U178" s="118">
        <v>8.16</v>
      </c>
      <c r="V178" s="118">
        <v>-116.9</v>
      </c>
      <c r="W178" s="118">
        <v>11.8</v>
      </c>
      <c r="X178" s="118">
        <v>0</v>
      </c>
      <c r="Y178" s="118">
        <v>27.638999999999999</v>
      </c>
      <c r="Z178" s="118">
        <v>4.34</v>
      </c>
      <c r="AA178" s="118">
        <v>-31</v>
      </c>
      <c r="AB178" s="19">
        <v>45134</v>
      </c>
      <c r="AC178" s="118" t="s">
        <v>1714</v>
      </c>
    </row>
    <row r="179" spans="1:29" x14ac:dyDescent="0.25">
      <c r="A179" s="230">
        <v>0.50407407407407412</v>
      </c>
      <c r="B179" s="19">
        <v>45134</v>
      </c>
      <c r="C179" s="118"/>
      <c r="D179" s="118"/>
      <c r="E179" s="118">
        <v>741</v>
      </c>
      <c r="F179" s="118">
        <v>627.20000000000005</v>
      </c>
      <c r="G179" s="118">
        <v>600.9</v>
      </c>
      <c r="H179" s="118">
        <v>600903</v>
      </c>
      <c r="I179" s="118">
        <v>0.28999999999999998</v>
      </c>
      <c r="J179" s="118">
        <v>598.1</v>
      </c>
      <c r="K179" s="118">
        <v>0.495</v>
      </c>
      <c r="L179" s="118">
        <v>0.50900000000000001</v>
      </c>
      <c r="M179" s="118">
        <v>0.70099999999999996</v>
      </c>
      <c r="N179" s="118" t="s">
        <v>515</v>
      </c>
      <c r="O179" s="118" t="s">
        <v>515</v>
      </c>
      <c r="P179" s="118" t="s">
        <v>515</v>
      </c>
      <c r="Q179" s="118">
        <v>40.668590000000002</v>
      </c>
      <c r="R179" s="118">
        <v>-85.847319999999996</v>
      </c>
      <c r="S179" s="118">
        <v>217.5</v>
      </c>
      <c r="T179" s="118">
        <v>86.3</v>
      </c>
      <c r="U179" s="118">
        <v>8.14</v>
      </c>
      <c r="V179" s="118">
        <v>-115.6</v>
      </c>
      <c r="W179" s="118">
        <v>11.8</v>
      </c>
      <c r="X179" s="118">
        <v>0</v>
      </c>
      <c r="Y179" s="118">
        <v>27.291</v>
      </c>
      <c r="Z179" s="118">
        <v>6.32</v>
      </c>
      <c r="AA179" s="118">
        <v>-29</v>
      </c>
      <c r="AB179" s="19">
        <v>45134</v>
      </c>
      <c r="AC179" s="118" t="s">
        <v>1713</v>
      </c>
    </row>
    <row r="180" spans="1:29" x14ac:dyDescent="0.25">
      <c r="A180" s="230">
        <v>0.51777777777777778</v>
      </c>
      <c r="B180" s="19">
        <v>45134</v>
      </c>
      <c r="C180" s="118"/>
      <c r="D180" s="118"/>
      <c r="E180" s="118">
        <v>740.9</v>
      </c>
      <c r="F180" s="118">
        <v>622.9</v>
      </c>
      <c r="G180" s="118">
        <v>584.4</v>
      </c>
      <c r="H180" s="118">
        <v>584380</v>
      </c>
      <c r="I180" s="118">
        <v>0.28000000000000003</v>
      </c>
      <c r="J180" s="118">
        <v>580.20000000000005</v>
      </c>
      <c r="K180" s="118">
        <v>0.377</v>
      </c>
      <c r="L180" s="118">
        <v>0.39600000000000002</v>
      </c>
      <c r="M180" s="118">
        <v>0.53400000000000003</v>
      </c>
      <c r="N180" s="118" t="s">
        <v>515</v>
      </c>
      <c r="O180" s="118" t="s">
        <v>515</v>
      </c>
      <c r="P180" s="118" t="s">
        <v>515</v>
      </c>
      <c r="Q180" s="118">
        <v>40.67371</v>
      </c>
      <c r="R180" s="118">
        <v>-85.831440000000001</v>
      </c>
      <c r="S180" s="118">
        <v>218.9</v>
      </c>
      <c r="T180" s="118">
        <v>60</v>
      </c>
      <c r="U180" s="118">
        <v>8.4</v>
      </c>
      <c r="V180" s="118">
        <v>-131.5</v>
      </c>
      <c r="W180" s="118">
        <v>11.8</v>
      </c>
      <c r="X180" s="118">
        <v>0</v>
      </c>
      <c r="Y180" s="118">
        <v>28.45</v>
      </c>
      <c r="Z180" s="118">
        <v>4.47</v>
      </c>
      <c r="AA180" s="118">
        <v>-31</v>
      </c>
      <c r="AB180" s="19">
        <v>45134</v>
      </c>
      <c r="AC180" s="118" t="s">
        <v>1712</v>
      </c>
    </row>
    <row r="181" spans="1:29" x14ac:dyDescent="0.25">
      <c r="A181" s="230">
        <v>0.59065972222222218</v>
      </c>
      <c r="B181" s="19">
        <v>45134</v>
      </c>
      <c r="C181" s="118"/>
      <c r="D181" s="118"/>
      <c r="E181" s="118">
        <v>740.9</v>
      </c>
      <c r="F181" s="118">
        <v>598.6</v>
      </c>
      <c r="G181" s="118">
        <v>562.9</v>
      </c>
      <c r="H181" s="118">
        <v>562903</v>
      </c>
      <c r="I181" s="118">
        <v>0.27</v>
      </c>
      <c r="J181" s="118">
        <v>559</v>
      </c>
      <c r="K181" s="118">
        <v>0.48199999999999998</v>
      </c>
      <c r="L181" s="118">
        <v>0.5</v>
      </c>
      <c r="M181" s="118">
        <v>0.68300000000000005</v>
      </c>
      <c r="N181" s="118" t="s">
        <v>515</v>
      </c>
      <c r="O181" s="118" t="s">
        <v>515</v>
      </c>
      <c r="P181" s="118" t="s">
        <v>515</v>
      </c>
      <c r="Q181" s="118">
        <v>40.68938</v>
      </c>
      <c r="R181" s="118">
        <v>-85.895300000000006</v>
      </c>
      <c r="S181" s="118">
        <v>223</v>
      </c>
      <c r="T181" s="118">
        <v>43.8</v>
      </c>
      <c r="U181" s="118">
        <v>8.49</v>
      </c>
      <c r="V181" s="118">
        <v>-136.69999999999999</v>
      </c>
      <c r="W181" s="118">
        <v>11.8</v>
      </c>
      <c r="X181" s="118">
        <v>0</v>
      </c>
      <c r="Y181" s="118">
        <v>28.318000000000001</v>
      </c>
      <c r="Z181" s="118">
        <v>4.0599999999999996</v>
      </c>
      <c r="AA181" s="118">
        <v>-32</v>
      </c>
      <c r="AB181" s="19">
        <v>45134</v>
      </c>
      <c r="AC181" s="118" t="s">
        <v>1724</v>
      </c>
    </row>
    <row r="182" spans="1:29" x14ac:dyDescent="0.25">
      <c r="A182" s="230">
        <v>0.60516203703703708</v>
      </c>
      <c r="B182" s="19">
        <v>45134</v>
      </c>
      <c r="C182" s="118"/>
      <c r="D182" s="118"/>
      <c r="E182" s="118">
        <v>740.9</v>
      </c>
      <c r="F182" s="118">
        <v>601.70000000000005</v>
      </c>
      <c r="G182" s="118">
        <v>570.6</v>
      </c>
      <c r="H182" s="118">
        <v>570645</v>
      </c>
      <c r="I182" s="118">
        <v>0.27</v>
      </c>
      <c r="J182" s="118">
        <v>567.29999999999995</v>
      </c>
      <c r="K182" s="118">
        <v>0.51500000000000001</v>
      </c>
      <c r="L182" s="118">
        <v>0.52600000000000002</v>
      </c>
      <c r="M182" s="118">
        <v>0.73099999999999998</v>
      </c>
      <c r="N182" s="118" t="s">
        <v>515</v>
      </c>
      <c r="O182" s="118" t="s">
        <v>515</v>
      </c>
      <c r="P182" s="118" t="s">
        <v>515</v>
      </c>
      <c r="Q182" s="118">
        <v>40.693240000000003</v>
      </c>
      <c r="R182" s="118">
        <v>-85.907520000000005</v>
      </c>
      <c r="S182" s="118">
        <v>224.4</v>
      </c>
      <c r="T182" s="118">
        <v>47.3</v>
      </c>
      <c r="U182" s="118">
        <v>8.3000000000000007</v>
      </c>
      <c r="V182" s="118">
        <v>-125.4</v>
      </c>
      <c r="W182" s="118">
        <v>11.8</v>
      </c>
      <c r="X182" s="118">
        <v>0</v>
      </c>
      <c r="Y182" s="118">
        <v>27.844000000000001</v>
      </c>
      <c r="Z182" s="118">
        <v>3.72</v>
      </c>
      <c r="AA182" s="118">
        <v>-32</v>
      </c>
      <c r="AB182" s="19">
        <v>45134</v>
      </c>
      <c r="AC182" s="118" t="s">
        <v>1722</v>
      </c>
    </row>
    <row r="183" spans="1:29" x14ac:dyDescent="0.25">
      <c r="A183" s="230">
        <v>0.63611111111111107</v>
      </c>
      <c r="B183" s="19">
        <v>45134</v>
      </c>
      <c r="C183" s="118"/>
      <c r="D183" s="118"/>
      <c r="E183" s="118">
        <v>740.8</v>
      </c>
      <c r="F183" s="118">
        <v>600.9</v>
      </c>
      <c r="G183" s="118">
        <v>556</v>
      </c>
      <c r="H183" s="118">
        <v>556018</v>
      </c>
      <c r="I183" s="118">
        <v>0.27</v>
      </c>
      <c r="J183" s="118">
        <v>551.1</v>
      </c>
      <c r="K183" s="118">
        <v>0.316</v>
      </c>
      <c r="L183" s="118">
        <v>0.33200000000000002</v>
      </c>
      <c r="M183" s="118">
        <v>0.44700000000000001</v>
      </c>
      <c r="N183" s="118" t="s">
        <v>515</v>
      </c>
      <c r="O183" s="118" t="s">
        <v>515</v>
      </c>
      <c r="P183" s="118" t="s">
        <v>515</v>
      </c>
      <c r="Q183" s="118">
        <v>40.704439999999998</v>
      </c>
      <c r="R183" s="118">
        <v>-85.929419999999993</v>
      </c>
      <c r="S183" s="118">
        <v>221.1</v>
      </c>
      <c r="T183" s="118">
        <v>54.4</v>
      </c>
      <c r="U183" s="118">
        <v>8.2899999999999991</v>
      </c>
      <c r="V183" s="118">
        <v>-125.2</v>
      </c>
      <c r="W183" s="118">
        <v>11.8</v>
      </c>
      <c r="X183" s="118">
        <v>0</v>
      </c>
      <c r="Y183" s="118">
        <v>29.231000000000002</v>
      </c>
      <c r="Z183" s="118">
        <v>3.14</v>
      </c>
      <c r="AA183" s="118">
        <v>-33</v>
      </c>
      <c r="AB183" s="19">
        <v>45134</v>
      </c>
      <c r="AC183" s="118" t="s">
        <v>1718</v>
      </c>
    </row>
    <row r="184" spans="1:29" x14ac:dyDescent="0.25">
      <c r="A184" s="230">
        <v>0.72100694444444446</v>
      </c>
      <c r="B184" s="19">
        <v>45139</v>
      </c>
      <c r="C184" s="118"/>
      <c r="D184" s="118"/>
      <c r="E184" s="118">
        <v>749.1</v>
      </c>
      <c r="F184" s="118">
        <v>756.2</v>
      </c>
      <c r="G184" s="118">
        <v>716.6</v>
      </c>
      <c r="H184" s="118">
        <v>716649</v>
      </c>
      <c r="I184" s="118">
        <v>0.35</v>
      </c>
      <c r="J184" s="118">
        <v>712.4</v>
      </c>
      <c r="K184" s="118">
        <v>0.187</v>
      </c>
      <c r="L184" s="118">
        <v>0.17899999999999999</v>
      </c>
      <c r="M184" s="118">
        <v>0.26600000000000001</v>
      </c>
      <c r="N184" s="118" t="s">
        <v>515</v>
      </c>
      <c r="O184" s="118" t="s">
        <v>515</v>
      </c>
      <c r="P184" s="118" t="s">
        <v>515</v>
      </c>
      <c r="Q184" s="118">
        <v>40.83484</v>
      </c>
      <c r="R184" s="118">
        <v>-86.807980000000001</v>
      </c>
      <c r="S184" s="118">
        <v>200.8</v>
      </c>
      <c r="T184" s="118">
        <v>71.900000000000006</v>
      </c>
      <c r="U184" s="118">
        <v>8.1300000000000008</v>
      </c>
      <c r="V184" s="118">
        <v>-110.4</v>
      </c>
      <c r="W184" s="118">
        <v>11.7</v>
      </c>
      <c r="X184" s="118">
        <v>0</v>
      </c>
      <c r="Y184" s="118">
        <v>27.888000000000002</v>
      </c>
      <c r="Z184" s="118">
        <v>6.45</v>
      </c>
      <c r="AA184" s="118">
        <v>16</v>
      </c>
      <c r="AB184" s="19">
        <v>45139</v>
      </c>
      <c r="AC184" s="118" t="s">
        <v>1875</v>
      </c>
    </row>
    <row r="185" spans="1:29" x14ac:dyDescent="0.25">
      <c r="A185" s="230">
        <v>0.85709490740740746</v>
      </c>
      <c r="B185" s="19">
        <v>45139</v>
      </c>
      <c r="C185" s="118"/>
      <c r="D185" s="118"/>
      <c r="E185" s="118">
        <v>747.7</v>
      </c>
      <c r="F185" s="118">
        <v>812.4</v>
      </c>
      <c r="G185" s="118">
        <v>760.4</v>
      </c>
      <c r="H185" s="118">
        <v>760390</v>
      </c>
      <c r="I185" s="118">
        <v>0.37</v>
      </c>
      <c r="J185" s="118">
        <v>754.7</v>
      </c>
      <c r="K185" s="118">
        <v>0.16400000000000001</v>
      </c>
      <c r="L185" s="118">
        <v>0.17</v>
      </c>
      <c r="M185" s="118">
        <v>0.23200000000000001</v>
      </c>
      <c r="N185" s="118" t="s">
        <v>515</v>
      </c>
      <c r="O185" s="118" t="s">
        <v>515</v>
      </c>
      <c r="P185" s="118" t="s">
        <v>515</v>
      </c>
      <c r="Q185" s="118">
        <v>40.794580000000003</v>
      </c>
      <c r="R185" s="118">
        <v>-86.773960000000002</v>
      </c>
      <c r="S185" s="118">
        <v>197</v>
      </c>
      <c r="T185" s="118">
        <v>100</v>
      </c>
      <c r="U185" s="118">
        <v>8.3800000000000008</v>
      </c>
      <c r="V185" s="118">
        <v>-125.1</v>
      </c>
      <c r="W185" s="118">
        <v>11.9</v>
      </c>
      <c r="X185" s="118">
        <v>0</v>
      </c>
      <c r="Y185" s="118">
        <v>28.582999999999998</v>
      </c>
      <c r="Z185" s="118">
        <v>6.33</v>
      </c>
      <c r="AA185" s="118">
        <v>15</v>
      </c>
      <c r="AB185" s="19">
        <v>45139</v>
      </c>
      <c r="AC185" s="118" t="s">
        <v>1741</v>
      </c>
    </row>
    <row r="186" spans="1:29" x14ac:dyDescent="0.25">
      <c r="A186" s="230">
        <v>0.88021990740740741</v>
      </c>
      <c r="B186" s="19">
        <v>45139</v>
      </c>
      <c r="C186" s="118"/>
      <c r="D186" s="118"/>
      <c r="E186" s="118">
        <v>747.7</v>
      </c>
      <c r="F186" s="118">
        <v>809.1</v>
      </c>
      <c r="G186" s="118">
        <v>750.6</v>
      </c>
      <c r="H186" s="118">
        <v>750629</v>
      </c>
      <c r="I186" s="118">
        <v>0.36</v>
      </c>
      <c r="J186" s="118">
        <v>744.2</v>
      </c>
      <c r="K186" s="118">
        <v>0.17</v>
      </c>
      <c r="L186" s="118">
        <v>0.16700000000000001</v>
      </c>
      <c r="M186" s="118">
        <v>0.24099999999999999</v>
      </c>
      <c r="N186" s="118" t="s">
        <v>515</v>
      </c>
      <c r="O186" s="118" t="s">
        <v>515</v>
      </c>
      <c r="P186" s="118" t="s">
        <v>515</v>
      </c>
      <c r="Q186" s="118">
        <v>40.788440000000001</v>
      </c>
      <c r="R186" s="118">
        <v>-86.771060000000006</v>
      </c>
      <c r="S186" s="118">
        <v>200.6</v>
      </c>
      <c r="T186" s="118">
        <v>56.2</v>
      </c>
      <c r="U186" s="118">
        <v>8.4</v>
      </c>
      <c r="V186" s="118">
        <v>-126.6</v>
      </c>
      <c r="W186" s="118">
        <v>11.8</v>
      </c>
      <c r="X186" s="118">
        <v>0</v>
      </c>
      <c r="Y186" s="118">
        <v>29.074999999999999</v>
      </c>
      <c r="Z186" s="118">
        <v>5.89</v>
      </c>
      <c r="AA186" s="118">
        <v>14</v>
      </c>
      <c r="AB186" s="19">
        <v>45139</v>
      </c>
      <c r="AC186" s="118" t="s">
        <v>1742</v>
      </c>
    </row>
    <row r="187" spans="1:29" x14ac:dyDescent="0.25">
      <c r="A187" s="230">
        <v>0.86766203703703704</v>
      </c>
      <c r="B187" s="19">
        <v>45139</v>
      </c>
      <c r="C187" s="118"/>
      <c r="D187" s="118"/>
      <c r="E187" s="118">
        <v>747.8</v>
      </c>
      <c r="F187" s="118">
        <v>815.2</v>
      </c>
      <c r="G187" s="118">
        <v>762.4</v>
      </c>
      <c r="H187" s="118">
        <v>762371</v>
      </c>
      <c r="I187" s="118">
        <v>0.37</v>
      </c>
      <c r="J187" s="118">
        <v>756.6</v>
      </c>
      <c r="K187" s="118">
        <v>0.20399999999999999</v>
      </c>
      <c r="L187" s="118">
        <v>0.20899999999999999</v>
      </c>
      <c r="M187" s="118">
        <v>0.28899999999999998</v>
      </c>
      <c r="N187" s="118" t="s">
        <v>515</v>
      </c>
      <c r="O187" s="118" t="s">
        <v>515</v>
      </c>
      <c r="P187" s="118" t="s">
        <v>515</v>
      </c>
      <c r="Q187" s="118">
        <v>40.781619999999997</v>
      </c>
      <c r="R187" s="118">
        <v>-86.762079999999997</v>
      </c>
      <c r="S187" s="118">
        <v>195.5</v>
      </c>
      <c r="T187" s="118">
        <v>94</v>
      </c>
      <c r="U187" s="118">
        <v>8.33</v>
      </c>
      <c r="V187" s="118">
        <v>-122</v>
      </c>
      <c r="W187" s="118">
        <v>11.9</v>
      </c>
      <c r="X187" s="118">
        <v>0</v>
      </c>
      <c r="Y187" s="118">
        <v>28.629000000000001</v>
      </c>
      <c r="Z187" s="118">
        <v>7.54</v>
      </c>
      <c r="AA187" s="118">
        <v>19</v>
      </c>
      <c r="AB187" s="19">
        <v>45139</v>
      </c>
      <c r="AC187" s="118" t="s">
        <v>1743</v>
      </c>
    </row>
    <row r="188" spans="1:29" x14ac:dyDescent="0.25">
      <c r="A188" s="230">
        <v>0.69547453703703699</v>
      </c>
      <c r="B188" s="19">
        <v>45139</v>
      </c>
      <c r="C188" s="118"/>
      <c r="D188" s="118"/>
      <c r="E188" s="118">
        <v>749.1</v>
      </c>
      <c r="F188" s="118">
        <v>807.1</v>
      </c>
      <c r="G188" s="118">
        <v>766.7</v>
      </c>
      <c r="H188" s="118">
        <v>766668</v>
      </c>
      <c r="I188" s="118">
        <v>0.37</v>
      </c>
      <c r="J188" s="118">
        <v>762.3</v>
      </c>
      <c r="K188" s="118">
        <v>0.27500000000000002</v>
      </c>
      <c r="L188" s="118">
        <v>0.30199999999999999</v>
      </c>
      <c r="M188" s="118">
        <v>0.38900000000000001</v>
      </c>
      <c r="N188" s="118" t="s">
        <v>515</v>
      </c>
      <c r="O188" s="118" t="s">
        <v>515</v>
      </c>
      <c r="P188" s="118" t="s">
        <v>515</v>
      </c>
      <c r="Q188" s="118">
        <v>40.839979999999997</v>
      </c>
      <c r="R188" s="118">
        <v>-86.811459999999997</v>
      </c>
      <c r="S188" s="118">
        <v>199.2</v>
      </c>
      <c r="T188" s="118">
        <v>72.3</v>
      </c>
      <c r="U188" s="118">
        <v>8.16</v>
      </c>
      <c r="V188" s="118">
        <v>-112.1</v>
      </c>
      <c r="W188" s="118">
        <v>11.8</v>
      </c>
      <c r="X188" s="118">
        <v>0</v>
      </c>
      <c r="Y188" s="118">
        <v>27.763000000000002</v>
      </c>
      <c r="Z188" s="118">
        <v>9.3000000000000007</v>
      </c>
      <c r="AA188" s="118">
        <v>25</v>
      </c>
      <c r="AB188" s="19">
        <v>45139</v>
      </c>
      <c r="AC188" s="118" t="s">
        <v>1881</v>
      </c>
    </row>
    <row r="189" spans="1:29" x14ac:dyDescent="0.25">
      <c r="A189" s="230">
        <v>0.83078703703703705</v>
      </c>
      <c r="B189" s="19">
        <v>45139</v>
      </c>
      <c r="C189" s="118"/>
      <c r="D189" s="118"/>
      <c r="E189" s="118">
        <v>748</v>
      </c>
      <c r="F189" s="118">
        <v>739.9</v>
      </c>
      <c r="G189" s="118">
        <v>697.2</v>
      </c>
      <c r="H189" s="118">
        <v>697173</v>
      </c>
      <c r="I189" s="118">
        <v>0.34</v>
      </c>
      <c r="J189" s="118">
        <v>692.5</v>
      </c>
      <c r="K189" s="118">
        <v>0.17100000000000001</v>
      </c>
      <c r="L189" s="118">
        <v>0.18099999999999999</v>
      </c>
      <c r="M189" s="118">
        <v>0.24299999999999999</v>
      </c>
      <c r="N189" s="118" t="s">
        <v>515</v>
      </c>
      <c r="O189" s="118" t="s">
        <v>515</v>
      </c>
      <c r="P189" s="118" t="s">
        <v>515</v>
      </c>
      <c r="Q189" s="118">
        <v>40.8065</v>
      </c>
      <c r="R189" s="118">
        <v>-86.785139999999998</v>
      </c>
      <c r="S189" s="118">
        <v>197.9</v>
      </c>
      <c r="T189" s="118">
        <v>96.4</v>
      </c>
      <c r="U189" s="118">
        <v>8.11</v>
      </c>
      <c r="V189" s="118">
        <v>-109.2</v>
      </c>
      <c r="W189" s="118">
        <v>11.8</v>
      </c>
      <c r="X189" s="118">
        <v>0</v>
      </c>
      <c r="Y189" s="118">
        <v>28.212</v>
      </c>
      <c r="Z189" s="118">
        <v>2.37</v>
      </c>
      <c r="AA189" s="118">
        <v>2</v>
      </c>
      <c r="AB189" s="19">
        <v>45139</v>
      </c>
      <c r="AC189" s="118" t="s">
        <v>1738</v>
      </c>
    </row>
    <row r="190" spans="1:29" x14ac:dyDescent="0.25">
      <c r="A190" s="230">
        <v>0.84865740740740736</v>
      </c>
      <c r="B190" s="19">
        <v>45139</v>
      </c>
      <c r="C190" s="118"/>
      <c r="D190" s="118"/>
      <c r="E190" s="118">
        <v>747.8</v>
      </c>
      <c r="F190" s="118">
        <v>806</v>
      </c>
      <c r="G190" s="118">
        <v>750.8</v>
      </c>
      <c r="H190" s="118">
        <v>750785</v>
      </c>
      <c r="I190" s="118">
        <v>0.36</v>
      </c>
      <c r="J190" s="118">
        <v>744.7</v>
      </c>
      <c r="K190" s="118">
        <v>0.20799999999999999</v>
      </c>
      <c r="L190" s="118">
        <v>0.20499999999999999</v>
      </c>
      <c r="M190" s="118">
        <v>0.29499999999999998</v>
      </c>
      <c r="N190" s="118" t="s">
        <v>515</v>
      </c>
      <c r="O190" s="118" t="s">
        <v>515</v>
      </c>
      <c r="P190" s="118" t="s">
        <v>515</v>
      </c>
      <c r="Q190" s="118">
        <v>40.800109999999997</v>
      </c>
      <c r="R190" s="118">
        <v>-86.779169999999993</v>
      </c>
      <c r="S190" s="118">
        <v>198</v>
      </c>
      <c r="T190" s="118">
        <v>87.5</v>
      </c>
      <c r="U190" s="118">
        <v>8.3699999999999992</v>
      </c>
      <c r="V190" s="118">
        <v>-124.9</v>
      </c>
      <c r="W190" s="118">
        <v>11.9</v>
      </c>
      <c r="X190" s="118">
        <v>0</v>
      </c>
      <c r="Y190" s="118">
        <v>28.849</v>
      </c>
      <c r="Z190" s="118">
        <v>6.41</v>
      </c>
      <c r="AA190" s="118">
        <v>16</v>
      </c>
      <c r="AB190" s="19">
        <v>45139</v>
      </c>
      <c r="AC190" s="118" t="s">
        <v>1740</v>
      </c>
    </row>
    <row r="191" spans="1:29" x14ac:dyDescent="0.25">
      <c r="A191" s="230">
        <v>0.70701388888888894</v>
      </c>
      <c r="B191" s="19">
        <v>45139</v>
      </c>
      <c r="C191" s="118"/>
      <c r="D191" s="118"/>
      <c r="E191" s="118">
        <v>749.1</v>
      </c>
      <c r="F191" s="118">
        <v>756.6</v>
      </c>
      <c r="G191" s="118">
        <v>716.6</v>
      </c>
      <c r="H191" s="118">
        <v>716602</v>
      </c>
      <c r="I191" s="118">
        <v>0.35</v>
      </c>
      <c r="J191" s="118">
        <v>712.3</v>
      </c>
      <c r="K191" s="118">
        <v>0.23200000000000001</v>
      </c>
      <c r="L191" s="118">
        <v>0.23899999999999999</v>
      </c>
      <c r="M191" s="118">
        <v>0.32900000000000001</v>
      </c>
      <c r="N191" s="118" t="s">
        <v>515</v>
      </c>
      <c r="O191" s="118" t="s">
        <v>515</v>
      </c>
      <c r="P191" s="118" t="s">
        <v>515</v>
      </c>
      <c r="Q191" s="118">
        <v>40.841030000000003</v>
      </c>
      <c r="R191" s="118">
        <v>-86.804900000000004</v>
      </c>
      <c r="S191" s="118">
        <v>199.2</v>
      </c>
      <c r="T191" s="118">
        <v>77.099999999999994</v>
      </c>
      <c r="U191" s="118">
        <v>8.24</v>
      </c>
      <c r="V191" s="118">
        <v>-117</v>
      </c>
      <c r="W191" s="118">
        <v>11.8</v>
      </c>
      <c r="X191" s="118">
        <v>0</v>
      </c>
      <c r="Y191" s="118">
        <v>27.920999999999999</v>
      </c>
      <c r="Z191" s="118">
        <v>7.73</v>
      </c>
      <c r="AA191" s="118">
        <v>20</v>
      </c>
      <c r="AB191" s="19">
        <v>45139</v>
      </c>
      <c r="AC191" s="118" t="s">
        <v>1876</v>
      </c>
    </row>
    <row r="192" spans="1:29" x14ac:dyDescent="0.25">
      <c r="A192" s="118" t="s">
        <v>1886</v>
      </c>
      <c r="B192" s="19">
        <v>45139</v>
      </c>
      <c r="C192" s="118"/>
      <c r="D192" s="118"/>
      <c r="E192" s="118">
        <v>749.4</v>
      </c>
      <c r="F192" s="118">
        <v>856.2</v>
      </c>
      <c r="G192" s="118">
        <v>821.1</v>
      </c>
      <c r="H192" s="118">
        <v>821145</v>
      </c>
      <c r="I192" s="118">
        <v>0.4</v>
      </c>
      <c r="J192" s="118">
        <v>817.4</v>
      </c>
      <c r="K192" s="118">
        <v>0.17899999999999999</v>
      </c>
      <c r="L192" s="118">
        <v>0.188</v>
      </c>
      <c r="M192" s="118">
        <v>0.253</v>
      </c>
      <c r="N192" s="118" t="s">
        <v>515</v>
      </c>
      <c r="O192" s="118" t="s">
        <v>515</v>
      </c>
      <c r="P192" s="118" t="s">
        <v>515</v>
      </c>
      <c r="Q192" s="118">
        <v>40.842910000000003</v>
      </c>
      <c r="R192" s="118">
        <v>-86.816999999999993</v>
      </c>
      <c r="S192" s="118">
        <v>206.9</v>
      </c>
      <c r="T192" s="118">
        <v>177</v>
      </c>
      <c r="U192" s="118">
        <v>7.89</v>
      </c>
      <c r="V192" s="118">
        <v>-96.7</v>
      </c>
      <c r="W192" s="118">
        <v>11.8</v>
      </c>
      <c r="X192" s="118">
        <v>0</v>
      </c>
      <c r="Y192" s="118">
        <v>27.233000000000001</v>
      </c>
      <c r="Z192" s="118">
        <v>8.51</v>
      </c>
      <c r="AA192" s="118">
        <v>22</v>
      </c>
      <c r="AB192" s="19">
        <v>45139</v>
      </c>
      <c r="AC192" s="118" t="s">
        <v>1877</v>
      </c>
    </row>
    <row r="193" spans="1:29" x14ac:dyDescent="0.25">
      <c r="A193" s="230">
        <v>0.6799884259259259</v>
      </c>
      <c r="B193" s="19">
        <v>45139</v>
      </c>
      <c r="C193" s="118"/>
      <c r="D193" s="118"/>
      <c r="E193" s="118">
        <v>749.2</v>
      </c>
      <c r="F193" s="118">
        <v>707.9</v>
      </c>
      <c r="G193" s="118">
        <v>682.2</v>
      </c>
      <c r="H193" s="118">
        <v>682153</v>
      </c>
      <c r="I193" s="118">
        <v>0.33</v>
      </c>
      <c r="J193" s="118">
        <v>679.4</v>
      </c>
      <c r="K193" s="118">
        <v>0.41899999999999998</v>
      </c>
      <c r="L193" s="118">
        <v>0.40400000000000003</v>
      </c>
      <c r="M193" s="118">
        <v>0.59399999999999997</v>
      </c>
      <c r="N193" s="118" t="s">
        <v>515</v>
      </c>
      <c r="O193" s="118" t="s">
        <v>515</v>
      </c>
      <c r="P193" s="118" t="s">
        <v>515</v>
      </c>
      <c r="Q193" s="118">
        <v>40.847650000000002</v>
      </c>
      <c r="R193" s="118">
        <v>-86.81326</v>
      </c>
      <c r="S193" s="118">
        <v>200.8</v>
      </c>
      <c r="T193" s="118">
        <v>78.2</v>
      </c>
      <c r="U193" s="118">
        <v>8.19</v>
      </c>
      <c r="V193" s="118">
        <v>-113.6</v>
      </c>
      <c r="W193" s="118">
        <v>11.8</v>
      </c>
      <c r="X193" s="118">
        <v>0</v>
      </c>
      <c r="Y193" s="118">
        <v>26.978999999999999</v>
      </c>
      <c r="Z193" s="118">
        <v>8.9499999999999993</v>
      </c>
      <c r="AA193" s="118">
        <v>24</v>
      </c>
      <c r="AB193" s="19">
        <v>45139</v>
      </c>
      <c r="AC193" s="118" t="s">
        <v>1878</v>
      </c>
    </row>
    <row r="194" spans="1:29" x14ac:dyDescent="0.25">
      <c r="A194" s="230">
        <v>0.74615740740740744</v>
      </c>
      <c r="B194" s="19">
        <v>45139</v>
      </c>
      <c r="C194" s="118"/>
      <c r="D194" s="118"/>
      <c r="E194" s="118">
        <v>749.1</v>
      </c>
      <c r="F194" s="118">
        <v>747.9</v>
      </c>
      <c r="G194" s="118">
        <v>704.8</v>
      </c>
      <c r="H194" s="118">
        <v>704839</v>
      </c>
      <c r="I194" s="118">
        <v>0.34</v>
      </c>
      <c r="J194" s="118">
        <v>700.2</v>
      </c>
      <c r="K194" s="118">
        <v>0.20200000000000001</v>
      </c>
      <c r="L194" s="118">
        <v>0.184</v>
      </c>
      <c r="M194" s="118">
        <v>0.28699999999999998</v>
      </c>
      <c r="N194" s="118" t="s">
        <v>515</v>
      </c>
      <c r="O194" s="118" t="s">
        <v>515</v>
      </c>
      <c r="P194" s="118" t="s">
        <v>515</v>
      </c>
      <c r="Q194" s="118">
        <v>40.823990000000002</v>
      </c>
      <c r="R194" s="118">
        <v>-86.79522</v>
      </c>
      <c r="S194" s="118">
        <v>196.2</v>
      </c>
      <c r="T194" s="118">
        <v>61.8</v>
      </c>
      <c r="U194" s="118">
        <v>8.4</v>
      </c>
      <c r="V194" s="118">
        <v>-126.3</v>
      </c>
      <c r="W194" s="118">
        <v>11.7</v>
      </c>
      <c r="X194" s="118">
        <v>0</v>
      </c>
      <c r="Y194" s="118">
        <v>28.195</v>
      </c>
      <c r="Z194" s="118">
        <v>5.67</v>
      </c>
      <c r="AA194" s="118">
        <v>13</v>
      </c>
      <c r="AB194" s="19">
        <v>45139</v>
      </c>
      <c r="AC194" s="118" t="s">
        <v>1735</v>
      </c>
    </row>
    <row r="195" spans="1:29" x14ac:dyDescent="0.25">
      <c r="A195" s="230">
        <v>0.79708333333333337</v>
      </c>
      <c r="B195" s="19">
        <v>45139</v>
      </c>
      <c r="C195" s="118"/>
      <c r="D195" s="118"/>
      <c r="E195" s="118">
        <v>748.6</v>
      </c>
      <c r="F195" s="118">
        <v>658.7</v>
      </c>
      <c r="G195" s="118">
        <v>654.4</v>
      </c>
      <c r="H195" s="118">
        <v>654433</v>
      </c>
      <c r="I195" s="118">
        <v>0.32</v>
      </c>
      <c r="J195" s="118">
        <v>654</v>
      </c>
      <c r="K195" s="118">
        <v>0.183</v>
      </c>
      <c r="L195" s="118">
        <v>0.17299999999999999</v>
      </c>
      <c r="M195" s="118">
        <v>0.25900000000000001</v>
      </c>
      <c r="N195" s="118" t="s">
        <v>515</v>
      </c>
      <c r="O195" s="118" t="s">
        <v>515</v>
      </c>
      <c r="P195" s="118" t="s">
        <v>515</v>
      </c>
      <c r="Q195" s="118">
        <v>40.835090000000001</v>
      </c>
      <c r="R195" s="118">
        <v>-86.782030000000006</v>
      </c>
      <c r="S195" s="118">
        <v>195.1</v>
      </c>
      <c r="T195" s="118">
        <v>102</v>
      </c>
      <c r="U195" s="118">
        <v>7.73</v>
      </c>
      <c r="V195" s="118">
        <v>-86.7</v>
      </c>
      <c r="W195" s="118">
        <v>11.8</v>
      </c>
      <c r="X195" s="118">
        <v>0</v>
      </c>
      <c r="Y195" s="118">
        <v>25.343</v>
      </c>
      <c r="Z195" s="118">
        <v>2.58</v>
      </c>
      <c r="AA195" s="118">
        <v>2</v>
      </c>
      <c r="AB195" s="19">
        <v>45139</v>
      </c>
      <c r="AC195" s="118" t="s">
        <v>1736</v>
      </c>
    </row>
    <row r="196" spans="1:29" x14ac:dyDescent="0.25">
      <c r="A196" s="230">
        <v>0.77880787037037036</v>
      </c>
      <c r="B196" s="19">
        <v>45139</v>
      </c>
      <c r="C196" s="118"/>
      <c r="D196" s="118"/>
      <c r="E196" s="118">
        <v>748.6</v>
      </c>
      <c r="F196" s="118">
        <v>643.79999999999995</v>
      </c>
      <c r="G196" s="118">
        <v>644.6</v>
      </c>
      <c r="H196" s="118">
        <v>644630</v>
      </c>
      <c r="I196" s="118">
        <v>0.31</v>
      </c>
      <c r="J196" s="118">
        <v>644.70000000000005</v>
      </c>
      <c r="K196" s="118">
        <v>0.17899999999999999</v>
      </c>
      <c r="L196" s="118">
        <v>0.19500000000000001</v>
      </c>
      <c r="M196" s="118">
        <v>0.253</v>
      </c>
      <c r="N196" s="118" t="s">
        <v>515</v>
      </c>
      <c r="O196" s="118" t="s">
        <v>515</v>
      </c>
      <c r="P196" s="118" t="s">
        <v>515</v>
      </c>
      <c r="Q196" s="118">
        <v>40.846939999999996</v>
      </c>
      <c r="R196" s="118">
        <v>-86.760059999999996</v>
      </c>
      <c r="S196" s="118">
        <v>203</v>
      </c>
      <c r="T196" s="118">
        <v>77.099999999999994</v>
      </c>
      <c r="U196" s="118">
        <v>7.68</v>
      </c>
      <c r="V196" s="118">
        <v>-83.9</v>
      </c>
      <c r="W196" s="118">
        <v>11.8</v>
      </c>
      <c r="X196" s="118">
        <v>0</v>
      </c>
      <c r="Y196" s="118">
        <v>24.93</v>
      </c>
      <c r="Z196" s="118">
        <v>3.25</v>
      </c>
      <c r="AA196" s="118">
        <v>5</v>
      </c>
      <c r="AB196" s="19">
        <v>45139</v>
      </c>
      <c r="AC196" s="118" t="s">
        <v>1882</v>
      </c>
    </row>
    <row r="197" spans="1:29" x14ac:dyDescent="0.25">
      <c r="A197" s="230">
        <v>0.82098379629629625</v>
      </c>
      <c r="B197" s="19">
        <v>45139</v>
      </c>
      <c r="C197" s="118"/>
      <c r="D197" s="118"/>
      <c r="E197" s="118">
        <v>748</v>
      </c>
      <c r="F197" s="118">
        <v>707.2</v>
      </c>
      <c r="G197" s="118">
        <v>676.6</v>
      </c>
      <c r="H197" s="118">
        <v>676624</v>
      </c>
      <c r="I197" s="118">
        <v>0.33</v>
      </c>
      <c r="J197" s="118">
        <v>673.3</v>
      </c>
      <c r="K197" s="118">
        <v>0.19700000000000001</v>
      </c>
      <c r="L197" s="118">
        <v>0.20799999999999999</v>
      </c>
      <c r="M197" s="118">
        <v>0.27900000000000003</v>
      </c>
      <c r="N197" s="118" t="s">
        <v>515</v>
      </c>
      <c r="O197" s="118" t="s">
        <v>515</v>
      </c>
      <c r="P197" s="118" t="s">
        <v>515</v>
      </c>
      <c r="Q197" s="118">
        <v>40.810980000000001</v>
      </c>
      <c r="R197" s="118">
        <v>-86.794600000000003</v>
      </c>
      <c r="S197" s="118">
        <v>198.2</v>
      </c>
      <c r="T197" s="118">
        <v>107</v>
      </c>
      <c r="U197" s="118">
        <v>7.89</v>
      </c>
      <c r="V197" s="118">
        <v>-96.6</v>
      </c>
      <c r="W197" s="118">
        <v>11.7</v>
      </c>
      <c r="X197" s="118">
        <v>0</v>
      </c>
      <c r="Y197" s="118">
        <v>27.369</v>
      </c>
      <c r="Z197" s="118">
        <v>2.64</v>
      </c>
      <c r="AA197" s="118">
        <v>3</v>
      </c>
      <c r="AB197" s="19">
        <v>45139</v>
      </c>
      <c r="AC197" s="118" t="s">
        <v>1737</v>
      </c>
    </row>
    <row r="198" spans="1:29" x14ac:dyDescent="0.25">
      <c r="A198" s="230">
        <v>0.84040509259259255</v>
      </c>
      <c r="B198" s="19">
        <v>45139</v>
      </c>
      <c r="C198" s="118"/>
      <c r="D198" s="118"/>
      <c r="E198" s="118">
        <v>747.9</v>
      </c>
      <c r="F198" s="118">
        <v>810.5</v>
      </c>
      <c r="G198" s="118">
        <v>757.3</v>
      </c>
      <c r="H198" s="118">
        <v>757342</v>
      </c>
      <c r="I198" s="118">
        <v>0.37</v>
      </c>
      <c r="J198" s="118">
        <v>751.5</v>
      </c>
      <c r="K198" s="118">
        <v>0.16700000000000001</v>
      </c>
      <c r="L198" s="118">
        <v>0.16</v>
      </c>
      <c r="M198" s="118">
        <v>0.23699999999999999</v>
      </c>
      <c r="N198" s="118" t="s">
        <v>515</v>
      </c>
      <c r="O198" s="118" t="s">
        <v>515</v>
      </c>
      <c r="P198" s="118" t="s">
        <v>515</v>
      </c>
      <c r="Q198" s="118">
        <v>40.803699999999999</v>
      </c>
      <c r="R198" s="118">
        <v>-86.775970000000001</v>
      </c>
      <c r="S198" s="118">
        <v>197.6</v>
      </c>
      <c r="T198" s="118">
        <v>94</v>
      </c>
      <c r="U198" s="118">
        <v>8.33</v>
      </c>
      <c r="V198" s="118">
        <v>-122.5</v>
      </c>
      <c r="W198" s="118">
        <v>11.9</v>
      </c>
      <c r="X198" s="118">
        <v>0</v>
      </c>
      <c r="Y198" s="118">
        <v>28.672000000000001</v>
      </c>
      <c r="Z198" s="118">
        <v>4.59</v>
      </c>
      <c r="AA198" s="118">
        <v>10</v>
      </c>
      <c r="AB198" s="19">
        <v>45139</v>
      </c>
      <c r="AC198" s="118" t="s">
        <v>1739</v>
      </c>
    </row>
    <row r="199" spans="1:29" x14ac:dyDescent="0.25">
      <c r="A199" s="230">
        <v>0.62474537037037037</v>
      </c>
      <c r="B199" s="19">
        <v>45142</v>
      </c>
      <c r="C199" s="118"/>
      <c r="D199" s="118"/>
      <c r="E199" s="118">
        <v>740.5</v>
      </c>
      <c r="F199" s="118">
        <v>550.20000000000005</v>
      </c>
      <c r="G199" s="118">
        <v>520.70000000000005</v>
      </c>
      <c r="H199" s="118">
        <v>520714</v>
      </c>
      <c r="I199" s="118">
        <v>0.25</v>
      </c>
      <c r="J199" s="118">
        <v>517.5</v>
      </c>
      <c r="K199" s="118">
        <v>0.73499999999999999</v>
      </c>
      <c r="L199" s="118">
        <v>0.72699999999999998</v>
      </c>
      <c r="M199" s="118">
        <v>1.0409999999999999</v>
      </c>
      <c r="N199" s="118" t="s">
        <v>515</v>
      </c>
      <c r="O199" s="118" t="s">
        <v>515</v>
      </c>
      <c r="P199" s="118" t="s">
        <v>515</v>
      </c>
      <c r="Q199" s="118">
        <v>40.772480000000002</v>
      </c>
      <c r="R199" s="118">
        <v>-85.644390000000001</v>
      </c>
      <c r="S199" s="118">
        <v>231.1</v>
      </c>
      <c r="T199" s="118">
        <v>114.6</v>
      </c>
      <c r="U199" s="118">
        <v>8.36</v>
      </c>
      <c r="V199" s="118">
        <v>-123</v>
      </c>
      <c r="W199" s="118">
        <v>11.7</v>
      </c>
      <c r="X199" s="118">
        <v>0</v>
      </c>
      <c r="Y199" s="118">
        <v>27.968</v>
      </c>
      <c r="Z199" s="118">
        <v>2.78</v>
      </c>
      <c r="AA199" s="118">
        <v>3</v>
      </c>
      <c r="AB199" s="19">
        <v>45142</v>
      </c>
      <c r="AC199" s="118" t="s">
        <v>1862</v>
      </c>
    </row>
    <row r="200" spans="1:29" x14ac:dyDescent="0.25">
      <c r="A200" s="230">
        <v>0.73707175925925927</v>
      </c>
      <c r="B200" s="19">
        <v>45142</v>
      </c>
      <c r="C200" s="118"/>
      <c r="D200" s="118"/>
      <c r="E200" s="118">
        <v>740.5</v>
      </c>
      <c r="F200" s="118">
        <v>556.29999999999995</v>
      </c>
      <c r="G200" s="118">
        <v>516</v>
      </c>
      <c r="H200" s="118">
        <v>516039</v>
      </c>
      <c r="I200" s="118">
        <v>0.25</v>
      </c>
      <c r="J200" s="118">
        <v>511.6</v>
      </c>
      <c r="K200" s="118">
        <v>0.34899999999999998</v>
      </c>
      <c r="L200" s="118">
        <v>0.35899999999999999</v>
      </c>
      <c r="M200" s="118">
        <v>0.49399999999999999</v>
      </c>
      <c r="N200" s="118" t="s">
        <v>515</v>
      </c>
      <c r="O200" s="118" t="s">
        <v>515</v>
      </c>
      <c r="P200" s="118" t="s">
        <v>515</v>
      </c>
      <c r="Q200" s="118">
        <v>40.755549999999999</v>
      </c>
      <c r="R200" s="118">
        <v>-85.582579999999993</v>
      </c>
      <c r="S200" s="118">
        <v>231.6</v>
      </c>
      <c r="T200" s="118">
        <v>78.5</v>
      </c>
      <c r="U200" s="118">
        <v>8.92</v>
      </c>
      <c r="V200" s="118">
        <v>-155.30000000000001</v>
      </c>
      <c r="W200" s="118">
        <v>11.9</v>
      </c>
      <c r="X200" s="118">
        <v>0</v>
      </c>
      <c r="Y200" s="118">
        <v>29.079000000000001</v>
      </c>
      <c r="Z200" s="118">
        <v>6.1</v>
      </c>
      <c r="AA200" s="118">
        <v>15</v>
      </c>
      <c r="AB200" s="19">
        <v>45142</v>
      </c>
      <c r="AC200" s="118" t="s">
        <v>1871</v>
      </c>
    </row>
    <row r="201" spans="1:29" x14ac:dyDescent="0.25">
      <c r="A201" s="230">
        <v>0.74732638888888892</v>
      </c>
      <c r="B201" s="19">
        <v>45142</v>
      </c>
      <c r="C201" s="118"/>
      <c r="D201" s="118"/>
      <c r="E201" s="118">
        <v>740.5</v>
      </c>
      <c r="F201" s="118">
        <v>586.70000000000005</v>
      </c>
      <c r="G201" s="118">
        <v>535.20000000000005</v>
      </c>
      <c r="H201" s="118">
        <v>535164</v>
      </c>
      <c r="I201" s="118">
        <v>0.26</v>
      </c>
      <c r="J201" s="118">
        <v>529.4</v>
      </c>
      <c r="K201" s="118">
        <v>0.42899999999999999</v>
      </c>
      <c r="L201" s="118">
        <v>0.42499999999999999</v>
      </c>
      <c r="M201" s="118">
        <v>0.60799999999999998</v>
      </c>
      <c r="N201" s="118" t="s">
        <v>515</v>
      </c>
      <c r="O201" s="118" t="s">
        <v>515</v>
      </c>
      <c r="P201" s="118" t="s">
        <v>515</v>
      </c>
      <c r="Q201" s="118">
        <v>40.745460000000001</v>
      </c>
      <c r="R201" s="118">
        <v>-85.569689999999994</v>
      </c>
      <c r="S201" s="118">
        <v>229.3</v>
      </c>
      <c r="T201" s="118">
        <v>68.599999999999994</v>
      </c>
      <c r="U201" s="118">
        <v>8.8699999999999992</v>
      </c>
      <c r="V201" s="118">
        <v>-152.6</v>
      </c>
      <c r="W201" s="118">
        <v>11.8</v>
      </c>
      <c r="X201" s="118">
        <v>0</v>
      </c>
      <c r="Y201" s="118">
        <v>30.042999999999999</v>
      </c>
      <c r="Z201" s="118">
        <v>8.1</v>
      </c>
      <c r="AA201" s="118">
        <v>21</v>
      </c>
      <c r="AB201" s="19">
        <v>45142</v>
      </c>
      <c r="AC201" s="118" t="s">
        <v>1872</v>
      </c>
    </row>
    <row r="202" spans="1:29" x14ac:dyDescent="0.25">
      <c r="A202" s="230">
        <v>0.75601851851851853</v>
      </c>
      <c r="B202" s="19">
        <v>45142</v>
      </c>
      <c r="C202" s="118"/>
      <c r="D202" s="118"/>
      <c r="E202" s="118">
        <v>740.5</v>
      </c>
      <c r="F202" s="118">
        <v>616.9</v>
      </c>
      <c r="G202" s="118">
        <v>563.20000000000005</v>
      </c>
      <c r="H202" s="118">
        <v>563215</v>
      </c>
      <c r="I202" s="118">
        <v>0.27</v>
      </c>
      <c r="J202" s="118">
        <v>557.29999999999995</v>
      </c>
      <c r="K202" s="118">
        <v>0.439</v>
      </c>
      <c r="L202" s="118">
        <v>0.42099999999999999</v>
      </c>
      <c r="M202" s="118">
        <v>0.622</v>
      </c>
      <c r="N202" s="118" t="s">
        <v>515</v>
      </c>
      <c r="O202" s="118" t="s">
        <v>515</v>
      </c>
      <c r="P202" s="118" t="s">
        <v>515</v>
      </c>
      <c r="Q202" s="118">
        <v>40.747430000000001</v>
      </c>
      <c r="R202" s="118">
        <v>-85.549539999999993</v>
      </c>
      <c r="S202" s="118">
        <v>230.2</v>
      </c>
      <c r="T202" s="118">
        <v>82.1</v>
      </c>
      <c r="U202" s="118">
        <v>8.75</v>
      </c>
      <c r="V202" s="118">
        <v>-145.5</v>
      </c>
      <c r="W202" s="118">
        <v>11.8</v>
      </c>
      <c r="X202" s="118">
        <v>0</v>
      </c>
      <c r="Y202" s="118">
        <v>29.986999999999998</v>
      </c>
      <c r="Z202" s="118">
        <v>18.989999999999998</v>
      </c>
      <c r="AA202" s="118">
        <v>49</v>
      </c>
      <c r="AB202" s="19">
        <v>45142</v>
      </c>
      <c r="AC202" s="118" t="s">
        <v>1873</v>
      </c>
    </row>
    <row r="203" spans="1:29" x14ac:dyDescent="0.25">
      <c r="A203" s="230">
        <v>0.67262731481481486</v>
      </c>
      <c r="B203" s="19">
        <v>45142</v>
      </c>
      <c r="C203" s="118"/>
      <c r="D203" s="118"/>
      <c r="E203" s="118">
        <v>740.6</v>
      </c>
      <c r="F203" s="118">
        <v>560.9</v>
      </c>
      <c r="G203" s="118">
        <v>524.79999999999995</v>
      </c>
      <c r="H203" s="118">
        <v>524841</v>
      </c>
      <c r="I203" s="118">
        <v>0.25</v>
      </c>
      <c r="J203" s="118">
        <v>520.9</v>
      </c>
      <c r="K203" s="118">
        <v>0.26900000000000002</v>
      </c>
      <c r="L203" s="118">
        <v>0.28000000000000003</v>
      </c>
      <c r="M203" s="118">
        <v>0.38200000000000001</v>
      </c>
      <c r="N203" s="118" t="s">
        <v>515</v>
      </c>
      <c r="O203" s="118" t="s">
        <v>515</v>
      </c>
      <c r="P203" s="118" t="s">
        <v>515</v>
      </c>
      <c r="Q203" s="118">
        <v>40.78049</v>
      </c>
      <c r="R203" s="118">
        <v>-85.63758</v>
      </c>
      <c r="S203" s="118">
        <v>229.6</v>
      </c>
      <c r="T203" s="118">
        <v>55</v>
      </c>
      <c r="U203" s="118">
        <v>8.57</v>
      </c>
      <c r="V203" s="118">
        <v>-135.19999999999999</v>
      </c>
      <c r="W203" s="118">
        <v>11.8</v>
      </c>
      <c r="X203" s="118">
        <v>0</v>
      </c>
      <c r="Y203" s="118">
        <v>28.594000000000001</v>
      </c>
      <c r="Z203" s="118">
        <v>2.97</v>
      </c>
      <c r="AA203" s="118">
        <v>4</v>
      </c>
      <c r="AB203" s="19">
        <v>45142</v>
      </c>
      <c r="AC203" s="118" t="s">
        <v>1874</v>
      </c>
    </row>
    <row r="204" spans="1:29" x14ac:dyDescent="0.25">
      <c r="A204" s="230">
        <v>0.63689814814814816</v>
      </c>
      <c r="B204" s="19">
        <v>45142</v>
      </c>
      <c r="C204" s="118"/>
      <c r="D204" s="118"/>
      <c r="E204" s="118">
        <v>740.5</v>
      </c>
      <c r="F204" s="118">
        <v>553.20000000000005</v>
      </c>
      <c r="G204" s="118">
        <v>522.4</v>
      </c>
      <c r="H204" s="118">
        <v>522431</v>
      </c>
      <c r="I204" s="118">
        <v>0.25</v>
      </c>
      <c r="J204" s="118">
        <v>519.1</v>
      </c>
      <c r="K204" s="118">
        <v>0.34</v>
      </c>
      <c r="L204" s="118">
        <v>0.33100000000000002</v>
      </c>
      <c r="M204" s="118">
        <v>0.48199999999999998</v>
      </c>
      <c r="N204" s="118" t="s">
        <v>515</v>
      </c>
      <c r="O204" s="118" t="s">
        <v>515</v>
      </c>
      <c r="P204" s="118" t="s">
        <v>515</v>
      </c>
      <c r="Q204" s="118">
        <v>40.770940000000003</v>
      </c>
      <c r="R204" s="118">
        <v>-85.647959999999998</v>
      </c>
      <c r="S204" s="118">
        <v>233.4</v>
      </c>
      <c r="T204" s="118">
        <v>73.3</v>
      </c>
      <c r="U204" s="118">
        <v>8.65</v>
      </c>
      <c r="V204" s="118">
        <v>-139.19999999999999</v>
      </c>
      <c r="W204" s="118">
        <v>11.8</v>
      </c>
      <c r="X204" s="118">
        <v>0</v>
      </c>
      <c r="Y204" s="118">
        <v>28.084</v>
      </c>
      <c r="Z204" s="118">
        <v>3.21</v>
      </c>
      <c r="AA204" s="118">
        <v>5</v>
      </c>
      <c r="AB204" s="19">
        <v>45142</v>
      </c>
      <c r="AC204" s="118" t="s">
        <v>1863</v>
      </c>
    </row>
    <row r="205" spans="1:29" x14ac:dyDescent="0.25">
      <c r="A205" s="230">
        <v>0.65017361111111116</v>
      </c>
      <c r="B205" s="19">
        <v>45142</v>
      </c>
      <c r="C205" s="118"/>
      <c r="D205" s="118"/>
      <c r="E205" s="118">
        <v>740.5</v>
      </c>
      <c r="F205" s="118">
        <v>555.70000000000005</v>
      </c>
      <c r="G205" s="118">
        <v>524.4</v>
      </c>
      <c r="H205" s="118">
        <v>524432</v>
      </c>
      <c r="I205" s="118">
        <v>0.25</v>
      </c>
      <c r="J205" s="118">
        <v>521</v>
      </c>
      <c r="K205" s="118">
        <v>0.34799999999999998</v>
      </c>
      <c r="L205" s="118">
        <v>0.35899999999999999</v>
      </c>
      <c r="M205" s="118">
        <v>0.49399999999999999</v>
      </c>
      <c r="N205" s="118" t="s">
        <v>515</v>
      </c>
      <c r="O205" s="118" t="s">
        <v>515</v>
      </c>
      <c r="P205" s="118" t="s">
        <v>515</v>
      </c>
      <c r="Q205" s="118">
        <v>40.780540000000002</v>
      </c>
      <c r="R205" s="118">
        <v>-85.644199999999998</v>
      </c>
      <c r="S205" s="118">
        <v>227.8</v>
      </c>
      <c r="T205" s="118">
        <v>66.599999999999994</v>
      </c>
      <c r="U205" s="118">
        <v>8.6</v>
      </c>
      <c r="V205" s="118">
        <v>-136.6</v>
      </c>
      <c r="W205" s="118">
        <v>11.8</v>
      </c>
      <c r="X205" s="118">
        <v>0</v>
      </c>
      <c r="Y205" s="118">
        <v>28.122</v>
      </c>
      <c r="Z205" s="118">
        <v>2.4</v>
      </c>
      <c r="AA205" s="118">
        <v>2</v>
      </c>
      <c r="AB205" s="19">
        <v>45142</v>
      </c>
      <c r="AC205" s="118" t="s">
        <v>1864</v>
      </c>
    </row>
    <row r="206" spans="1:29" x14ac:dyDescent="0.25">
      <c r="A206" s="230">
        <v>0.66030092592592593</v>
      </c>
      <c r="B206" s="19">
        <v>45142</v>
      </c>
      <c r="C206" s="118"/>
      <c r="D206" s="118"/>
      <c r="E206" s="118">
        <v>740.7</v>
      </c>
      <c r="F206" s="118">
        <v>556.4</v>
      </c>
      <c r="G206" s="118">
        <v>524.5</v>
      </c>
      <c r="H206" s="118">
        <v>524481</v>
      </c>
      <c r="I206" s="118">
        <v>0.25</v>
      </c>
      <c r="J206" s="118">
        <v>521</v>
      </c>
      <c r="K206" s="118">
        <v>0.33500000000000002</v>
      </c>
      <c r="L206" s="118">
        <v>0.32800000000000001</v>
      </c>
      <c r="M206" s="118">
        <v>0.47399999999999998</v>
      </c>
      <c r="N206" s="118" t="s">
        <v>515</v>
      </c>
      <c r="O206" s="118" t="s">
        <v>515</v>
      </c>
      <c r="P206" s="118" t="s">
        <v>515</v>
      </c>
      <c r="Q206" s="118">
        <v>40.783470000000001</v>
      </c>
      <c r="R206" s="118">
        <v>-85.638459999999995</v>
      </c>
      <c r="S206" s="118">
        <v>229.2</v>
      </c>
      <c r="T206" s="118">
        <v>69.3</v>
      </c>
      <c r="U206" s="118">
        <v>8.56</v>
      </c>
      <c r="V206" s="118">
        <v>-134.30000000000001</v>
      </c>
      <c r="W206" s="118">
        <v>11.9</v>
      </c>
      <c r="X206" s="118">
        <v>0</v>
      </c>
      <c r="Y206" s="118">
        <v>28.184000000000001</v>
      </c>
      <c r="Z206" s="118">
        <v>2.87</v>
      </c>
      <c r="AA206" s="118">
        <v>3</v>
      </c>
      <c r="AB206" s="19">
        <v>45142</v>
      </c>
      <c r="AC206" s="118" t="s">
        <v>1865</v>
      </c>
    </row>
    <row r="207" spans="1:29" x14ac:dyDescent="0.25">
      <c r="A207" s="230">
        <v>0.6821180555555556</v>
      </c>
      <c r="B207" s="19">
        <v>45142</v>
      </c>
      <c r="C207" s="118"/>
      <c r="D207" s="118"/>
      <c r="E207" s="118">
        <v>740.5</v>
      </c>
      <c r="F207" s="118">
        <v>559.79999999999995</v>
      </c>
      <c r="G207" s="118">
        <v>523.20000000000005</v>
      </c>
      <c r="H207" s="118">
        <v>523200</v>
      </c>
      <c r="I207" s="118">
        <v>0.25</v>
      </c>
      <c r="J207" s="118">
        <v>519.20000000000005</v>
      </c>
      <c r="K207" s="118">
        <v>0.435</v>
      </c>
      <c r="L207" s="118">
        <v>0.438</v>
      </c>
      <c r="M207" s="118">
        <v>0.61599999999999999</v>
      </c>
      <c r="N207" s="118" t="s">
        <v>515</v>
      </c>
      <c r="O207" s="118" t="s">
        <v>515</v>
      </c>
      <c r="P207" s="118" t="s">
        <v>515</v>
      </c>
      <c r="Q207" s="118">
        <v>40.774650000000001</v>
      </c>
      <c r="R207" s="118">
        <v>-85.623630000000006</v>
      </c>
      <c r="S207" s="118">
        <v>228.7</v>
      </c>
      <c r="T207" s="118">
        <v>97.2</v>
      </c>
      <c r="U207" s="118">
        <v>8.69</v>
      </c>
      <c r="V207" s="118">
        <v>-142.1</v>
      </c>
      <c r="W207" s="118">
        <v>11.8</v>
      </c>
      <c r="X207" s="118">
        <v>0</v>
      </c>
      <c r="Y207" s="118">
        <v>28.664999999999999</v>
      </c>
      <c r="Z207" s="118">
        <v>3.38</v>
      </c>
      <c r="AA207" s="118">
        <v>5</v>
      </c>
      <c r="AB207" s="19">
        <v>45142</v>
      </c>
      <c r="AC207" s="118" t="s">
        <v>1866</v>
      </c>
    </row>
    <row r="208" spans="1:29" x14ac:dyDescent="0.25">
      <c r="A208" s="230">
        <v>0.69452546296296291</v>
      </c>
      <c r="B208" s="19">
        <v>45142</v>
      </c>
      <c r="C208" s="118"/>
      <c r="D208" s="118"/>
      <c r="E208" s="118">
        <v>740.5</v>
      </c>
      <c r="F208" s="118">
        <v>557.70000000000005</v>
      </c>
      <c r="G208" s="118">
        <v>524.4</v>
      </c>
      <c r="H208" s="118">
        <v>524424</v>
      </c>
      <c r="I208" s="118">
        <v>0.25</v>
      </c>
      <c r="J208" s="118">
        <v>520.79999999999995</v>
      </c>
      <c r="K208" s="118">
        <v>0.33500000000000002</v>
      </c>
      <c r="L208" s="118">
        <v>0.33200000000000002</v>
      </c>
      <c r="M208" s="118">
        <v>0.47499999999999998</v>
      </c>
      <c r="N208" s="118" t="s">
        <v>515</v>
      </c>
      <c r="O208" s="118" t="s">
        <v>515</v>
      </c>
      <c r="P208" s="118" t="s">
        <v>515</v>
      </c>
      <c r="Q208" s="118">
        <v>40.775500000000001</v>
      </c>
      <c r="R208" s="118">
        <v>-85.606530000000006</v>
      </c>
      <c r="S208" s="118">
        <v>233</v>
      </c>
      <c r="T208" s="118">
        <v>73.900000000000006</v>
      </c>
      <c r="U208" s="118">
        <v>8.74</v>
      </c>
      <c r="V208" s="118">
        <v>-144.80000000000001</v>
      </c>
      <c r="W208" s="118">
        <v>11.8</v>
      </c>
      <c r="X208" s="118">
        <v>0</v>
      </c>
      <c r="Y208" s="118">
        <v>28.321999999999999</v>
      </c>
      <c r="Z208" s="118">
        <v>2.85</v>
      </c>
      <c r="AA208" s="118">
        <v>3</v>
      </c>
      <c r="AB208" s="19">
        <v>45142</v>
      </c>
      <c r="AC208" s="118" t="s">
        <v>1867</v>
      </c>
    </row>
    <row r="209" spans="1:29" x14ac:dyDescent="0.25">
      <c r="A209" s="230">
        <v>0.70844907407407409</v>
      </c>
      <c r="B209" s="19">
        <v>45142</v>
      </c>
      <c r="C209" s="118"/>
      <c r="D209" s="118"/>
      <c r="E209" s="118">
        <v>740.5</v>
      </c>
      <c r="F209" s="118">
        <v>537.29999999999995</v>
      </c>
      <c r="G209" s="118">
        <v>504.5</v>
      </c>
      <c r="H209" s="118">
        <v>504501</v>
      </c>
      <c r="I209" s="118">
        <v>0.24</v>
      </c>
      <c r="J209" s="118">
        <v>500.9</v>
      </c>
      <c r="K209" s="118">
        <v>0.46100000000000002</v>
      </c>
      <c r="L209" s="118">
        <v>0.47399999999999998</v>
      </c>
      <c r="M209" s="118">
        <v>0.65300000000000002</v>
      </c>
      <c r="N209" s="118" t="s">
        <v>515</v>
      </c>
      <c r="O209" s="118" t="s">
        <v>515</v>
      </c>
      <c r="P209" s="118" t="s">
        <v>515</v>
      </c>
      <c r="Q209" s="118">
        <v>40.77534</v>
      </c>
      <c r="R209" s="118">
        <v>-85.581630000000004</v>
      </c>
      <c r="S209" s="118">
        <v>233.2</v>
      </c>
      <c r="T209" s="118">
        <v>58.6</v>
      </c>
      <c r="U209" s="118">
        <v>8.89</v>
      </c>
      <c r="V209" s="118">
        <v>-153.4</v>
      </c>
      <c r="W209" s="118">
        <v>11.8</v>
      </c>
      <c r="X209" s="118">
        <v>0</v>
      </c>
      <c r="Y209" s="118">
        <v>28.395</v>
      </c>
      <c r="Z209" s="118">
        <v>5.44</v>
      </c>
      <c r="AA209" s="118">
        <v>13</v>
      </c>
      <c r="AB209" s="19">
        <v>45142</v>
      </c>
      <c r="AC209" s="118" t="s">
        <v>1868</v>
      </c>
    </row>
    <row r="210" spans="1:29" x14ac:dyDescent="0.25">
      <c r="A210" s="230">
        <v>0.71996527777777775</v>
      </c>
      <c r="B210" s="19">
        <v>45142</v>
      </c>
      <c r="C210" s="118"/>
      <c r="D210" s="118"/>
      <c r="E210" s="118">
        <v>740.4</v>
      </c>
      <c r="F210" s="118">
        <v>555.79999999999995</v>
      </c>
      <c r="G210" s="118">
        <v>515.4</v>
      </c>
      <c r="H210" s="118">
        <v>515370</v>
      </c>
      <c r="I210" s="118">
        <v>0.25</v>
      </c>
      <c r="J210" s="118">
        <v>510.9</v>
      </c>
      <c r="K210" s="118">
        <v>0.35</v>
      </c>
      <c r="L210" s="118">
        <v>0.33100000000000002</v>
      </c>
      <c r="M210" s="118">
        <v>0.496</v>
      </c>
      <c r="N210" s="118" t="s">
        <v>515</v>
      </c>
      <c r="O210" s="118" t="s">
        <v>515</v>
      </c>
      <c r="P210" s="118" t="s">
        <v>515</v>
      </c>
      <c r="Q210" s="118">
        <v>40.767949999999999</v>
      </c>
      <c r="R210" s="118">
        <v>-85.597759999999994</v>
      </c>
      <c r="S210" s="118">
        <v>230.1</v>
      </c>
      <c r="T210" s="118">
        <v>66.599999999999994</v>
      </c>
      <c r="U210" s="118">
        <v>8.8000000000000007</v>
      </c>
      <c r="V210" s="118">
        <v>-148.30000000000001</v>
      </c>
      <c r="W210" s="118">
        <v>11.8</v>
      </c>
      <c r="X210" s="118">
        <v>0</v>
      </c>
      <c r="Y210" s="118">
        <v>29.105</v>
      </c>
      <c r="Z210" s="118">
        <v>3.55</v>
      </c>
      <c r="AA210" s="118">
        <v>6</v>
      </c>
      <c r="AB210" s="19">
        <v>45142</v>
      </c>
      <c r="AC210" s="118" t="s">
        <v>1869</v>
      </c>
    </row>
    <row r="211" spans="1:29" x14ac:dyDescent="0.25">
      <c r="A211" s="230">
        <v>0.72862268518518514</v>
      </c>
      <c r="B211" s="19">
        <v>45142</v>
      </c>
      <c r="C211" s="118"/>
      <c r="D211" s="118"/>
      <c r="E211" s="118">
        <v>740.5</v>
      </c>
      <c r="F211" s="118">
        <v>567.70000000000005</v>
      </c>
      <c r="G211" s="118">
        <v>519.70000000000005</v>
      </c>
      <c r="H211" s="118">
        <v>519672</v>
      </c>
      <c r="I211" s="118">
        <v>0.25</v>
      </c>
      <c r="J211" s="118">
        <v>514.4</v>
      </c>
      <c r="K211" s="118">
        <v>0.33200000000000002</v>
      </c>
      <c r="L211" s="118">
        <v>0.34599999999999997</v>
      </c>
      <c r="M211" s="118">
        <v>0.47099999999999997</v>
      </c>
      <c r="N211" s="118" t="s">
        <v>515</v>
      </c>
      <c r="O211" s="118" t="s">
        <v>515</v>
      </c>
      <c r="P211" s="118" t="s">
        <v>515</v>
      </c>
      <c r="Q211" s="118">
        <v>40.756860000000003</v>
      </c>
      <c r="R211" s="118">
        <v>-85.595489999999998</v>
      </c>
      <c r="S211" s="118">
        <v>232.9</v>
      </c>
      <c r="T211" s="118">
        <v>72.8</v>
      </c>
      <c r="U211" s="118">
        <v>8.76</v>
      </c>
      <c r="V211" s="118">
        <v>-146.4</v>
      </c>
      <c r="W211" s="118">
        <v>11.8</v>
      </c>
      <c r="X211" s="118">
        <v>0</v>
      </c>
      <c r="Y211" s="118">
        <v>29.841000000000001</v>
      </c>
      <c r="Z211" s="118">
        <v>3.81</v>
      </c>
      <c r="AA211" s="118">
        <v>7</v>
      </c>
      <c r="AB211" s="19">
        <v>45142</v>
      </c>
      <c r="AC211" s="118" t="s">
        <v>1870</v>
      </c>
    </row>
    <row r="212" spans="1:29" x14ac:dyDescent="0.25">
      <c r="A212" s="230">
        <v>0.59804398148148152</v>
      </c>
      <c r="B212" s="19">
        <v>45205</v>
      </c>
      <c r="C212" s="118"/>
      <c r="D212" s="118"/>
      <c r="E212" s="118">
        <v>739.5</v>
      </c>
      <c r="F212" s="118">
        <v>418.6</v>
      </c>
      <c r="G212" s="118">
        <v>455.7</v>
      </c>
      <c r="H212" s="118">
        <v>455742</v>
      </c>
      <c r="I212" s="118">
        <v>0.22</v>
      </c>
      <c r="J212" s="118">
        <v>459.3</v>
      </c>
      <c r="K212" s="118">
        <v>0.54100000000000004</v>
      </c>
      <c r="L212" s="118">
        <v>0.55400000000000005</v>
      </c>
      <c r="M212" s="118">
        <v>0.76800000000000002</v>
      </c>
      <c r="N212" s="118" t="s">
        <v>515</v>
      </c>
      <c r="O212" s="118" t="s">
        <v>515</v>
      </c>
      <c r="P212" s="118" t="s">
        <v>515</v>
      </c>
      <c r="Q212" s="118">
        <v>40.755870000000002</v>
      </c>
      <c r="R212" s="118">
        <v>-85.581239999999994</v>
      </c>
      <c r="S212" s="118">
        <v>240.2</v>
      </c>
      <c r="T212" s="118">
        <v>137.4</v>
      </c>
      <c r="U212" s="118">
        <v>7.64</v>
      </c>
      <c r="V212" s="118">
        <v>-85.3</v>
      </c>
      <c r="W212" s="118">
        <v>11.6</v>
      </c>
      <c r="X212" s="118">
        <v>0</v>
      </c>
      <c r="Y212" s="118">
        <v>20.731999999999999</v>
      </c>
      <c r="Z212" s="118">
        <v>12.28</v>
      </c>
      <c r="AA212" s="118">
        <v>33</v>
      </c>
      <c r="AB212" s="19">
        <v>45205</v>
      </c>
      <c r="AC212" s="118" t="s">
        <v>1871</v>
      </c>
    </row>
    <row r="213" spans="1:29" x14ac:dyDescent="0.25">
      <c r="A213" s="230">
        <v>0.61163194444444446</v>
      </c>
      <c r="B213" s="19">
        <v>45205</v>
      </c>
      <c r="C213" s="118"/>
      <c r="D213" s="118"/>
      <c r="E213" s="118">
        <v>739.5</v>
      </c>
      <c r="F213" s="118">
        <v>456</v>
      </c>
      <c r="G213" s="118">
        <v>493.7</v>
      </c>
      <c r="H213" s="118">
        <v>493673</v>
      </c>
      <c r="I213" s="118">
        <v>0.24</v>
      </c>
      <c r="J213" s="118">
        <v>497.3</v>
      </c>
      <c r="K213" s="118">
        <v>1.45</v>
      </c>
      <c r="L213" s="118">
        <v>1.4670000000000001</v>
      </c>
      <c r="M213" s="118">
        <v>2.0579999999999998</v>
      </c>
      <c r="N213" s="118" t="s">
        <v>515</v>
      </c>
      <c r="O213" s="118" t="s">
        <v>515</v>
      </c>
      <c r="P213" s="118" t="s">
        <v>515</v>
      </c>
      <c r="Q213" s="118">
        <v>40.746560000000002</v>
      </c>
      <c r="R213" s="118">
        <v>-85.570480000000003</v>
      </c>
      <c r="S213" s="118">
        <v>231.7</v>
      </c>
      <c r="T213" s="118">
        <v>148.19999999999999</v>
      </c>
      <c r="U213" s="118">
        <v>7.76</v>
      </c>
      <c r="V213" s="118">
        <v>-92.6</v>
      </c>
      <c r="W213" s="118">
        <v>11.7</v>
      </c>
      <c r="X213" s="118">
        <v>0</v>
      </c>
      <c r="Y213" s="118">
        <v>21.006</v>
      </c>
      <c r="Z213" s="118">
        <v>31.8</v>
      </c>
      <c r="AA213" s="118">
        <v>69</v>
      </c>
      <c r="AB213" s="19">
        <v>45205</v>
      </c>
      <c r="AC213" s="118" t="s">
        <v>1872</v>
      </c>
    </row>
    <row r="214" spans="1:29" x14ac:dyDescent="0.25">
      <c r="A214" s="230">
        <v>0.64804398148148146</v>
      </c>
      <c r="B214" s="19">
        <v>45205</v>
      </c>
      <c r="C214" s="118"/>
      <c r="D214" s="118"/>
      <c r="E214" s="118">
        <v>739.5</v>
      </c>
      <c r="F214" s="118">
        <v>476.9</v>
      </c>
      <c r="G214" s="118">
        <v>518.79999999999995</v>
      </c>
      <c r="H214" s="118">
        <v>518790</v>
      </c>
      <c r="I214" s="118">
        <v>0.25</v>
      </c>
      <c r="J214" s="118">
        <v>522.70000000000005</v>
      </c>
      <c r="K214" s="118">
        <v>0.68200000000000005</v>
      </c>
      <c r="L214" s="118">
        <v>0.70399999999999996</v>
      </c>
      <c r="M214" s="118">
        <v>0.96799999999999997</v>
      </c>
      <c r="N214" s="118" t="s">
        <v>515</v>
      </c>
      <c r="O214" s="118" t="s">
        <v>515</v>
      </c>
      <c r="P214" s="118" t="s">
        <v>515</v>
      </c>
      <c r="Q214" s="118">
        <v>40.746960000000001</v>
      </c>
      <c r="R214" s="118">
        <v>-85.548689999999993</v>
      </c>
      <c r="S214" s="118">
        <v>227.6</v>
      </c>
      <c r="T214" s="118">
        <v>140.9</v>
      </c>
      <c r="U214" s="118">
        <v>8.01</v>
      </c>
      <c r="V214" s="118">
        <v>-107.1</v>
      </c>
      <c r="W214" s="118">
        <v>11.8</v>
      </c>
      <c r="X214" s="118">
        <v>0</v>
      </c>
      <c r="Y214" s="118">
        <v>20.777000000000001</v>
      </c>
      <c r="Z214" s="118">
        <v>37.72</v>
      </c>
      <c r="AA214" s="118">
        <v>76</v>
      </c>
      <c r="AB214" s="19">
        <v>45205</v>
      </c>
      <c r="AC214" s="118" t="s">
        <v>1873</v>
      </c>
    </row>
    <row r="215" spans="1:29" x14ac:dyDescent="0.25">
      <c r="A215" s="230">
        <v>0.68109953703703707</v>
      </c>
      <c r="B215" s="19">
        <v>45205</v>
      </c>
      <c r="C215" s="118"/>
      <c r="D215" s="118"/>
      <c r="E215" s="118">
        <v>739.4</v>
      </c>
      <c r="F215" s="118">
        <v>402.1</v>
      </c>
      <c r="G215" s="118">
        <v>430</v>
      </c>
      <c r="H215" s="118">
        <v>430033</v>
      </c>
      <c r="I215" s="118">
        <v>0.21</v>
      </c>
      <c r="J215" s="118">
        <v>432.7</v>
      </c>
      <c r="K215" s="118">
        <v>0.60499999999999998</v>
      </c>
      <c r="L215" s="118">
        <v>0.626</v>
      </c>
      <c r="M215" s="118">
        <v>0.85799999999999998</v>
      </c>
      <c r="N215" s="118" t="s">
        <v>515</v>
      </c>
      <c r="O215" s="118" t="s">
        <v>515</v>
      </c>
      <c r="P215" s="118" t="s">
        <v>515</v>
      </c>
      <c r="Q215" s="118">
        <v>40.775010000000002</v>
      </c>
      <c r="R215" s="118">
        <v>-85.623490000000004</v>
      </c>
      <c r="S215" s="118">
        <v>227.6</v>
      </c>
      <c r="T215" s="118">
        <v>154.30000000000001</v>
      </c>
      <c r="U215" s="118">
        <v>8.23</v>
      </c>
      <c r="V215" s="118">
        <v>-120.4</v>
      </c>
      <c r="W215" s="118">
        <v>11.8</v>
      </c>
      <c r="X215" s="118">
        <v>0</v>
      </c>
      <c r="Y215" s="118">
        <v>21.597000000000001</v>
      </c>
      <c r="Z215" s="118">
        <v>8.7799999999999994</v>
      </c>
      <c r="AA215" s="118">
        <v>23</v>
      </c>
      <c r="AB215" s="19">
        <v>45205</v>
      </c>
      <c r="AC215" s="118" t="s">
        <v>1866</v>
      </c>
    </row>
    <row r="216" spans="1:29" x14ac:dyDescent="0.25">
      <c r="A216" s="230">
        <v>0.52192129629629624</v>
      </c>
      <c r="B216" s="19">
        <v>45205</v>
      </c>
      <c r="C216" s="118"/>
      <c r="D216" s="118"/>
      <c r="E216" s="118">
        <v>740.4</v>
      </c>
      <c r="F216" s="118">
        <v>402.6</v>
      </c>
      <c r="G216" s="118">
        <v>432.3</v>
      </c>
      <c r="H216" s="118">
        <v>432314</v>
      </c>
      <c r="I216" s="118">
        <v>0.21</v>
      </c>
      <c r="J216" s="118">
        <v>435.2</v>
      </c>
      <c r="K216" s="118">
        <v>0.46100000000000002</v>
      </c>
      <c r="L216" s="118">
        <v>0.46899999999999997</v>
      </c>
      <c r="M216" s="118">
        <v>0.65500000000000003</v>
      </c>
      <c r="N216" s="118" t="s">
        <v>515</v>
      </c>
      <c r="O216" s="118" t="s">
        <v>515</v>
      </c>
      <c r="P216" s="118" t="s">
        <v>515</v>
      </c>
      <c r="Q216" s="118">
        <v>40.774769999999997</v>
      </c>
      <c r="R216" s="118">
        <v>-85.609669999999994</v>
      </c>
      <c r="S216" s="118">
        <v>727.5</v>
      </c>
      <c r="T216" s="118">
        <v>190.2</v>
      </c>
      <c r="U216" s="118">
        <v>7.87</v>
      </c>
      <c r="V216" s="118">
        <v>-98.9</v>
      </c>
      <c r="W216" s="118">
        <v>11.6</v>
      </c>
      <c r="X216" s="118">
        <v>0</v>
      </c>
      <c r="Y216" s="118">
        <v>21.399000000000001</v>
      </c>
      <c r="Z216" s="118">
        <v>7.32</v>
      </c>
      <c r="AA216" s="118">
        <v>19</v>
      </c>
      <c r="AB216" s="19">
        <v>45205</v>
      </c>
      <c r="AC216" s="118" t="s">
        <v>1867</v>
      </c>
    </row>
    <row r="217" spans="1:29" x14ac:dyDescent="0.25">
      <c r="A217" s="230">
        <v>0.55579861111111106</v>
      </c>
      <c r="B217" s="19">
        <v>45205</v>
      </c>
      <c r="C217" s="118"/>
      <c r="D217" s="118"/>
      <c r="E217" s="118">
        <v>740.4</v>
      </c>
      <c r="F217" s="118">
        <v>390.8</v>
      </c>
      <c r="G217" s="118">
        <v>421.1</v>
      </c>
      <c r="H217" s="118">
        <v>421059</v>
      </c>
      <c r="I217" s="118">
        <v>0.2</v>
      </c>
      <c r="J217" s="118">
        <v>423.9</v>
      </c>
      <c r="K217" s="118">
        <v>0.751</v>
      </c>
      <c r="L217" s="118">
        <v>0.753</v>
      </c>
      <c r="M217" s="118">
        <v>1.0660000000000001</v>
      </c>
      <c r="N217" s="118" t="s">
        <v>515</v>
      </c>
      <c r="O217" s="118" t="s">
        <v>515</v>
      </c>
      <c r="P217" s="118" t="s">
        <v>515</v>
      </c>
      <c r="Q217" s="118">
        <v>40.774639999999998</v>
      </c>
      <c r="R217" s="118">
        <v>-85.581500000000005</v>
      </c>
      <c r="S217" s="118">
        <v>227.9</v>
      </c>
      <c r="T217" s="118">
        <v>130.19999999999999</v>
      </c>
      <c r="U217" s="118">
        <v>8.17</v>
      </c>
      <c r="V217" s="118">
        <v>-116.4</v>
      </c>
      <c r="W217" s="118">
        <v>11.6</v>
      </c>
      <c r="X217" s="118">
        <v>0</v>
      </c>
      <c r="Y217" s="118">
        <v>21.242000000000001</v>
      </c>
      <c r="Z217" s="118">
        <v>14.42</v>
      </c>
      <c r="AA217" s="118">
        <v>38</v>
      </c>
      <c r="AB217" s="19">
        <v>45205</v>
      </c>
      <c r="AC217" s="118" t="s">
        <v>1868</v>
      </c>
    </row>
    <row r="218" spans="1:29" x14ac:dyDescent="0.25">
      <c r="A218" s="230">
        <v>0.53688657407407403</v>
      </c>
      <c r="B218" s="19">
        <v>45205</v>
      </c>
      <c r="C218" s="118"/>
      <c r="D218" s="118"/>
      <c r="E218" s="118">
        <v>740.2</v>
      </c>
      <c r="F218" s="118">
        <v>404.7</v>
      </c>
      <c r="G218" s="118">
        <v>437.5</v>
      </c>
      <c r="H218" s="118">
        <v>437474</v>
      </c>
      <c r="I218" s="118">
        <v>0.21</v>
      </c>
      <c r="J218" s="118">
        <v>440.6</v>
      </c>
      <c r="K218" s="118">
        <v>0.58899999999999997</v>
      </c>
      <c r="L218" s="118">
        <v>0.63300000000000001</v>
      </c>
      <c r="M218" s="118">
        <v>0.83699999999999997</v>
      </c>
      <c r="N218" s="118" t="s">
        <v>515</v>
      </c>
      <c r="O218" s="118" t="s">
        <v>515</v>
      </c>
      <c r="P218" s="118" t="s">
        <v>515</v>
      </c>
      <c r="Q218" s="118">
        <v>40.767389999999999</v>
      </c>
      <c r="R218" s="118">
        <v>-85.598849999999999</v>
      </c>
      <c r="S218" s="118">
        <v>223</v>
      </c>
      <c r="T218" s="118">
        <v>150.6</v>
      </c>
      <c r="U218" s="118">
        <v>7.89</v>
      </c>
      <c r="V218" s="118">
        <v>-99.9</v>
      </c>
      <c r="W218" s="118">
        <v>11.7</v>
      </c>
      <c r="X218" s="118">
        <v>0</v>
      </c>
      <c r="Y218" s="118">
        <v>21.082000000000001</v>
      </c>
      <c r="Z218" s="118">
        <v>6.63</v>
      </c>
      <c r="AA218" s="118">
        <v>16</v>
      </c>
      <c r="AB218" s="19">
        <v>45205</v>
      </c>
      <c r="AC218" s="118" t="s">
        <v>1869</v>
      </c>
    </row>
    <row r="219" spans="1:29" x14ac:dyDescent="0.25">
      <c r="A219" s="230">
        <v>0.57532407407407404</v>
      </c>
      <c r="B219" s="19">
        <v>45205</v>
      </c>
      <c r="C219" s="118"/>
      <c r="D219" s="118"/>
      <c r="E219" s="118">
        <v>740</v>
      </c>
      <c r="F219" s="118">
        <v>409.9</v>
      </c>
      <c r="G219" s="118">
        <v>443.7</v>
      </c>
      <c r="H219" s="118">
        <v>443663</v>
      </c>
      <c r="I219" s="118">
        <v>0.21</v>
      </c>
      <c r="J219" s="118">
        <v>446.9</v>
      </c>
      <c r="K219" s="118">
        <v>0.57899999999999996</v>
      </c>
      <c r="L219" s="118">
        <v>0.58399999999999996</v>
      </c>
      <c r="M219" s="118">
        <v>0.82199999999999995</v>
      </c>
      <c r="N219" s="118" t="s">
        <v>515</v>
      </c>
      <c r="O219" s="118" t="s">
        <v>515</v>
      </c>
      <c r="P219" s="118" t="s">
        <v>515</v>
      </c>
      <c r="Q219" s="118">
        <v>40.757559999999998</v>
      </c>
      <c r="R219" s="118">
        <v>-85.595230000000001</v>
      </c>
      <c r="S219" s="118">
        <v>228.7</v>
      </c>
      <c r="T219" s="118">
        <v>136.80000000000001</v>
      </c>
      <c r="U219" s="118">
        <v>7.84</v>
      </c>
      <c r="V219" s="118">
        <v>-97.1</v>
      </c>
      <c r="W219" s="118">
        <v>11.7</v>
      </c>
      <c r="X219" s="118">
        <v>0</v>
      </c>
      <c r="Y219" s="118">
        <v>21.021000000000001</v>
      </c>
      <c r="Z219" s="118">
        <v>8.34</v>
      </c>
      <c r="AA219" s="118">
        <v>22</v>
      </c>
      <c r="AB219" s="19">
        <v>45205</v>
      </c>
      <c r="AC219" s="118" t="s">
        <v>1870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67EB9-48DB-4A79-A09C-18FD63AC4475}">
  <dimension ref="B1:AC244"/>
  <sheetViews>
    <sheetView topLeftCell="A181" zoomScale="55" zoomScaleNormal="55" workbookViewId="0">
      <selection activeCell="B1" sqref="B1:AB244"/>
    </sheetView>
  </sheetViews>
  <sheetFormatPr defaultRowHeight="15" x14ac:dyDescent="0.25"/>
  <cols>
    <col min="2" max="2" width="15.28515625" bestFit="1" customWidth="1"/>
  </cols>
  <sheetData>
    <row r="1" spans="2:28" x14ac:dyDescent="0.25">
      <c r="B1" s="118" t="s">
        <v>1788</v>
      </c>
      <c r="C1" s="118" t="s">
        <v>1789</v>
      </c>
      <c r="D1" s="118" t="s">
        <v>1790</v>
      </c>
      <c r="E1" s="118" t="s">
        <v>1791</v>
      </c>
      <c r="F1" s="118" t="s">
        <v>1792</v>
      </c>
      <c r="G1" s="118" t="s">
        <v>1793</v>
      </c>
      <c r="H1" s="118" t="s">
        <v>1794</v>
      </c>
      <c r="I1" s="118" t="s">
        <v>1699</v>
      </c>
      <c r="J1" s="118" t="s">
        <v>1795</v>
      </c>
      <c r="K1" s="118" t="s">
        <v>1703</v>
      </c>
      <c r="L1" s="118" t="s">
        <v>1796</v>
      </c>
      <c r="M1" s="118" t="s">
        <v>1797</v>
      </c>
      <c r="N1" s="118" t="s">
        <v>1798</v>
      </c>
      <c r="O1" s="118" t="s">
        <v>1799</v>
      </c>
      <c r="P1" s="118" t="s">
        <v>1800</v>
      </c>
      <c r="Q1" s="118" t="s">
        <v>1801</v>
      </c>
      <c r="R1" s="118" t="s">
        <v>1802</v>
      </c>
      <c r="S1" s="118" t="s">
        <v>1803</v>
      </c>
      <c r="T1" s="118" t="s">
        <v>1804</v>
      </c>
      <c r="U1" s="118" t="s">
        <v>1805</v>
      </c>
      <c r="V1" s="118" t="s">
        <v>1806</v>
      </c>
      <c r="W1" s="118" t="s">
        <v>1807</v>
      </c>
      <c r="X1" s="118" t="s">
        <v>1808</v>
      </c>
      <c r="Y1" s="118" t="s">
        <v>1809</v>
      </c>
      <c r="Z1" s="118" t="s">
        <v>1810</v>
      </c>
      <c r="AA1" s="118" t="s">
        <v>1811</v>
      </c>
      <c r="AB1" s="118" t="s">
        <v>1711</v>
      </c>
    </row>
    <row r="2" spans="2:28" x14ac:dyDescent="0.25">
      <c r="B2" s="19">
        <v>45063</v>
      </c>
      <c r="C2" s="230">
        <v>0.59377314814814819</v>
      </c>
      <c r="D2" s="118">
        <v>0</v>
      </c>
      <c r="E2" s="118">
        <v>471.9</v>
      </c>
      <c r="F2" s="118">
        <v>0.624</v>
      </c>
      <c r="G2" s="118">
        <v>546.9</v>
      </c>
      <c r="H2" s="118">
        <v>72.400000000000006</v>
      </c>
      <c r="I2" s="118">
        <v>74.3</v>
      </c>
      <c r="J2" s="118">
        <v>6.8</v>
      </c>
      <c r="K2" s="118">
        <v>212.9</v>
      </c>
      <c r="L2" s="118">
        <v>0.88600000000000001</v>
      </c>
      <c r="M2" s="118">
        <v>0.26</v>
      </c>
      <c r="N2" s="118">
        <v>540.79999999999995</v>
      </c>
      <c r="O2" s="118">
        <v>540791</v>
      </c>
      <c r="P2" s="118">
        <v>11.96</v>
      </c>
      <c r="Q2" s="118">
        <v>0</v>
      </c>
      <c r="R2" s="118">
        <v>7.32</v>
      </c>
      <c r="S2" s="118">
        <v>-52.3</v>
      </c>
      <c r="T2" s="118">
        <v>18.327999999999999</v>
      </c>
      <c r="U2" s="118">
        <v>0.61399999999999999</v>
      </c>
      <c r="V2" s="118">
        <v>40.730060000000002</v>
      </c>
      <c r="W2" s="118">
        <v>-86.757320000000007</v>
      </c>
      <c r="X2" s="118">
        <v>189.2</v>
      </c>
      <c r="Y2" s="118">
        <v>0</v>
      </c>
      <c r="Z2" s="118">
        <v>11.8</v>
      </c>
      <c r="AA2" s="118">
        <v>744</v>
      </c>
      <c r="AB2" s="118" t="s">
        <v>1812</v>
      </c>
    </row>
    <row r="3" spans="2:28" x14ac:dyDescent="0.25">
      <c r="B3" s="19">
        <v>45063</v>
      </c>
      <c r="C3" s="230">
        <v>0.60244212962962962</v>
      </c>
      <c r="D3" s="118">
        <v>0</v>
      </c>
      <c r="E3" s="118">
        <v>470.6</v>
      </c>
      <c r="F3" s="118">
        <v>0.28000000000000003</v>
      </c>
      <c r="G3" s="118">
        <v>548</v>
      </c>
      <c r="H3" s="118">
        <v>80.7</v>
      </c>
      <c r="I3" s="118">
        <v>82.7</v>
      </c>
      <c r="J3" s="118">
        <v>7.61</v>
      </c>
      <c r="K3" s="118">
        <v>223.3</v>
      </c>
      <c r="L3" s="118">
        <v>0.39800000000000002</v>
      </c>
      <c r="M3" s="118">
        <v>0.26</v>
      </c>
      <c r="N3" s="118">
        <v>541.79999999999995</v>
      </c>
      <c r="O3" s="118">
        <v>541764</v>
      </c>
      <c r="P3" s="118">
        <v>12.95</v>
      </c>
      <c r="Q3" s="118">
        <v>0</v>
      </c>
      <c r="R3" s="118">
        <v>7.48</v>
      </c>
      <c r="S3" s="118">
        <v>-61</v>
      </c>
      <c r="T3" s="118">
        <v>18.123999999999999</v>
      </c>
      <c r="U3" s="118">
        <v>0.27900000000000003</v>
      </c>
      <c r="V3" s="118">
        <v>40.729349999999997</v>
      </c>
      <c r="W3" s="118">
        <v>-86.756860000000003</v>
      </c>
      <c r="X3" s="118">
        <v>188.5</v>
      </c>
      <c r="Y3" s="118">
        <v>0</v>
      </c>
      <c r="Z3" s="118">
        <v>11.8</v>
      </c>
      <c r="AA3" s="118">
        <v>743.9</v>
      </c>
      <c r="AB3" s="118" t="s">
        <v>1813</v>
      </c>
    </row>
    <row r="4" spans="2:28" x14ac:dyDescent="0.25">
      <c r="B4" s="19">
        <v>45063</v>
      </c>
      <c r="C4" s="230">
        <v>0.61186342592592591</v>
      </c>
      <c r="D4" s="118">
        <v>0</v>
      </c>
      <c r="E4" s="118">
        <v>466.6</v>
      </c>
      <c r="F4" s="118">
        <v>0.308</v>
      </c>
      <c r="G4" s="118">
        <v>543</v>
      </c>
      <c r="H4" s="118">
        <v>77.5</v>
      </c>
      <c r="I4" s="118">
        <v>79.400000000000006</v>
      </c>
      <c r="J4" s="118">
        <v>7.3</v>
      </c>
      <c r="K4" s="118">
        <v>206.5</v>
      </c>
      <c r="L4" s="118">
        <v>0.437</v>
      </c>
      <c r="M4" s="118">
        <v>0.26</v>
      </c>
      <c r="N4" s="118">
        <v>536.79999999999995</v>
      </c>
      <c r="O4" s="118">
        <v>536817</v>
      </c>
      <c r="P4" s="118">
        <v>11.89</v>
      </c>
      <c r="Q4" s="118">
        <v>0</v>
      </c>
      <c r="R4" s="118">
        <v>7.48</v>
      </c>
      <c r="S4" s="118">
        <v>-61.3</v>
      </c>
      <c r="T4" s="118">
        <v>18.155999999999999</v>
      </c>
      <c r="U4" s="118">
        <v>0.28399999999999997</v>
      </c>
      <c r="V4" s="118">
        <v>40.72871</v>
      </c>
      <c r="W4" s="118">
        <v>-86.755979999999994</v>
      </c>
      <c r="X4" s="118">
        <v>187.1</v>
      </c>
      <c r="Y4" s="118">
        <v>0</v>
      </c>
      <c r="Z4" s="118">
        <v>11.8</v>
      </c>
      <c r="AA4" s="118">
        <v>744.1</v>
      </c>
      <c r="AB4" s="118" t="s">
        <v>1814</v>
      </c>
    </row>
    <row r="5" spans="2:28" x14ac:dyDescent="0.25">
      <c r="B5" s="19">
        <v>45063</v>
      </c>
      <c r="C5" s="230">
        <v>0.62930555555555556</v>
      </c>
      <c r="D5" s="118">
        <v>0</v>
      </c>
      <c r="E5" s="118">
        <v>467.1</v>
      </c>
      <c r="F5" s="118">
        <v>0.31</v>
      </c>
      <c r="G5" s="118">
        <v>541.20000000000005</v>
      </c>
      <c r="H5" s="118">
        <v>75.599999999999994</v>
      </c>
      <c r="I5" s="118">
        <v>77.5</v>
      </c>
      <c r="J5" s="118">
        <v>7.09</v>
      </c>
      <c r="K5" s="118">
        <v>197.1</v>
      </c>
      <c r="L5" s="118">
        <v>0.441</v>
      </c>
      <c r="M5" s="118">
        <v>0.26</v>
      </c>
      <c r="N5" s="118">
        <v>535.20000000000005</v>
      </c>
      <c r="O5" s="118">
        <v>535191</v>
      </c>
      <c r="P5" s="118">
        <v>13.4</v>
      </c>
      <c r="Q5" s="118">
        <v>0</v>
      </c>
      <c r="R5" s="118">
        <v>7.47</v>
      </c>
      <c r="S5" s="118">
        <v>-60.6</v>
      </c>
      <c r="T5" s="118">
        <v>18.338999999999999</v>
      </c>
      <c r="U5" s="118">
        <v>0.34100000000000003</v>
      </c>
      <c r="V5" s="118">
        <v>40.723619999999997</v>
      </c>
      <c r="W5" s="118">
        <v>-86.756510000000006</v>
      </c>
      <c r="X5" s="118">
        <v>186.8</v>
      </c>
      <c r="Y5" s="118">
        <v>0</v>
      </c>
      <c r="Z5" s="118">
        <v>11.8</v>
      </c>
      <c r="AA5" s="118">
        <v>744.2</v>
      </c>
      <c r="AB5" s="118" t="s">
        <v>1815</v>
      </c>
    </row>
    <row r="6" spans="2:28" x14ac:dyDescent="0.25">
      <c r="B6" s="19">
        <v>45063</v>
      </c>
      <c r="C6" s="230">
        <v>0.64793981481481477</v>
      </c>
      <c r="D6" s="118">
        <v>0</v>
      </c>
      <c r="E6" s="118">
        <v>468.2</v>
      </c>
      <c r="F6" s="118">
        <v>0.30399999999999999</v>
      </c>
      <c r="G6" s="118">
        <v>541.79999999999995</v>
      </c>
      <c r="H6" s="118">
        <v>76.599999999999994</v>
      </c>
      <c r="I6" s="118">
        <v>78.599999999999994</v>
      </c>
      <c r="J6" s="118">
        <v>7.19</v>
      </c>
      <c r="K6" s="118">
        <v>194.8</v>
      </c>
      <c r="L6" s="118">
        <v>0.432</v>
      </c>
      <c r="M6" s="118">
        <v>0.26</v>
      </c>
      <c r="N6" s="118">
        <v>535.79999999999995</v>
      </c>
      <c r="O6" s="118">
        <v>535797</v>
      </c>
      <c r="P6" s="118">
        <v>11.81</v>
      </c>
      <c r="Q6" s="118">
        <v>0</v>
      </c>
      <c r="R6" s="118">
        <v>7.53</v>
      </c>
      <c r="S6" s="118">
        <v>-63.7</v>
      </c>
      <c r="T6" s="118">
        <v>18.390999999999998</v>
      </c>
      <c r="U6" s="118">
        <v>0.30199999999999999</v>
      </c>
      <c r="V6" s="118">
        <v>40.720309999999998</v>
      </c>
      <c r="W6" s="118">
        <v>-86.754230000000007</v>
      </c>
      <c r="X6" s="118">
        <v>189.2</v>
      </c>
      <c r="Y6" s="118">
        <v>0</v>
      </c>
      <c r="Z6" s="118">
        <v>11.8</v>
      </c>
      <c r="AA6" s="118">
        <v>744.3</v>
      </c>
      <c r="AB6" s="118" t="s">
        <v>1816</v>
      </c>
    </row>
    <row r="7" spans="2:28" x14ac:dyDescent="0.25">
      <c r="B7" s="19">
        <v>45063</v>
      </c>
      <c r="C7" s="230">
        <v>0.66180555555555554</v>
      </c>
      <c r="D7" s="118">
        <v>0</v>
      </c>
      <c r="E7" s="118">
        <v>459.8</v>
      </c>
      <c r="F7" s="118">
        <v>0.28399999999999997</v>
      </c>
      <c r="G7" s="118">
        <v>529.9</v>
      </c>
      <c r="H7" s="118">
        <v>73.8</v>
      </c>
      <c r="I7" s="118">
        <v>75.599999999999994</v>
      </c>
      <c r="J7" s="118">
        <v>6.89</v>
      </c>
      <c r="K7" s="118">
        <v>198.3</v>
      </c>
      <c r="L7" s="118">
        <v>0.40400000000000003</v>
      </c>
      <c r="M7" s="118">
        <v>0.25</v>
      </c>
      <c r="N7" s="118">
        <v>524.1</v>
      </c>
      <c r="O7" s="118">
        <v>524113</v>
      </c>
      <c r="P7" s="118">
        <v>10.71</v>
      </c>
      <c r="Q7" s="118">
        <v>0</v>
      </c>
      <c r="R7" s="118">
        <v>7.47</v>
      </c>
      <c r="S7" s="118">
        <v>-60.5</v>
      </c>
      <c r="T7" s="118">
        <v>18.579999999999998</v>
      </c>
      <c r="U7" s="118">
        <v>0.27300000000000002</v>
      </c>
      <c r="V7" s="118">
        <v>40.721400000000003</v>
      </c>
      <c r="W7" s="118">
        <v>-86.749619999999993</v>
      </c>
      <c r="X7" s="118">
        <v>189.6</v>
      </c>
      <c r="Y7" s="118">
        <v>0</v>
      </c>
      <c r="Z7" s="118">
        <v>11.8</v>
      </c>
      <c r="AA7" s="118">
        <v>744.4</v>
      </c>
      <c r="AB7" s="118" t="s">
        <v>1817</v>
      </c>
    </row>
    <row r="8" spans="2:28" x14ac:dyDescent="0.25">
      <c r="B8" s="19">
        <v>45063</v>
      </c>
      <c r="C8" s="230">
        <v>0.63959490740740743</v>
      </c>
      <c r="D8" s="118">
        <v>0</v>
      </c>
      <c r="E8" s="118">
        <v>468</v>
      </c>
      <c r="F8" s="118">
        <v>0.24299999999999999</v>
      </c>
      <c r="G8" s="118">
        <v>541.20000000000005</v>
      </c>
      <c r="H8" s="118">
        <v>77.2</v>
      </c>
      <c r="I8" s="118">
        <v>79.2</v>
      </c>
      <c r="J8" s="118">
        <v>7.24</v>
      </c>
      <c r="K8" s="118">
        <v>191.6</v>
      </c>
      <c r="L8" s="118">
        <v>0.34599999999999997</v>
      </c>
      <c r="M8" s="118">
        <v>0.26</v>
      </c>
      <c r="N8" s="118">
        <v>535.20000000000005</v>
      </c>
      <c r="O8" s="118">
        <v>535250</v>
      </c>
      <c r="P8" s="118">
        <v>11.81</v>
      </c>
      <c r="Q8" s="118">
        <v>0</v>
      </c>
      <c r="R8" s="118">
        <v>7.51</v>
      </c>
      <c r="S8" s="118">
        <v>-62.9</v>
      </c>
      <c r="T8" s="118">
        <v>18.423999999999999</v>
      </c>
      <c r="U8" s="118">
        <v>0.23499999999999999</v>
      </c>
      <c r="V8" s="118">
        <v>40.722059999999999</v>
      </c>
      <c r="W8" s="118">
        <v>-86.755290000000002</v>
      </c>
      <c r="X8" s="118">
        <v>185.5</v>
      </c>
      <c r="Y8" s="118">
        <v>0</v>
      </c>
      <c r="Z8" s="118">
        <v>11.8</v>
      </c>
      <c r="AA8" s="118">
        <v>744.3</v>
      </c>
      <c r="AB8" s="118" t="s">
        <v>1818</v>
      </c>
    </row>
    <row r="9" spans="2:28" x14ac:dyDescent="0.25">
      <c r="B9" s="19">
        <v>45063</v>
      </c>
      <c r="C9" s="230">
        <v>0.67153935185185187</v>
      </c>
      <c r="D9" s="118">
        <v>0</v>
      </c>
      <c r="E9" s="118">
        <v>468.5</v>
      </c>
      <c r="F9" s="118">
        <v>0.28000000000000003</v>
      </c>
      <c r="G9" s="118">
        <v>537.20000000000005</v>
      </c>
      <c r="H9" s="118">
        <v>77.099999999999994</v>
      </c>
      <c r="I9" s="118">
        <v>79</v>
      </c>
      <c r="J9" s="118">
        <v>7.17</v>
      </c>
      <c r="K9" s="118">
        <v>217.3</v>
      </c>
      <c r="L9" s="118">
        <v>0.39800000000000002</v>
      </c>
      <c r="M9" s="118">
        <v>0.26</v>
      </c>
      <c r="N9" s="118">
        <v>531.5</v>
      </c>
      <c r="O9" s="118">
        <v>531542</v>
      </c>
      <c r="P9" s="118">
        <v>9.92</v>
      </c>
      <c r="Q9" s="118">
        <v>0</v>
      </c>
      <c r="R9" s="118">
        <v>7.58</v>
      </c>
      <c r="S9" s="118">
        <v>-66.599999999999994</v>
      </c>
      <c r="T9" s="118">
        <v>18.786999999999999</v>
      </c>
      <c r="U9" s="118">
        <v>0.28999999999999998</v>
      </c>
      <c r="V9" s="118">
        <v>40.715580000000003</v>
      </c>
      <c r="W9" s="118">
        <v>-86.748180000000005</v>
      </c>
      <c r="X9" s="118">
        <v>188.7</v>
      </c>
      <c r="Y9" s="118">
        <v>0</v>
      </c>
      <c r="Z9" s="118">
        <v>11.8</v>
      </c>
      <c r="AA9" s="118">
        <v>744.4</v>
      </c>
      <c r="AB9" s="118" t="s">
        <v>1819</v>
      </c>
    </row>
    <row r="10" spans="2:28" x14ac:dyDescent="0.25">
      <c r="B10" s="19">
        <v>45063</v>
      </c>
      <c r="C10" s="230">
        <v>0.68335648148148154</v>
      </c>
      <c r="D10" s="118">
        <v>0</v>
      </c>
      <c r="E10" s="118">
        <v>472.1</v>
      </c>
      <c r="F10" s="118">
        <v>0.25900000000000001</v>
      </c>
      <c r="G10" s="118">
        <v>536.9</v>
      </c>
      <c r="H10" s="118">
        <v>77.900000000000006</v>
      </c>
      <c r="I10" s="118">
        <v>79.8</v>
      </c>
      <c r="J10" s="118">
        <v>7.19</v>
      </c>
      <c r="K10" s="118">
        <v>217.3</v>
      </c>
      <c r="L10" s="118">
        <v>0.36799999999999999</v>
      </c>
      <c r="M10" s="118">
        <v>0.26</v>
      </c>
      <c r="N10" s="118">
        <v>531.5</v>
      </c>
      <c r="O10" s="118">
        <v>531504</v>
      </c>
      <c r="P10" s="118">
        <v>9.1999999999999993</v>
      </c>
      <c r="Q10" s="118">
        <v>0</v>
      </c>
      <c r="R10" s="118">
        <v>7.5</v>
      </c>
      <c r="S10" s="118">
        <v>-62.6</v>
      </c>
      <c r="T10" s="118">
        <v>19.148</v>
      </c>
      <c r="U10" s="118">
        <v>0.26100000000000001</v>
      </c>
      <c r="V10" s="118">
        <v>40.714619999999996</v>
      </c>
      <c r="W10" s="118">
        <v>-86.749510000000001</v>
      </c>
      <c r="X10" s="118">
        <v>192.7</v>
      </c>
      <c r="Y10" s="118">
        <v>0</v>
      </c>
      <c r="Z10" s="118">
        <v>11.8</v>
      </c>
      <c r="AA10" s="118">
        <v>744.6</v>
      </c>
      <c r="AB10" s="118" t="s">
        <v>1820</v>
      </c>
    </row>
    <row r="11" spans="2:28" x14ac:dyDescent="0.25">
      <c r="B11" s="118" t="s">
        <v>1788</v>
      </c>
      <c r="C11" s="118" t="s">
        <v>1789</v>
      </c>
      <c r="D11" s="118" t="s">
        <v>1790</v>
      </c>
      <c r="E11" s="118" t="s">
        <v>1791</v>
      </c>
      <c r="F11" s="118" t="s">
        <v>1792</v>
      </c>
      <c r="G11" s="118" t="s">
        <v>1793</v>
      </c>
      <c r="H11" s="118" t="s">
        <v>1794</v>
      </c>
      <c r="I11" s="118" t="s">
        <v>1699</v>
      </c>
      <c r="J11" s="118" t="s">
        <v>1795</v>
      </c>
      <c r="K11" s="118" t="s">
        <v>1703</v>
      </c>
      <c r="L11" s="118" t="s">
        <v>1796</v>
      </c>
      <c r="M11" s="118" t="s">
        <v>1797</v>
      </c>
      <c r="N11" s="118" t="s">
        <v>1798</v>
      </c>
      <c r="O11" s="118" t="s">
        <v>1799</v>
      </c>
      <c r="P11" s="118" t="s">
        <v>1800</v>
      </c>
      <c r="Q11" s="118" t="s">
        <v>1801</v>
      </c>
      <c r="R11" s="118" t="s">
        <v>1802</v>
      </c>
      <c r="S11" s="118" t="s">
        <v>1803</v>
      </c>
      <c r="T11" s="118" t="s">
        <v>1804</v>
      </c>
      <c r="U11" s="118" t="s">
        <v>1805</v>
      </c>
      <c r="V11" s="118" t="s">
        <v>1806</v>
      </c>
      <c r="W11" s="118" t="s">
        <v>1807</v>
      </c>
      <c r="X11" s="118" t="s">
        <v>1808</v>
      </c>
      <c r="Y11" s="118" t="s">
        <v>1809</v>
      </c>
      <c r="Z11" s="118" t="s">
        <v>1810</v>
      </c>
      <c r="AA11" s="118" t="s">
        <v>1811</v>
      </c>
      <c r="AB11" s="118" t="s">
        <v>1711</v>
      </c>
    </row>
    <row r="12" spans="2:28" x14ac:dyDescent="0.25">
      <c r="B12" s="19">
        <v>45086</v>
      </c>
      <c r="C12" s="230">
        <v>0.41848379629629628</v>
      </c>
      <c r="D12" s="118">
        <v>0</v>
      </c>
      <c r="E12" s="118">
        <v>670.7</v>
      </c>
      <c r="F12" s="118">
        <v>0.22</v>
      </c>
      <c r="G12" s="118">
        <v>707.2</v>
      </c>
      <c r="H12" s="118">
        <v>103.1</v>
      </c>
      <c r="I12" s="118">
        <v>105.6</v>
      </c>
      <c r="J12" s="118">
        <v>8.91</v>
      </c>
      <c r="K12" s="118">
        <v>269</v>
      </c>
      <c r="L12" s="118">
        <v>0.313</v>
      </c>
      <c r="M12" s="118">
        <v>0.34</v>
      </c>
      <c r="N12" s="118">
        <v>703.9</v>
      </c>
      <c r="O12" s="118">
        <v>703945</v>
      </c>
      <c r="P12" s="118">
        <v>6.76</v>
      </c>
      <c r="Q12" s="118">
        <v>0</v>
      </c>
      <c r="R12" s="118">
        <v>6.43</v>
      </c>
      <c r="S12" s="118">
        <v>-4.3</v>
      </c>
      <c r="T12" s="118">
        <v>22.527000000000001</v>
      </c>
      <c r="U12" s="118">
        <v>0.23100000000000001</v>
      </c>
      <c r="V12" s="118">
        <v>40.693629999999999</v>
      </c>
      <c r="W12" s="118">
        <v>-86.766940000000005</v>
      </c>
      <c r="X12" s="118">
        <v>187.8</v>
      </c>
      <c r="Y12" s="118">
        <v>0</v>
      </c>
      <c r="Z12" s="118">
        <v>11.8</v>
      </c>
      <c r="AA12" s="118">
        <v>743.2</v>
      </c>
      <c r="AB12" s="118" t="s">
        <v>1821</v>
      </c>
    </row>
    <row r="13" spans="2:28" x14ac:dyDescent="0.25">
      <c r="B13" s="19">
        <v>45086</v>
      </c>
      <c r="C13" s="230">
        <v>0.4611574074074074</v>
      </c>
      <c r="D13" s="118">
        <v>0</v>
      </c>
      <c r="E13" s="118">
        <v>663.1</v>
      </c>
      <c r="F13" s="118">
        <v>0.14199999999999999</v>
      </c>
      <c r="G13" s="118">
        <v>683.2</v>
      </c>
      <c r="H13" s="118">
        <v>114.6</v>
      </c>
      <c r="I13" s="118">
        <v>117.4</v>
      </c>
      <c r="J13" s="118">
        <v>9.7100000000000009</v>
      </c>
      <c r="K13" s="118">
        <v>143.9</v>
      </c>
      <c r="L13" s="118">
        <v>0.20100000000000001</v>
      </c>
      <c r="M13" s="118">
        <v>0.33</v>
      </c>
      <c r="N13" s="118">
        <v>681.4</v>
      </c>
      <c r="O13" s="118">
        <v>681360</v>
      </c>
      <c r="P13" s="118">
        <v>5.36</v>
      </c>
      <c r="Q13" s="118">
        <v>0</v>
      </c>
      <c r="R13" s="118">
        <v>8.16</v>
      </c>
      <c r="S13" s="118">
        <v>-108.1</v>
      </c>
      <c r="T13" s="118">
        <v>23.597999999999999</v>
      </c>
      <c r="U13" s="118">
        <v>0.159</v>
      </c>
      <c r="V13" s="118">
        <v>40.665909999999997</v>
      </c>
      <c r="W13" s="118">
        <v>-86.752849999999995</v>
      </c>
      <c r="X13" s="118">
        <v>183.5</v>
      </c>
      <c r="Y13" s="118">
        <v>0</v>
      </c>
      <c r="Z13" s="118">
        <v>11.8</v>
      </c>
      <c r="AA13" s="118">
        <v>742.9</v>
      </c>
      <c r="AB13" s="118" t="s">
        <v>1822</v>
      </c>
    </row>
    <row r="14" spans="2:28" x14ac:dyDescent="0.25">
      <c r="B14" s="19">
        <v>45086</v>
      </c>
      <c r="C14" s="230">
        <v>0.49157407407407405</v>
      </c>
      <c r="D14" s="118">
        <v>0</v>
      </c>
      <c r="E14" s="118">
        <v>693.3</v>
      </c>
      <c r="F14" s="118">
        <v>0.121</v>
      </c>
      <c r="G14" s="118">
        <v>712.6</v>
      </c>
      <c r="H14" s="118">
        <v>111.9</v>
      </c>
      <c r="I14" s="118">
        <v>114.6</v>
      </c>
      <c r="J14" s="118">
        <v>9.4499999999999993</v>
      </c>
      <c r="K14" s="118">
        <v>139.4</v>
      </c>
      <c r="L14" s="118">
        <v>0.17199999999999999</v>
      </c>
      <c r="M14" s="118">
        <v>0.35</v>
      </c>
      <c r="N14" s="118">
        <v>710.8</v>
      </c>
      <c r="O14" s="118">
        <v>710805</v>
      </c>
      <c r="P14" s="118">
        <v>4.49</v>
      </c>
      <c r="Q14" s="118">
        <v>0</v>
      </c>
      <c r="R14" s="118">
        <v>8.02</v>
      </c>
      <c r="S14" s="118">
        <v>-99.8</v>
      </c>
      <c r="T14" s="118">
        <v>23.712</v>
      </c>
      <c r="U14" s="118">
        <v>0.13</v>
      </c>
      <c r="V14" s="118">
        <v>40.680999999999997</v>
      </c>
      <c r="W14" s="118">
        <v>-86.752350000000007</v>
      </c>
      <c r="X14" s="118">
        <v>183.7</v>
      </c>
      <c r="Y14" s="118">
        <v>0</v>
      </c>
      <c r="Z14" s="118">
        <v>11.8</v>
      </c>
      <c r="AA14" s="118">
        <v>742.7</v>
      </c>
      <c r="AB14" s="118" t="s">
        <v>1823</v>
      </c>
    </row>
    <row r="15" spans="2:28" x14ac:dyDescent="0.25">
      <c r="B15" s="19">
        <v>45086</v>
      </c>
      <c r="C15" s="230">
        <v>0.5289814814814815</v>
      </c>
      <c r="D15" s="118">
        <v>0</v>
      </c>
      <c r="E15" s="118">
        <v>722.1</v>
      </c>
      <c r="F15" s="118">
        <v>0.224</v>
      </c>
      <c r="G15" s="118">
        <v>739.7</v>
      </c>
      <c r="H15" s="118">
        <v>111.2</v>
      </c>
      <c r="I15" s="118">
        <v>114</v>
      </c>
      <c r="J15" s="118">
        <v>9.3699999999999992</v>
      </c>
      <c r="K15" s="118">
        <v>121.3</v>
      </c>
      <c r="L15" s="118">
        <v>0.318</v>
      </c>
      <c r="M15" s="118">
        <v>0.36</v>
      </c>
      <c r="N15" s="118">
        <v>738.1</v>
      </c>
      <c r="O15" s="118">
        <v>738073</v>
      </c>
      <c r="P15" s="118">
        <v>7.56</v>
      </c>
      <c r="Q15" s="118">
        <v>0</v>
      </c>
      <c r="R15" s="118">
        <v>7.97</v>
      </c>
      <c r="S15" s="118">
        <v>-97</v>
      </c>
      <c r="T15" s="118">
        <v>23.864000000000001</v>
      </c>
      <c r="U15" s="118">
        <v>0.247</v>
      </c>
      <c r="V15" s="118">
        <v>40.73086</v>
      </c>
      <c r="W15" s="118">
        <v>-86.757940000000005</v>
      </c>
      <c r="X15" s="118">
        <v>191.1</v>
      </c>
      <c r="Y15" s="118">
        <v>0</v>
      </c>
      <c r="Z15" s="118">
        <v>11.8</v>
      </c>
      <c r="AA15" s="118">
        <v>742.9</v>
      </c>
      <c r="AB15" s="118" t="s">
        <v>1824</v>
      </c>
    </row>
    <row r="16" spans="2:28" x14ac:dyDescent="0.25">
      <c r="B16" s="19">
        <v>45086</v>
      </c>
      <c r="C16" s="230">
        <v>0.57862268518518523</v>
      </c>
      <c r="D16" s="118">
        <v>0</v>
      </c>
      <c r="E16" s="118">
        <v>712.1</v>
      </c>
      <c r="F16" s="118">
        <v>0.22800000000000001</v>
      </c>
      <c r="G16" s="118">
        <v>723.9</v>
      </c>
      <c r="H16" s="118">
        <v>110.2</v>
      </c>
      <c r="I16" s="118">
        <v>112.9</v>
      </c>
      <c r="J16" s="118">
        <v>9.2200000000000006</v>
      </c>
      <c r="K16" s="118">
        <v>187.2</v>
      </c>
      <c r="L16" s="118">
        <v>0.32400000000000001</v>
      </c>
      <c r="M16" s="118">
        <v>0.35</v>
      </c>
      <c r="N16" s="118">
        <v>722.8</v>
      </c>
      <c r="O16" s="118">
        <v>722775</v>
      </c>
      <c r="P16" s="118">
        <v>4.58</v>
      </c>
      <c r="Q16" s="118">
        <v>0</v>
      </c>
      <c r="R16" s="118">
        <v>8.07</v>
      </c>
      <c r="S16" s="118">
        <v>-102.5</v>
      </c>
      <c r="T16" s="118">
        <v>24.228999999999999</v>
      </c>
      <c r="U16" s="118">
        <v>0.40799999999999997</v>
      </c>
      <c r="V16" s="118">
        <v>40.731879999999997</v>
      </c>
      <c r="W16" s="118">
        <v>-86.75506</v>
      </c>
      <c r="X16" s="118">
        <v>182.4</v>
      </c>
      <c r="Y16" s="118">
        <v>0</v>
      </c>
      <c r="Z16" s="118">
        <v>11.8</v>
      </c>
      <c r="AA16" s="118">
        <v>742.3</v>
      </c>
      <c r="AB16" s="118" t="s">
        <v>1825</v>
      </c>
    </row>
    <row r="17" spans="2:28" x14ac:dyDescent="0.25">
      <c r="B17" s="19">
        <v>45086</v>
      </c>
      <c r="C17" s="230">
        <v>0.62089120370370365</v>
      </c>
      <c r="D17" s="118">
        <v>0</v>
      </c>
      <c r="E17" s="118">
        <v>720.4</v>
      </c>
      <c r="F17" s="118">
        <v>0.109</v>
      </c>
      <c r="G17" s="118">
        <v>725.7</v>
      </c>
      <c r="H17" s="118">
        <v>123</v>
      </c>
      <c r="I17" s="118">
        <v>126</v>
      </c>
      <c r="J17" s="118">
        <v>10.210000000000001</v>
      </c>
      <c r="K17" s="118">
        <v>142.1</v>
      </c>
      <c r="L17" s="118">
        <v>0.154</v>
      </c>
      <c r="M17" s="118">
        <v>0.35</v>
      </c>
      <c r="N17" s="118">
        <v>725.2</v>
      </c>
      <c r="O17" s="118">
        <v>725243</v>
      </c>
      <c r="P17" s="118">
        <v>10.19</v>
      </c>
      <c r="Q17" s="118">
        <v>0</v>
      </c>
      <c r="R17" s="118">
        <v>8.06</v>
      </c>
      <c r="S17" s="118">
        <v>-102.5</v>
      </c>
      <c r="T17" s="118">
        <v>24.652999999999999</v>
      </c>
      <c r="U17" s="118">
        <v>0.10199999999999999</v>
      </c>
      <c r="V17" s="118">
        <v>40.745559999999998</v>
      </c>
      <c r="W17" s="118">
        <v>-86.757180000000005</v>
      </c>
      <c r="X17" s="118">
        <v>184.2</v>
      </c>
      <c r="Y17" s="118">
        <v>0</v>
      </c>
      <c r="Z17" s="118">
        <v>11.8</v>
      </c>
      <c r="AA17" s="118">
        <v>742</v>
      </c>
      <c r="AB17" s="118" t="s">
        <v>1826</v>
      </c>
    </row>
    <row r="18" spans="2:28" x14ac:dyDescent="0.25">
      <c r="B18" s="118" t="s">
        <v>1788</v>
      </c>
      <c r="C18" s="118" t="s">
        <v>1789</v>
      </c>
      <c r="D18" s="118" t="s">
        <v>1790</v>
      </c>
      <c r="E18" s="118" t="s">
        <v>1791</v>
      </c>
      <c r="F18" s="118" t="s">
        <v>1792</v>
      </c>
      <c r="G18" s="118" t="s">
        <v>1793</v>
      </c>
      <c r="H18" s="118" t="s">
        <v>1794</v>
      </c>
      <c r="I18" s="118" t="s">
        <v>1699</v>
      </c>
      <c r="J18" s="118" t="s">
        <v>1795</v>
      </c>
      <c r="K18" s="118" t="s">
        <v>1703</v>
      </c>
      <c r="L18" s="118" t="s">
        <v>1796</v>
      </c>
      <c r="M18" s="118" t="s">
        <v>1797</v>
      </c>
      <c r="N18" s="118" t="s">
        <v>1798</v>
      </c>
      <c r="O18" s="118" t="s">
        <v>1799</v>
      </c>
      <c r="P18" s="118" t="s">
        <v>1800</v>
      </c>
      <c r="Q18" s="118" t="s">
        <v>1801</v>
      </c>
      <c r="R18" s="118" t="s">
        <v>1802</v>
      </c>
      <c r="S18" s="118" t="s">
        <v>1803</v>
      </c>
      <c r="T18" s="118" t="s">
        <v>1804</v>
      </c>
      <c r="U18" s="118" t="s">
        <v>1805</v>
      </c>
      <c r="V18" s="118" t="s">
        <v>1806</v>
      </c>
      <c r="W18" s="118" t="s">
        <v>1807</v>
      </c>
      <c r="X18" s="118" t="s">
        <v>1808</v>
      </c>
      <c r="Y18" s="118" t="s">
        <v>1809</v>
      </c>
      <c r="Z18" s="118" t="s">
        <v>1810</v>
      </c>
      <c r="AA18" s="118" t="s">
        <v>1811</v>
      </c>
      <c r="AB18" s="118" t="s">
        <v>1711</v>
      </c>
    </row>
    <row r="19" spans="2:28" x14ac:dyDescent="0.25">
      <c r="B19" s="19">
        <v>45097</v>
      </c>
      <c r="C19" s="230">
        <v>0.43434027777777778</v>
      </c>
      <c r="D19" s="118">
        <v>0</v>
      </c>
      <c r="E19" s="118">
        <v>696.5</v>
      </c>
      <c r="F19" s="118">
        <v>0.14099999999999999</v>
      </c>
      <c r="G19" s="118">
        <v>717.2</v>
      </c>
      <c r="H19" s="118">
        <v>132.6</v>
      </c>
      <c r="I19" s="118">
        <v>135.69999999999999</v>
      </c>
      <c r="J19" s="118">
        <v>11.22</v>
      </c>
      <c r="K19" s="118">
        <v>205.5</v>
      </c>
      <c r="L19" s="118">
        <v>0.2</v>
      </c>
      <c r="M19" s="118">
        <v>0.35</v>
      </c>
      <c r="N19" s="118">
        <v>715.3</v>
      </c>
      <c r="O19" s="118">
        <v>715281</v>
      </c>
      <c r="P19" s="118">
        <v>4.3</v>
      </c>
      <c r="Q19" s="118">
        <v>0</v>
      </c>
      <c r="R19" s="118">
        <v>7.41</v>
      </c>
      <c r="S19" s="118">
        <v>-64.400000000000006</v>
      </c>
      <c r="T19" s="118">
        <v>23.625</v>
      </c>
      <c r="U19" s="118">
        <v>0.14399999999999999</v>
      </c>
      <c r="V19" s="118">
        <v>40.693820000000002</v>
      </c>
      <c r="W19" s="118">
        <v>-86.766490000000005</v>
      </c>
      <c r="X19" s="118">
        <v>232.6</v>
      </c>
      <c r="Y19" s="118">
        <v>0</v>
      </c>
      <c r="Z19" s="118">
        <v>11.8</v>
      </c>
      <c r="AA19" s="118">
        <v>744.3</v>
      </c>
      <c r="AB19" s="118" t="s">
        <v>1821</v>
      </c>
    </row>
    <row r="20" spans="2:28" x14ac:dyDescent="0.25">
      <c r="B20" s="19">
        <v>45097</v>
      </c>
      <c r="C20" s="230">
        <v>0.58269675925925923</v>
      </c>
      <c r="D20" s="118">
        <v>0</v>
      </c>
      <c r="E20" s="118">
        <v>739.9</v>
      </c>
      <c r="F20" s="118">
        <v>9.8000000000000004E-2</v>
      </c>
      <c r="G20" s="118">
        <v>770</v>
      </c>
      <c r="H20" s="118">
        <v>120.7</v>
      </c>
      <c r="I20" s="118">
        <v>123.6</v>
      </c>
      <c r="J20" s="118">
        <v>10.31</v>
      </c>
      <c r="K20" s="118">
        <v>123.6</v>
      </c>
      <c r="L20" s="118">
        <v>0.13900000000000001</v>
      </c>
      <c r="M20" s="118">
        <v>0.37</v>
      </c>
      <c r="N20" s="118">
        <v>767.3</v>
      </c>
      <c r="O20" s="118">
        <v>767251</v>
      </c>
      <c r="P20" s="118">
        <v>3.01</v>
      </c>
      <c r="Q20" s="118">
        <v>0</v>
      </c>
      <c r="R20" s="118">
        <v>8.02</v>
      </c>
      <c r="S20" s="118">
        <v>-100.5</v>
      </c>
      <c r="T20" s="118">
        <v>23.137</v>
      </c>
      <c r="U20" s="118">
        <v>9.6000000000000002E-2</v>
      </c>
      <c r="V20" s="118">
        <v>40.745449999999998</v>
      </c>
      <c r="W20" s="118">
        <v>-86.757230000000007</v>
      </c>
      <c r="X20" s="118">
        <v>193.2</v>
      </c>
      <c r="Y20" s="118">
        <v>0</v>
      </c>
      <c r="Z20" s="118">
        <v>11.8</v>
      </c>
      <c r="AA20" s="118">
        <v>743.9</v>
      </c>
      <c r="AB20" s="118" t="s">
        <v>1826</v>
      </c>
    </row>
    <row r="21" spans="2:28" x14ac:dyDescent="0.25">
      <c r="B21" s="19">
        <v>45097</v>
      </c>
      <c r="C21" s="230">
        <v>0.64515046296296297</v>
      </c>
      <c r="D21" s="118">
        <v>0</v>
      </c>
      <c r="E21" s="118">
        <v>766.8</v>
      </c>
      <c r="F21" s="118">
        <v>0.19800000000000001</v>
      </c>
      <c r="G21" s="118">
        <v>771.1</v>
      </c>
      <c r="H21" s="118">
        <v>156.1</v>
      </c>
      <c r="I21" s="118">
        <v>159.80000000000001</v>
      </c>
      <c r="J21" s="118">
        <v>12.94</v>
      </c>
      <c r="K21" s="118">
        <v>51.8</v>
      </c>
      <c r="L21" s="118">
        <v>0.28100000000000003</v>
      </c>
      <c r="M21" s="118">
        <v>0.38</v>
      </c>
      <c r="N21" s="118">
        <v>770.7</v>
      </c>
      <c r="O21" s="118">
        <v>770739</v>
      </c>
      <c r="P21" s="118">
        <v>5.51</v>
      </c>
      <c r="Q21" s="118">
        <v>0</v>
      </c>
      <c r="R21" s="118">
        <v>8.65</v>
      </c>
      <c r="S21" s="118">
        <v>-137.69999999999999</v>
      </c>
      <c r="T21" s="118">
        <v>24.73</v>
      </c>
      <c r="U21" s="118">
        <v>0.219</v>
      </c>
      <c r="V21" s="118">
        <v>40.731020000000001</v>
      </c>
      <c r="W21" s="118">
        <v>-86.757949999999994</v>
      </c>
      <c r="X21" s="118">
        <v>207.3</v>
      </c>
      <c r="Y21" s="118">
        <v>0</v>
      </c>
      <c r="Z21" s="118">
        <v>11.8</v>
      </c>
      <c r="AA21" s="118">
        <v>743.5</v>
      </c>
      <c r="AB21" s="118" t="s">
        <v>1824</v>
      </c>
    </row>
    <row r="22" spans="2:28" x14ac:dyDescent="0.25">
      <c r="B22" s="19">
        <v>45097</v>
      </c>
      <c r="C22" s="230">
        <v>0.67785879629629631</v>
      </c>
      <c r="D22" s="118">
        <v>0</v>
      </c>
      <c r="E22" s="118">
        <v>722.6</v>
      </c>
      <c r="F22" s="118">
        <v>0.10100000000000001</v>
      </c>
      <c r="G22" s="118">
        <v>711.4</v>
      </c>
      <c r="H22" s="118">
        <v>-135.9</v>
      </c>
      <c r="I22" s="118">
        <v>-139</v>
      </c>
      <c r="J22" s="118">
        <v>-11.05</v>
      </c>
      <c r="K22" s="118">
        <v>64.900000000000006</v>
      </c>
      <c r="L22" s="118">
        <v>0.14399999999999999</v>
      </c>
      <c r="M22" s="118">
        <v>0.35</v>
      </c>
      <c r="N22" s="118">
        <v>712.4</v>
      </c>
      <c r="O22" s="118">
        <v>712435</v>
      </c>
      <c r="P22" s="118">
        <v>3.69</v>
      </c>
      <c r="Q22" s="118">
        <v>0</v>
      </c>
      <c r="R22" s="118">
        <v>8.33</v>
      </c>
      <c r="S22" s="118">
        <v>-119.5</v>
      </c>
      <c r="T22" s="118">
        <v>25.745999999999999</v>
      </c>
      <c r="U22" s="118">
        <v>0.108</v>
      </c>
      <c r="V22" s="118">
        <v>40.680860000000003</v>
      </c>
      <c r="W22" s="118">
        <v>-86.752200000000002</v>
      </c>
      <c r="X22" s="118">
        <v>190.8</v>
      </c>
      <c r="Y22" s="118">
        <v>0</v>
      </c>
      <c r="Z22" s="118">
        <v>11.8</v>
      </c>
      <c r="AA22" s="118">
        <v>743.5</v>
      </c>
      <c r="AB22" s="118" t="s">
        <v>1823</v>
      </c>
    </row>
    <row r="23" spans="2:28" x14ac:dyDescent="0.25">
      <c r="B23" s="19">
        <v>45097</v>
      </c>
      <c r="C23" s="230">
        <v>0.71050925925925923</v>
      </c>
      <c r="D23" s="118">
        <v>0</v>
      </c>
      <c r="E23" s="118">
        <v>696.9</v>
      </c>
      <c r="F23" s="118">
        <v>0.154</v>
      </c>
      <c r="G23" s="118">
        <v>696.3</v>
      </c>
      <c r="H23" s="118">
        <v>-154.69999999999999</v>
      </c>
      <c r="I23" s="118">
        <v>-158.30000000000001</v>
      </c>
      <c r="J23" s="118">
        <v>-12.75</v>
      </c>
      <c r="K23" s="118">
        <v>93.7</v>
      </c>
      <c r="L23" s="118">
        <v>0.219</v>
      </c>
      <c r="M23" s="118">
        <v>0.34</v>
      </c>
      <c r="N23" s="118">
        <v>696.4</v>
      </c>
      <c r="O23" s="118">
        <v>696393</v>
      </c>
      <c r="P23" s="118">
        <v>6.1</v>
      </c>
      <c r="Q23" s="118">
        <v>0</v>
      </c>
      <c r="R23" s="118">
        <v>8.2799999999999994</v>
      </c>
      <c r="S23" s="118">
        <v>-116.1</v>
      </c>
      <c r="T23" s="118">
        <v>25.036000000000001</v>
      </c>
      <c r="U23" s="118">
        <v>0.16800000000000001</v>
      </c>
      <c r="V23" s="118">
        <v>40.667119999999997</v>
      </c>
      <c r="W23" s="118">
        <v>-86.753050000000002</v>
      </c>
      <c r="X23" s="118">
        <v>187</v>
      </c>
      <c r="Y23" s="118">
        <v>0</v>
      </c>
      <c r="Z23" s="118">
        <v>11.8</v>
      </c>
      <c r="AA23" s="118">
        <v>743.3</v>
      </c>
      <c r="AB23" s="118" t="s">
        <v>1822</v>
      </c>
    </row>
    <row r="24" spans="2:28" x14ac:dyDescent="0.25">
      <c r="B24" s="118" t="s">
        <v>1788</v>
      </c>
      <c r="C24" s="118" t="s">
        <v>1789</v>
      </c>
      <c r="D24" s="118" t="s">
        <v>1790</v>
      </c>
      <c r="E24" s="118" t="s">
        <v>1791</v>
      </c>
      <c r="F24" s="118" t="s">
        <v>1792</v>
      </c>
      <c r="G24" s="118" t="s">
        <v>1793</v>
      </c>
      <c r="H24" s="118" t="s">
        <v>1794</v>
      </c>
      <c r="I24" s="118" t="s">
        <v>1699</v>
      </c>
      <c r="J24" s="118" t="s">
        <v>1795</v>
      </c>
      <c r="K24" s="118" t="s">
        <v>1703</v>
      </c>
      <c r="L24" s="118" t="s">
        <v>1796</v>
      </c>
      <c r="M24" s="118" t="s">
        <v>1797</v>
      </c>
      <c r="N24" s="118" t="s">
        <v>1798</v>
      </c>
      <c r="O24" s="118" t="s">
        <v>1799</v>
      </c>
      <c r="P24" s="118" t="s">
        <v>1800</v>
      </c>
      <c r="Q24" s="118" t="s">
        <v>1801</v>
      </c>
      <c r="R24" s="118" t="s">
        <v>1802</v>
      </c>
      <c r="S24" s="118" t="s">
        <v>1803</v>
      </c>
      <c r="T24" s="118" t="s">
        <v>1804</v>
      </c>
      <c r="U24" s="118" t="s">
        <v>1805</v>
      </c>
      <c r="V24" s="118" t="s">
        <v>1806</v>
      </c>
      <c r="W24" s="118" t="s">
        <v>1807</v>
      </c>
      <c r="X24" s="118" t="s">
        <v>1808</v>
      </c>
      <c r="Y24" s="118" t="s">
        <v>1809</v>
      </c>
      <c r="Z24" s="118" t="s">
        <v>1810</v>
      </c>
      <c r="AA24" s="118" t="s">
        <v>1811</v>
      </c>
      <c r="AB24" s="118" t="s">
        <v>1711</v>
      </c>
    </row>
    <row r="25" spans="2:28" x14ac:dyDescent="0.25">
      <c r="B25" s="19">
        <v>45107</v>
      </c>
      <c r="C25" s="230">
        <v>0.48067129629629629</v>
      </c>
      <c r="D25" s="118">
        <v>0</v>
      </c>
      <c r="E25" s="118">
        <v>687.5</v>
      </c>
      <c r="F25" s="118">
        <v>0.16</v>
      </c>
      <c r="G25" s="118">
        <v>704</v>
      </c>
      <c r="H25" s="118">
        <v>-390.4</v>
      </c>
      <c r="I25" s="118">
        <v>-390.4</v>
      </c>
      <c r="J25" s="118">
        <v>-32.869999999999997</v>
      </c>
      <c r="K25" s="118">
        <v>134.30000000000001</v>
      </c>
      <c r="L25" s="118">
        <v>0.22700000000000001</v>
      </c>
      <c r="M25" s="118">
        <v>0.34</v>
      </c>
      <c r="N25" s="118">
        <v>702.5</v>
      </c>
      <c r="O25" s="118">
        <v>702516</v>
      </c>
      <c r="P25" s="118">
        <v>2.13</v>
      </c>
      <c r="Q25" s="118">
        <v>0</v>
      </c>
      <c r="R25" s="118">
        <v>7.75</v>
      </c>
      <c r="S25" s="118">
        <v>-88.4</v>
      </c>
      <c r="T25" s="118">
        <v>23.879000000000001</v>
      </c>
      <c r="U25" s="118">
        <v>0.154</v>
      </c>
      <c r="V25" s="118">
        <v>40.7455</v>
      </c>
      <c r="W25" s="118">
        <v>-86.757230000000007</v>
      </c>
      <c r="X25" s="118">
        <v>183.2</v>
      </c>
      <c r="Y25" s="118">
        <v>0</v>
      </c>
      <c r="Z25" s="118">
        <v>11.8</v>
      </c>
      <c r="AA25" s="118">
        <v>743.5</v>
      </c>
      <c r="AB25" s="118" t="s">
        <v>1826</v>
      </c>
    </row>
    <row r="26" spans="2:28" x14ac:dyDescent="0.25">
      <c r="B26" s="19">
        <v>45107</v>
      </c>
      <c r="C26" s="230">
        <v>0.49569444444444444</v>
      </c>
      <c r="D26" s="118">
        <v>0</v>
      </c>
      <c r="E26" s="118">
        <v>691.2</v>
      </c>
      <c r="F26" s="118">
        <v>0.40600000000000003</v>
      </c>
      <c r="G26" s="118">
        <v>695.4</v>
      </c>
      <c r="H26" s="118">
        <v>-561.1</v>
      </c>
      <c r="I26" s="118">
        <v>-561.1</v>
      </c>
      <c r="J26" s="118">
        <v>-46.52</v>
      </c>
      <c r="K26" s="118">
        <v>126.6</v>
      </c>
      <c r="L26" s="118">
        <v>0.57599999999999996</v>
      </c>
      <c r="M26" s="118">
        <v>0.34</v>
      </c>
      <c r="N26" s="118">
        <v>695</v>
      </c>
      <c r="O26" s="118">
        <v>694989</v>
      </c>
      <c r="P26" s="118">
        <v>3.87</v>
      </c>
      <c r="Q26" s="118">
        <v>0</v>
      </c>
      <c r="R26" s="118">
        <v>7.84</v>
      </c>
      <c r="S26" s="118">
        <v>-93.8</v>
      </c>
      <c r="T26" s="118">
        <v>24.718</v>
      </c>
      <c r="U26" s="118">
        <v>0.42099999999999999</v>
      </c>
      <c r="V26" s="118">
        <v>40.730829999999997</v>
      </c>
      <c r="W26" s="118">
        <v>-86.757999999999996</v>
      </c>
      <c r="X26" s="118">
        <v>190.6</v>
      </c>
      <c r="Y26" s="118">
        <v>0</v>
      </c>
      <c r="Z26" s="118">
        <v>11.8</v>
      </c>
      <c r="AA26" s="118">
        <v>743.9</v>
      </c>
      <c r="AB26" s="118" t="s">
        <v>1824</v>
      </c>
    </row>
    <row r="27" spans="2:28" x14ac:dyDescent="0.25">
      <c r="B27" s="19">
        <v>45107</v>
      </c>
      <c r="C27" s="230">
        <v>0.56951388888888888</v>
      </c>
      <c r="D27" s="118">
        <v>0</v>
      </c>
      <c r="E27" s="118">
        <v>677.5</v>
      </c>
      <c r="F27" s="118">
        <v>0.128</v>
      </c>
      <c r="G27" s="118">
        <v>643.6</v>
      </c>
      <c r="H27" s="118">
        <v>-318.39999999999998</v>
      </c>
      <c r="I27" s="118">
        <v>-318.39999999999998</v>
      </c>
      <c r="J27" s="118">
        <v>-25.12</v>
      </c>
      <c r="K27" s="118">
        <v>104.2</v>
      </c>
      <c r="L27" s="118">
        <v>0.182</v>
      </c>
      <c r="M27" s="118">
        <v>0.31</v>
      </c>
      <c r="N27" s="118">
        <v>646.9</v>
      </c>
      <c r="O27" s="118">
        <v>646916</v>
      </c>
      <c r="P27" s="118">
        <v>4.9800000000000004</v>
      </c>
      <c r="Q27" s="118">
        <v>0</v>
      </c>
      <c r="R27" s="118">
        <v>8.14</v>
      </c>
      <c r="S27" s="118">
        <v>-112.3</v>
      </c>
      <c r="T27" s="118">
        <v>27.477</v>
      </c>
      <c r="U27" s="118">
        <v>0.107</v>
      </c>
      <c r="V27" s="118">
        <v>40.693730000000002</v>
      </c>
      <c r="W27" s="118">
        <v>-86.766980000000004</v>
      </c>
      <c r="X27" s="118">
        <v>187.3</v>
      </c>
      <c r="Y27" s="118">
        <v>0</v>
      </c>
      <c r="Z27" s="118">
        <v>11.8</v>
      </c>
      <c r="AA27" s="118">
        <v>743.6</v>
      </c>
      <c r="AB27" s="118" t="s">
        <v>1821</v>
      </c>
    </row>
    <row r="28" spans="2:28" x14ac:dyDescent="0.25">
      <c r="B28" s="19">
        <v>45107</v>
      </c>
      <c r="C28" s="230">
        <v>0.59172453703703709</v>
      </c>
      <c r="D28" s="118">
        <v>0</v>
      </c>
      <c r="E28" s="118">
        <v>622.29999999999995</v>
      </c>
      <c r="F28" s="118">
        <v>0.497</v>
      </c>
      <c r="G28" s="118">
        <v>618.70000000000005</v>
      </c>
      <c r="H28" s="118">
        <v>-244.7</v>
      </c>
      <c r="I28" s="118">
        <v>-244.7</v>
      </c>
      <c r="J28" s="118">
        <v>-20.09</v>
      </c>
      <c r="K28" s="118">
        <v>118.7</v>
      </c>
      <c r="L28" s="118">
        <v>0.70499999999999996</v>
      </c>
      <c r="M28" s="118">
        <v>0.3</v>
      </c>
      <c r="N28" s="118">
        <v>619.1</v>
      </c>
      <c r="O28" s="118">
        <v>619063</v>
      </c>
      <c r="P28" s="118">
        <v>2.5499999999999998</v>
      </c>
      <c r="Q28" s="118">
        <v>0</v>
      </c>
      <c r="R28" s="118">
        <v>8.2100000000000009</v>
      </c>
      <c r="S28" s="118">
        <v>-115.7</v>
      </c>
      <c r="T28" s="118">
        <v>25.271999999999998</v>
      </c>
      <c r="U28" s="118">
        <v>0.50600000000000001</v>
      </c>
      <c r="V28" s="118">
        <v>40.680729999999997</v>
      </c>
      <c r="W28" s="118">
        <v>-86.752070000000003</v>
      </c>
      <c r="X28" s="118">
        <v>184.6</v>
      </c>
      <c r="Y28" s="118">
        <v>0</v>
      </c>
      <c r="Z28" s="118">
        <v>11.8</v>
      </c>
      <c r="AA28" s="118">
        <v>743.9</v>
      </c>
      <c r="AB28" s="118" t="s">
        <v>1823</v>
      </c>
    </row>
    <row r="29" spans="2:28" x14ac:dyDescent="0.25">
      <c r="B29" s="19">
        <v>45107</v>
      </c>
      <c r="C29" s="230">
        <v>0.61226851851851849</v>
      </c>
      <c r="D29" s="118">
        <v>0</v>
      </c>
      <c r="E29" s="118">
        <v>629.4</v>
      </c>
      <c r="F29" s="118">
        <v>0.72899999999999998</v>
      </c>
      <c r="G29" s="118">
        <v>626.5</v>
      </c>
      <c r="H29" s="118">
        <v>-196.8</v>
      </c>
      <c r="I29" s="118">
        <v>-196.8</v>
      </c>
      <c r="J29" s="118">
        <v>-16.170000000000002</v>
      </c>
      <c r="K29" s="118">
        <v>77.599999999999994</v>
      </c>
      <c r="L29" s="118">
        <v>1.034</v>
      </c>
      <c r="M29" s="118">
        <v>0.3</v>
      </c>
      <c r="N29" s="118">
        <v>626.70000000000005</v>
      </c>
      <c r="O29" s="118">
        <v>626731</v>
      </c>
      <c r="P29" s="118">
        <v>4.04</v>
      </c>
      <c r="Q29" s="118">
        <v>0</v>
      </c>
      <c r="R29" s="118">
        <v>8.26</v>
      </c>
      <c r="S29" s="118">
        <v>-118.5</v>
      </c>
      <c r="T29" s="118">
        <v>25.22</v>
      </c>
      <c r="U29" s="118">
        <v>0.71799999999999997</v>
      </c>
      <c r="V29" s="118">
        <v>40.667859999999997</v>
      </c>
      <c r="W29" s="118">
        <v>-86.753230000000002</v>
      </c>
      <c r="X29" s="118">
        <v>182.7</v>
      </c>
      <c r="Y29" s="118">
        <v>0</v>
      </c>
      <c r="Z29" s="118">
        <v>11.8</v>
      </c>
      <c r="AA29" s="118">
        <v>744.4</v>
      </c>
      <c r="AB29" s="118" t="s">
        <v>1822</v>
      </c>
    </row>
    <row r="30" spans="2:28" x14ac:dyDescent="0.25">
      <c r="B30" s="118" t="s">
        <v>1788</v>
      </c>
      <c r="C30" s="118" t="s">
        <v>1789</v>
      </c>
      <c r="D30" s="118" t="s">
        <v>1790</v>
      </c>
      <c r="E30" s="118" t="s">
        <v>1791</v>
      </c>
      <c r="F30" s="118" t="s">
        <v>1792</v>
      </c>
      <c r="G30" s="118" t="s">
        <v>1793</v>
      </c>
      <c r="H30" s="118" t="s">
        <v>1794</v>
      </c>
      <c r="I30" s="118" t="s">
        <v>1699</v>
      </c>
      <c r="J30" s="118" t="s">
        <v>1795</v>
      </c>
      <c r="K30" s="118" t="s">
        <v>1703</v>
      </c>
      <c r="L30" s="118" t="s">
        <v>1796</v>
      </c>
      <c r="M30" s="118" t="s">
        <v>1797</v>
      </c>
      <c r="N30" s="118" t="s">
        <v>1798</v>
      </c>
      <c r="O30" s="118" t="s">
        <v>1799</v>
      </c>
      <c r="P30" s="118" t="s">
        <v>1800</v>
      </c>
      <c r="Q30" s="118" t="s">
        <v>1801</v>
      </c>
      <c r="R30" s="118" t="s">
        <v>1802</v>
      </c>
      <c r="S30" s="118" t="s">
        <v>1803</v>
      </c>
      <c r="T30" s="118" t="s">
        <v>1804</v>
      </c>
      <c r="U30" s="118" t="s">
        <v>1805</v>
      </c>
      <c r="V30" s="118" t="s">
        <v>1806</v>
      </c>
      <c r="W30" s="118" t="s">
        <v>1807</v>
      </c>
      <c r="X30" s="118" t="s">
        <v>1808</v>
      </c>
      <c r="Y30" s="118" t="s">
        <v>1809</v>
      </c>
      <c r="Z30" s="118" t="s">
        <v>1810</v>
      </c>
      <c r="AA30" s="118" t="s">
        <v>1811</v>
      </c>
      <c r="AB30" s="118" t="s">
        <v>1711</v>
      </c>
    </row>
    <row r="31" spans="2:28" x14ac:dyDescent="0.25">
      <c r="B31" s="19">
        <v>45120</v>
      </c>
      <c r="C31" s="230">
        <v>0.40553240740740742</v>
      </c>
      <c r="D31" s="118">
        <v>0</v>
      </c>
      <c r="E31" s="118">
        <v>642.29999999999995</v>
      </c>
      <c r="F31" s="118">
        <v>8.8999999999999996E-2</v>
      </c>
      <c r="G31" s="118">
        <v>635.4</v>
      </c>
      <c r="H31" s="118">
        <v>-302.5</v>
      </c>
      <c r="I31" s="118">
        <v>-302.5</v>
      </c>
      <c r="J31" s="118">
        <v>-24.72</v>
      </c>
      <c r="K31" s="118">
        <v>226.4</v>
      </c>
      <c r="L31" s="118">
        <v>0.126</v>
      </c>
      <c r="M31" s="118">
        <v>0.31</v>
      </c>
      <c r="N31" s="118">
        <v>636.1</v>
      </c>
      <c r="O31" s="118">
        <v>636087</v>
      </c>
      <c r="P31" s="118">
        <v>5</v>
      </c>
      <c r="Q31" s="118">
        <v>0</v>
      </c>
      <c r="R31" s="118">
        <v>6.09</v>
      </c>
      <c r="S31" s="118">
        <v>7.9</v>
      </c>
      <c r="T31" s="118">
        <v>25.512</v>
      </c>
      <c r="U31" s="118">
        <v>9.7000000000000003E-2</v>
      </c>
      <c r="V31" s="118">
        <v>40.66581</v>
      </c>
      <c r="W31" s="118">
        <v>-86.752939999999995</v>
      </c>
      <c r="X31" s="118">
        <v>196.2</v>
      </c>
      <c r="Y31" s="118">
        <v>0</v>
      </c>
      <c r="Z31" s="118">
        <v>11.8</v>
      </c>
      <c r="AA31" s="118">
        <v>741.5</v>
      </c>
      <c r="AB31" s="118" t="s">
        <v>1822</v>
      </c>
    </row>
    <row r="32" spans="2:28" x14ac:dyDescent="0.25">
      <c r="B32" s="19">
        <v>45120</v>
      </c>
      <c r="C32" s="230">
        <v>0.42482638888888891</v>
      </c>
      <c r="D32" s="118">
        <v>0</v>
      </c>
      <c r="E32" s="118">
        <v>655.20000000000005</v>
      </c>
      <c r="F32" s="118">
        <v>0.10100000000000001</v>
      </c>
      <c r="G32" s="118">
        <v>632.70000000000005</v>
      </c>
      <c r="H32" s="118">
        <v>-292.2</v>
      </c>
      <c r="I32" s="118">
        <v>-292.2</v>
      </c>
      <c r="J32" s="118">
        <v>-23.38</v>
      </c>
      <c r="K32" s="118">
        <v>94.9</v>
      </c>
      <c r="L32" s="118">
        <v>0.14399999999999999</v>
      </c>
      <c r="M32" s="118">
        <v>0.31</v>
      </c>
      <c r="N32" s="118">
        <v>634.9</v>
      </c>
      <c r="O32" s="118">
        <v>634886</v>
      </c>
      <c r="P32" s="118">
        <v>6.97</v>
      </c>
      <c r="Q32" s="118">
        <v>0</v>
      </c>
      <c r="R32" s="118">
        <v>7.73</v>
      </c>
      <c r="S32" s="118">
        <v>-89.4</v>
      </c>
      <c r="T32" s="118">
        <v>26.672999999999998</v>
      </c>
      <c r="U32" s="118">
        <v>0.1</v>
      </c>
      <c r="V32" s="118">
        <v>40.68074</v>
      </c>
      <c r="W32" s="118">
        <v>-86.752080000000007</v>
      </c>
      <c r="X32" s="118">
        <v>186.8</v>
      </c>
      <c r="Y32" s="118">
        <v>0</v>
      </c>
      <c r="Z32" s="118">
        <v>11.8</v>
      </c>
      <c r="AA32" s="118">
        <v>741.4</v>
      </c>
      <c r="AB32" s="118" t="s">
        <v>1823</v>
      </c>
    </row>
    <row r="33" spans="2:28" x14ac:dyDescent="0.25">
      <c r="B33" s="19">
        <v>45120</v>
      </c>
      <c r="C33" s="230">
        <v>0.44827546296296295</v>
      </c>
      <c r="D33" s="118">
        <v>0</v>
      </c>
      <c r="E33" s="118">
        <v>705.8</v>
      </c>
      <c r="F33" s="118">
        <v>0.10299999999999999</v>
      </c>
      <c r="G33" s="118">
        <v>706.9</v>
      </c>
      <c r="H33" s="118">
        <v>-261.8</v>
      </c>
      <c r="I33" s="118">
        <v>-261.8</v>
      </c>
      <c r="J33" s="118">
        <v>-21.62</v>
      </c>
      <c r="K33" s="118">
        <v>80.5</v>
      </c>
      <c r="L33" s="118">
        <v>0.14699999999999999</v>
      </c>
      <c r="M33" s="118">
        <v>0.34</v>
      </c>
      <c r="N33" s="118">
        <v>706.8</v>
      </c>
      <c r="O33" s="118">
        <v>706793</v>
      </c>
      <c r="P33" s="118">
        <v>5.84</v>
      </c>
      <c r="Q33" s="118">
        <v>0</v>
      </c>
      <c r="R33" s="118">
        <v>7.75</v>
      </c>
      <c r="S33" s="118">
        <v>-90.7</v>
      </c>
      <c r="T33" s="118">
        <v>24.925999999999998</v>
      </c>
      <c r="U33" s="118">
        <v>0.10100000000000001</v>
      </c>
      <c r="V33" s="118">
        <v>40.745480000000001</v>
      </c>
      <c r="W33" s="118">
        <v>-86.757289999999998</v>
      </c>
      <c r="X33" s="118">
        <v>187.7</v>
      </c>
      <c r="Y33" s="118">
        <v>0</v>
      </c>
      <c r="Z33" s="118">
        <v>11.8</v>
      </c>
      <c r="AA33" s="118">
        <v>741.7</v>
      </c>
      <c r="AB33" s="118" t="s">
        <v>1826</v>
      </c>
    </row>
    <row r="34" spans="2:28" x14ac:dyDescent="0.25">
      <c r="B34" s="19">
        <v>45120</v>
      </c>
      <c r="C34" s="230">
        <v>0.55583333333333329</v>
      </c>
      <c r="D34" s="118">
        <v>0</v>
      </c>
      <c r="E34" s="118">
        <v>722.5</v>
      </c>
      <c r="F34" s="118">
        <v>8.5999999999999993E-2</v>
      </c>
      <c r="G34" s="118">
        <v>705.8</v>
      </c>
      <c r="H34" s="118">
        <v>-303.10000000000002</v>
      </c>
      <c r="I34" s="118">
        <v>-303.10000000000002</v>
      </c>
      <c r="J34" s="118">
        <v>-24.49</v>
      </c>
      <c r="K34" s="118">
        <v>76.099999999999994</v>
      </c>
      <c r="L34" s="118">
        <v>0.122</v>
      </c>
      <c r="M34" s="118">
        <v>0.34</v>
      </c>
      <c r="N34" s="118">
        <v>707.4</v>
      </c>
      <c r="O34" s="118">
        <v>707424</v>
      </c>
      <c r="P34" s="118">
        <v>8.52</v>
      </c>
      <c r="Q34" s="118">
        <v>0</v>
      </c>
      <c r="R34" s="118">
        <v>7.8</v>
      </c>
      <c r="S34" s="118">
        <v>-93.4</v>
      </c>
      <c r="T34" s="118">
        <v>26.119</v>
      </c>
      <c r="U34" s="118">
        <v>9.0999999999999998E-2</v>
      </c>
      <c r="V34" s="118">
        <v>40.73086</v>
      </c>
      <c r="W34" s="118">
        <v>-86.757999999999996</v>
      </c>
      <c r="X34" s="118">
        <v>194.2</v>
      </c>
      <c r="Y34" s="118">
        <v>0</v>
      </c>
      <c r="Z34" s="118">
        <v>11.8</v>
      </c>
      <c r="AA34" s="118">
        <v>741.3</v>
      </c>
      <c r="AB34" s="118" t="s">
        <v>1824</v>
      </c>
    </row>
    <row r="35" spans="2:28" x14ac:dyDescent="0.25">
      <c r="B35" s="19">
        <v>45120</v>
      </c>
      <c r="C35" s="230">
        <v>0.58402777777777781</v>
      </c>
      <c r="D35" s="118">
        <v>0</v>
      </c>
      <c r="E35" s="118">
        <v>683.2</v>
      </c>
      <c r="F35" s="118">
        <v>0.159</v>
      </c>
      <c r="G35" s="118">
        <v>645.6</v>
      </c>
      <c r="H35" s="118">
        <v>-288.5</v>
      </c>
      <c r="I35" s="118">
        <v>-288.5</v>
      </c>
      <c r="J35" s="118">
        <v>-22.65</v>
      </c>
      <c r="K35" s="118">
        <v>71.599999999999994</v>
      </c>
      <c r="L35" s="118">
        <v>0.22500000000000001</v>
      </c>
      <c r="M35" s="118">
        <v>0.31</v>
      </c>
      <c r="N35" s="118">
        <v>649.29999999999995</v>
      </c>
      <c r="O35" s="118">
        <v>649296</v>
      </c>
      <c r="P35" s="118">
        <v>8.64</v>
      </c>
      <c r="Q35" s="118">
        <v>0</v>
      </c>
      <c r="R35" s="118">
        <v>8.1300000000000008</v>
      </c>
      <c r="S35" s="118">
        <v>-113.6</v>
      </c>
      <c r="T35" s="118">
        <v>27.734000000000002</v>
      </c>
      <c r="U35" s="118">
        <v>0.17399999999999999</v>
      </c>
      <c r="V35" s="118">
        <v>40.693660000000001</v>
      </c>
      <c r="W35" s="118">
        <v>-86.767039999999994</v>
      </c>
      <c r="X35" s="118">
        <v>169.5</v>
      </c>
      <c r="Y35" s="118">
        <v>0</v>
      </c>
      <c r="Z35" s="118">
        <v>11.8</v>
      </c>
      <c r="AA35" s="118">
        <v>741.3</v>
      </c>
      <c r="AB35" s="118" t="s">
        <v>1821</v>
      </c>
    </row>
    <row r="36" spans="2:28" x14ac:dyDescent="0.25">
      <c r="B36" s="118" t="s">
        <v>1788</v>
      </c>
      <c r="C36" s="118" t="s">
        <v>1789</v>
      </c>
      <c r="D36" s="118" t="s">
        <v>1790</v>
      </c>
      <c r="E36" s="118" t="s">
        <v>1791</v>
      </c>
      <c r="F36" s="118" t="s">
        <v>1792</v>
      </c>
      <c r="G36" s="118" t="s">
        <v>1793</v>
      </c>
      <c r="H36" s="118" t="s">
        <v>1794</v>
      </c>
      <c r="I36" s="118" t="s">
        <v>1699</v>
      </c>
      <c r="J36" s="118" t="s">
        <v>1795</v>
      </c>
      <c r="K36" s="118" t="s">
        <v>1703</v>
      </c>
      <c r="L36" s="118" t="s">
        <v>1796</v>
      </c>
      <c r="M36" s="118" t="s">
        <v>1797</v>
      </c>
      <c r="N36" s="118" t="s">
        <v>1798</v>
      </c>
      <c r="O36" s="118" t="s">
        <v>1799</v>
      </c>
      <c r="P36" s="118" t="s">
        <v>1800</v>
      </c>
      <c r="Q36" s="118" t="s">
        <v>1801</v>
      </c>
      <c r="R36" s="118" t="s">
        <v>1802</v>
      </c>
      <c r="S36" s="118" t="s">
        <v>1803</v>
      </c>
      <c r="T36" s="118" t="s">
        <v>1804</v>
      </c>
      <c r="U36" s="118" t="s">
        <v>1805</v>
      </c>
      <c r="V36" s="118" t="s">
        <v>1806</v>
      </c>
      <c r="W36" s="118" t="s">
        <v>1807</v>
      </c>
      <c r="X36" s="118" t="s">
        <v>1808</v>
      </c>
      <c r="Y36" s="118" t="s">
        <v>1809</v>
      </c>
      <c r="Z36" s="118" t="s">
        <v>1810</v>
      </c>
      <c r="AA36" s="118" t="s">
        <v>1811</v>
      </c>
      <c r="AB36" s="118" t="s">
        <v>1711</v>
      </c>
    </row>
    <row r="37" spans="2:28" x14ac:dyDescent="0.25">
      <c r="B37" s="19">
        <v>45125</v>
      </c>
      <c r="C37" s="230">
        <v>0.40241898148148147</v>
      </c>
      <c r="D37" s="118">
        <v>0</v>
      </c>
      <c r="E37" s="118">
        <v>707.7</v>
      </c>
      <c r="F37" s="118">
        <v>0.16200000000000001</v>
      </c>
      <c r="G37" s="118">
        <v>692.2</v>
      </c>
      <c r="H37" s="118">
        <v>-293.60000000000002</v>
      </c>
      <c r="I37" s="118">
        <v>-293.60000000000002</v>
      </c>
      <c r="J37" s="118">
        <v>-23.76</v>
      </c>
      <c r="K37" s="118">
        <v>84.7</v>
      </c>
      <c r="L37" s="118">
        <v>0.22900000000000001</v>
      </c>
      <c r="M37" s="118">
        <v>0.34</v>
      </c>
      <c r="N37" s="118">
        <v>693.7</v>
      </c>
      <c r="O37" s="118">
        <v>693709</v>
      </c>
      <c r="P37" s="118">
        <v>5.33</v>
      </c>
      <c r="Q37" s="118">
        <v>-30</v>
      </c>
      <c r="R37" s="118">
        <v>7.94</v>
      </c>
      <c r="S37" s="118">
        <v>-97.3</v>
      </c>
      <c r="T37" s="118">
        <v>26.058</v>
      </c>
      <c r="U37" s="118">
        <v>0.17699999999999999</v>
      </c>
      <c r="V37" s="118">
        <v>40.66713</v>
      </c>
      <c r="W37" s="118">
        <v>-86.752340000000004</v>
      </c>
      <c r="X37" s="118">
        <v>178.4</v>
      </c>
      <c r="Y37" s="118">
        <v>0</v>
      </c>
      <c r="Z37" s="118">
        <v>11.8</v>
      </c>
      <c r="AA37" s="118">
        <v>744.5</v>
      </c>
      <c r="AB37" s="118" t="s">
        <v>1822</v>
      </c>
    </row>
    <row r="38" spans="2:28" x14ac:dyDescent="0.25">
      <c r="B38" s="19">
        <v>45125</v>
      </c>
      <c r="C38" s="230">
        <v>0.4224074074074074</v>
      </c>
      <c r="D38" s="118">
        <v>0</v>
      </c>
      <c r="E38" s="118">
        <v>732.5</v>
      </c>
      <c r="F38" s="118">
        <v>0.14000000000000001</v>
      </c>
      <c r="G38" s="118">
        <v>705.5</v>
      </c>
      <c r="H38" s="118">
        <v>-248.6</v>
      </c>
      <c r="I38" s="118">
        <v>-248.6</v>
      </c>
      <c r="J38" s="118">
        <v>-19.84</v>
      </c>
      <c r="K38" s="118">
        <v>100.1</v>
      </c>
      <c r="L38" s="118">
        <v>0.19900000000000001</v>
      </c>
      <c r="M38" s="118">
        <v>0.34</v>
      </c>
      <c r="N38" s="118">
        <v>708.1</v>
      </c>
      <c r="O38" s="118">
        <v>708090</v>
      </c>
      <c r="P38" s="118">
        <v>4.84</v>
      </c>
      <c r="Q38" s="118">
        <v>-31</v>
      </c>
      <c r="R38" s="118">
        <v>8.08</v>
      </c>
      <c r="S38" s="118">
        <v>-105.1</v>
      </c>
      <c r="T38" s="118">
        <v>26.805</v>
      </c>
      <c r="U38" s="118">
        <v>0.14799999999999999</v>
      </c>
      <c r="V38" s="118">
        <v>40.68074</v>
      </c>
      <c r="W38" s="118">
        <v>-86.752030000000005</v>
      </c>
      <c r="X38" s="118">
        <v>182.6</v>
      </c>
      <c r="Y38" s="118">
        <v>0</v>
      </c>
      <c r="Z38" s="118">
        <v>11.8</v>
      </c>
      <c r="AA38" s="118">
        <v>744.4</v>
      </c>
      <c r="AB38" s="118" t="s">
        <v>1823</v>
      </c>
    </row>
    <row r="39" spans="2:28" x14ac:dyDescent="0.25">
      <c r="B39" s="19">
        <v>45125</v>
      </c>
      <c r="C39" s="230">
        <v>0.44362268518518516</v>
      </c>
      <c r="D39" s="118">
        <v>0</v>
      </c>
      <c r="E39" s="118">
        <v>765.7</v>
      </c>
      <c r="F39" s="118">
        <v>0.11700000000000001</v>
      </c>
      <c r="G39" s="118">
        <v>755</v>
      </c>
      <c r="H39" s="118">
        <v>-302.10000000000002</v>
      </c>
      <c r="I39" s="118">
        <v>-302.10000000000002</v>
      </c>
      <c r="J39" s="118">
        <v>-24.61</v>
      </c>
      <c r="K39" s="118">
        <v>86.9</v>
      </c>
      <c r="L39" s="118">
        <v>0.16500000000000001</v>
      </c>
      <c r="M39" s="118">
        <v>0.37</v>
      </c>
      <c r="N39" s="118">
        <v>756</v>
      </c>
      <c r="O39" s="118">
        <v>755979</v>
      </c>
      <c r="P39" s="118">
        <v>6.34</v>
      </c>
      <c r="Q39" s="118">
        <v>-29</v>
      </c>
      <c r="R39" s="118">
        <v>7.95</v>
      </c>
      <c r="S39" s="118">
        <v>-97.7</v>
      </c>
      <c r="T39" s="118">
        <v>25.672999999999998</v>
      </c>
      <c r="U39" s="118">
        <v>0.112</v>
      </c>
      <c r="V39" s="118">
        <v>40.745460000000001</v>
      </c>
      <c r="W39" s="118">
        <v>-86.757320000000007</v>
      </c>
      <c r="X39" s="118">
        <v>192.6</v>
      </c>
      <c r="Y39" s="118">
        <v>0</v>
      </c>
      <c r="Z39" s="118">
        <v>11.8</v>
      </c>
      <c r="AA39" s="118">
        <v>744.1</v>
      </c>
      <c r="AB39" s="118" t="s">
        <v>1826</v>
      </c>
    </row>
    <row r="40" spans="2:28" x14ac:dyDescent="0.25">
      <c r="B40" s="19">
        <v>45125</v>
      </c>
      <c r="C40" s="230">
        <v>0.54620370370370375</v>
      </c>
      <c r="D40" s="118">
        <v>0</v>
      </c>
      <c r="E40" s="118">
        <v>764.7</v>
      </c>
      <c r="F40" s="118">
        <v>0.11700000000000001</v>
      </c>
      <c r="G40" s="118">
        <v>736.8</v>
      </c>
      <c r="H40" s="118">
        <v>-284.5</v>
      </c>
      <c r="I40" s="118">
        <v>-284.5</v>
      </c>
      <c r="J40" s="118">
        <v>-22.71</v>
      </c>
      <c r="K40" s="118">
        <v>63.1</v>
      </c>
      <c r="L40" s="118">
        <v>0.16600000000000001</v>
      </c>
      <c r="M40" s="118">
        <v>0.36</v>
      </c>
      <c r="N40" s="118">
        <v>739.5</v>
      </c>
      <c r="O40" s="118">
        <v>739454</v>
      </c>
      <c r="P40" s="118">
        <v>8.5399999999999991</v>
      </c>
      <c r="Q40" s="118">
        <v>-26</v>
      </c>
      <c r="R40" s="118">
        <v>8.3000000000000007</v>
      </c>
      <c r="S40" s="118">
        <v>-118.1</v>
      </c>
      <c r="T40" s="118">
        <v>26.791</v>
      </c>
      <c r="U40" s="118">
        <v>0.127</v>
      </c>
      <c r="V40" s="118">
        <v>40.730829999999997</v>
      </c>
      <c r="W40" s="118">
        <v>-86.757800000000003</v>
      </c>
      <c r="X40" s="118">
        <v>206.9</v>
      </c>
      <c r="Y40" s="118">
        <v>0</v>
      </c>
      <c r="Z40" s="118">
        <v>11.8</v>
      </c>
      <c r="AA40" s="118">
        <v>744.2</v>
      </c>
      <c r="AB40" s="118" t="s">
        <v>1824</v>
      </c>
    </row>
    <row r="41" spans="2:28" x14ac:dyDescent="0.25">
      <c r="B41" s="19">
        <v>45125</v>
      </c>
      <c r="C41" s="230">
        <v>0.57606481481481486</v>
      </c>
      <c r="D41" s="118">
        <v>0</v>
      </c>
      <c r="E41" s="118">
        <v>762.2</v>
      </c>
      <c r="F41" s="118">
        <v>0.17799999999999999</v>
      </c>
      <c r="G41" s="118">
        <v>702.3</v>
      </c>
      <c r="H41" s="118">
        <v>-288.60000000000002</v>
      </c>
      <c r="I41" s="118">
        <v>-288.60000000000002</v>
      </c>
      <c r="J41" s="118">
        <v>-22.16</v>
      </c>
      <c r="K41" s="118">
        <v>85.7</v>
      </c>
      <c r="L41" s="118">
        <v>0.252</v>
      </c>
      <c r="M41" s="118">
        <v>0.34</v>
      </c>
      <c r="N41" s="118">
        <v>708.2</v>
      </c>
      <c r="O41" s="118">
        <v>708198</v>
      </c>
      <c r="P41" s="118">
        <v>10.36</v>
      </c>
      <c r="Q41" s="118">
        <v>-23</v>
      </c>
      <c r="R41" s="118">
        <v>8.39</v>
      </c>
      <c r="S41" s="118">
        <v>-124</v>
      </c>
      <c r="T41" s="118">
        <v>28.992000000000001</v>
      </c>
      <c r="U41" s="118">
        <v>0.192</v>
      </c>
      <c r="V41" s="118">
        <v>40.69359</v>
      </c>
      <c r="W41" s="118">
        <v>-86.766970000000001</v>
      </c>
      <c r="X41" s="118">
        <v>187.7</v>
      </c>
      <c r="Y41" s="118">
        <v>0</v>
      </c>
      <c r="Z41" s="118">
        <v>11.8</v>
      </c>
      <c r="AA41" s="118">
        <v>744.1</v>
      </c>
      <c r="AB41" s="118" t="s">
        <v>1821</v>
      </c>
    </row>
    <row r="42" spans="2:28" x14ac:dyDescent="0.25">
      <c r="B42" s="118" t="s">
        <v>1788</v>
      </c>
      <c r="C42" s="118" t="s">
        <v>1789</v>
      </c>
      <c r="D42" s="118" t="s">
        <v>1790</v>
      </c>
      <c r="E42" s="118" t="s">
        <v>1791</v>
      </c>
      <c r="F42" s="118" t="s">
        <v>1792</v>
      </c>
      <c r="G42" s="118" t="s">
        <v>1793</v>
      </c>
      <c r="H42" s="118" t="s">
        <v>1794</v>
      </c>
      <c r="I42" s="118" t="s">
        <v>1699</v>
      </c>
      <c r="J42" s="118" t="s">
        <v>1795</v>
      </c>
      <c r="K42" s="118" t="s">
        <v>1703</v>
      </c>
      <c r="L42" s="118" t="s">
        <v>1796</v>
      </c>
      <c r="M42" s="118" t="s">
        <v>1797</v>
      </c>
      <c r="N42" s="118" t="s">
        <v>1798</v>
      </c>
      <c r="O42" s="118" t="s">
        <v>1799</v>
      </c>
      <c r="P42" s="118" t="s">
        <v>1800</v>
      </c>
      <c r="Q42" s="118" t="s">
        <v>1801</v>
      </c>
      <c r="R42" s="118" t="s">
        <v>1802</v>
      </c>
      <c r="S42" s="118" t="s">
        <v>1803</v>
      </c>
      <c r="T42" s="118" t="s">
        <v>1804</v>
      </c>
      <c r="U42" s="118" t="s">
        <v>1805</v>
      </c>
      <c r="V42" s="118" t="s">
        <v>1806</v>
      </c>
      <c r="W42" s="118" t="s">
        <v>1807</v>
      </c>
      <c r="X42" s="118" t="s">
        <v>1808</v>
      </c>
      <c r="Y42" s="118" t="s">
        <v>1809</v>
      </c>
      <c r="Z42" s="118" t="s">
        <v>1810</v>
      </c>
      <c r="AA42" s="118" t="s">
        <v>1811</v>
      </c>
      <c r="AB42" s="118" t="s">
        <v>1711</v>
      </c>
    </row>
    <row r="43" spans="2:28" x14ac:dyDescent="0.25">
      <c r="B43" s="19">
        <v>45023</v>
      </c>
      <c r="C43" s="230">
        <v>0.64456018518518521</v>
      </c>
      <c r="D43" s="118">
        <v>0</v>
      </c>
      <c r="E43" s="118">
        <v>302.10000000000002</v>
      </c>
      <c r="F43" s="118">
        <v>0.32200000000000001</v>
      </c>
      <c r="G43" s="118">
        <v>417.8</v>
      </c>
      <c r="H43" s="118">
        <v>93.1</v>
      </c>
      <c r="I43" s="118">
        <v>93.5</v>
      </c>
      <c r="J43" s="118">
        <v>10.210000000000001</v>
      </c>
      <c r="K43" s="118">
        <v>290.3</v>
      </c>
      <c r="L43" s="118">
        <v>0.45800000000000002</v>
      </c>
      <c r="M43" s="118">
        <v>0.2</v>
      </c>
      <c r="N43" s="118">
        <v>410.6</v>
      </c>
      <c r="O43" s="118">
        <v>410641</v>
      </c>
      <c r="P43" s="118">
        <v>114.88</v>
      </c>
      <c r="Q43" s="118">
        <v>0</v>
      </c>
      <c r="R43" s="118">
        <v>6.05</v>
      </c>
      <c r="S43" s="118">
        <v>17.100000000000001</v>
      </c>
      <c r="T43" s="118">
        <v>11.161</v>
      </c>
      <c r="U43" s="118">
        <v>0.33300000000000002</v>
      </c>
      <c r="V43" s="118">
        <v>40.680709999999998</v>
      </c>
      <c r="W43" s="118">
        <v>-85.895650000000003</v>
      </c>
      <c r="X43" s="118">
        <v>219.9</v>
      </c>
      <c r="Y43" s="118">
        <v>0</v>
      </c>
      <c r="Z43" s="118">
        <v>11.8</v>
      </c>
      <c r="AA43" s="118">
        <v>754.9</v>
      </c>
      <c r="AB43" s="118" t="s">
        <v>1827</v>
      </c>
    </row>
    <row r="44" spans="2:28" x14ac:dyDescent="0.25">
      <c r="B44" s="19">
        <v>45023</v>
      </c>
      <c r="C44" s="230">
        <v>0.67726851851851855</v>
      </c>
      <c r="D44" s="118">
        <v>0</v>
      </c>
      <c r="E44" s="118">
        <v>425.4</v>
      </c>
      <c r="F44" s="118">
        <v>0.33500000000000002</v>
      </c>
      <c r="G44" s="118">
        <v>564.29999999999995</v>
      </c>
      <c r="H44" s="118">
        <v>90.2</v>
      </c>
      <c r="I44" s="118">
        <v>90.6</v>
      </c>
      <c r="J44" s="118">
        <v>9.5299999999999994</v>
      </c>
      <c r="K44" s="118">
        <v>189.3</v>
      </c>
      <c r="L44" s="118">
        <v>0.47699999999999998</v>
      </c>
      <c r="M44" s="118">
        <v>0.27</v>
      </c>
      <c r="N44" s="118">
        <v>555</v>
      </c>
      <c r="O44" s="118">
        <v>554985</v>
      </c>
      <c r="P44" s="118">
        <v>73.319999999999993</v>
      </c>
      <c r="Q44" s="118">
        <v>0</v>
      </c>
      <c r="R44" s="118">
        <v>7.74</v>
      </c>
      <c r="S44" s="118">
        <v>-79.3</v>
      </c>
      <c r="T44" s="118">
        <v>12.773</v>
      </c>
      <c r="U44" s="118">
        <v>0.33300000000000002</v>
      </c>
      <c r="V44" s="118">
        <v>40.668480000000002</v>
      </c>
      <c r="W44" s="118">
        <v>-85.84872</v>
      </c>
      <c r="X44" s="118">
        <v>223.6</v>
      </c>
      <c r="Y44" s="118">
        <v>0</v>
      </c>
      <c r="Z44" s="118">
        <v>11.8</v>
      </c>
      <c r="AA44" s="118">
        <v>754.9</v>
      </c>
      <c r="AB44" s="118" t="s">
        <v>1828</v>
      </c>
    </row>
    <row r="45" spans="2:28" x14ac:dyDescent="0.25">
      <c r="B45" s="19">
        <v>45023</v>
      </c>
      <c r="C45" s="230">
        <v>0.76495370370370375</v>
      </c>
      <c r="D45" s="118">
        <v>0</v>
      </c>
      <c r="E45" s="118">
        <v>284.60000000000002</v>
      </c>
      <c r="F45" s="118">
        <v>0.28499999999999998</v>
      </c>
      <c r="G45" s="118">
        <v>354.8</v>
      </c>
      <c r="H45" s="118">
        <v>99.2</v>
      </c>
      <c r="I45" s="118">
        <v>99.6</v>
      </c>
      <c r="J45" s="118">
        <v>9.93</v>
      </c>
      <c r="K45" s="118">
        <v>135.4</v>
      </c>
      <c r="L45" s="118">
        <v>0.40500000000000003</v>
      </c>
      <c r="M45" s="118">
        <v>0.17</v>
      </c>
      <c r="N45" s="118">
        <v>349.6</v>
      </c>
      <c r="O45" s="118">
        <v>349560</v>
      </c>
      <c r="P45" s="118">
        <v>154.01</v>
      </c>
      <c r="Q45" s="118">
        <v>0</v>
      </c>
      <c r="R45" s="118">
        <v>7.82</v>
      </c>
      <c r="S45" s="118">
        <v>-84.1</v>
      </c>
      <c r="T45" s="118">
        <v>15.279</v>
      </c>
      <c r="U45" s="118">
        <v>0.29799999999999999</v>
      </c>
      <c r="V45" s="118">
        <v>40.703310000000002</v>
      </c>
      <c r="W45" s="118">
        <v>-85.935779999999994</v>
      </c>
      <c r="X45" s="118">
        <v>218</v>
      </c>
      <c r="Y45" s="118">
        <v>0</v>
      </c>
      <c r="Z45" s="118">
        <v>11.8</v>
      </c>
      <c r="AA45" s="118">
        <v>753.8</v>
      </c>
      <c r="AB45" s="118" t="s">
        <v>1829</v>
      </c>
    </row>
    <row r="46" spans="2:28" x14ac:dyDescent="0.25">
      <c r="B46" s="118" t="s">
        <v>1788</v>
      </c>
      <c r="C46" s="118" t="s">
        <v>1789</v>
      </c>
      <c r="D46" s="118" t="s">
        <v>1790</v>
      </c>
      <c r="E46" s="118" t="s">
        <v>1791</v>
      </c>
      <c r="F46" s="118" t="s">
        <v>1792</v>
      </c>
      <c r="G46" s="118" t="s">
        <v>1793</v>
      </c>
      <c r="H46" s="118" t="s">
        <v>1794</v>
      </c>
      <c r="I46" s="118" t="s">
        <v>1699</v>
      </c>
      <c r="J46" s="118" t="s">
        <v>1795</v>
      </c>
      <c r="K46" s="118" t="s">
        <v>1703</v>
      </c>
      <c r="L46" s="118" t="s">
        <v>1796</v>
      </c>
      <c r="M46" s="118" t="s">
        <v>1797</v>
      </c>
      <c r="N46" s="118" t="s">
        <v>1798</v>
      </c>
      <c r="O46" s="118" t="s">
        <v>1799</v>
      </c>
      <c r="P46" s="118" t="s">
        <v>1800</v>
      </c>
      <c r="Q46" s="118" t="s">
        <v>1801</v>
      </c>
      <c r="R46" s="118" t="s">
        <v>1802</v>
      </c>
      <c r="S46" s="118" t="s">
        <v>1803</v>
      </c>
      <c r="T46" s="118" t="s">
        <v>1804</v>
      </c>
      <c r="U46" s="118" t="s">
        <v>1805</v>
      </c>
      <c r="V46" s="118" t="s">
        <v>1806</v>
      </c>
      <c r="W46" s="118" t="s">
        <v>1807</v>
      </c>
      <c r="X46" s="118" t="s">
        <v>1808</v>
      </c>
      <c r="Y46" s="118" t="s">
        <v>1809</v>
      </c>
      <c r="Z46" s="118" t="s">
        <v>1810</v>
      </c>
      <c r="AA46" s="118" t="s">
        <v>1811</v>
      </c>
      <c r="AB46" s="118" t="s">
        <v>1711</v>
      </c>
    </row>
    <row r="47" spans="2:28" x14ac:dyDescent="0.25">
      <c r="B47" s="19">
        <v>45056</v>
      </c>
      <c r="C47" s="230">
        <v>0.50895833333333329</v>
      </c>
      <c r="D47" s="118">
        <v>0</v>
      </c>
      <c r="E47" s="118">
        <v>483</v>
      </c>
      <c r="F47" s="118">
        <v>0.14699999999999999</v>
      </c>
      <c r="G47" s="118">
        <v>525.1</v>
      </c>
      <c r="H47" s="118">
        <v>99.1</v>
      </c>
      <c r="I47" s="118">
        <v>100.7</v>
      </c>
      <c r="J47" s="118">
        <v>8.8000000000000007</v>
      </c>
      <c r="K47" s="118">
        <v>282.60000000000002</v>
      </c>
      <c r="L47" s="118">
        <v>0.20899999999999999</v>
      </c>
      <c r="M47" s="118">
        <v>0.25</v>
      </c>
      <c r="N47" s="118">
        <v>521.4</v>
      </c>
      <c r="O47" s="118">
        <v>521424</v>
      </c>
      <c r="P47" s="118">
        <v>34.49</v>
      </c>
      <c r="Q47" s="118">
        <v>0</v>
      </c>
      <c r="R47" s="118">
        <v>7.63</v>
      </c>
      <c r="S47" s="118">
        <v>-77.5</v>
      </c>
      <c r="T47" s="118">
        <v>21.145</v>
      </c>
      <c r="U47" s="118">
        <v>0.151</v>
      </c>
      <c r="V47" s="118">
        <v>0</v>
      </c>
      <c r="W47" s="118">
        <v>0</v>
      </c>
      <c r="X47" s="118">
        <v>0</v>
      </c>
      <c r="Y47" s="118">
        <v>0</v>
      </c>
      <c r="Z47" s="118">
        <v>11.8</v>
      </c>
      <c r="AA47" s="118">
        <v>746.8</v>
      </c>
      <c r="AB47" s="118" t="s">
        <v>1828</v>
      </c>
    </row>
    <row r="48" spans="2:28" x14ac:dyDescent="0.25">
      <c r="B48" s="19">
        <v>45056</v>
      </c>
      <c r="C48" s="230">
        <v>0.52209490740740738</v>
      </c>
      <c r="D48" s="118">
        <v>0</v>
      </c>
      <c r="E48" s="118">
        <v>490.3</v>
      </c>
      <c r="F48" s="118">
        <v>0.14599999999999999</v>
      </c>
      <c r="G48" s="118">
        <v>537.4</v>
      </c>
      <c r="H48" s="118">
        <v>97</v>
      </c>
      <c r="I48" s="118">
        <v>98.6</v>
      </c>
      <c r="J48" s="118">
        <v>8.67</v>
      </c>
      <c r="K48" s="118">
        <v>123</v>
      </c>
      <c r="L48" s="118">
        <v>0.20699999999999999</v>
      </c>
      <c r="M48" s="118">
        <v>0.26</v>
      </c>
      <c r="N48" s="118">
        <v>533.4</v>
      </c>
      <c r="O48" s="118">
        <v>533365</v>
      </c>
      <c r="P48" s="118">
        <v>36.79</v>
      </c>
      <c r="Q48" s="118">
        <v>0</v>
      </c>
      <c r="R48" s="118">
        <v>7.98</v>
      </c>
      <c r="S48" s="118">
        <v>-98.3</v>
      </c>
      <c r="T48" s="118">
        <v>20.782</v>
      </c>
      <c r="U48" s="118">
        <v>0.14899999999999999</v>
      </c>
      <c r="V48" s="118">
        <v>40.668570000000003</v>
      </c>
      <c r="W48" s="118">
        <v>-85.848879999999994</v>
      </c>
      <c r="X48" s="118">
        <v>219.9</v>
      </c>
      <c r="Y48" s="118">
        <v>0</v>
      </c>
      <c r="Z48" s="118">
        <v>11.8</v>
      </c>
      <c r="AA48" s="118">
        <v>746.7</v>
      </c>
      <c r="AB48" s="118" t="s">
        <v>1830</v>
      </c>
    </row>
    <row r="49" spans="2:28" x14ac:dyDescent="0.25">
      <c r="B49" s="19">
        <v>45056</v>
      </c>
      <c r="C49" s="230">
        <v>0.59875</v>
      </c>
      <c r="D49" s="118">
        <v>0</v>
      </c>
      <c r="E49" s="118">
        <v>496.7</v>
      </c>
      <c r="F49" s="118">
        <v>0.14499999999999999</v>
      </c>
      <c r="G49" s="118">
        <v>550.4</v>
      </c>
      <c r="H49" s="118">
        <v>114.1</v>
      </c>
      <c r="I49" s="118">
        <v>115.9</v>
      </c>
      <c r="J49" s="118">
        <v>10.29</v>
      </c>
      <c r="K49" s="118">
        <v>156.69999999999999</v>
      </c>
      <c r="L49" s="118">
        <v>0.20599999999999999</v>
      </c>
      <c r="M49" s="118">
        <v>0.26</v>
      </c>
      <c r="N49" s="118">
        <v>545.79999999999995</v>
      </c>
      <c r="O49" s="118">
        <v>545761</v>
      </c>
      <c r="P49" s="118">
        <v>12.68</v>
      </c>
      <c r="Q49" s="118">
        <v>0</v>
      </c>
      <c r="R49" s="118">
        <v>8.76</v>
      </c>
      <c r="S49" s="118">
        <v>-144.6</v>
      </c>
      <c r="T49" s="118">
        <v>20.280999999999999</v>
      </c>
      <c r="U49" s="118">
        <v>0.14000000000000001</v>
      </c>
      <c r="V49" s="118">
        <v>40.680689999999998</v>
      </c>
      <c r="W49" s="118">
        <v>-85.895799999999994</v>
      </c>
      <c r="X49" s="118">
        <v>217.6</v>
      </c>
      <c r="Y49" s="118">
        <v>0</v>
      </c>
      <c r="Z49" s="118">
        <v>11.8</v>
      </c>
      <c r="AA49" s="118">
        <v>745.7</v>
      </c>
      <c r="AB49" s="118" t="s">
        <v>1827</v>
      </c>
    </row>
    <row r="50" spans="2:28" x14ac:dyDescent="0.25">
      <c r="B50" s="19">
        <v>45056</v>
      </c>
      <c r="C50" s="230">
        <v>0.60487268518518522</v>
      </c>
      <c r="D50" s="118">
        <v>0</v>
      </c>
      <c r="E50" s="118">
        <v>502.8</v>
      </c>
      <c r="F50" s="118">
        <v>0.13700000000000001</v>
      </c>
      <c r="G50" s="118">
        <v>540.9</v>
      </c>
      <c r="H50" s="118">
        <v>125.2</v>
      </c>
      <c r="I50" s="118">
        <v>127.1</v>
      </c>
      <c r="J50" s="118">
        <v>11.01</v>
      </c>
      <c r="K50" s="118">
        <v>159.4</v>
      </c>
      <c r="L50" s="118">
        <v>0.19400000000000001</v>
      </c>
      <c r="M50" s="118">
        <v>0.26</v>
      </c>
      <c r="N50" s="118">
        <v>537.5</v>
      </c>
      <c r="O50" s="118">
        <v>537528</v>
      </c>
      <c r="P50" s="118">
        <v>155.33000000000001</v>
      </c>
      <c r="Q50" s="118">
        <v>0</v>
      </c>
      <c r="R50" s="118">
        <v>8.56</v>
      </c>
      <c r="S50" s="118">
        <v>-133.19999999999999</v>
      </c>
      <c r="T50" s="118">
        <v>21.616</v>
      </c>
      <c r="U50" s="118">
        <v>0.14699999999999999</v>
      </c>
      <c r="V50" s="118">
        <v>40.68074</v>
      </c>
      <c r="W50" s="118">
        <v>-85.895859999999999</v>
      </c>
      <c r="X50" s="118">
        <v>221.4</v>
      </c>
      <c r="Y50" s="118">
        <v>0</v>
      </c>
      <c r="Z50" s="118">
        <v>11.8</v>
      </c>
      <c r="AA50" s="118">
        <v>745.6</v>
      </c>
      <c r="AB50" s="118" t="s">
        <v>1831</v>
      </c>
    </row>
    <row r="51" spans="2:28" x14ac:dyDescent="0.25">
      <c r="B51" s="19">
        <v>45056</v>
      </c>
      <c r="C51" s="230">
        <v>0.60723379629629626</v>
      </c>
      <c r="D51" s="118">
        <v>0</v>
      </c>
      <c r="E51" s="118">
        <v>497.3</v>
      </c>
      <c r="F51" s="118">
        <v>0.128</v>
      </c>
      <c r="G51" s="118">
        <v>548.20000000000005</v>
      </c>
      <c r="H51" s="118">
        <v>113</v>
      </c>
      <c r="I51" s="118">
        <v>114.7</v>
      </c>
      <c r="J51" s="118">
        <v>10.15</v>
      </c>
      <c r="K51" s="118">
        <v>151.80000000000001</v>
      </c>
      <c r="L51" s="118">
        <v>0.182</v>
      </c>
      <c r="M51" s="118">
        <v>0.26</v>
      </c>
      <c r="N51" s="118">
        <v>543.9</v>
      </c>
      <c r="O51" s="118">
        <v>543859</v>
      </c>
      <c r="P51" s="118">
        <v>40.78</v>
      </c>
      <c r="Q51" s="118">
        <v>0</v>
      </c>
      <c r="R51" s="118">
        <v>8.56</v>
      </c>
      <c r="S51" s="118">
        <v>-132.6</v>
      </c>
      <c r="T51" s="118">
        <v>20.515000000000001</v>
      </c>
      <c r="U51" s="118">
        <v>0.14699999999999999</v>
      </c>
      <c r="V51" s="118">
        <v>40.680819999999997</v>
      </c>
      <c r="W51" s="118">
        <v>-85.895809999999997</v>
      </c>
      <c r="X51" s="118">
        <v>224</v>
      </c>
      <c r="Y51" s="118">
        <v>0</v>
      </c>
      <c r="Z51" s="118">
        <v>11.8</v>
      </c>
      <c r="AA51" s="118">
        <v>745.5</v>
      </c>
      <c r="AB51" s="118" t="s">
        <v>1832</v>
      </c>
    </row>
    <row r="52" spans="2:28" x14ac:dyDescent="0.25">
      <c r="B52" s="19">
        <v>45056</v>
      </c>
      <c r="C52" s="230">
        <v>0.63519675925925922</v>
      </c>
      <c r="D52" s="118">
        <v>0</v>
      </c>
      <c r="E52" s="118">
        <v>430.4</v>
      </c>
      <c r="F52" s="118">
        <v>0.14000000000000001</v>
      </c>
      <c r="G52" s="118">
        <v>486.8</v>
      </c>
      <c r="H52" s="118">
        <v>113.5</v>
      </c>
      <c r="I52" s="118">
        <v>115.2</v>
      </c>
      <c r="J52" s="118">
        <v>10.43</v>
      </c>
      <c r="K52" s="118">
        <v>186.4</v>
      </c>
      <c r="L52" s="118">
        <v>0.19800000000000001</v>
      </c>
      <c r="M52" s="118">
        <v>0.23</v>
      </c>
      <c r="N52" s="118">
        <v>482.1</v>
      </c>
      <c r="O52" s="118">
        <v>482106</v>
      </c>
      <c r="P52" s="118">
        <v>12.23</v>
      </c>
      <c r="Q52" s="118">
        <v>0</v>
      </c>
      <c r="R52" s="118">
        <v>8.32</v>
      </c>
      <c r="S52" s="118">
        <v>-118.3</v>
      </c>
      <c r="T52" s="118">
        <v>19.39</v>
      </c>
      <c r="U52" s="118">
        <v>0.14599999999999999</v>
      </c>
      <c r="V52" s="118">
        <v>40.705680000000001</v>
      </c>
      <c r="W52" s="118">
        <v>-85.954350000000005</v>
      </c>
      <c r="X52" s="118">
        <v>214.6</v>
      </c>
      <c r="Y52" s="118">
        <v>0</v>
      </c>
      <c r="Z52" s="118">
        <v>11.8</v>
      </c>
      <c r="AA52" s="118">
        <v>745.1</v>
      </c>
      <c r="AB52" s="118" t="s">
        <v>1833</v>
      </c>
    </row>
    <row r="53" spans="2:28" x14ac:dyDescent="0.25">
      <c r="B53" s="19">
        <v>45056</v>
      </c>
      <c r="C53" s="230">
        <v>0.6691435185185185</v>
      </c>
      <c r="D53" s="118">
        <v>0</v>
      </c>
      <c r="E53" s="118">
        <v>427.3</v>
      </c>
      <c r="F53" s="118">
        <v>0.13</v>
      </c>
      <c r="G53" s="118">
        <v>450</v>
      </c>
      <c r="H53" s="118">
        <v>103.4</v>
      </c>
      <c r="I53" s="118">
        <v>105</v>
      </c>
      <c r="J53" s="118">
        <v>8.93</v>
      </c>
      <c r="K53" s="118">
        <v>164.8</v>
      </c>
      <c r="L53" s="118">
        <v>0.185</v>
      </c>
      <c r="M53" s="118">
        <v>0.22</v>
      </c>
      <c r="N53" s="118">
        <v>447.9</v>
      </c>
      <c r="O53" s="118">
        <v>447921</v>
      </c>
      <c r="P53" s="118">
        <v>23.23</v>
      </c>
      <c r="Q53" s="118">
        <v>0</v>
      </c>
      <c r="R53" s="118">
        <v>8.5</v>
      </c>
      <c r="S53" s="118">
        <v>-130.19999999999999</v>
      </c>
      <c r="T53" s="118">
        <v>22.588999999999999</v>
      </c>
      <c r="U53" s="118">
        <v>0.14199999999999999</v>
      </c>
      <c r="V53" s="118">
        <v>40.705080000000002</v>
      </c>
      <c r="W53" s="118">
        <v>-85.953230000000005</v>
      </c>
      <c r="X53" s="118">
        <v>218.4</v>
      </c>
      <c r="Y53" s="118">
        <v>0</v>
      </c>
      <c r="Z53" s="118">
        <v>11.8</v>
      </c>
      <c r="AA53" s="118">
        <v>744.5</v>
      </c>
      <c r="AB53" s="118" t="s">
        <v>1834</v>
      </c>
    </row>
    <row r="54" spans="2:28" x14ac:dyDescent="0.25">
      <c r="B54" s="19">
        <v>45056</v>
      </c>
      <c r="C54" s="230">
        <v>0.67881944444444442</v>
      </c>
      <c r="D54" s="118">
        <v>0</v>
      </c>
      <c r="E54" s="118">
        <v>430</v>
      </c>
      <c r="F54" s="118">
        <v>0.128</v>
      </c>
      <c r="G54" s="118">
        <v>458.9</v>
      </c>
      <c r="H54" s="118">
        <v>114.1</v>
      </c>
      <c r="I54" s="118">
        <v>115.9</v>
      </c>
      <c r="J54" s="118">
        <v>9.98</v>
      </c>
      <c r="K54" s="118">
        <v>147.30000000000001</v>
      </c>
      <c r="L54" s="118">
        <v>0.182</v>
      </c>
      <c r="M54" s="118">
        <v>0.22</v>
      </c>
      <c r="N54" s="118">
        <v>456.3</v>
      </c>
      <c r="O54" s="118">
        <v>456350</v>
      </c>
      <c r="P54" s="118">
        <v>26.49</v>
      </c>
      <c r="Q54" s="118">
        <v>0</v>
      </c>
      <c r="R54" s="118">
        <v>8.3800000000000008</v>
      </c>
      <c r="S54" s="118">
        <v>-122.4</v>
      </c>
      <c r="T54" s="118">
        <v>21.978000000000002</v>
      </c>
      <c r="U54" s="118">
        <v>0.122</v>
      </c>
      <c r="V54" s="118">
        <v>40.705689999999997</v>
      </c>
      <c r="W54" s="118">
        <v>-85.952449999999999</v>
      </c>
      <c r="X54" s="118">
        <v>224.1</v>
      </c>
      <c r="Y54" s="118">
        <v>0</v>
      </c>
      <c r="Z54" s="118">
        <v>11.8</v>
      </c>
      <c r="AA54" s="118">
        <v>744.6</v>
      </c>
      <c r="AB54" s="118" t="s">
        <v>1835</v>
      </c>
    </row>
    <row r="55" spans="2:28" x14ac:dyDescent="0.25">
      <c r="B55" s="19">
        <v>45056</v>
      </c>
      <c r="C55" s="230">
        <v>0.68096064814814816</v>
      </c>
      <c r="D55" s="118">
        <v>0</v>
      </c>
      <c r="E55" s="118">
        <v>428.1</v>
      </c>
      <c r="F55" s="118">
        <v>0.126</v>
      </c>
      <c r="G55" s="118">
        <v>488.2</v>
      </c>
      <c r="H55" s="118">
        <v>99.9</v>
      </c>
      <c r="I55" s="118">
        <v>101.5</v>
      </c>
      <c r="J55" s="118">
        <v>9.25</v>
      </c>
      <c r="K55" s="118">
        <v>162.69999999999999</v>
      </c>
      <c r="L55" s="118">
        <v>0.17799999999999999</v>
      </c>
      <c r="M55" s="118">
        <v>0.23</v>
      </c>
      <c r="N55" s="118">
        <v>483.2</v>
      </c>
      <c r="O55" s="118">
        <v>483210</v>
      </c>
      <c r="P55" s="118">
        <v>237.49</v>
      </c>
      <c r="Q55" s="118">
        <v>0</v>
      </c>
      <c r="R55" s="118">
        <v>8.1199999999999992</v>
      </c>
      <c r="S55" s="118">
        <v>-106.3</v>
      </c>
      <c r="T55" s="118">
        <v>19.032</v>
      </c>
      <c r="U55" s="118">
        <v>0.127</v>
      </c>
      <c r="V55" s="118">
        <v>40.705329999999996</v>
      </c>
      <c r="W55" s="118">
        <v>-85.953000000000003</v>
      </c>
      <c r="X55" s="118">
        <v>225.3</v>
      </c>
      <c r="Y55" s="118">
        <v>0</v>
      </c>
      <c r="Z55" s="118">
        <v>11.8</v>
      </c>
      <c r="AA55" s="118">
        <v>744.5</v>
      </c>
      <c r="AB55" s="118" t="s">
        <v>1836</v>
      </c>
    </row>
    <row r="56" spans="2:28" x14ac:dyDescent="0.25">
      <c r="B56" s="19">
        <v>45056</v>
      </c>
      <c r="C56" s="230">
        <v>0.72541666666666671</v>
      </c>
      <c r="D56" s="118">
        <v>0</v>
      </c>
      <c r="E56" s="118">
        <v>459.4</v>
      </c>
      <c r="F56" s="118">
        <v>0.123</v>
      </c>
      <c r="G56" s="118">
        <v>513.70000000000005</v>
      </c>
      <c r="H56" s="118">
        <v>98</v>
      </c>
      <c r="I56" s="118">
        <v>99.6</v>
      </c>
      <c r="J56" s="118">
        <v>8.9</v>
      </c>
      <c r="K56" s="118">
        <v>104.9</v>
      </c>
      <c r="L56" s="118">
        <v>0.17499999999999999</v>
      </c>
      <c r="M56" s="118">
        <v>0.25</v>
      </c>
      <c r="N56" s="118">
        <v>509.1</v>
      </c>
      <c r="O56" s="118">
        <v>509072</v>
      </c>
      <c r="P56" s="118">
        <v>10.56</v>
      </c>
      <c r="Q56" s="118">
        <v>0</v>
      </c>
      <c r="R56" s="118">
        <v>8.35</v>
      </c>
      <c r="S56" s="118">
        <v>-120.3</v>
      </c>
      <c r="T56" s="118">
        <v>19.896000000000001</v>
      </c>
      <c r="U56" s="118">
        <v>0.121</v>
      </c>
      <c r="V56" s="118">
        <v>40.71405</v>
      </c>
      <c r="W56" s="118">
        <v>-85.936760000000007</v>
      </c>
      <c r="X56" s="118">
        <v>216</v>
      </c>
      <c r="Y56" s="118">
        <v>0</v>
      </c>
      <c r="Z56" s="118">
        <v>11.8</v>
      </c>
      <c r="AA56" s="118">
        <v>744.6</v>
      </c>
      <c r="AB56" s="118" t="s">
        <v>1837</v>
      </c>
    </row>
    <row r="57" spans="2:28" x14ac:dyDescent="0.25">
      <c r="B57" s="19">
        <v>45056</v>
      </c>
      <c r="C57" s="230">
        <v>0.73025462962962961</v>
      </c>
      <c r="D57" s="118">
        <v>0</v>
      </c>
      <c r="E57" s="118">
        <v>463.6</v>
      </c>
      <c r="F57" s="118">
        <v>0.121</v>
      </c>
      <c r="G57" s="118">
        <v>506.2</v>
      </c>
      <c r="H57" s="118">
        <v>106.2</v>
      </c>
      <c r="I57" s="118">
        <v>107.9</v>
      </c>
      <c r="J57" s="118">
        <v>9.4600000000000009</v>
      </c>
      <c r="K57" s="118">
        <v>145.69999999999999</v>
      </c>
      <c r="L57" s="118">
        <v>0.17199999999999999</v>
      </c>
      <c r="M57" s="118">
        <v>0.24</v>
      </c>
      <c r="N57" s="118">
        <v>502.5</v>
      </c>
      <c r="O57" s="118">
        <v>502469</v>
      </c>
      <c r="P57" s="118">
        <v>30.98</v>
      </c>
      <c r="Q57" s="118">
        <v>0</v>
      </c>
      <c r="R57" s="118">
        <v>8.25</v>
      </c>
      <c r="S57" s="118">
        <v>-114.8</v>
      </c>
      <c r="T57" s="118">
        <v>20.951000000000001</v>
      </c>
      <c r="U57" s="118">
        <v>0.111</v>
      </c>
      <c r="V57" s="118">
        <v>40.71452</v>
      </c>
      <c r="W57" s="118">
        <v>-85.937749999999994</v>
      </c>
      <c r="X57" s="118">
        <v>216.2</v>
      </c>
      <c r="Y57" s="118">
        <v>0</v>
      </c>
      <c r="Z57" s="118">
        <v>11.8</v>
      </c>
      <c r="AA57" s="118">
        <v>744.4</v>
      </c>
      <c r="AB57" s="118" t="s">
        <v>1838</v>
      </c>
    </row>
    <row r="58" spans="2:28" x14ac:dyDescent="0.25">
      <c r="B58" s="118" t="s">
        <v>1788</v>
      </c>
      <c r="C58" s="118" t="s">
        <v>1789</v>
      </c>
      <c r="D58" s="118" t="s">
        <v>1790</v>
      </c>
      <c r="E58" s="118" t="s">
        <v>1791</v>
      </c>
      <c r="F58" s="118" t="s">
        <v>1792</v>
      </c>
      <c r="G58" s="118" t="s">
        <v>1793</v>
      </c>
      <c r="H58" s="118" t="s">
        <v>1794</v>
      </c>
      <c r="I58" s="118" t="s">
        <v>1699</v>
      </c>
      <c r="J58" s="118" t="s">
        <v>1795</v>
      </c>
      <c r="K58" s="118" t="s">
        <v>1703</v>
      </c>
      <c r="L58" s="118" t="s">
        <v>1796</v>
      </c>
      <c r="M58" s="118" t="s">
        <v>1797</v>
      </c>
      <c r="N58" s="118" t="s">
        <v>1798</v>
      </c>
      <c r="O58" s="118" t="s">
        <v>1799</v>
      </c>
      <c r="P58" s="118" t="s">
        <v>1800</v>
      </c>
      <c r="Q58" s="118" t="s">
        <v>1801</v>
      </c>
      <c r="R58" s="118" t="s">
        <v>1802</v>
      </c>
      <c r="S58" s="118" t="s">
        <v>1803</v>
      </c>
      <c r="T58" s="118" t="s">
        <v>1804</v>
      </c>
      <c r="U58" s="118" t="s">
        <v>1805</v>
      </c>
      <c r="V58" s="118" t="s">
        <v>1806</v>
      </c>
      <c r="W58" s="118" t="s">
        <v>1807</v>
      </c>
      <c r="X58" s="118" t="s">
        <v>1808</v>
      </c>
      <c r="Y58" s="118" t="s">
        <v>1809</v>
      </c>
      <c r="Z58" s="118" t="s">
        <v>1810</v>
      </c>
      <c r="AA58" s="118" t="s">
        <v>1811</v>
      </c>
      <c r="AB58" s="118" t="s">
        <v>1711</v>
      </c>
    </row>
    <row r="59" spans="2:28" x14ac:dyDescent="0.25">
      <c r="B59" s="19">
        <v>45092</v>
      </c>
      <c r="C59" s="230">
        <v>0.60797453703703708</v>
      </c>
      <c r="D59" s="118">
        <v>0</v>
      </c>
      <c r="E59" s="118">
        <v>462.9</v>
      </c>
      <c r="F59" s="118">
        <v>0.45700000000000002</v>
      </c>
      <c r="G59" s="118">
        <v>513.6</v>
      </c>
      <c r="H59" s="118">
        <v>107.3</v>
      </c>
      <c r="I59" s="118">
        <v>110.7</v>
      </c>
      <c r="J59" s="118">
        <v>9.6999999999999993</v>
      </c>
      <c r="K59" s="118">
        <v>139.4</v>
      </c>
      <c r="L59" s="118">
        <v>0.64900000000000002</v>
      </c>
      <c r="M59" s="118">
        <v>0.25</v>
      </c>
      <c r="N59" s="118">
        <v>509.3</v>
      </c>
      <c r="O59" s="118">
        <v>509267</v>
      </c>
      <c r="P59" s="118">
        <v>7.3</v>
      </c>
      <c r="Q59" s="118">
        <v>0</v>
      </c>
      <c r="R59" s="118">
        <v>8.49</v>
      </c>
      <c r="S59" s="118">
        <v>-106</v>
      </c>
      <c r="T59" s="118">
        <v>20.234999999999999</v>
      </c>
      <c r="U59" s="118">
        <v>0.44900000000000001</v>
      </c>
      <c r="V59" s="118">
        <v>40.705280000000002</v>
      </c>
      <c r="W59" s="118">
        <v>-85.953739999999996</v>
      </c>
      <c r="X59" s="118">
        <v>220.1</v>
      </c>
      <c r="Y59" s="118">
        <v>0</v>
      </c>
      <c r="Z59" s="118">
        <v>11.8</v>
      </c>
      <c r="AA59" s="118">
        <v>734.5</v>
      </c>
      <c r="AB59" s="118" t="s">
        <v>1839</v>
      </c>
    </row>
    <row r="60" spans="2:28" x14ac:dyDescent="0.25">
      <c r="B60" s="19">
        <v>45092</v>
      </c>
      <c r="C60" s="230">
        <v>0.63898148148148148</v>
      </c>
      <c r="D60" s="118">
        <v>0</v>
      </c>
      <c r="E60" s="118">
        <v>459.8</v>
      </c>
      <c r="F60" s="118">
        <v>0.34699999999999998</v>
      </c>
      <c r="G60" s="118">
        <v>501.1</v>
      </c>
      <c r="H60" s="118">
        <v>135.9</v>
      </c>
      <c r="I60" s="118">
        <v>140.19999999999999</v>
      </c>
      <c r="J60" s="118">
        <v>12.09</v>
      </c>
      <c r="K60" s="118">
        <v>176.8</v>
      </c>
      <c r="L60" s="118">
        <v>0.49199999999999999</v>
      </c>
      <c r="M60" s="118">
        <v>0.24</v>
      </c>
      <c r="N60" s="118">
        <v>497.5</v>
      </c>
      <c r="O60" s="118">
        <v>497484</v>
      </c>
      <c r="P60" s="118">
        <v>11.69</v>
      </c>
      <c r="Q60" s="118">
        <v>0</v>
      </c>
      <c r="R60" s="118">
        <v>8.76</v>
      </c>
      <c r="S60" s="118">
        <v>-120.8</v>
      </c>
      <c r="T60" s="118">
        <v>21.032</v>
      </c>
      <c r="U60" s="118">
        <v>0.34399999999999997</v>
      </c>
      <c r="V60" s="118">
        <v>40.703330000000001</v>
      </c>
      <c r="W60" s="118">
        <v>-85.936359999999993</v>
      </c>
      <c r="X60" s="118">
        <v>226.7</v>
      </c>
      <c r="Y60" s="118">
        <v>0</v>
      </c>
      <c r="Z60" s="118">
        <v>11.8</v>
      </c>
      <c r="AA60" s="118">
        <v>734.5</v>
      </c>
      <c r="AB60" s="118" t="s">
        <v>1829</v>
      </c>
    </row>
    <row r="61" spans="2:28" x14ac:dyDescent="0.25">
      <c r="B61" s="19">
        <v>45092</v>
      </c>
      <c r="C61" s="230">
        <v>0.64951388888888884</v>
      </c>
      <c r="D61" s="118">
        <v>0</v>
      </c>
      <c r="E61" s="118">
        <v>462.5</v>
      </c>
      <c r="F61" s="118">
        <v>0.24399999999999999</v>
      </c>
      <c r="G61" s="118">
        <v>503.3</v>
      </c>
      <c r="H61" s="118">
        <v>119.7</v>
      </c>
      <c r="I61" s="118">
        <v>123.4</v>
      </c>
      <c r="J61" s="118">
        <v>10.63</v>
      </c>
      <c r="K61" s="118">
        <v>138.30000000000001</v>
      </c>
      <c r="L61" s="118">
        <v>0.34599999999999997</v>
      </c>
      <c r="M61" s="118">
        <v>0.24</v>
      </c>
      <c r="N61" s="118">
        <v>499.8</v>
      </c>
      <c r="O61" s="118">
        <v>499785</v>
      </c>
      <c r="P61" s="118">
        <v>9.33</v>
      </c>
      <c r="Q61" s="118">
        <v>0</v>
      </c>
      <c r="R61" s="118">
        <v>8.69</v>
      </c>
      <c r="S61" s="118">
        <v>-117.1</v>
      </c>
      <c r="T61" s="118">
        <v>21.09</v>
      </c>
      <c r="U61" s="118">
        <v>0.247</v>
      </c>
      <c r="V61" s="118">
        <v>40.702080000000002</v>
      </c>
      <c r="W61" s="118">
        <v>-85.935590000000005</v>
      </c>
      <c r="X61" s="118">
        <v>226.7</v>
      </c>
      <c r="Y61" s="118">
        <v>0</v>
      </c>
      <c r="Z61" s="118">
        <v>11.8</v>
      </c>
      <c r="AA61" s="118">
        <v>734.4</v>
      </c>
      <c r="AB61" s="118" t="s">
        <v>1840</v>
      </c>
    </row>
    <row r="62" spans="2:28" x14ac:dyDescent="0.25">
      <c r="B62" s="19">
        <v>45092</v>
      </c>
      <c r="C62" s="230">
        <v>0.66035879629629635</v>
      </c>
      <c r="D62" s="118">
        <v>0</v>
      </c>
      <c r="E62" s="118">
        <v>462.5</v>
      </c>
      <c r="F62" s="118">
        <v>0.154</v>
      </c>
      <c r="G62" s="118">
        <v>500.7</v>
      </c>
      <c r="H62" s="118">
        <v>136.30000000000001</v>
      </c>
      <c r="I62" s="118">
        <v>140.6</v>
      </c>
      <c r="J62" s="118">
        <v>12.06</v>
      </c>
      <c r="K62" s="118">
        <v>140.80000000000001</v>
      </c>
      <c r="L62" s="118">
        <v>0.218</v>
      </c>
      <c r="M62" s="118">
        <v>0.24</v>
      </c>
      <c r="N62" s="118">
        <v>497.4</v>
      </c>
      <c r="O62" s="118">
        <v>497393</v>
      </c>
      <c r="P62" s="118">
        <v>10.17</v>
      </c>
      <c r="Q62" s="118">
        <v>0</v>
      </c>
      <c r="R62" s="118">
        <v>8.83</v>
      </c>
      <c r="S62" s="118">
        <v>-124.3</v>
      </c>
      <c r="T62" s="118">
        <v>21.329000000000001</v>
      </c>
      <c r="U62" s="118">
        <v>0.151</v>
      </c>
      <c r="V62" s="118">
        <v>40.700800000000001</v>
      </c>
      <c r="W62" s="118">
        <v>-85.935059999999993</v>
      </c>
      <c r="X62" s="118">
        <v>226.6</v>
      </c>
      <c r="Y62" s="118">
        <v>0</v>
      </c>
      <c r="Z62" s="118">
        <v>11.8</v>
      </c>
      <c r="AA62" s="118">
        <v>734.3</v>
      </c>
      <c r="AB62" s="118" t="s">
        <v>1841</v>
      </c>
    </row>
    <row r="63" spans="2:28" x14ac:dyDescent="0.25">
      <c r="B63" s="19">
        <v>45092</v>
      </c>
      <c r="C63" s="230">
        <v>0.72190972222222227</v>
      </c>
      <c r="D63" s="118">
        <v>0</v>
      </c>
      <c r="E63" s="118">
        <v>465.2</v>
      </c>
      <c r="F63" s="118">
        <v>0.58899999999999997</v>
      </c>
      <c r="G63" s="118">
        <v>500.5</v>
      </c>
      <c r="H63" s="118">
        <v>146.1</v>
      </c>
      <c r="I63" s="118">
        <v>150.69999999999999</v>
      </c>
      <c r="J63" s="118">
        <v>12.85</v>
      </c>
      <c r="K63" s="118">
        <v>109.7</v>
      </c>
      <c r="L63" s="118">
        <v>0.83599999999999997</v>
      </c>
      <c r="M63" s="118">
        <v>0.24</v>
      </c>
      <c r="N63" s="118">
        <v>497.4</v>
      </c>
      <c r="O63" s="118">
        <v>497420</v>
      </c>
      <c r="P63" s="118">
        <v>16.87</v>
      </c>
      <c r="Q63" s="118">
        <v>0</v>
      </c>
      <c r="R63" s="118">
        <v>9.1999999999999993</v>
      </c>
      <c r="S63" s="118">
        <v>-144.69999999999999</v>
      </c>
      <c r="T63" s="118">
        <v>21.611000000000001</v>
      </c>
      <c r="U63" s="118">
        <v>0.57799999999999996</v>
      </c>
      <c r="V63" s="118">
        <v>40.714109999999998</v>
      </c>
      <c r="W63" s="118">
        <v>-85.937070000000006</v>
      </c>
      <c r="X63" s="118">
        <v>215.4</v>
      </c>
      <c r="Y63" s="118">
        <v>0</v>
      </c>
      <c r="Z63" s="118">
        <v>11.8</v>
      </c>
      <c r="AA63" s="118">
        <v>733.9</v>
      </c>
      <c r="AB63" s="118" t="s">
        <v>1837</v>
      </c>
    </row>
    <row r="64" spans="2:28" x14ac:dyDescent="0.25">
      <c r="B64" s="19">
        <v>45092</v>
      </c>
      <c r="C64" s="230">
        <v>0.74010416666666667</v>
      </c>
      <c r="D64" s="118">
        <v>0</v>
      </c>
      <c r="E64" s="118">
        <v>469.6</v>
      </c>
      <c r="F64" s="118">
        <v>0.125</v>
      </c>
      <c r="G64" s="118">
        <v>493.9</v>
      </c>
      <c r="H64" s="118">
        <v>165.5</v>
      </c>
      <c r="I64" s="118">
        <v>170.7</v>
      </c>
      <c r="J64" s="118">
        <v>14.27</v>
      </c>
      <c r="K64" s="118">
        <v>146.4</v>
      </c>
      <c r="L64" s="118">
        <v>0.17799999999999999</v>
      </c>
      <c r="M64" s="118">
        <v>0.24</v>
      </c>
      <c r="N64" s="118">
        <v>491.7</v>
      </c>
      <c r="O64" s="118">
        <v>491690</v>
      </c>
      <c r="P64" s="118">
        <v>32.659999999999997</v>
      </c>
      <c r="Q64" s="118">
        <v>0</v>
      </c>
      <c r="R64" s="118">
        <v>9.1199999999999992</v>
      </c>
      <c r="S64" s="118">
        <v>-140.80000000000001</v>
      </c>
      <c r="T64" s="118">
        <v>22.652000000000001</v>
      </c>
      <c r="U64" s="118">
        <v>0.13400000000000001</v>
      </c>
      <c r="V64" s="118">
        <v>40.714590000000001</v>
      </c>
      <c r="W64" s="118">
        <v>-85.937870000000004</v>
      </c>
      <c r="X64" s="118">
        <v>224.1</v>
      </c>
      <c r="Y64" s="118">
        <v>0</v>
      </c>
      <c r="Z64" s="118">
        <v>11.8</v>
      </c>
      <c r="AA64" s="118">
        <v>733.9</v>
      </c>
      <c r="AB64" s="118" t="s">
        <v>1838</v>
      </c>
    </row>
    <row r="65" spans="2:28" x14ac:dyDescent="0.25">
      <c r="B65" s="19">
        <v>45092</v>
      </c>
      <c r="C65" s="230">
        <v>0.77401620370370372</v>
      </c>
      <c r="D65" s="118">
        <v>0</v>
      </c>
      <c r="E65" s="118">
        <v>465</v>
      </c>
      <c r="F65" s="118">
        <v>0.55200000000000005</v>
      </c>
      <c r="G65" s="118">
        <v>499.5</v>
      </c>
      <c r="H65" s="118">
        <v>-137</v>
      </c>
      <c r="I65" s="118">
        <v>-141.4</v>
      </c>
      <c r="J65" s="118">
        <v>-12.04</v>
      </c>
      <c r="K65" s="118">
        <v>119.5</v>
      </c>
      <c r="L65" s="118">
        <v>0.78400000000000003</v>
      </c>
      <c r="M65" s="118">
        <v>0.24</v>
      </c>
      <c r="N65" s="118">
        <v>496.5</v>
      </c>
      <c r="O65" s="118">
        <v>496474</v>
      </c>
      <c r="P65" s="118">
        <v>7.6</v>
      </c>
      <c r="Q65" s="118">
        <v>0</v>
      </c>
      <c r="R65" s="118">
        <v>8.9</v>
      </c>
      <c r="S65" s="118">
        <v>-128.5</v>
      </c>
      <c r="T65" s="118">
        <v>21.681000000000001</v>
      </c>
      <c r="U65" s="118">
        <v>0.54100000000000004</v>
      </c>
      <c r="V65" s="118">
        <v>40.680390000000003</v>
      </c>
      <c r="W65" s="118">
        <v>-85.895300000000006</v>
      </c>
      <c r="X65" s="118">
        <v>226.6</v>
      </c>
      <c r="Y65" s="118">
        <v>0</v>
      </c>
      <c r="Z65" s="118">
        <v>11.8</v>
      </c>
      <c r="AA65" s="118">
        <v>733.7</v>
      </c>
      <c r="AB65" s="118" t="s">
        <v>1827</v>
      </c>
    </row>
    <row r="66" spans="2:28" x14ac:dyDescent="0.25">
      <c r="B66" s="19">
        <v>45092</v>
      </c>
      <c r="C66" s="230">
        <v>0.79184027777777777</v>
      </c>
      <c r="D66" s="118">
        <v>0</v>
      </c>
      <c r="E66" s="118">
        <v>486.2</v>
      </c>
      <c r="F66" s="118">
        <v>0.53600000000000003</v>
      </c>
      <c r="G66" s="118">
        <v>508.6</v>
      </c>
      <c r="H66" s="118">
        <v>355.4</v>
      </c>
      <c r="I66" s="118">
        <v>366.7</v>
      </c>
      <c r="J66" s="118">
        <v>30.51</v>
      </c>
      <c r="K66" s="118">
        <v>133.19999999999999</v>
      </c>
      <c r="L66" s="118">
        <v>0.76100000000000001</v>
      </c>
      <c r="M66" s="118">
        <v>0.24</v>
      </c>
      <c r="N66" s="118">
        <v>506.5</v>
      </c>
      <c r="O66" s="118">
        <v>506541</v>
      </c>
      <c r="P66" s="118">
        <v>52.04</v>
      </c>
      <c r="Q66" s="118">
        <v>0</v>
      </c>
      <c r="R66" s="118">
        <v>9.07</v>
      </c>
      <c r="S66" s="118">
        <v>-138.30000000000001</v>
      </c>
      <c r="T66" s="118">
        <v>22.893999999999998</v>
      </c>
      <c r="U66" s="118">
        <v>0.53</v>
      </c>
      <c r="V66" s="118">
        <v>40.668529999999997</v>
      </c>
      <c r="W66" s="118">
        <v>-85.848740000000006</v>
      </c>
      <c r="X66" s="118">
        <v>232.2</v>
      </c>
      <c r="Y66" s="118">
        <v>0</v>
      </c>
      <c r="Z66" s="118">
        <v>11.8</v>
      </c>
      <c r="AA66" s="118">
        <v>733.6</v>
      </c>
      <c r="AB66" s="118" t="s">
        <v>1828</v>
      </c>
    </row>
    <row r="67" spans="2:28" x14ac:dyDescent="0.25">
      <c r="B67" s="118" t="s">
        <v>1788</v>
      </c>
      <c r="C67" s="118" t="s">
        <v>1789</v>
      </c>
      <c r="D67" s="118" t="s">
        <v>1790</v>
      </c>
      <c r="E67" s="118" t="s">
        <v>1791</v>
      </c>
      <c r="F67" s="118" t="s">
        <v>1792</v>
      </c>
      <c r="G67" s="118" t="s">
        <v>1793</v>
      </c>
      <c r="H67" s="118" t="s">
        <v>1794</v>
      </c>
      <c r="I67" s="118" t="s">
        <v>1699</v>
      </c>
      <c r="J67" s="118" t="s">
        <v>1795</v>
      </c>
      <c r="K67" s="118" t="s">
        <v>1703</v>
      </c>
      <c r="L67" s="118" t="s">
        <v>1796</v>
      </c>
      <c r="M67" s="118" t="s">
        <v>1797</v>
      </c>
      <c r="N67" s="118" t="s">
        <v>1798</v>
      </c>
      <c r="O67" s="118" t="s">
        <v>1799</v>
      </c>
      <c r="P67" s="118" t="s">
        <v>1800</v>
      </c>
      <c r="Q67" s="118" t="s">
        <v>1801</v>
      </c>
      <c r="R67" s="118" t="s">
        <v>1802</v>
      </c>
      <c r="S67" s="118" t="s">
        <v>1803</v>
      </c>
      <c r="T67" s="118" t="s">
        <v>1804</v>
      </c>
      <c r="U67" s="118" t="s">
        <v>1805</v>
      </c>
      <c r="V67" s="118" t="s">
        <v>1806</v>
      </c>
      <c r="W67" s="118" t="s">
        <v>1807</v>
      </c>
      <c r="X67" s="118" t="s">
        <v>1808</v>
      </c>
      <c r="Y67" s="118" t="s">
        <v>1809</v>
      </c>
      <c r="Z67" s="118" t="s">
        <v>1810</v>
      </c>
      <c r="AA67" s="118" t="s">
        <v>1811</v>
      </c>
      <c r="AB67" s="118" t="s">
        <v>1711</v>
      </c>
    </row>
    <row r="68" spans="2:28" x14ac:dyDescent="0.25">
      <c r="B68" s="19">
        <v>45104</v>
      </c>
      <c r="C68" s="230">
        <v>0.42001157407407408</v>
      </c>
      <c r="D68" s="118">
        <v>0</v>
      </c>
      <c r="E68" s="118">
        <v>467.1</v>
      </c>
      <c r="F68" s="118">
        <v>0.25900000000000001</v>
      </c>
      <c r="G68" s="118">
        <v>485.4</v>
      </c>
      <c r="H68" s="118">
        <v>-347</v>
      </c>
      <c r="I68" s="118">
        <v>-347</v>
      </c>
      <c r="J68" s="118">
        <v>-29.62</v>
      </c>
      <c r="K68" s="118">
        <v>241.6</v>
      </c>
      <c r="L68" s="118">
        <v>0.36699999999999999</v>
      </c>
      <c r="M68" s="118">
        <v>0.23</v>
      </c>
      <c r="N68" s="118">
        <v>483.8</v>
      </c>
      <c r="O68" s="118">
        <v>483778</v>
      </c>
      <c r="P68" s="118">
        <v>7.35</v>
      </c>
      <c r="Q68" s="118">
        <v>0</v>
      </c>
      <c r="R68" s="118">
        <v>7.96</v>
      </c>
      <c r="S68" s="118">
        <v>-99.2</v>
      </c>
      <c r="T68" s="118">
        <v>23.190999999999999</v>
      </c>
      <c r="U68" s="118">
        <v>0.27400000000000002</v>
      </c>
      <c r="V68" s="118">
        <v>40.714109999999998</v>
      </c>
      <c r="W68" s="118">
        <v>-85.937079999999995</v>
      </c>
      <c r="X68" s="118">
        <v>221.1</v>
      </c>
      <c r="Y68" s="118">
        <v>0</v>
      </c>
      <c r="Z68" s="118">
        <v>11.8</v>
      </c>
      <c r="AA68" s="118">
        <v>737.4</v>
      </c>
      <c r="AB68" s="118" t="s">
        <v>1837</v>
      </c>
    </row>
    <row r="69" spans="2:28" x14ac:dyDescent="0.25">
      <c r="B69" s="19">
        <v>45104</v>
      </c>
      <c r="C69" s="230">
        <v>0.43093749999999997</v>
      </c>
      <c r="D69" s="118">
        <v>0</v>
      </c>
      <c r="E69" s="118">
        <v>463</v>
      </c>
      <c r="F69" s="118">
        <v>3.9E-2</v>
      </c>
      <c r="G69" s="118">
        <v>484.7</v>
      </c>
      <c r="H69" s="118">
        <v>-351.9</v>
      </c>
      <c r="I69" s="118">
        <v>-351.9</v>
      </c>
      <c r="J69" s="118">
        <v>-30.23</v>
      </c>
      <c r="K69" s="118">
        <v>185.5</v>
      </c>
      <c r="L69" s="118">
        <v>5.5E-2</v>
      </c>
      <c r="M69" s="118">
        <v>0.23</v>
      </c>
      <c r="N69" s="118">
        <v>482.8</v>
      </c>
      <c r="O69" s="118">
        <v>482752</v>
      </c>
      <c r="P69" s="118">
        <v>16.100000000000001</v>
      </c>
      <c r="Q69" s="118">
        <v>0</v>
      </c>
      <c r="R69" s="118">
        <v>8.0500000000000007</v>
      </c>
      <c r="S69" s="118">
        <v>-104.4</v>
      </c>
      <c r="T69" s="118">
        <v>22.863</v>
      </c>
      <c r="U69" s="118">
        <v>5.2999999999999999E-2</v>
      </c>
      <c r="V69" s="118">
        <v>40.714649999999999</v>
      </c>
      <c r="W69" s="118">
        <v>-85.937790000000007</v>
      </c>
      <c r="X69" s="118">
        <v>221.6</v>
      </c>
      <c r="Y69" s="118">
        <v>0</v>
      </c>
      <c r="Z69" s="118">
        <v>11.8</v>
      </c>
      <c r="AA69" s="118">
        <v>737.2</v>
      </c>
      <c r="AB69" s="118" t="s">
        <v>1838</v>
      </c>
    </row>
    <row r="70" spans="2:28" x14ac:dyDescent="0.25">
      <c r="B70" s="19">
        <v>45104</v>
      </c>
      <c r="C70" s="230">
        <v>0.46438657407407408</v>
      </c>
      <c r="D70" s="118">
        <v>0</v>
      </c>
      <c r="E70" s="118">
        <v>459.3</v>
      </c>
      <c r="F70" s="118">
        <v>0.55000000000000004</v>
      </c>
      <c r="G70" s="118">
        <v>483.8</v>
      </c>
      <c r="H70" s="118">
        <v>-321.39999999999998</v>
      </c>
      <c r="I70" s="118">
        <v>-321.39999999999998</v>
      </c>
      <c r="J70" s="118">
        <v>-27.76</v>
      </c>
      <c r="K70" s="118">
        <v>129.4</v>
      </c>
      <c r="L70" s="118">
        <v>0.78</v>
      </c>
      <c r="M70" s="118">
        <v>0.23</v>
      </c>
      <c r="N70" s="118">
        <v>481.6</v>
      </c>
      <c r="O70" s="118">
        <v>481638</v>
      </c>
      <c r="P70" s="118">
        <v>9.75</v>
      </c>
      <c r="Q70" s="118">
        <v>0</v>
      </c>
      <c r="R70" s="118">
        <v>8.1199999999999992</v>
      </c>
      <c r="S70" s="118">
        <v>-108.3</v>
      </c>
      <c r="T70" s="118">
        <v>22.576000000000001</v>
      </c>
      <c r="U70" s="118">
        <v>0.53200000000000003</v>
      </c>
      <c r="V70" s="118">
        <v>40.70523</v>
      </c>
      <c r="W70" s="118">
        <v>-85.953720000000004</v>
      </c>
      <c r="X70" s="118">
        <v>228.3</v>
      </c>
      <c r="Y70" s="118">
        <v>0</v>
      </c>
      <c r="Z70" s="118">
        <v>11.8</v>
      </c>
      <c r="AA70" s="118">
        <v>737.5</v>
      </c>
      <c r="AB70" s="118" t="s">
        <v>1839</v>
      </c>
    </row>
    <row r="71" spans="2:28" x14ac:dyDescent="0.25">
      <c r="B71" s="19">
        <v>45104</v>
      </c>
      <c r="C71" s="230">
        <v>0.48378472222222224</v>
      </c>
      <c r="D71" s="118">
        <v>0</v>
      </c>
      <c r="E71" s="118">
        <v>458.7</v>
      </c>
      <c r="F71" s="118">
        <v>4.3999999999999997E-2</v>
      </c>
      <c r="G71" s="118">
        <v>480.4</v>
      </c>
      <c r="H71" s="118">
        <v>-348.4</v>
      </c>
      <c r="I71" s="118">
        <v>-348.4</v>
      </c>
      <c r="J71" s="118">
        <v>-29.94</v>
      </c>
      <c r="K71" s="118">
        <v>110.7</v>
      </c>
      <c r="L71" s="118">
        <v>6.3E-2</v>
      </c>
      <c r="M71" s="118">
        <v>0.23</v>
      </c>
      <c r="N71" s="118">
        <v>478.5</v>
      </c>
      <c r="O71" s="118">
        <v>478452</v>
      </c>
      <c r="P71" s="118">
        <v>7.79</v>
      </c>
      <c r="Q71" s="118">
        <v>0</v>
      </c>
      <c r="R71" s="118">
        <v>8.32</v>
      </c>
      <c r="S71" s="118">
        <v>-119.8</v>
      </c>
      <c r="T71" s="118">
        <v>22.837</v>
      </c>
      <c r="U71" s="118">
        <v>4.3999999999999997E-2</v>
      </c>
      <c r="V71" s="118">
        <v>40.703360000000004</v>
      </c>
      <c r="W71" s="118">
        <v>-85.936549999999997</v>
      </c>
      <c r="X71" s="118">
        <v>226.7</v>
      </c>
      <c r="Y71" s="118">
        <v>0</v>
      </c>
      <c r="Z71" s="118">
        <v>11.8</v>
      </c>
      <c r="AA71" s="118">
        <v>737.5</v>
      </c>
      <c r="AB71" s="118" t="s">
        <v>1829</v>
      </c>
    </row>
    <row r="72" spans="2:28" x14ac:dyDescent="0.25">
      <c r="B72" s="19">
        <v>45104</v>
      </c>
      <c r="C72" s="230">
        <v>0.49185185185185187</v>
      </c>
      <c r="D72" s="118">
        <v>0</v>
      </c>
      <c r="E72" s="118">
        <v>457.7</v>
      </c>
      <c r="F72" s="118">
        <v>5.6000000000000001E-2</v>
      </c>
      <c r="G72" s="118">
        <v>480.1</v>
      </c>
      <c r="H72" s="118">
        <v>-377.1</v>
      </c>
      <c r="I72" s="118">
        <v>-377.1</v>
      </c>
      <c r="J72" s="118">
        <v>-32.450000000000003</v>
      </c>
      <c r="K72" s="118">
        <v>115.4</v>
      </c>
      <c r="L72" s="118">
        <v>7.9000000000000001E-2</v>
      </c>
      <c r="M72" s="118">
        <v>0.23</v>
      </c>
      <c r="N72" s="118">
        <v>478.1</v>
      </c>
      <c r="O72" s="118">
        <v>478060</v>
      </c>
      <c r="P72" s="118">
        <v>8.02</v>
      </c>
      <c r="Q72" s="118">
        <v>0</v>
      </c>
      <c r="R72" s="118">
        <v>8.32</v>
      </c>
      <c r="S72" s="118">
        <v>-120.1</v>
      </c>
      <c r="T72" s="118">
        <v>22.766999999999999</v>
      </c>
      <c r="U72" s="118">
        <v>6.7000000000000004E-2</v>
      </c>
      <c r="V72" s="118">
        <v>40.702570000000001</v>
      </c>
      <c r="W72" s="118">
        <v>-85.936120000000003</v>
      </c>
      <c r="X72" s="118">
        <v>224.4</v>
      </c>
      <c r="Y72" s="118">
        <v>0</v>
      </c>
      <c r="Z72" s="118">
        <v>11.8</v>
      </c>
      <c r="AA72" s="118">
        <v>737.7</v>
      </c>
      <c r="AB72" s="118" t="s">
        <v>1840</v>
      </c>
    </row>
    <row r="73" spans="2:28" x14ac:dyDescent="0.25">
      <c r="B73" s="19">
        <v>45104</v>
      </c>
      <c r="C73" s="230">
        <v>0.50215277777777778</v>
      </c>
      <c r="D73" s="118">
        <v>0</v>
      </c>
      <c r="E73" s="118">
        <v>454.6</v>
      </c>
      <c r="F73" s="118">
        <v>4.9000000000000002E-2</v>
      </c>
      <c r="G73" s="118">
        <v>478.5</v>
      </c>
      <c r="H73" s="118">
        <v>-357.4</v>
      </c>
      <c r="I73" s="118">
        <v>-357.4</v>
      </c>
      <c r="J73" s="118">
        <v>-30.85</v>
      </c>
      <c r="K73" s="118">
        <v>113.5</v>
      </c>
      <c r="L73" s="118">
        <v>7.0000000000000007E-2</v>
      </c>
      <c r="M73" s="118">
        <v>0.23</v>
      </c>
      <c r="N73" s="118">
        <v>476.3</v>
      </c>
      <c r="O73" s="118">
        <v>476322</v>
      </c>
      <c r="P73" s="118">
        <v>10.28</v>
      </c>
      <c r="Q73" s="118">
        <v>0</v>
      </c>
      <c r="R73" s="118">
        <v>8.3699999999999992</v>
      </c>
      <c r="S73" s="118">
        <v>-123.1</v>
      </c>
      <c r="T73" s="118">
        <v>22.611999999999998</v>
      </c>
      <c r="U73" s="118">
        <v>0.05</v>
      </c>
      <c r="V73" s="118">
        <v>40.700699999999998</v>
      </c>
      <c r="W73" s="118">
        <v>-85.93526</v>
      </c>
      <c r="X73" s="118">
        <v>225</v>
      </c>
      <c r="Y73" s="118">
        <v>0</v>
      </c>
      <c r="Z73" s="118">
        <v>11.8</v>
      </c>
      <c r="AA73" s="118">
        <v>737.8</v>
      </c>
      <c r="AB73" s="118" t="s">
        <v>1841</v>
      </c>
    </row>
    <row r="74" spans="2:28" x14ac:dyDescent="0.25">
      <c r="B74" s="19">
        <v>45104</v>
      </c>
      <c r="C74" s="230">
        <v>0.56741898148148151</v>
      </c>
      <c r="D74" s="118">
        <v>0</v>
      </c>
      <c r="E74" s="118">
        <v>478.9</v>
      </c>
      <c r="F74" s="118">
        <v>0.502</v>
      </c>
      <c r="G74" s="118">
        <v>492.4</v>
      </c>
      <c r="H74" s="118">
        <v>-328.6</v>
      </c>
      <c r="I74" s="118">
        <v>-328.6</v>
      </c>
      <c r="J74" s="118">
        <v>-27.79</v>
      </c>
      <c r="K74" s="118">
        <v>122.8</v>
      </c>
      <c r="L74" s="118">
        <v>0.71199999999999997</v>
      </c>
      <c r="M74" s="118">
        <v>0.24</v>
      </c>
      <c r="N74" s="118">
        <v>491.2</v>
      </c>
      <c r="O74" s="118">
        <v>491201</v>
      </c>
      <c r="P74" s="118">
        <v>9.11</v>
      </c>
      <c r="Q74" s="118">
        <v>0</v>
      </c>
      <c r="R74" s="118">
        <v>8.27</v>
      </c>
      <c r="S74" s="118">
        <v>-117.2</v>
      </c>
      <c r="T74" s="118">
        <v>23.692</v>
      </c>
      <c r="U74" s="118">
        <v>0.501</v>
      </c>
      <c r="V74" s="118">
        <v>40.680399999999999</v>
      </c>
      <c r="W74" s="118">
        <v>-85.895430000000005</v>
      </c>
      <c r="X74" s="118">
        <v>219.7</v>
      </c>
      <c r="Y74" s="118">
        <v>0</v>
      </c>
      <c r="Z74" s="118">
        <v>11.8</v>
      </c>
      <c r="AA74" s="118">
        <v>737.9</v>
      </c>
      <c r="AB74" s="118" t="s">
        <v>1827</v>
      </c>
    </row>
    <row r="75" spans="2:28" x14ac:dyDescent="0.25">
      <c r="B75" s="19">
        <v>45104</v>
      </c>
      <c r="C75" s="230">
        <v>0.59172453703703709</v>
      </c>
      <c r="D75" s="118">
        <v>0</v>
      </c>
      <c r="E75" s="118">
        <v>567.4</v>
      </c>
      <c r="F75" s="118">
        <v>0.05</v>
      </c>
      <c r="G75" s="118">
        <v>580.4</v>
      </c>
      <c r="H75" s="118">
        <v>-414.7</v>
      </c>
      <c r="I75" s="118">
        <v>-414.7</v>
      </c>
      <c r="J75" s="118">
        <v>-34.9</v>
      </c>
      <c r="K75" s="118">
        <v>100.8</v>
      </c>
      <c r="L75" s="118">
        <v>7.0999999999999994E-2</v>
      </c>
      <c r="M75" s="118">
        <v>0.28000000000000003</v>
      </c>
      <c r="N75" s="118">
        <v>579.20000000000005</v>
      </c>
      <c r="O75" s="118">
        <v>579242</v>
      </c>
      <c r="P75" s="118">
        <v>10.16</v>
      </c>
      <c r="Q75" s="118">
        <v>0</v>
      </c>
      <c r="R75" s="118">
        <v>8.16</v>
      </c>
      <c r="S75" s="118">
        <v>-111.2</v>
      </c>
      <c r="T75" s="118">
        <v>23.933</v>
      </c>
      <c r="U75" s="118">
        <v>4.1000000000000002E-2</v>
      </c>
      <c r="V75" s="118">
        <v>40.66854</v>
      </c>
      <c r="W75" s="118">
        <v>-85.848699999999994</v>
      </c>
      <c r="X75" s="118">
        <v>221.6</v>
      </c>
      <c r="Y75" s="118">
        <v>0</v>
      </c>
      <c r="Z75" s="118">
        <v>11.8</v>
      </c>
      <c r="AA75" s="118">
        <v>738</v>
      </c>
      <c r="AB75" s="118" t="s">
        <v>1828</v>
      </c>
    </row>
    <row r="76" spans="2:28" x14ac:dyDescent="0.25">
      <c r="B76" s="118" t="s">
        <v>1788</v>
      </c>
      <c r="C76" s="118" t="s">
        <v>1789</v>
      </c>
      <c r="D76" s="118" t="s">
        <v>1790</v>
      </c>
      <c r="E76" s="118" t="s">
        <v>1791</v>
      </c>
      <c r="F76" s="118" t="s">
        <v>1792</v>
      </c>
      <c r="G76" s="118" t="s">
        <v>1793</v>
      </c>
      <c r="H76" s="118" t="s">
        <v>1794</v>
      </c>
      <c r="I76" s="118" t="s">
        <v>1699</v>
      </c>
      <c r="J76" s="118" t="s">
        <v>1795</v>
      </c>
      <c r="K76" s="118" t="s">
        <v>1703</v>
      </c>
      <c r="L76" s="118" t="s">
        <v>1796</v>
      </c>
      <c r="M76" s="118" t="s">
        <v>1797</v>
      </c>
      <c r="N76" s="118" t="s">
        <v>1798</v>
      </c>
      <c r="O76" s="118" t="s">
        <v>1799</v>
      </c>
      <c r="P76" s="118" t="s">
        <v>1800</v>
      </c>
      <c r="Q76" s="118" t="s">
        <v>1801</v>
      </c>
      <c r="R76" s="118" t="s">
        <v>1802</v>
      </c>
      <c r="S76" s="118" t="s">
        <v>1803</v>
      </c>
      <c r="T76" s="118" t="s">
        <v>1804</v>
      </c>
      <c r="U76" s="118" t="s">
        <v>1805</v>
      </c>
      <c r="V76" s="118" t="s">
        <v>1806</v>
      </c>
      <c r="W76" s="118" t="s">
        <v>1807</v>
      </c>
      <c r="X76" s="118" t="s">
        <v>1808</v>
      </c>
      <c r="Y76" s="118" t="s">
        <v>1809</v>
      </c>
      <c r="Z76" s="118" t="s">
        <v>1810</v>
      </c>
      <c r="AA76" s="118" t="s">
        <v>1811</v>
      </c>
      <c r="AB76" s="118" t="s">
        <v>1711</v>
      </c>
    </row>
    <row r="77" spans="2:28" x14ac:dyDescent="0.25">
      <c r="B77" s="19">
        <v>45118</v>
      </c>
      <c r="C77" s="230">
        <v>0.49456018518518519</v>
      </c>
      <c r="D77" s="118">
        <v>0</v>
      </c>
      <c r="E77" s="118">
        <v>533.20000000000005</v>
      </c>
      <c r="F77" s="118">
        <v>0.10199999999999999</v>
      </c>
      <c r="G77" s="118">
        <v>506</v>
      </c>
      <c r="H77" s="118">
        <v>-355.5</v>
      </c>
      <c r="I77" s="118">
        <v>-355.5</v>
      </c>
      <c r="J77" s="118">
        <v>-28.03</v>
      </c>
      <c r="K77" s="118">
        <v>123.2</v>
      </c>
      <c r="L77" s="118">
        <v>0.14499999999999999</v>
      </c>
      <c r="M77" s="118">
        <v>0.24</v>
      </c>
      <c r="N77" s="118">
        <v>508.7</v>
      </c>
      <c r="O77" s="118">
        <v>508673</v>
      </c>
      <c r="P77" s="118">
        <v>15.4</v>
      </c>
      <c r="Q77" s="118">
        <v>0</v>
      </c>
      <c r="R77" s="118">
        <v>8.42</v>
      </c>
      <c r="S77" s="118">
        <v>-126.6</v>
      </c>
      <c r="T77" s="118">
        <v>27.521000000000001</v>
      </c>
      <c r="U77" s="118">
        <v>9.0999999999999998E-2</v>
      </c>
      <c r="V77" s="118">
        <v>40.680709999999998</v>
      </c>
      <c r="W77" s="118">
        <v>-85.888919999999999</v>
      </c>
      <c r="X77" s="118">
        <v>243.7</v>
      </c>
      <c r="Y77" s="118">
        <v>0</v>
      </c>
      <c r="Z77" s="118">
        <v>11.8</v>
      </c>
      <c r="AA77" s="118">
        <v>739.8</v>
      </c>
      <c r="AB77" s="118" t="s">
        <v>1717</v>
      </c>
    </row>
    <row r="78" spans="2:28" x14ac:dyDescent="0.25">
      <c r="B78" s="19">
        <v>45118</v>
      </c>
      <c r="C78" s="230">
        <v>0.51418981481481485</v>
      </c>
      <c r="D78" s="118">
        <v>0</v>
      </c>
      <c r="E78" s="118">
        <v>539.4</v>
      </c>
      <c r="F78" s="118">
        <v>0.159</v>
      </c>
      <c r="G78" s="118">
        <v>516.4</v>
      </c>
      <c r="H78" s="118">
        <v>-393.7</v>
      </c>
      <c r="I78" s="118">
        <v>-393.7</v>
      </c>
      <c r="J78" s="118">
        <v>-31.27</v>
      </c>
      <c r="K78" s="118">
        <v>74.900000000000006</v>
      </c>
      <c r="L78" s="118">
        <v>0.22600000000000001</v>
      </c>
      <c r="M78" s="118">
        <v>0.25</v>
      </c>
      <c r="N78" s="118">
        <v>518.6</v>
      </c>
      <c r="O78" s="118">
        <v>518587</v>
      </c>
      <c r="P78" s="118">
        <v>5.89</v>
      </c>
      <c r="Q78" s="118">
        <v>0</v>
      </c>
      <c r="R78" s="118">
        <v>8.4700000000000006</v>
      </c>
      <c r="S78" s="118">
        <v>-129.5</v>
      </c>
      <c r="T78" s="118">
        <v>27.102</v>
      </c>
      <c r="U78" s="118">
        <v>0.152</v>
      </c>
      <c r="V78" s="118">
        <v>40.678040000000003</v>
      </c>
      <c r="W78" s="118">
        <v>-85.875950000000003</v>
      </c>
      <c r="X78" s="118">
        <v>223.4</v>
      </c>
      <c r="Y78" s="118">
        <v>0</v>
      </c>
      <c r="Z78" s="118">
        <v>11.8</v>
      </c>
      <c r="AA78" s="118">
        <v>739.8</v>
      </c>
      <c r="AB78" s="118" t="s">
        <v>1716</v>
      </c>
    </row>
    <row r="79" spans="2:28" x14ac:dyDescent="0.25">
      <c r="B79" s="19">
        <v>45118</v>
      </c>
      <c r="C79" s="230">
        <v>0.53188657407407403</v>
      </c>
      <c r="D79" s="118">
        <v>0</v>
      </c>
      <c r="E79" s="118">
        <v>552.20000000000005</v>
      </c>
      <c r="F79" s="118">
        <v>0.23</v>
      </c>
      <c r="G79" s="118">
        <v>529.9</v>
      </c>
      <c r="H79" s="118">
        <v>-328.4</v>
      </c>
      <c r="I79" s="118">
        <v>-328.4</v>
      </c>
      <c r="J79" s="118">
        <v>-26.14</v>
      </c>
      <c r="K79" s="118">
        <v>84.5</v>
      </c>
      <c r="L79" s="118">
        <v>0.32500000000000001</v>
      </c>
      <c r="M79" s="118">
        <v>0.26</v>
      </c>
      <c r="N79" s="118">
        <v>532</v>
      </c>
      <c r="O79" s="118">
        <v>532037</v>
      </c>
      <c r="P79" s="118">
        <v>4.6900000000000004</v>
      </c>
      <c r="Q79" s="118">
        <v>0</v>
      </c>
      <c r="R79" s="118">
        <v>8.4499999999999993</v>
      </c>
      <c r="S79" s="118">
        <v>-128.19999999999999</v>
      </c>
      <c r="T79" s="118">
        <v>26.986000000000001</v>
      </c>
      <c r="U79" s="118">
        <v>0.247</v>
      </c>
      <c r="V79" s="118">
        <v>40.671460000000003</v>
      </c>
      <c r="W79" s="118">
        <v>-85.868229999999997</v>
      </c>
      <c r="X79" s="118">
        <v>226.3</v>
      </c>
      <c r="Y79" s="118">
        <v>0</v>
      </c>
      <c r="Z79" s="118">
        <v>11.8</v>
      </c>
      <c r="AA79" s="118">
        <v>739.9</v>
      </c>
      <c r="AB79" s="118" t="s">
        <v>1715</v>
      </c>
    </row>
    <row r="80" spans="2:28" x14ac:dyDescent="0.25">
      <c r="B80" s="19">
        <v>45118</v>
      </c>
      <c r="C80" s="230">
        <v>0.55891203703703707</v>
      </c>
      <c r="D80" s="118">
        <v>0</v>
      </c>
      <c r="E80" s="118">
        <v>575.1</v>
      </c>
      <c r="F80" s="118">
        <v>0.19500000000000001</v>
      </c>
      <c r="G80" s="118">
        <v>547.79999999999995</v>
      </c>
      <c r="H80" s="118">
        <v>-357.7</v>
      </c>
      <c r="I80" s="118">
        <v>-357.7</v>
      </c>
      <c r="J80" s="118">
        <v>-28.29</v>
      </c>
      <c r="K80" s="118">
        <v>108.9</v>
      </c>
      <c r="L80" s="118">
        <v>0.27700000000000002</v>
      </c>
      <c r="M80" s="118">
        <v>0.26</v>
      </c>
      <c r="N80" s="118">
        <v>550.5</v>
      </c>
      <c r="O80" s="118">
        <v>550480</v>
      </c>
      <c r="P80" s="118">
        <v>3.66</v>
      </c>
      <c r="Q80" s="118">
        <v>0</v>
      </c>
      <c r="R80" s="118">
        <v>8.44</v>
      </c>
      <c r="S80" s="118">
        <v>-127.6</v>
      </c>
      <c r="T80" s="118">
        <v>27.341000000000001</v>
      </c>
      <c r="U80" s="118">
        <v>0.20499999999999999</v>
      </c>
      <c r="V80" s="118">
        <v>40.663469999999997</v>
      </c>
      <c r="W80" s="118">
        <v>-85.864739999999998</v>
      </c>
      <c r="X80" s="118">
        <v>225</v>
      </c>
      <c r="Y80" s="118">
        <v>0</v>
      </c>
      <c r="Z80" s="118">
        <v>11.8</v>
      </c>
      <c r="AA80" s="118">
        <v>739.9</v>
      </c>
      <c r="AB80" s="118" t="s">
        <v>1714</v>
      </c>
    </row>
    <row r="81" spans="2:28" x14ac:dyDescent="0.25">
      <c r="B81" s="19">
        <v>45118</v>
      </c>
      <c r="C81" s="230">
        <v>0.5763773148148148</v>
      </c>
      <c r="D81" s="118">
        <v>0</v>
      </c>
      <c r="E81" s="118">
        <v>578.20000000000005</v>
      </c>
      <c r="F81" s="118">
        <v>0.19600000000000001</v>
      </c>
      <c r="G81" s="118">
        <v>555</v>
      </c>
      <c r="H81" s="118">
        <v>-334.4</v>
      </c>
      <c r="I81" s="118">
        <v>-334.4</v>
      </c>
      <c r="J81" s="118">
        <v>-26.62</v>
      </c>
      <c r="K81" s="118">
        <v>104.2</v>
      </c>
      <c r="L81" s="118">
        <v>0.27800000000000002</v>
      </c>
      <c r="M81" s="118">
        <v>0.27</v>
      </c>
      <c r="N81" s="118">
        <v>557.20000000000005</v>
      </c>
      <c r="O81" s="118">
        <v>557215</v>
      </c>
      <c r="P81" s="118">
        <v>6.32</v>
      </c>
      <c r="Q81" s="118">
        <v>0</v>
      </c>
      <c r="R81" s="118">
        <v>8.32</v>
      </c>
      <c r="S81" s="118">
        <v>-120.7</v>
      </c>
      <c r="T81" s="118">
        <v>26.975000000000001</v>
      </c>
      <c r="U81" s="118">
        <v>0.20100000000000001</v>
      </c>
      <c r="V81" s="118">
        <v>40.66883</v>
      </c>
      <c r="W81" s="118">
        <v>-85.846440000000001</v>
      </c>
      <c r="X81" s="118">
        <v>222.1</v>
      </c>
      <c r="Y81" s="118">
        <v>0</v>
      </c>
      <c r="Z81" s="118">
        <v>11.8</v>
      </c>
      <c r="AA81" s="118">
        <v>739.9</v>
      </c>
      <c r="AB81" s="118" t="s">
        <v>1713</v>
      </c>
    </row>
    <row r="82" spans="2:28" x14ac:dyDescent="0.25">
      <c r="B82" s="19">
        <v>45118</v>
      </c>
      <c r="C82" s="230">
        <v>0.58862268518518523</v>
      </c>
      <c r="D82" s="118">
        <v>0</v>
      </c>
      <c r="E82" s="118">
        <v>585.5</v>
      </c>
      <c r="F82" s="118">
        <v>0.34499999999999997</v>
      </c>
      <c r="G82" s="118">
        <v>558.1</v>
      </c>
      <c r="H82" s="118">
        <v>-289.60000000000002</v>
      </c>
      <c r="I82" s="118">
        <v>-289.60000000000002</v>
      </c>
      <c r="J82" s="118">
        <v>-22.91</v>
      </c>
      <c r="K82" s="118">
        <v>115.8</v>
      </c>
      <c r="L82" s="118">
        <v>0.48899999999999999</v>
      </c>
      <c r="M82" s="118">
        <v>0.27</v>
      </c>
      <c r="N82" s="118">
        <v>560.79999999999995</v>
      </c>
      <c r="O82" s="118">
        <v>560751</v>
      </c>
      <c r="P82" s="118">
        <v>7.75</v>
      </c>
      <c r="Q82" s="118">
        <v>0</v>
      </c>
      <c r="R82" s="118">
        <v>8.2899999999999991</v>
      </c>
      <c r="S82" s="118">
        <v>-118.8</v>
      </c>
      <c r="T82" s="118">
        <v>27.31</v>
      </c>
      <c r="U82" s="118">
        <v>0.34699999999999998</v>
      </c>
      <c r="V82" s="118">
        <v>40.674329999999998</v>
      </c>
      <c r="W82" s="118">
        <v>-85.830830000000006</v>
      </c>
      <c r="X82" s="118">
        <v>223.7</v>
      </c>
      <c r="Y82" s="118">
        <v>0</v>
      </c>
      <c r="Z82" s="118">
        <v>11.8</v>
      </c>
      <c r="AA82" s="118">
        <v>739.6</v>
      </c>
      <c r="AB82" s="118" t="s">
        <v>1712</v>
      </c>
    </row>
    <row r="83" spans="2:28" x14ac:dyDescent="0.25">
      <c r="B83" s="19">
        <v>45118</v>
      </c>
      <c r="C83" s="230">
        <v>0.62442129629629628</v>
      </c>
      <c r="D83" s="118">
        <v>0</v>
      </c>
      <c r="E83" s="118">
        <v>532</v>
      </c>
      <c r="F83" s="118">
        <v>0.39</v>
      </c>
      <c r="G83" s="118">
        <v>508.7</v>
      </c>
      <c r="H83" s="118">
        <v>-233.2</v>
      </c>
      <c r="I83" s="118">
        <v>-233.2</v>
      </c>
      <c r="J83" s="118">
        <v>-18.510000000000002</v>
      </c>
      <c r="K83" s="118">
        <v>100.9</v>
      </c>
      <c r="L83" s="118">
        <v>0.55300000000000005</v>
      </c>
      <c r="M83" s="118">
        <v>0.24</v>
      </c>
      <c r="N83" s="118">
        <v>510.9</v>
      </c>
      <c r="O83" s="118">
        <v>510928</v>
      </c>
      <c r="P83" s="118">
        <v>8.02</v>
      </c>
      <c r="Q83" s="118">
        <v>0</v>
      </c>
      <c r="R83" s="118">
        <v>8.52</v>
      </c>
      <c r="S83" s="118">
        <v>-132.30000000000001</v>
      </c>
      <c r="T83" s="118">
        <v>27.158000000000001</v>
      </c>
      <c r="U83" s="118">
        <v>0.378</v>
      </c>
      <c r="V83" s="118">
        <v>40.689160000000001</v>
      </c>
      <c r="W83" s="118">
        <v>-85.897800000000004</v>
      </c>
      <c r="X83" s="118">
        <v>225.8</v>
      </c>
      <c r="Y83" s="118">
        <v>0</v>
      </c>
      <c r="Z83" s="118">
        <v>11.8</v>
      </c>
      <c r="AA83" s="118">
        <v>739.6</v>
      </c>
      <c r="AB83" s="118" t="s">
        <v>1724</v>
      </c>
    </row>
    <row r="84" spans="2:28" x14ac:dyDescent="0.25">
      <c r="B84" s="19">
        <v>45118</v>
      </c>
      <c r="C84" s="230">
        <v>0.64949074074074076</v>
      </c>
      <c r="D84" s="118">
        <v>0</v>
      </c>
      <c r="E84" s="118">
        <v>526.20000000000005</v>
      </c>
      <c r="F84" s="118">
        <v>0.442</v>
      </c>
      <c r="G84" s="118">
        <v>496.8</v>
      </c>
      <c r="H84" s="118">
        <v>-454.1</v>
      </c>
      <c r="I84" s="118">
        <v>-454.1</v>
      </c>
      <c r="J84" s="118">
        <v>-35.65</v>
      </c>
      <c r="K84" s="118">
        <v>112.7</v>
      </c>
      <c r="L84" s="118">
        <v>0.626</v>
      </c>
      <c r="M84" s="118">
        <v>0.24</v>
      </c>
      <c r="N84" s="118">
        <v>499.7</v>
      </c>
      <c r="O84" s="118">
        <v>499695</v>
      </c>
      <c r="P84" s="118">
        <v>8.5</v>
      </c>
      <c r="Q84" s="118">
        <v>0</v>
      </c>
      <c r="R84" s="118">
        <v>8.58</v>
      </c>
      <c r="S84" s="118">
        <v>-136.19999999999999</v>
      </c>
      <c r="T84" s="118">
        <v>27.774000000000001</v>
      </c>
      <c r="U84" s="118">
        <v>0.44700000000000001</v>
      </c>
      <c r="V84" s="118">
        <v>40.693759999999997</v>
      </c>
      <c r="W84" s="118">
        <v>-85.906019999999998</v>
      </c>
      <c r="X84" s="118">
        <v>226.9</v>
      </c>
      <c r="Y84" s="118">
        <v>0</v>
      </c>
      <c r="Z84" s="118">
        <v>11.8</v>
      </c>
      <c r="AA84" s="118">
        <v>739.8</v>
      </c>
      <c r="AB84" s="118" t="s">
        <v>1722</v>
      </c>
    </row>
    <row r="85" spans="2:28" x14ac:dyDescent="0.25">
      <c r="B85" s="19">
        <v>45118</v>
      </c>
      <c r="C85" s="230">
        <v>0.66336805555555556</v>
      </c>
      <c r="D85" s="118">
        <v>0</v>
      </c>
      <c r="E85" s="118">
        <v>523.9</v>
      </c>
      <c r="F85" s="118">
        <v>0.35899999999999999</v>
      </c>
      <c r="G85" s="118">
        <v>505.8</v>
      </c>
      <c r="H85" s="118">
        <v>-382.6</v>
      </c>
      <c r="I85" s="118">
        <v>-382.6</v>
      </c>
      <c r="J85" s="118">
        <v>-30.62</v>
      </c>
      <c r="K85" s="118">
        <v>130.5</v>
      </c>
      <c r="L85" s="118">
        <v>0.50900000000000001</v>
      </c>
      <c r="M85" s="118">
        <v>0.24</v>
      </c>
      <c r="N85" s="118">
        <v>507.6</v>
      </c>
      <c r="O85" s="118">
        <v>507553</v>
      </c>
      <c r="P85" s="118">
        <v>6.88</v>
      </c>
      <c r="Q85" s="118">
        <v>0</v>
      </c>
      <c r="R85" s="118">
        <v>8.4</v>
      </c>
      <c r="S85" s="118">
        <v>-125.1</v>
      </c>
      <c r="T85" s="118">
        <v>26.686</v>
      </c>
      <c r="U85" s="118">
        <v>0.34699999999999998</v>
      </c>
      <c r="V85" s="118">
        <v>40.703440000000001</v>
      </c>
      <c r="W85" s="118">
        <v>-85.929519999999997</v>
      </c>
      <c r="X85" s="118">
        <v>224.7</v>
      </c>
      <c r="Y85" s="118">
        <v>0</v>
      </c>
      <c r="Z85" s="118">
        <v>11.8</v>
      </c>
      <c r="AA85" s="118">
        <v>739.4</v>
      </c>
      <c r="AB85" s="118" t="s">
        <v>1718</v>
      </c>
    </row>
    <row r="86" spans="2:28" x14ac:dyDescent="0.25">
      <c r="B86" s="19">
        <v>45118</v>
      </c>
      <c r="C86" s="230">
        <v>0.6887847222222222</v>
      </c>
      <c r="D86" s="118">
        <v>0</v>
      </c>
      <c r="E86" s="118">
        <v>527.70000000000005</v>
      </c>
      <c r="F86" s="118">
        <v>0.219</v>
      </c>
      <c r="G86" s="118">
        <v>501.2</v>
      </c>
      <c r="H86" s="118">
        <v>-281.39999999999998</v>
      </c>
      <c r="I86" s="118">
        <v>-281.39999999999998</v>
      </c>
      <c r="J86" s="118">
        <v>-22.2</v>
      </c>
      <c r="K86" s="118">
        <v>121</v>
      </c>
      <c r="L86" s="118">
        <v>0.31</v>
      </c>
      <c r="M86" s="118">
        <v>0.24</v>
      </c>
      <c r="N86" s="118">
        <v>503.8</v>
      </c>
      <c r="O86" s="118">
        <v>503777</v>
      </c>
      <c r="P86" s="118">
        <v>8.57</v>
      </c>
      <c r="Q86" s="118">
        <v>0</v>
      </c>
      <c r="R86" s="118">
        <v>8.51</v>
      </c>
      <c r="S86" s="118">
        <v>-131.9</v>
      </c>
      <c r="T86" s="118">
        <v>27.484000000000002</v>
      </c>
      <c r="U86" s="118">
        <v>0.23</v>
      </c>
      <c r="V86" s="118">
        <v>40.694020000000002</v>
      </c>
      <c r="W86" s="118">
        <v>-85.918790000000001</v>
      </c>
      <c r="X86" s="118">
        <v>226.2</v>
      </c>
      <c r="Y86" s="118">
        <v>0</v>
      </c>
      <c r="Z86" s="118">
        <v>11.8</v>
      </c>
      <c r="AA86" s="118">
        <v>739.3</v>
      </c>
      <c r="AB86" s="118" t="s">
        <v>1725</v>
      </c>
    </row>
    <row r="87" spans="2:28" x14ac:dyDescent="0.25">
      <c r="B87" s="118" t="s">
        <v>1788</v>
      </c>
      <c r="C87" s="118" t="s">
        <v>1789</v>
      </c>
      <c r="D87" s="118" t="s">
        <v>1790</v>
      </c>
      <c r="E87" s="118" t="s">
        <v>1791</v>
      </c>
      <c r="F87" s="118" t="s">
        <v>1792</v>
      </c>
      <c r="G87" s="118" t="s">
        <v>1793</v>
      </c>
      <c r="H87" s="118" t="s">
        <v>1703</v>
      </c>
      <c r="I87" s="118" t="s">
        <v>1796</v>
      </c>
      <c r="J87" s="118" t="s">
        <v>1797</v>
      </c>
      <c r="K87" s="118" t="s">
        <v>1798</v>
      </c>
      <c r="L87" s="118" t="s">
        <v>1799</v>
      </c>
      <c r="M87" s="118" t="s">
        <v>1800</v>
      </c>
      <c r="N87" s="118" t="s">
        <v>1801</v>
      </c>
      <c r="O87" s="118" t="s">
        <v>1802</v>
      </c>
      <c r="P87" s="118" t="s">
        <v>1803</v>
      </c>
      <c r="Q87" s="118" t="s">
        <v>1804</v>
      </c>
      <c r="R87" s="118" t="s">
        <v>1805</v>
      </c>
      <c r="S87" s="118" t="s">
        <v>1806</v>
      </c>
      <c r="T87" s="118" t="s">
        <v>1807</v>
      </c>
      <c r="U87" s="118" t="s">
        <v>1808</v>
      </c>
      <c r="V87" s="118" t="s">
        <v>1809</v>
      </c>
      <c r="W87" s="118" t="s">
        <v>1810</v>
      </c>
      <c r="X87" s="118" t="s">
        <v>1811</v>
      </c>
      <c r="Y87" s="118" t="s">
        <v>1711</v>
      </c>
    </row>
    <row r="88" spans="2:28" x14ac:dyDescent="0.25">
      <c r="B88" s="19">
        <v>45134</v>
      </c>
      <c r="C88" s="230">
        <v>0.4427314814814815</v>
      </c>
      <c r="D88" s="118">
        <v>0</v>
      </c>
      <c r="E88" s="118">
        <v>600.20000000000005</v>
      </c>
      <c r="F88" s="118">
        <v>0.33700000000000002</v>
      </c>
      <c r="G88" s="118">
        <v>571.70000000000005</v>
      </c>
      <c r="H88" s="118">
        <v>81.400000000000006</v>
      </c>
      <c r="I88" s="118">
        <v>0.47699999999999998</v>
      </c>
      <c r="J88" s="118">
        <v>0.28000000000000003</v>
      </c>
      <c r="K88" s="118">
        <v>574.5</v>
      </c>
      <c r="L88" s="118">
        <v>574487</v>
      </c>
      <c r="M88" s="118">
        <v>3.17</v>
      </c>
      <c r="N88" s="118">
        <v>-33</v>
      </c>
      <c r="O88" s="118">
        <v>8.0500000000000007</v>
      </c>
      <c r="P88" s="118">
        <v>-110.4</v>
      </c>
      <c r="Q88" s="118">
        <v>27.344000000000001</v>
      </c>
      <c r="R88" s="118">
        <v>0.32700000000000001</v>
      </c>
      <c r="S88" s="118">
        <v>40.681690000000003</v>
      </c>
      <c r="T88" s="118">
        <v>-85.888779999999997</v>
      </c>
      <c r="U88" s="118">
        <v>230.2</v>
      </c>
      <c r="V88" s="118">
        <v>0</v>
      </c>
      <c r="W88" s="118">
        <v>11.7</v>
      </c>
      <c r="X88" s="118">
        <v>740.4</v>
      </c>
      <c r="Y88" s="118" t="s">
        <v>1717</v>
      </c>
    </row>
    <row r="89" spans="2:28" x14ac:dyDescent="0.25">
      <c r="B89" s="19">
        <v>45134</v>
      </c>
      <c r="C89" s="230">
        <v>0.46538194444444442</v>
      </c>
      <c r="D89" s="118">
        <v>0</v>
      </c>
      <c r="E89" s="118">
        <v>607.9</v>
      </c>
      <c r="F89" s="118">
        <v>0.36099999999999999</v>
      </c>
      <c r="G89" s="118">
        <v>571.1</v>
      </c>
      <c r="H89" s="118">
        <v>77.8</v>
      </c>
      <c r="I89" s="118">
        <v>0.51100000000000001</v>
      </c>
      <c r="J89" s="118">
        <v>0.28000000000000003</v>
      </c>
      <c r="K89" s="118">
        <v>574.70000000000005</v>
      </c>
      <c r="L89" s="118">
        <v>574667</v>
      </c>
      <c r="M89" s="118">
        <v>3.4</v>
      </c>
      <c r="N89" s="118">
        <v>-33</v>
      </c>
      <c r="O89" s="118">
        <v>8.18</v>
      </c>
      <c r="P89" s="118">
        <v>-118.5</v>
      </c>
      <c r="Q89" s="118">
        <v>28.027000000000001</v>
      </c>
      <c r="R89" s="118">
        <v>0.35799999999999998</v>
      </c>
      <c r="S89" s="118">
        <v>40.676909999999999</v>
      </c>
      <c r="T89" s="118">
        <v>-85.876400000000004</v>
      </c>
      <c r="U89" s="118">
        <v>222.6</v>
      </c>
      <c r="V89" s="118">
        <v>0</v>
      </c>
      <c r="W89" s="118">
        <v>11.7</v>
      </c>
      <c r="X89" s="118">
        <v>740.8</v>
      </c>
      <c r="Y89" s="118" t="s">
        <v>1716</v>
      </c>
    </row>
    <row r="90" spans="2:28" x14ac:dyDescent="0.25">
      <c r="B90" s="19">
        <v>45134</v>
      </c>
      <c r="C90" s="230">
        <v>0.47885416666666669</v>
      </c>
      <c r="D90" s="118">
        <v>0</v>
      </c>
      <c r="E90" s="118">
        <v>609.1</v>
      </c>
      <c r="F90" s="118">
        <v>0.9</v>
      </c>
      <c r="G90" s="118">
        <v>583.29999999999995</v>
      </c>
      <c r="H90" s="118">
        <v>66.8</v>
      </c>
      <c r="I90" s="118">
        <v>1.2749999999999999</v>
      </c>
      <c r="J90" s="118">
        <v>0.28000000000000003</v>
      </c>
      <c r="K90" s="118">
        <v>585.79999999999995</v>
      </c>
      <c r="L90" s="118">
        <v>585820</v>
      </c>
      <c r="M90" s="118">
        <v>4.5999999999999996</v>
      </c>
      <c r="N90" s="118">
        <v>-31</v>
      </c>
      <c r="O90" s="118">
        <v>8.1999999999999993</v>
      </c>
      <c r="P90" s="118">
        <v>-119.2</v>
      </c>
      <c r="Q90" s="118">
        <v>27.077999999999999</v>
      </c>
      <c r="R90" s="118">
        <v>0.89</v>
      </c>
      <c r="S90" s="118">
        <v>40.670729999999999</v>
      </c>
      <c r="T90" s="118">
        <v>-85.869500000000002</v>
      </c>
      <c r="U90" s="118">
        <v>215.4</v>
      </c>
      <c r="V90" s="118">
        <v>0</v>
      </c>
      <c r="W90" s="118">
        <v>11.7</v>
      </c>
      <c r="X90" s="118">
        <v>740.8</v>
      </c>
      <c r="Y90" s="118" t="s">
        <v>1715</v>
      </c>
    </row>
    <row r="91" spans="2:28" x14ac:dyDescent="0.25">
      <c r="B91" s="19">
        <v>45134</v>
      </c>
      <c r="C91" s="230">
        <v>0.49039351851851853</v>
      </c>
      <c r="D91" s="118">
        <v>0</v>
      </c>
      <c r="E91" s="118">
        <v>625.9</v>
      </c>
      <c r="F91" s="118">
        <v>0.29599999999999999</v>
      </c>
      <c r="G91" s="118">
        <v>592.70000000000005</v>
      </c>
      <c r="H91" s="118">
        <v>89.6</v>
      </c>
      <c r="I91" s="118">
        <v>0.42</v>
      </c>
      <c r="J91" s="118">
        <v>0.28999999999999998</v>
      </c>
      <c r="K91" s="118">
        <v>595.9</v>
      </c>
      <c r="L91" s="118">
        <v>595911</v>
      </c>
      <c r="M91" s="118">
        <v>4.34</v>
      </c>
      <c r="N91" s="118">
        <v>-31</v>
      </c>
      <c r="O91" s="118">
        <v>8.16</v>
      </c>
      <c r="P91" s="118">
        <v>-116.9</v>
      </c>
      <c r="Q91" s="118">
        <v>27.638999999999999</v>
      </c>
      <c r="R91" s="118">
        <v>0.28799999999999998</v>
      </c>
      <c r="S91" s="118">
        <v>40.663069999999998</v>
      </c>
      <c r="T91" s="118">
        <v>-85.865989999999996</v>
      </c>
      <c r="U91" s="118">
        <v>218.5</v>
      </c>
      <c r="V91" s="118">
        <v>0</v>
      </c>
      <c r="W91" s="118">
        <v>11.8</v>
      </c>
      <c r="X91" s="118">
        <v>740.9</v>
      </c>
      <c r="Y91" s="118" t="s">
        <v>1714</v>
      </c>
    </row>
    <row r="92" spans="2:28" x14ac:dyDescent="0.25">
      <c r="B92" s="19">
        <v>45134</v>
      </c>
      <c r="C92" s="230">
        <v>0.50407407407407412</v>
      </c>
      <c r="D92" s="118">
        <v>0</v>
      </c>
      <c r="E92" s="118">
        <v>627.20000000000005</v>
      </c>
      <c r="F92" s="118">
        <v>0.495</v>
      </c>
      <c r="G92" s="118">
        <v>598.1</v>
      </c>
      <c r="H92" s="118">
        <v>86.3</v>
      </c>
      <c r="I92" s="118">
        <v>0.70099999999999996</v>
      </c>
      <c r="J92" s="118">
        <v>0.28999999999999998</v>
      </c>
      <c r="K92" s="118">
        <v>600.9</v>
      </c>
      <c r="L92" s="118">
        <v>600903</v>
      </c>
      <c r="M92" s="118">
        <v>6.32</v>
      </c>
      <c r="N92" s="118">
        <v>-29</v>
      </c>
      <c r="O92" s="118">
        <v>8.14</v>
      </c>
      <c r="P92" s="118">
        <v>-115.6</v>
      </c>
      <c r="Q92" s="118">
        <v>27.291</v>
      </c>
      <c r="R92" s="118">
        <v>0.50900000000000001</v>
      </c>
      <c r="S92" s="118">
        <v>40.668590000000002</v>
      </c>
      <c r="T92" s="118">
        <v>-85.847319999999996</v>
      </c>
      <c r="U92" s="118">
        <v>217.5</v>
      </c>
      <c r="V92" s="118">
        <v>0</v>
      </c>
      <c r="W92" s="118">
        <v>11.8</v>
      </c>
      <c r="X92" s="118">
        <v>741</v>
      </c>
      <c r="Y92" s="118" t="s">
        <v>1713</v>
      </c>
    </row>
    <row r="93" spans="2:28" x14ac:dyDescent="0.25">
      <c r="B93" s="19">
        <v>45134</v>
      </c>
      <c r="C93" s="230">
        <v>0.51777777777777778</v>
      </c>
      <c r="D93" s="118">
        <v>0</v>
      </c>
      <c r="E93" s="118">
        <v>622.9</v>
      </c>
      <c r="F93" s="118">
        <v>0.377</v>
      </c>
      <c r="G93" s="118">
        <v>580.20000000000005</v>
      </c>
      <c r="H93" s="118">
        <v>60</v>
      </c>
      <c r="I93" s="118">
        <v>0.53400000000000003</v>
      </c>
      <c r="J93" s="118">
        <v>0.28000000000000003</v>
      </c>
      <c r="K93" s="118">
        <v>584.4</v>
      </c>
      <c r="L93" s="118">
        <v>584380</v>
      </c>
      <c r="M93" s="118">
        <v>4.47</v>
      </c>
      <c r="N93" s="118">
        <v>-31</v>
      </c>
      <c r="O93" s="118">
        <v>8.4</v>
      </c>
      <c r="P93" s="118">
        <v>-131.5</v>
      </c>
      <c r="Q93" s="118">
        <v>28.45</v>
      </c>
      <c r="R93" s="118">
        <v>0.39600000000000002</v>
      </c>
      <c r="S93" s="118">
        <v>40.67371</v>
      </c>
      <c r="T93" s="118">
        <v>-85.831440000000001</v>
      </c>
      <c r="U93" s="118">
        <v>218.9</v>
      </c>
      <c r="V93" s="118">
        <v>0</v>
      </c>
      <c r="W93" s="118">
        <v>11.8</v>
      </c>
      <c r="X93" s="118">
        <v>740.9</v>
      </c>
      <c r="Y93" s="118" t="s">
        <v>1712</v>
      </c>
    </row>
    <row r="94" spans="2:28" x14ac:dyDescent="0.25">
      <c r="B94" s="19">
        <v>45134</v>
      </c>
      <c r="C94" s="230">
        <v>0.5309490740740741</v>
      </c>
      <c r="D94" s="118">
        <v>0</v>
      </c>
      <c r="E94" s="118">
        <v>649.4</v>
      </c>
      <c r="F94" s="118">
        <v>0.32500000000000001</v>
      </c>
      <c r="G94" s="118">
        <v>588.20000000000005</v>
      </c>
      <c r="H94" s="118">
        <v>41.6</v>
      </c>
      <c r="I94" s="118">
        <v>0.46100000000000002</v>
      </c>
      <c r="J94" s="118">
        <v>0.28000000000000003</v>
      </c>
      <c r="K94" s="118">
        <v>594.29999999999995</v>
      </c>
      <c r="L94" s="118">
        <v>594265</v>
      </c>
      <c r="M94" s="118">
        <v>3.24</v>
      </c>
      <c r="N94" s="118">
        <v>-33</v>
      </c>
      <c r="O94" s="118">
        <v>8.19</v>
      </c>
      <c r="P94" s="118">
        <v>-119.5</v>
      </c>
      <c r="Q94" s="118">
        <v>29.861999999999998</v>
      </c>
      <c r="R94" s="118">
        <v>0.33</v>
      </c>
      <c r="S94" s="118">
        <v>40.674959999999999</v>
      </c>
      <c r="T94" s="118">
        <v>-85.835459999999998</v>
      </c>
      <c r="U94" s="118">
        <v>221</v>
      </c>
      <c r="V94" s="118">
        <v>0</v>
      </c>
      <c r="W94" s="118">
        <v>11.8</v>
      </c>
      <c r="X94" s="118">
        <v>741</v>
      </c>
      <c r="Y94" s="118" t="s">
        <v>1721</v>
      </c>
    </row>
    <row r="95" spans="2:28" x14ac:dyDescent="0.25">
      <c r="B95" s="19">
        <v>45134</v>
      </c>
      <c r="C95" s="230">
        <v>0.54458333333333331</v>
      </c>
      <c r="D95" s="118">
        <v>0</v>
      </c>
      <c r="E95" s="118">
        <v>635.5</v>
      </c>
      <c r="F95" s="118">
        <v>0.39200000000000002</v>
      </c>
      <c r="G95" s="118">
        <v>590</v>
      </c>
      <c r="H95" s="118">
        <v>35.1</v>
      </c>
      <c r="I95" s="118">
        <v>0.55500000000000005</v>
      </c>
      <c r="J95" s="118">
        <v>0.28999999999999998</v>
      </c>
      <c r="K95" s="118">
        <v>594.5</v>
      </c>
      <c r="L95" s="118">
        <v>594472</v>
      </c>
      <c r="M95" s="118">
        <v>4.87</v>
      </c>
      <c r="N95" s="118">
        <v>-31</v>
      </c>
      <c r="O95" s="118">
        <v>8.3000000000000007</v>
      </c>
      <c r="P95" s="118">
        <v>-125.6</v>
      </c>
      <c r="Q95" s="118">
        <v>28.611999999999998</v>
      </c>
      <c r="R95" s="118">
        <v>0.39100000000000001</v>
      </c>
      <c r="S95" s="118">
        <v>40.673729999999999</v>
      </c>
      <c r="T95" s="118">
        <v>-85.841239999999999</v>
      </c>
      <c r="U95" s="118">
        <v>221.1</v>
      </c>
      <c r="V95" s="118">
        <v>0</v>
      </c>
      <c r="W95" s="118">
        <v>11.8</v>
      </c>
      <c r="X95" s="118">
        <v>741</v>
      </c>
      <c r="Y95" s="118" t="s">
        <v>1726</v>
      </c>
    </row>
    <row r="96" spans="2:28" x14ac:dyDescent="0.25">
      <c r="B96" s="19">
        <v>45134</v>
      </c>
      <c r="C96" s="230">
        <v>0.59065972222222218</v>
      </c>
      <c r="D96" s="118">
        <v>0</v>
      </c>
      <c r="E96" s="118">
        <v>598.6</v>
      </c>
      <c r="F96" s="118">
        <v>0.48199999999999998</v>
      </c>
      <c r="G96" s="118">
        <v>559</v>
      </c>
      <c r="H96" s="118">
        <v>43.8</v>
      </c>
      <c r="I96" s="118">
        <v>0.68300000000000005</v>
      </c>
      <c r="J96" s="118">
        <v>0.27</v>
      </c>
      <c r="K96" s="118">
        <v>562.9</v>
      </c>
      <c r="L96" s="118">
        <v>562903</v>
      </c>
      <c r="M96" s="118">
        <v>4.0599999999999996</v>
      </c>
      <c r="N96" s="118">
        <v>-32</v>
      </c>
      <c r="O96" s="118">
        <v>8.49</v>
      </c>
      <c r="P96" s="118">
        <v>-136.69999999999999</v>
      </c>
      <c r="Q96" s="118">
        <v>28.318000000000001</v>
      </c>
      <c r="R96" s="118">
        <v>0.5</v>
      </c>
      <c r="S96" s="118">
        <v>40.68938</v>
      </c>
      <c r="T96" s="118">
        <v>-85.895300000000006</v>
      </c>
      <c r="U96" s="118">
        <v>223</v>
      </c>
      <c r="V96" s="118">
        <v>0</v>
      </c>
      <c r="W96" s="118">
        <v>11.8</v>
      </c>
      <c r="X96" s="118">
        <v>740.9</v>
      </c>
      <c r="Y96" s="118" t="s">
        <v>1724</v>
      </c>
    </row>
    <row r="97" spans="2:28" x14ac:dyDescent="0.25">
      <c r="B97" s="19">
        <v>45134</v>
      </c>
      <c r="C97" s="230">
        <v>0.60516203703703708</v>
      </c>
      <c r="D97" s="118">
        <v>0</v>
      </c>
      <c r="E97" s="118">
        <v>601.70000000000005</v>
      </c>
      <c r="F97" s="118">
        <v>0.51500000000000001</v>
      </c>
      <c r="G97" s="118">
        <v>567.29999999999995</v>
      </c>
      <c r="H97" s="118">
        <v>47.3</v>
      </c>
      <c r="I97" s="118">
        <v>0.73099999999999998</v>
      </c>
      <c r="J97" s="118">
        <v>0.27</v>
      </c>
      <c r="K97" s="118">
        <v>570.6</v>
      </c>
      <c r="L97" s="118">
        <v>570645</v>
      </c>
      <c r="M97" s="118">
        <v>3.72</v>
      </c>
      <c r="N97" s="118">
        <v>-32</v>
      </c>
      <c r="O97" s="118">
        <v>8.3000000000000007</v>
      </c>
      <c r="P97" s="118">
        <v>-125.4</v>
      </c>
      <c r="Q97" s="118">
        <v>27.844000000000001</v>
      </c>
      <c r="R97" s="118">
        <v>0.52600000000000002</v>
      </c>
      <c r="S97" s="118">
        <v>40.693240000000003</v>
      </c>
      <c r="T97" s="118">
        <v>-85.907520000000005</v>
      </c>
      <c r="U97" s="118">
        <v>224.4</v>
      </c>
      <c r="V97" s="118">
        <v>0</v>
      </c>
      <c r="W97" s="118">
        <v>11.8</v>
      </c>
      <c r="X97" s="118">
        <v>740.9</v>
      </c>
      <c r="Y97" s="118" t="s">
        <v>1722</v>
      </c>
    </row>
    <row r="98" spans="2:28" x14ac:dyDescent="0.25">
      <c r="B98" s="19">
        <v>45134</v>
      </c>
      <c r="C98" s="230">
        <v>0.61561342592592594</v>
      </c>
      <c r="D98" s="118">
        <v>0</v>
      </c>
      <c r="E98" s="118">
        <v>598.6</v>
      </c>
      <c r="F98" s="118">
        <v>0.39600000000000002</v>
      </c>
      <c r="G98" s="118">
        <v>554.9</v>
      </c>
      <c r="H98" s="118">
        <v>63.1</v>
      </c>
      <c r="I98" s="118">
        <v>0.56200000000000006</v>
      </c>
      <c r="J98" s="118">
        <v>0.27</v>
      </c>
      <c r="K98" s="118">
        <v>559.20000000000005</v>
      </c>
      <c r="L98" s="118">
        <v>559196</v>
      </c>
      <c r="M98" s="118">
        <v>3.53</v>
      </c>
      <c r="N98" s="118">
        <v>-32</v>
      </c>
      <c r="O98" s="118">
        <v>8.2899999999999991</v>
      </c>
      <c r="P98" s="118">
        <v>-124.9</v>
      </c>
      <c r="Q98" s="118">
        <v>28.689</v>
      </c>
      <c r="R98" s="118">
        <v>0.39</v>
      </c>
      <c r="S98" s="118">
        <v>40.69332</v>
      </c>
      <c r="T98" s="118">
        <v>-85.919759999999997</v>
      </c>
      <c r="U98" s="118">
        <v>221.7</v>
      </c>
      <c r="V98" s="118">
        <v>0</v>
      </c>
      <c r="W98" s="118">
        <v>11.8</v>
      </c>
      <c r="X98" s="118">
        <v>740.8</v>
      </c>
      <c r="Y98" s="118" t="s">
        <v>1725</v>
      </c>
    </row>
    <row r="99" spans="2:28" x14ac:dyDescent="0.25">
      <c r="B99" s="19">
        <v>45134</v>
      </c>
      <c r="C99" s="230">
        <v>0.63611111111111107</v>
      </c>
      <c r="D99" s="118">
        <v>0</v>
      </c>
      <c r="E99" s="118">
        <v>600.9</v>
      </c>
      <c r="F99" s="118">
        <v>0.316</v>
      </c>
      <c r="G99" s="118">
        <v>551.1</v>
      </c>
      <c r="H99" s="118">
        <v>54.4</v>
      </c>
      <c r="I99" s="118">
        <v>0.44700000000000001</v>
      </c>
      <c r="J99" s="118">
        <v>0.27</v>
      </c>
      <c r="K99" s="118">
        <v>556</v>
      </c>
      <c r="L99" s="118">
        <v>556018</v>
      </c>
      <c r="M99" s="118">
        <v>3.14</v>
      </c>
      <c r="N99" s="118">
        <v>-33</v>
      </c>
      <c r="O99" s="118">
        <v>8.2899999999999991</v>
      </c>
      <c r="P99" s="118">
        <v>-125.2</v>
      </c>
      <c r="Q99" s="118">
        <v>29.231000000000002</v>
      </c>
      <c r="R99" s="118">
        <v>0.33200000000000002</v>
      </c>
      <c r="S99" s="118">
        <v>40.704439999999998</v>
      </c>
      <c r="T99" s="118">
        <v>-85.929419999999993</v>
      </c>
      <c r="U99" s="118">
        <v>221.1</v>
      </c>
      <c r="V99" s="118">
        <v>0</v>
      </c>
      <c r="W99" s="118">
        <v>11.8</v>
      </c>
      <c r="X99" s="118">
        <v>740.8</v>
      </c>
      <c r="Y99" s="118" t="s">
        <v>1718</v>
      </c>
    </row>
    <row r="100" spans="2:28" x14ac:dyDescent="0.25">
      <c r="B100" s="19">
        <v>45134</v>
      </c>
      <c r="C100" s="230">
        <v>0.64657407407407408</v>
      </c>
      <c r="D100" s="118">
        <v>0</v>
      </c>
      <c r="E100" s="118">
        <v>622.20000000000005</v>
      </c>
      <c r="F100" s="118">
        <v>0.40200000000000002</v>
      </c>
      <c r="G100" s="118">
        <v>553</v>
      </c>
      <c r="H100" s="118">
        <v>61.7</v>
      </c>
      <c r="I100" s="118">
        <v>0.56899999999999995</v>
      </c>
      <c r="J100" s="118">
        <v>0.27</v>
      </c>
      <c r="K100" s="118">
        <v>560</v>
      </c>
      <c r="L100" s="118">
        <v>559970</v>
      </c>
      <c r="M100" s="118">
        <v>3.48</v>
      </c>
      <c r="N100" s="118">
        <v>-32</v>
      </c>
      <c r="O100" s="118">
        <v>8.2899999999999991</v>
      </c>
      <c r="P100" s="118">
        <v>-125.5</v>
      </c>
      <c r="Q100" s="118">
        <v>30.814</v>
      </c>
      <c r="R100" s="118">
        <v>0.4</v>
      </c>
      <c r="S100" s="118">
        <v>40.713749999999997</v>
      </c>
      <c r="T100" s="118">
        <v>-85.936920000000001</v>
      </c>
      <c r="U100" s="118">
        <v>222</v>
      </c>
      <c r="V100" s="118">
        <v>0</v>
      </c>
      <c r="W100" s="118">
        <v>11.8</v>
      </c>
      <c r="X100" s="118">
        <v>740.7</v>
      </c>
      <c r="Y100" s="118" t="s">
        <v>1719</v>
      </c>
    </row>
    <row r="101" spans="2:28" x14ac:dyDescent="0.25">
      <c r="B101" s="19">
        <v>45134</v>
      </c>
      <c r="C101" s="230">
        <v>0.65658564814814813</v>
      </c>
      <c r="D101" s="118">
        <v>0</v>
      </c>
      <c r="E101" s="118">
        <v>602.4</v>
      </c>
      <c r="F101" s="118">
        <v>0.56000000000000005</v>
      </c>
      <c r="G101" s="118">
        <v>552</v>
      </c>
      <c r="H101" s="118">
        <v>60.8</v>
      </c>
      <c r="I101" s="118">
        <v>0.79300000000000004</v>
      </c>
      <c r="J101" s="118">
        <v>0.27</v>
      </c>
      <c r="K101" s="118">
        <v>557</v>
      </c>
      <c r="L101" s="118">
        <v>557002</v>
      </c>
      <c r="M101" s="118">
        <v>3.29</v>
      </c>
      <c r="N101" s="118">
        <v>-33</v>
      </c>
      <c r="O101" s="118">
        <v>8.36</v>
      </c>
      <c r="P101" s="118">
        <v>-129.6</v>
      </c>
      <c r="Q101" s="118">
        <v>29.263000000000002</v>
      </c>
      <c r="R101" s="118">
        <v>0.57399999999999995</v>
      </c>
      <c r="S101" s="118">
        <v>40.711039999999997</v>
      </c>
      <c r="T101" s="118">
        <v>-85.953779999999995</v>
      </c>
      <c r="U101" s="118">
        <v>223.2</v>
      </c>
      <c r="V101" s="118">
        <v>0</v>
      </c>
      <c r="W101" s="118">
        <v>11.8</v>
      </c>
      <c r="X101" s="118">
        <v>740.5</v>
      </c>
      <c r="Y101" s="118" t="s">
        <v>1720</v>
      </c>
    </row>
    <row r="102" spans="2:28" x14ac:dyDescent="0.25">
      <c r="B102" s="19">
        <v>45134</v>
      </c>
      <c r="C102" s="230">
        <v>0.67800925925925926</v>
      </c>
      <c r="D102" s="118">
        <v>0</v>
      </c>
      <c r="E102" s="118">
        <v>587.4</v>
      </c>
      <c r="F102" s="118">
        <v>0.55700000000000005</v>
      </c>
      <c r="G102" s="118">
        <v>548.29999999999995</v>
      </c>
      <c r="H102" s="118">
        <v>56.8</v>
      </c>
      <c r="I102" s="118">
        <v>0.78900000000000003</v>
      </c>
      <c r="J102" s="118">
        <v>0.26</v>
      </c>
      <c r="K102" s="118">
        <v>552.1</v>
      </c>
      <c r="L102" s="118">
        <v>552106</v>
      </c>
      <c r="M102" s="118">
        <v>5.54</v>
      </c>
      <c r="N102" s="118">
        <v>-30</v>
      </c>
      <c r="O102" s="118">
        <v>8.4</v>
      </c>
      <c r="P102" s="118">
        <v>-131.4</v>
      </c>
      <c r="Q102" s="118">
        <v>28.347000000000001</v>
      </c>
      <c r="R102" s="118">
        <v>0.57099999999999995</v>
      </c>
      <c r="S102" s="118">
        <v>40.707369999999997</v>
      </c>
      <c r="T102" s="118">
        <v>-85.939970000000002</v>
      </c>
      <c r="U102" s="118">
        <v>224.8</v>
      </c>
      <c r="V102" s="118">
        <v>0</v>
      </c>
      <c r="W102" s="118">
        <v>11.8</v>
      </c>
      <c r="X102" s="118">
        <v>740.5</v>
      </c>
      <c r="Y102" s="118" t="s">
        <v>1727</v>
      </c>
    </row>
    <row r="103" spans="2:28" x14ac:dyDescent="0.25">
      <c r="B103" s="118" t="s">
        <v>1788</v>
      </c>
      <c r="C103" s="118" t="s">
        <v>1789</v>
      </c>
      <c r="D103" s="118" t="s">
        <v>1790</v>
      </c>
      <c r="E103" s="118" t="s">
        <v>1791</v>
      </c>
      <c r="F103" s="118" t="s">
        <v>1792</v>
      </c>
      <c r="G103" s="118" t="s">
        <v>1793</v>
      </c>
      <c r="H103" s="118" t="s">
        <v>1794</v>
      </c>
      <c r="I103" s="118" t="s">
        <v>1699</v>
      </c>
      <c r="J103" s="118" t="s">
        <v>1795</v>
      </c>
      <c r="K103" s="118" t="s">
        <v>1703</v>
      </c>
      <c r="L103" s="118" t="s">
        <v>1796</v>
      </c>
      <c r="M103" s="118" t="s">
        <v>1797</v>
      </c>
      <c r="N103" s="118" t="s">
        <v>1798</v>
      </c>
      <c r="O103" s="118" t="s">
        <v>1799</v>
      </c>
      <c r="P103" s="118" t="s">
        <v>1800</v>
      </c>
      <c r="Q103" s="118" t="s">
        <v>1801</v>
      </c>
      <c r="R103" s="118" t="s">
        <v>1802</v>
      </c>
      <c r="S103" s="118" t="s">
        <v>1803</v>
      </c>
      <c r="T103" s="118" t="s">
        <v>1804</v>
      </c>
      <c r="U103" s="118" t="s">
        <v>1805</v>
      </c>
      <c r="V103" s="118" t="s">
        <v>1806</v>
      </c>
      <c r="W103" s="118" t="s">
        <v>1807</v>
      </c>
      <c r="X103" s="118" t="s">
        <v>1808</v>
      </c>
      <c r="Y103" s="118" t="s">
        <v>1809</v>
      </c>
      <c r="Z103" s="118" t="s">
        <v>1810</v>
      </c>
      <c r="AA103" s="118" t="s">
        <v>1811</v>
      </c>
      <c r="AB103" s="118" t="s">
        <v>1711</v>
      </c>
    </row>
    <row r="104" spans="2:28" x14ac:dyDescent="0.25">
      <c r="B104" s="19">
        <v>45023</v>
      </c>
      <c r="C104" s="230">
        <v>0.82635416666666661</v>
      </c>
      <c r="D104" s="118">
        <v>0</v>
      </c>
      <c r="E104" s="118">
        <v>433.3</v>
      </c>
      <c r="F104" s="118">
        <v>0.312</v>
      </c>
      <c r="G104" s="118">
        <v>549.9</v>
      </c>
      <c r="H104" s="118">
        <v>92.2</v>
      </c>
      <c r="I104" s="118">
        <v>92.6</v>
      </c>
      <c r="J104" s="118">
        <v>9.3800000000000008</v>
      </c>
      <c r="K104" s="118">
        <v>160.6</v>
      </c>
      <c r="L104" s="118">
        <v>0.443</v>
      </c>
      <c r="M104" s="118">
        <v>0.26</v>
      </c>
      <c r="N104" s="118">
        <v>541.5</v>
      </c>
      <c r="O104" s="118">
        <v>541452</v>
      </c>
      <c r="P104" s="118">
        <v>102.07</v>
      </c>
      <c r="Q104" s="118">
        <v>0</v>
      </c>
      <c r="R104" s="118">
        <v>7.84</v>
      </c>
      <c r="S104" s="118">
        <v>-84.8</v>
      </c>
      <c r="T104" s="118">
        <v>14.541</v>
      </c>
      <c r="U104" s="118">
        <v>0.29799999999999999</v>
      </c>
      <c r="V104" s="118">
        <v>40.780389999999997</v>
      </c>
      <c r="W104" s="118">
        <v>-85.636380000000003</v>
      </c>
      <c r="X104" s="118">
        <v>216.3</v>
      </c>
      <c r="Y104" s="118">
        <v>0</v>
      </c>
      <c r="Z104" s="118">
        <v>11.8</v>
      </c>
      <c r="AA104" s="118">
        <v>752.8</v>
      </c>
      <c r="AB104" s="118" t="s">
        <v>1842</v>
      </c>
    </row>
    <row r="105" spans="2:28" x14ac:dyDescent="0.25">
      <c r="B105" s="19">
        <v>45023</v>
      </c>
      <c r="C105" s="230">
        <v>0.85327546296296297</v>
      </c>
      <c r="D105" s="118">
        <v>0</v>
      </c>
      <c r="E105" s="118">
        <v>344.6</v>
      </c>
      <c r="F105" s="118">
        <v>0.27600000000000002</v>
      </c>
      <c r="G105" s="118">
        <v>440</v>
      </c>
      <c r="H105" s="118">
        <v>91.1</v>
      </c>
      <c r="I105" s="118">
        <v>91.5</v>
      </c>
      <c r="J105" s="118">
        <v>9.32</v>
      </c>
      <c r="K105" s="118">
        <v>154.80000000000001</v>
      </c>
      <c r="L105" s="118">
        <v>0.39200000000000002</v>
      </c>
      <c r="M105" s="118">
        <v>0.21</v>
      </c>
      <c r="N105" s="118">
        <v>433.2</v>
      </c>
      <c r="O105" s="118">
        <v>433178</v>
      </c>
      <c r="P105" s="118">
        <v>157.35</v>
      </c>
      <c r="Q105" s="118">
        <v>0</v>
      </c>
      <c r="R105" s="118">
        <v>7.81</v>
      </c>
      <c r="S105" s="118">
        <v>-83.5</v>
      </c>
      <c r="T105" s="118">
        <v>14.295</v>
      </c>
      <c r="U105" s="118">
        <v>0.27400000000000002</v>
      </c>
      <c r="V105" s="118">
        <v>40.772579999999998</v>
      </c>
      <c r="W105" s="118">
        <v>-85.640159999999995</v>
      </c>
      <c r="X105" s="118">
        <v>220.8</v>
      </c>
      <c r="Y105" s="118">
        <v>0</v>
      </c>
      <c r="Z105" s="118">
        <v>11.8</v>
      </c>
      <c r="AA105" s="118">
        <v>752.2</v>
      </c>
      <c r="AB105" s="118" t="s">
        <v>1843</v>
      </c>
    </row>
    <row r="106" spans="2:28" x14ac:dyDescent="0.25">
      <c r="B106" s="118" t="s">
        <v>1788</v>
      </c>
      <c r="C106" s="118" t="s">
        <v>1789</v>
      </c>
      <c r="D106" s="118" t="s">
        <v>1790</v>
      </c>
      <c r="E106" s="118" t="s">
        <v>1791</v>
      </c>
      <c r="F106" s="118" t="s">
        <v>1792</v>
      </c>
      <c r="G106" s="118" t="s">
        <v>1793</v>
      </c>
      <c r="H106" s="118" t="s">
        <v>1794</v>
      </c>
      <c r="I106" s="118" t="s">
        <v>1699</v>
      </c>
      <c r="J106" s="118" t="s">
        <v>1795</v>
      </c>
      <c r="K106" s="118" t="s">
        <v>1703</v>
      </c>
      <c r="L106" s="118" t="s">
        <v>1796</v>
      </c>
      <c r="M106" s="118" t="s">
        <v>1797</v>
      </c>
      <c r="N106" s="118" t="s">
        <v>1798</v>
      </c>
      <c r="O106" s="118" t="s">
        <v>1799</v>
      </c>
      <c r="P106" s="118" t="s">
        <v>1800</v>
      </c>
      <c r="Q106" s="118" t="s">
        <v>1801</v>
      </c>
      <c r="R106" s="118" t="s">
        <v>1802</v>
      </c>
      <c r="S106" s="118" t="s">
        <v>1803</v>
      </c>
      <c r="T106" s="118" t="s">
        <v>1804</v>
      </c>
      <c r="U106" s="118" t="s">
        <v>1805</v>
      </c>
      <c r="V106" s="118" t="s">
        <v>1806</v>
      </c>
      <c r="W106" s="118" t="s">
        <v>1807</v>
      </c>
      <c r="X106" s="118" t="s">
        <v>1808</v>
      </c>
      <c r="Y106" s="118" t="s">
        <v>1809</v>
      </c>
      <c r="Z106" s="118" t="s">
        <v>1810</v>
      </c>
      <c r="AA106" s="118" t="s">
        <v>1811</v>
      </c>
      <c r="AB106" s="118" t="s">
        <v>1711</v>
      </c>
    </row>
    <row r="107" spans="2:28" x14ac:dyDescent="0.25">
      <c r="B107" s="19">
        <v>45068</v>
      </c>
      <c r="C107" s="230">
        <v>0.63806712962962964</v>
      </c>
      <c r="D107" s="118">
        <v>0</v>
      </c>
      <c r="E107" s="118">
        <v>413.4</v>
      </c>
      <c r="F107" s="118">
        <v>0.45200000000000001</v>
      </c>
      <c r="G107" s="118">
        <v>461.9</v>
      </c>
      <c r="H107" s="118">
        <v>163.30000000000001</v>
      </c>
      <c r="I107" s="118">
        <v>166.1</v>
      </c>
      <c r="J107" s="118">
        <v>14.85</v>
      </c>
      <c r="K107" s="118">
        <v>118.9</v>
      </c>
      <c r="L107" s="118">
        <v>0.64200000000000002</v>
      </c>
      <c r="M107" s="118">
        <v>0.22</v>
      </c>
      <c r="N107" s="118">
        <v>457.8</v>
      </c>
      <c r="O107" s="118">
        <v>457811</v>
      </c>
      <c r="P107" s="118">
        <v>6.45</v>
      </c>
      <c r="Q107" s="118">
        <v>0</v>
      </c>
      <c r="R107" s="118">
        <v>8.75</v>
      </c>
      <c r="S107" s="118">
        <v>-141.30000000000001</v>
      </c>
      <c r="T107" s="118">
        <v>19.922000000000001</v>
      </c>
      <c r="U107" s="118">
        <v>0.45800000000000002</v>
      </c>
      <c r="V107" s="118">
        <v>40.780079999999998</v>
      </c>
      <c r="W107" s="118">
        <v>-85.634799999999998</v>
      </c>
      <c r="X107" s="118">
        <v>224</v>
      </c>
      <c r="Y107" s="118">
        <v>0</v>
      </c>
      <c r="Z107" s="118">
        <v>11.8</v>
      </c>
      <c r="AA107" s="118">
        <v>744.6</v>
      </c>
      <c r="AB107" s="118" t="s">
        <v>1844</v>
      </c>
    </row>
    <row r="108" spans="2:28" x14ac:dyDescent="0.25">
      <c r="B108" s="19">
        <v>45068</v>
      </c>
      <c r="C108" s="230">
        <v>0.65230324074074075</v>
      </c>
      <c r="D108" s="118">
        <v>0</v>
      </c>
      <c r="E108" s="118">
        <v>413.4</v>
      </c>
      <c r="F108" s="118">
        <v>0.56899999999999995</v>
      </c>
      <c r="G108" s="118">
        <v>461.3</v>
      </c>
      <c r="H108" s="118">
        <v>172.8</v>
      </c>
      <c r="I108" s="118">
        <v>175.8</v>
      </c>
      <c r="J108" s="118">
        <v>15.7</v>
      </c>
      <c r="K108" s="118">
        <v>111</v>
      </c>
      <c r="L108" s="118">
        <v>0.80800000000000005</v>
      </c>
      <c r="M108" s="118">
        <v>0.22</v>
      </c>
      <c r="N108" s="118">
        <v>457.2</v>
      </c>
      <c r="O108" s="118">
        <v>457236</v>
      </c>
      <c r="P108" s="118">
        <v>6.54</v>
      </c>
      <c r="Q108" s="118">
        <v>0</v>
      </c>
      <c r="R108" s="118">
        <v>8.7799999999999994</v>
      </c>
      <c r="S108" s="118">
        <v>-143.19999999999999</v>
      </c>
      <c r="T108" s="118">
        <v>19.981999999999999</v>
      </c>
      <c r="U108" s="118">
        <v>0.61599999999999999</v>
      </c>
      <c r="V108" s="118">
        <v>40.775950000000002</v>
      </c>
      <c r="W108" s="118">
        <v>-85.631129999999999</v>
      </c>
      <c r="X108" s="118">
        <v>226.1</v>
      </c>
      <c r="Y108" s="118">
        <v>0</v>
      </c>
      <c r="Z108" s="118">
        <v>11.8</v>
      </c>
      <c r="AA108" s="118">
        <v>744.6</v>
      </c>
      <c r="AB108" s="118" t="s">
        <v>1845</v>
      </c>
    </row>
    <row r="109" spans="2:28" x14ac:dyDescent="0.25">
      <c r="B109" s="19">
        <v>45068</v>
      </c>
      <c r="C109" s="230">
        <v>0.67041666666666666</v>
      </c>
      <c r="D109" s="118">
        <v>0</v>
      </c>
      <c r="E109" s="118">
        <v>419</v>
      </c>
      <c r="F109" s="118">
        <v>0.55500000000000005</v>
      </c>
      <c r="G109" s="118">
        <v>459.1</v>
      </c>
      <c r="H109" s="118">
        <v>189.7</v>
      </c>
      <c r="I109" s="118">
        <v>193</v>
      </c>
      <c r="J109" s="118">
        <v>16.96</v>
      </c>
      <c r="K109" s="118">
        <v>105.6</v>
      </c>
      <c r="L109" s="118">
        <v>0.78800000000000003</v>
      </c>
      <c r="M109" s="118">
        <v>0.22</v>
      </c>
      <c r="N109" s="118">
        <v>455.7</v>
      </c>
      <c r="O109" s="118">
        <v>455652</v>
      </c>
      <c r="P109" s="118">
        <v>8.92</v>
      </c>
      <c r="Q109" s="118">
        <v>0</v>
      </c>
      <c r="R109" s="118">
        <v>8.84</v>
      </c>
      <c r="S109" s="118">
        <v>-146.80000000000001</v>
      </c>
      <c r="T109" s="118">
        <v>20.788</v>
      </c>
      <c r="U109" s="118">
        <v>0.57099999999999995</v>
      </c>
      <c r="V109" s="118">
        <v>40.775019999999998</v>
      </c>
      <c r="W109" s="118">
        <v>-85.631919999999994</v>
      </c>
      <c r="X109" s="118">
        <v>239.7</v>
      </c>
      <c r="Y109" s="118">
        <v>0</v>
      </c>
      <c r="Z109" s="118">
        <v>11.8</v>
      </c>
      <c r="AA109" s="118">
        <v>744.7</v>
      </c>
      <c r="AB109" s="118" t="s">
        <v>1846</v>
      </c>
    </row>
    <row r="110" spans="2:28" x14ac:dyDescent="0.25">
      <c r="B110" s="19">
        <v>45068</v>
      </c>
      <c r="C110" s="230">
        <v>0.68057870370370366</v>
      </c>
      <c r="D110" s="118">
        <v>0</v>
      </c>
      <c r="E110" s="118">
        <v>415.7</v>
      </c>
      <c r="F110" s="118">
        <v>0.63800000000000001</v>
      </c>
      <c r="G110" s="118">
        <v>460.6</v>
      </c>
      <c r="H110" s="118">
        <v>183.1</v>
      </c>
      <c r="I110" s="118">
        <v>186.3</v>
      </c>
      <c r="J110" s="118">
        <v>16.53</v>
      </c>
      <c r="K110" s="118">
        <v>106.4</v>
      </c>
      <c r="L110" s="118">
        <v>0.90500000000000003</v>
      </c>
      <c r="M110" s="118">
        <v>0.22</v>
      </c>
      <c r="N110" s="118">
        <v>456.8</v>
      </c>
      <c r="O110" s="118">
        <v>456806</v>
      </c>
      <c r="P110" s="118">
        <v>5.34</v>
      </c>
      <c r="Q110" s="118">
        <v>0</v>
      </c>
      <c r="R110" s="118">
        <v>8.8000000000000007</v>
      </c>
      <c r="S110" s="118">
        <v>-144.5</v>
      </c>
      <c r="T110" s="118">
        <v>20.286999999999999</v>
      </c>
      <c r="U110" s="118">
        <v>0.65</v>
      </c>
      <c r="V110" s="118">
        <v>40.776310000000002</v>
      </c>
      <c r="W110" s="118">
        <v>-85.630260000000007</v>
      </c>
      <c r="X110" s="118">
        <v>227.6</v>
      </c>
      <c r="Y110" s="118">
        <v>0</v>
      </c>
      <c r="Z110" s="118">
        <v>11.8</v>
      </c>
      <c r="AA110" s="118">
        <v>744.6</v>
      </c>
      <c r="AB110" s="118" t="s">
        <v>516</v>
      </c>
    </row>
    <row r="111" spans="2:28" x14ac:dyDescent="0.25">
      <c r="B111" s="19">
        <v>45068</v>
      </c>
      <c r="C111" s="230">
        <v>0.69118055555555558</v>
      </c>
      <c r="D111" s="118">
        <v>0</v>
      </c>
      <c r="E111" s="118">
        <v>413.5</v>
      </c>
      <c r="F111" s="118">
        <v>0.54</v>
      </c>
      <c r="G111" s="118">
        <v>458.5</v>
      </c>
      <c r="H111" s="118">
        <v>184.1</v>
      </c>
      <c r="I111" s="118">
        <v>187.3</v>
      </c>
      <c r="J111" s="118">
        <v>16.63</v>
      </c>
      <c r="K111" s="118">
        <v>144.19999999999999</v>
      </c>
      <c r="L111" s="118">
        <v>0.76700000000000002</v>
      </c>
      <c r="M111" s="118">
        <v>0.22</v>
      </c>
      <c r="N111" s="118">
        <v>454.6</v>
      </c>
      <c r="O111" s="118">
        <v>454611</v>
      </c>
      <c r="P111" s="118">
        <v>7.04</v>
      </c>
      <c r="Q111" s="118">
        <v>0</v>
      </c>
      <c r="R111" s="118">
        <v>8.84</v>
      </c>
      <c r="S111" s="118">
        <v>-146.9</v>
      </c>
      <c r="T111" s="118">
        <v>20.266999999999999</v>
      </c>
      <c r="U111" s="118">
        <v>0.53200000000000003</v>
      </c>
      <c r="V111" s="118">
        <v>40.776609999999998</v>
      </c>
      <c r="W111" s="118">
        <v>-85.631829999999994</v>
      </c>
      <c r="X111" s="118">
        <v>226.4</v>
      </c>
      <c r="Y111" s="118">
        <v>0</v>
      </c>
      <c r="Z111" s="118">
        <v>11.8</v>
      </c>
      <c r="AA111" s="118">
        <v>744.4</v>
      </c>
      <c r="AB111" s="118" t="s">
        <v>1847</v>
      </c>
    </row>
    <row r="112" spans="2:28" x14ac:dyDescent="0.25">
      <c r="B112" s="19">
        <v>45068</v>
      </c>
      <c r="C112" s="230">
        <v>0.69813657407407403</v>
      </c>
      <c r="D112" s="118">
        <v>0</v>
      </c>
      <c r="E112" s="118">
        <v>417</v>
      </c>
      <c r="F112" s="118">
        <v>0.52400000000000002</v>
      </c>
      <c r="G112" s="118">
        <v>459</v>
      </c>
      <c r="H112" s="118">
        <v>179.5</v>
      </c>
      <c r="I112" s="118">
        <v>182.6</v>
      </c>
      <c r="J112" s="118">
        <v>16.11</v>
      </c>
      <c r="K112" s="118">
        <v>126.5</v>
      </c>
      <c r="L112" s="118">
        <v>0.74399999999999999</v>
      </c>
      <c r="M112" s="118">
        <v>0.22</v>
      </c>
      <c r="N112" s="118">
        <v>455.4</v>
      </c>
      <c r="O112" s="118">
        <v>455370</v>
      </c>
      <c r="P112" s="118">
        <v>7.03</v>
      </c>
      <c r="Q112" s="118">
        <v>0</v>
      </c>
      <c r="R112" s="118">
        <v>8.7899999999999991</v>
      </c>
      <c r="S112" s="118">
        <v>-143.9</v>
      </c>
      <c r="T112" s="118">
        <v>20.585999999999999</v>
      </c>
      <c r="U112" s="118">
        <v>0.51300000000000001</v>
      </c>
      <c r="V112" s="118">
        <v>40.776470000000003</v>
      </c>
      <c r="W112" s="118">
        <v>-85.632549999999995</v>
      </c>
      <c r="X112" s="118">
        <v>220.7</v>
      </c>
      <c r="Y112" s="118">
        <v>0</v>
      </c>
      <c r="Z112" s="118">
        <v>11.8</v>
      </c>
      <c r="AA112" s="118">
        <v>744.3</v>
      </c>
      <c r="AB112" s="118" t="s">
        <v>1848</v>
      </c>
    </row>
    <row r="113" spans="2:28" x14ac:dyDescent="0.25">
      <c r="B113" s="19">
        <v>45068</v>
      </c>
      <c r="C113" s="230">
        <v>0.70192129629629629</v>
      </c>
      <c r="D113" s="118">
        <v>0</v>
      </c>
      <c r="E113" s="118">
        <v>423.6</v>
      </c>
      <c r="F113" s="118">
        <v>0.35699999999999998</v>
      </c>
      <c r="G113" s="118">
        <v>461.5</v>
      </c>
      <c r="H113" s="118">
        <v>182.2</v>
      </c>
      <c r="I113" s="118">
        <v>185.3</v>
      </c>
      <c r="J113" s="118">
        <v>16.21</v>
      </c>
      <c r="K113" s="118">
        <v>151.69999999999999</v>
      </c>
      <c r="L113" s="118">
        <v>0.50700000000000001</v>
      </c>
      <c r="M113" s="118">
        <v>0.22</v>
      </c>
      <c r="N113" s="118">
        <v>458.2</v>
      </c>
      <c r="O113" s="118">
        <v>458245</v>
      </c>
      <c r="P113" s="118">
        <v>4.84</v>
      </c>
      <c r="Q113" s="118">
        <v>0</v>
      </c>
      <c r="R113" s="118">
        <v>8.8699999999999992</v>
      </c>
      <c r="S113" s="118">
        <v>-148.5</v>
      </c>
      <c r="T113" s="118">
        <v>21.045000000000002</v>
      </c>
      <c r="U113" s="118">
        <v>0.37</v>
      </c>
      <c r="V113" s="118">
        <v>40.777940000000001</v>
      </c>
      <c r="W113" s="118">
        <v>-85.63306</v>
      </c>
      <c r="X113" s="118">
        <v>220.4</v>
      </c>
      <c r="Y113" s="118">
        <v>0</v>
      </c>
      <c r="Z113" s="118">
        <v>11.8</v>
      </c>
      <c r="AA113" s="118">
        <v>744.4</v>
      </c>
      <c r="AB113" s="118" t="s">
        <v>1849</v>
      </c>
    </row>
    <row r="114" spans="2:28" x14ac:dyDescent="0.25">
      <c r="B114" s="19">
        <v>45068</v>
      </c>
      <c r="C114" s="230">
        <v>0.71233796296296292</v>
      </c>
      <c r="D114" s="118">
        <v>0</v>
      </c>
      <c r="E114" s="118">
        <v>411.3</v>
      </c>
      <c r="F114" s="118">
        <v>0.57599999999999996</v>
      </c>
      <c r="G114" s="118">
        <v>454.1</v>
      </c>
      <c r="H114" s="118">
        <v>199.1</v>
      </c>
      <c r="I114" s="118">
        <v>202.5</v>
      </c>
      <c r="J114" s="118">
        <v>17.920000000000002</v>
      </c>
      <c r="K114" s="118">
        <v>151.6</v>
      </c>
      <c r="L114" s="118">
        <v>0.81799999999999995</v>
      </c>
      <c r="M114" s="118">
        <v>0.22</v>
      </c>
      <c r="N114" s="118">
        <v>450.4</v>
      </c>
      <c r="O114" s="118">
        <v>450429</v>
      </c>
      <c r="P114" s="118">
        <v>8.1300000000000008</v>
      </c>
      <c r="Q114" s="118">
        <v>0</v>
      </c>
      <c r="R114" s="118">
        <v>8.94</v>
      </c>
      <c r="S114" s="118">
        <v>-152.19999999999999</v>
      </c>
      <c r="T114" s="118">
        <v>20.443999999999999</v>
      </c>
      <c r="U114" s="118">
        <v>0.57399999999999995</v>
      </c>
      <c r="V114" s="118">
        <v>40.778820000000003</v>
      </c>
      <c r="W114" s="118">
        <v>-85.634559999999993</v>
      </c>
      <c r="X114" s="118">
        <v>227.1</v>
      </c>
      <c r="Y114" s="118">
        <v>0</v>
      </c>
      <c r="Z114" s="118">
        <v>11.8</v>
      </c>
      <c r="AA114" s="118">
        <v>744.4</v>
      </c>
      <c r="AB114" s="118" t="s">
        <v>1850</v>
      </c>
    </row>
    <row r="115" spans="2:28" x14ac:dyDescent="0.25">
      <c r="B115" s="19">
        <v>45068</v>
      </c>
      <c r="C115" s="230">
        <v>0.80973379629629627</v>
      </c>
      <c r="D115" s="118">
        <v>0</v>
      </c>
      <c r="E115" s="118">
        <v>372.6</v>
      </c>
      <c r="F115" s="118">
        <v>0.32100000000000001</v>
      </c>
      <c r="G115" s="118">
        <v>392.4</v>
      </c>
      <c r="H115" s="118">
        <v>313.5</v>
      </c>
      <c r="I115" s="118">
        <v>318.89999999999998</v>
      </c>
      <c r="J115" s="118">
        <v>27.08</v>
      </c>
      <c r="K115" s="118">
        <v>119.7</v>
      </c>
      <c r="L115" s="118">
        <v>0.45600000000000002</v>
      </c>
      <c r="M115" s="118">
        <v>0.19</v>
      </c>
      <c r="N115" s="118">
        <v>390.7</v>
      </c>
      <c r="O115" s="118">
        <v>390655</v>
      </c>
      <c r="P115" s="118">
        <v>31.02</v>
      </c>
      <c r="Q115" s="118">
        <v>0</v>
      </c>
      <c r="R115" s="118">
        <v>9.4700000000000006</v>
      </c>
      <c r="S115" s="118">
        <v>-184.3</v>
      </c>
      <c r="T115" s="118">
        <v>22.574000000000002</v>
      </c>
      <c r="U115" s="118">
        <v>0.307</v>
      </c>
      <c r="V115" s="118">
        <v>40.772359999999999</v>
      </c>
      <c r="W115" s="118">
        <v>-85.644130000000004</v>
      </c>
      <c r="X115" s="118">
        <v>223.3</v>
      </c>
      <c r="Y115" s="118">
        <v>0</v>
      </c>
      <c r="Z115" s="118">
        <v>11.8</v>
      </c>
      <c r="AA115" s="118">
        <v>743.6</v>
      </c>
      <c r="AB115" s="118" t="s">
        <v>1851</v>
      </c>
    </row>
    <row r="116" spans="2:28" x14ac:dyDescent="0.25">
      <c r="B116" s="19">
        <v>45068</v>
      </c>
      <c r="C116" s="230">
        <v>0.83060185185185187</v>
      </c>
      <c r="D116" s="118">
        <v>0</v>
      </c>
      <c r="E116" s="118">
        <v>416.2</v>
      </c>
      <c r="F116" s="118">
        <v>0.309</v>
      </c>
      <c r="G116" s="118">
        <v>432.1</v>
      </c>
      <c r="H116" s="118">
        <v>227</v>
      </c>
      <c r="I116" s="118">
        <v>230.9</v>
      </c>
      <c r="J116" s="118">
        <v>19.37</v>
      </c>
      <c r="K116" s="118">
        <v>141.80000000000001</v>
      </c>
      <c r="L116" s="118">
        <v>0.439</v>
      </c>
      <c r="M116" s="118">
        <v>0.21</v>
      </c>
      <c r="N116" s="118">
        <v>430.6</v>
      </c>
      <c r="O116" s="118">
        <v>430628</v>
      </c>
      <c r="P116" s="118">
        <v>5.79</v>
      </c>
      <c r="Q116" s="118">
        <v>0</v>
      </c>
      <c r="R116" s="118">
        <v>9.0399999999999991</v>
      </c>
      <c r="S116" s="118">
        <v>-159.30000000000001</v>
      </c>
      <c r="T116" s="118">
        <v>23.251000000000001</v>
      </c>
      <c r="U116" s="118">
        <v>0.30499999999999999</v>
      </c>
      <c r="V116" s="118">
        <v>40.769880000000001</v>
      </c>
      <c r="W116" s="118">
        <v>-85.647189999999995</v>
      </c>
      <c r="X116" s="118">
        <v>228.7</v>
      </c>
      <c r="Y116" s="118">
        <v>0</v>
      </c>
      <c r="Z116" s="118">
        <v>11.8</v>
      </c>
      <c r="AA116" s="118">
        <v>743.5</v>
      </c>
      <c r="AB116" s="118" t="s">
        <v>1852</v>
      </c>
    </row>
    <row r="117" spans="2:28" x14ac:dyDescent="0.25">
      <c r="B117" s="19">
        <v>45068</v>
      </c>
      <c r="C117" s="230">
        <v>0.84584490740740736</v>
      </c>
      <c r="D117" s="118">
        <v>0</v>
      </c>
      <c r="E117" s="118">
        <v>400.1</v>
      </c>
      <c r="F117" s="118">
        <v>0.317</v>
      </c>
      <c r="G117" s="118">
        <v>427.3</v>
      </c>
      <c r="H117" s="118">
        <v>250.4</v>
      </c>
      <c r="I117" s="118">
        <v>254.8</v>
      </c>
      <c r="J117" s="118">
        <v>21.9</v>
      </c>
      <c r="K117" s="118">
        <v>138.9</v>
      </c>
      <c r="L117" s="118">
        <v>0.44900000000000001</v>
      </c>
      <c r="M117" s="118">
        <v>0.2</v>
      </c>
      <c r="N117" s="118">
        <v>424.9</v>
      </c>
      <c r="O117" s="118">
        <v>424884</v>
      </c>
      <c r="P117" s="118">
        <v>11.24</v>
      </c>
      <c r="Q117" s="118">
        <v>0</v>
      </c>
      <c r="R117" s="118">
        <v>9.09</v>
      </c>
      <c r="S117" s="118">
        <v>-161.6</v>
      </c>
      <c r="T117" s="118">
        <v>21.95</v>
      </c>
      <c r="U117" s="118">
        <v>0.32100000000000001</v>
      </c>
      <c r="V117" s="118">
        <v>40.771839999999997</v>
      </c>
      <c r="W117" s="118">
        <v>-85.647180000000006</v>
      </c>
      <c r="X117" s="118">
        <v>228.1</v>
      </c>
      <c r="Y117" s="118">
        <v>0</v>
      </c>
      <c r="Z117" s="118">
        <v>11.8</v>
      </c>
      <c r="AA117" s="118">
        <v>743.4</v>
      </c>
      <c r="AB117" s="118" t="s">
        <v>1853</v>
      </c>
    </row>
    <row r="118" spans="2:28" x14ac:dyDescent="0.25">
      <c r="B118" s="19">
        <v>45068</v>
      </c>
      <c r="C118" s="230">
        <v>0.85973379629629632</v>
      </c>
      <c r="D118" s="118">
        <v>0</v>
      </c>
      <c r="E118" s="118">
        <v>413.7</v>
      </c>
      <c r="F118" s="118">
        <v>0.36399999999999999</v>
      </c>
      <c r="G118" s="118">
        <v>416.4</v>
      </c>
      <c r="H118" s="118">
        <v>280.3</v>
      </c>
      <c r="I118" s="118">
        <v>285.2</v>
      </c>
      <c r="J118" s="118">
        <v>23.27</v>
      </c>
      <c r="K118" s="118">
        <v>141.19999999999999</v>
      </c>
      <c r="L118" s="118">
        <v>0.51600000000000001</v>
      </c>
      <c r="M118" s="118">
        <v>0.2</v>
      </c>
      <c r="N118" s="118">
        <v>416.2</v>
      </c>
      <c r="O118" s="118">
        <v>416196</v>
      </c>
      <c r="P118" s="118">
        <v>13.77</v>
      </c>
      <c r="Q118" s="118">
        <v>0</v>
      </c>
      <c r="R118" s="118">
        <v>9.09</v>
      </c>
      <c r="S118" s="118">
        <v>-163.19999999999999</v>
      </c>
      <c r="T118" s="118">
        <v>24.69</v>
      </c>
      <c r="U118" s="118">
        <v>0.372</v>
      </c>
      <c r="V118" s="118">
        <v>40.770310000000002</v>
      </c>
      <c r="W118" s="118">
        <v>-85.645660000000007</v>
      </c>
      <c r="X118" s="118">
        <v>231.2</v>
      </c>
      <c r="Y118" s="118">
        <v>0</v>
      </c>
      <c r="Z118" s="118">
        <v>11.8</v>
      </c>
      <c r="AA118" s="118">
        <v>743.1</v>
      </c>
      <c r="AB118" s="118" t="s">
        <v>1854</v>
      </c>
    </row>
    <row r="119" spans="2:28" x14ac:dyDescent="0.25">
      <c r="B119" s="118" t="s">
        <v>1788</v>
      </c>
      <c r="C119" s="118" t="s">
        <v>1789</v>
      </c>
      <c r="D119" s="118" t="s">
        <v>1790</v>
      </c>
      <c r="E119" s="118" t="s">
        <v>1791</v>
      </c>
      <c r="F119" s="118" t="s">
        <v>1792</v>
      </c>
      <c r="G119" s="118" t="s">
        <v>1793</v>
      </c>
      <c r="H119" s="118" t="s">
        <v>1794</v>
      </c>
      <c r="I119" s="118" t="s">
        <v>1699</v>
      </c>
      <c r="J119" s="118" t="s">
        <v>1795</v>
      </c>
      <c r="K119" s="118" t="s">
        <v>1703</v>
      </c>
      <c r="L119" s="118" t="s">
        <v>1796</v>
      </c>
      <c r="M119" s="118" t="s">
        <v>1797</v>
      </c>
      <c r="N119" s="118" t="s">
        <v>1798</v>
      </c>
      <c r="O119" s="118" t="s">
        <v>1799</v>
      </c>
      <c r="P119" s="118" t="s">
        <v>1800</v>
      </c>
      <c r="Q119" s="118" t="s">
        <v>1801</v>
      </c>
      <c r="R119" s="118" t="s">
        <v>1802</v>
      </c>
      <c r="S119" s="118" t="s">
        <v>1803</v>
      </c>
      <c r="T119" s="118" t="s">
        <v>1804</v>
      </c>
      <c r="U119" s="118" t="s">
        <v>1805</v>
      </c>
      <c r="V119" s="118" t="s">
        <v>1806</v>
      </c>
      <c r="W119" s="118" t="s">
        <v>1807</v>
      </c>
      <c r="X119" s="118" t="s">
        <v>1808</v>
      </c>
      <c r="Y119" s="118" t="s">
        <v>1809</v>
      </c>
      <c r="Z119" s="118" t="s">
        <v>1810</v>
      </c>
      <c r="AA119" s="118" t="s">
        <v>1811</v>
      </c>
      <c r="AB119" s="118" t="s">
        <v>1711</v>
      </c>
    </row>
    <row r="120" spans="2:28" x14ac:dyDescent="0.25">
      <c r="B120" s="19">
        <v>45085</v>
      </c>
      <c r="C120" s="230">
        <v>0.4597222222222222</v>
      </c>
      <c r="D120" s="118">
        <v>0</v>
      </c>
      <c r="E120" s="118">
        <v>462.1</v>
      </c>
      <c r="F120" s="118">
        <v>6.6000000000000003E-2</v>
      </c>
      <c r="G120" s="118">
        <v>484.6</v>
      </c>
      <c r="H120" s="118">
        <v>86.7</v>
      </c>
      <c r="I120" s="118">
        <v>89</v>
      </c>
      <c r="J120" s="118">
        <v>7.46</v>
      </c>
      <c r="K120" s="118">
        <v>201.4</v>
      </c>
      <c r="L120" s="118">
        <v>9.2999999999999999E-2</v>
      </c>
      <c r="M120" s="118">
        <v>0.23</v>
      </c>
      <c r="N120" s="118">
        <v>482.6</v>
      </c>
      <c r="O120" s="118">
        <v>482615</v>
      </c>
      <c r="P120" s="118">
        <v>-5.2</v>
      </c>
      <c r="Q120" s="118">
        <v>0</v>
      </c>
      <c r="R120" s="118">
        <v>8.3800000000000008</v>
      </c>
      <c r="S120" s="118">
        <v>-106.9</v>
      </c>
      <c r="T120" s="118">
        <v>22.771999999999998</v>
      </c>
      <c r="U120" s="118">
        <v>5.8999999999999997E-2</v>
      </c>
      <c r="V120" s="118">
        <v>40.803319999999999</v>
      </c>
      <c r="W120" s="118">
        <v>-85.665220000000005</v>
      </c>
      <c r="X120" s="118">
        <v>235.3</v>
      </c>
      <c r="Y120" s="118">
        <v>0</v>
      </c>
      <c r="Z120" s="118">
        <v>11.8</v>
      </c>
      <c r="AA120" s="118">
        <v>738.3</v>
      </c>
      <c r="AB120" s="118" t="s">
        <v>1855</v>
      </c>
    </row>
    <row r="121" spans="2:28" x14ac:dyDescent="0.25">
      <c r="B121" s="19">
        <v>45085</v>
      </c>
      <c r="C121" s="230">
        <v>0.46791666666666665</v>
      </c>
      <c r="D121" s="118">
        <v>0</v>
      </c>
      <c r="E121" s="118">
        <v>468.5</v>
      </c>
      <c r="F121" s="118">
        <v>6.2E-2</v>
      </c>
      <c r="G121" s="118">
        <v>481.7</v>
      </c>
      <c r="H121" s="118">
        <v>91.3</v>
      </c>
      <c r="I121" s="118">
        <v>93.6</v>
      </c>
      <c r="J121" s="118">
        <v>7.72</v>
      </c>
      <c r="K121" s="118">
        <v>207</v>
      </c>
      <c r="L121" s="118">
        <v>8.7999999999999995E-2</v>
      </c>
      <c r="M121" s="118">
        <v>0.23</v>
      </c>
      <c r="N121" s="118">
        <v>480.5</v>
      </c>
      <c r="O121" s="118">
        <v>480498</v>
      </c>
      <c r="P121" s="118">
        <v>-3.81</v>
      </c>
      <c r="Q121" s="118">
        <v>0</v>
      </c>
      <c r="R121" s="118">
        <v>8.25</v>
      </c>
      <c r="S121" s="118">
        <v>-100.1</v>
      </c>
      <c r="T121" s="118">
        <v>23.693999999999999</v>
      </c>
      <c r="U121" s="118">
        <v>7.3999999999999996E-2</v>
      </c>
      <c r="V121" s="118">
        <v>40.803370000000001</v>
      </c>
      <c r="W121" s="118">
        <v>-85.664739999999995</v>
      </c>
      <c r="X121" s="118">
        <v>232.2</v>
      </c>
      <c r="Y121" s="118">
        <v>0</v>
      </c>
      <c r="Z121" s="118">
        <v>11.8</v>
      </c>
      <c r="AA121" s="118">
        <v>738.3</v>
      </c>
      <c r="AB121" s="118" t="s">
        <v>1856</v>
      </c>
    </row>
    <row r="122" spans="2:28" x14ac:dyDescent="0.25">
      <c r="B122" s="19">
        <v>45085</v>
      </c>
      <c r="C122" s="230">
        <v>0.49549768518518517</v>
      </c>
      <c r="D122" s="118">
        <v>0</v>
      </c>
      <c r="E122" s="118">
        <v>470.1</v>
      </c>
      <c r="F122" s="118">
        <v>0.126</v>
      </c>
      <c r="G122" s="118">
        <v>482.4</v>
      </c>
      <c r="H122" s="118">
        <v>94.4</v>
      </c>
      <c r="I122" s="118">
        <v>96.8</v>
      </c>
      <c r="J122" s="118">
        <v>7.97</v>
      </c>
      <c r="K122" s="118">
        <v>189.2</v>
      </c>
      <c r="L122" s="118">
        <v>0.17899999999999999</v>
      </c>
      <c r="M122" s="118">
        <v>0.23</v>
      </c>
      <c r="N122" s="118">
        <v>481.3</v>
      </c>
      <c r="O122" s="118">
        <v>481260</v>
      </c>
      <c r="P122" s="118">
        <v>-2.95</v>
      </c>
      <c r="Q122" s="118">
        <v>0</v>
      </c>
      <c r="R122" s="118">
        <v>8.39</v>
      </c>
      <c r="S122" s="118">
        <v>-107.7</v>
      </c>
      <c r="T122" s="118">
        <v>23.79</v>
      </c>
      <c r="U122" s="118">
        <v>0.13700000000000001</v>
      </c>
      <c r="V122" s="118">
        <v>40.792059999999999</v>
      </c>
      <c r="W122" s="118">
        <v>-85.667000000000002</v>
      </c>
      <c r="X122" s="118">
        <v>221.7</v>
      </c>
      <c r="Y122" s="118">
        <v>0</v>
      </c>
      <c r="Z122" s="118">
        <v>11.8</v>
      </c>
      <c r="AA122" s="118">
        <v>738</v>
      </c>
      <c r="AB122" s="118" t="s">
        <v>1857</v>
      </c>
    </row>
    <row r="123" spans="2:28" x14ac:dyDescent="0.25">
      <c r="B123" s="19">
        <v>45085</v>
      </c>
      <c r="C123" s="230">
        <v>0.52528935185185188</v>
      </c>
      <c r="D123" s="118">
        <v>0</v>
      </c>
      <c r="E123" s="118">
        <v>461</v>
      </c>
      <c r="F123" s="118">
        <v>0.16800000000000001</v>
      </c>
      <c r="G123" s="118">
        <v>467.6</v>
      </c>
      <c r="H123" s="118">
        <v>125.2</v>
      </c>
      <c r="I123" s="118">
        <v>128.5</v>
      </c>
      <c r="J123" s="118">
        <v>10.46</v>
      </c>
      <c r="K123" s="118">
        <v>179.5</v>
      </c>
      <c r="L123" s="118">
        <v>0.23799999999999999</v>
      </c>
      <c r="M123" s="118">
        <v>0.22</v>
      </c>
      <c r="N123" s="118">
        <v>467</v>
      </c>
      <c r="O123" s="118">
        <v>466997</v>
      </c>
      <c r="P123" s="118">
        <v>-2.96</v>
      </c>
      <c r="Q123" s="118">
        <v>0</v>
      </c>
      <c r="R123" s="118">
        <v>8.77</v>
      </c>
      <c r="S123" s="118">
        <v>-127.9</v>
      </c>
      <c r="T123" s="118">
        <v>24.327000000000002</v>
      </c>
      <c r="U123" s="118">
        <v>0.17</v>
      </c>
      <c r="V123" s="118">
        <v>40.773069999999997</v>
      </c>
      <c r="W123" s="118">
        <v>-85.639560000000003</v>
      </c>
      <c r="X123" s="118">
        <v>253.8</v>
      </c>
      <c r="Y123" s="118">
        <v>0</v>
      </c>
      <c r="Z123" s="118">
        <v>11.8</v>
      </c>
      <c r="AA123" s="118">
        <v>738</v>
      </c>
      <c r="AB123" s="118" t="s">
        <v>1843</v>
      </c>
    </row>
    <row r="124" spans="2:28" x14ac:dyDescent="0.25">
      <c r="B124" s="19">
        <v>45085</v>
      </c>
      <c r="C124" s="230">
        <v>0.54152777777777783</v>
      </c>
      <c r="D124" s="118">
        <v>0</v>
      </c>
      <c r="E124" s="118">
        <v>471.3</v>
      </c>
      <c r="F124" s="118">
        <v>0.125</v>
      </c>
      <c r="G124" s="118">
        <v>467.4</v>
      </c>
      <c r="H124" s="118">
        <v>127.7</v>
      </c>
      <c r="I124" s="118">
        <v>131</v>
      </c>
      <c r="J124" s="118">
        <v>10.46</v>
      </c>
      <c r="K124" s="118">
        <v>190.9</v>
      </c>
      <c r="L124" s="118">
        <v>0.17699999999999999</v>
      </c>
      <c r="M124" s="118">
        <v>0.22</v>
      </c>
      <c r="N124" s="118">
        <v>467.8</v>
      </c>
      <c r="O124" s="118">
        <v>467757</v>
      </c>
      <c r="P124" s="118">
        <v>-0.65</v>
      </c>
      <c r="Q124" s="118">
        <v>0</v>
      </c>
      <c r="R124" s="118">
        <v>8.73</v>
      </c>
      <c r="S124" s="118">
        <v>-125.9</v>
      </c>
      <c r="T124" s="118">
        <v>25.391999999999999</v>
      </c>
      <c r="U124" s="118">
        <v>0.128</v>
      </c>
      <c r="V124" s="118">
        <v>40.776769999999999</v>
      </c>
      <c r="W124" s="118">
        <v>-85.646029999999996</v>
      </c>
      <c r="X124" s="118">
        <v>222.6</v>
      </c>
      <c r="Y124" s="118">
        <v>0</v>
      </c>
      <c r="Z124" s="118">
        <v>11.8</v>
      </c>
      <c r="AA124" s="118">
        <v>738</v>
      </c>
      <c r="AB124" s="118" t="s">
        <v>1858</v>
      </c>
    </row>
    <row r="125" spans="2:28" x14ac:dyDescent="0.25">
      <c r="B125" s="19">
        <v>45085</v>
      </c>
      <c r="C125" s="230">
        <v>0.552337962962963</v>
      </c>
      <c r="D125" s="118">
        <v>0</v>
      </c>
      <c r="E125" s="118">
        <v>464.9</v>
      </c>
      <c r="F125" s="118">
        <v>0.14799999999999999</v>
      </c>
      <c r="G125" s="118">
        <v>475.1</v>
      </c>
      <c r="H125" s="118">
        <v>117.2</v>
      </c>
      <c r="I125" s="118">
        <v>120.3</v>
      </c>
      <c r="J125" s="118">
        <v>9.86</v>
      </c>
      <c r="K125" s="118">
        <v>176.7</v>
      </c>
      <c r="L125" s="118">
        <v>0.21</v>
      </c>
      <c r="M125" s="118">
        <v>0.23</v>
      </c>
      <c r="N125" s="118">
        <v>474.2</v>
      </c>
      <c r="O125" s="118">
        <v>474207</v>
      </c>
      <c r="P125" s="118">
        <v>-1.57</v>
      </c>
      <c r="Q125" s="118">
        <v>0</v>
      </c>
      <c r="R125" s="118">
        <v>8.7100000000000009</v>
      </c>
      <c r="S125" s="118">
        <v>-124.7</v>
      </c>
      <c r="T125" s="118">
        <v>23.975999999999999</v>
      </c>
      <c r="U125" s="118">
        <v>0.14099999999999999</v>
      </c>
      <c r="V125" s="118">
        <v>40.779919999999997</v>
      </c>
      <c r="W125" s="118">
        <v>-85.644589999999994</v>
      </c>
      <c r="X125" s="118">
        <v>225.6</v>
      </c>
      <c r="Y125" s="118">
        <v>0</v>
      </c>
      <c r="Z125" s="118">
        <v>11.8</v>
      </c>
      <c r="AA125" s="118">
        <v>737.9</v>
      </c>
      <c r="AB125" s="118" t="s">
        <v>1859</v>
      </c>
    </row>
    <row r="126" spans="2:28" x14ac:dyDescent="0.25">
      <c r="B126" s="19">
        <v>45085</v>
      </c>
      <c r="C126" s="230">
        <v>0.58060185185185187</v>
      </c>
      <c r="D126" s="118">
        <v>0</v>
      </c>
      <c r="E126" s="118">
        <v>398.1</v>
      </c>
      <c r="F126" s="118">
        <v>0.11</v>
      </c>
      <c r="G126" s="118">
        <v>388.2</v>
      </c>
      <c r="H126" s="118">
        <v>123.5</v>
      </c>
      <c r="I126" s="118">
        <v>126.7</v>
      </c>
      <c r="J126" s="118">
        <v>9.98</v>
      </c>
      <c r="K126" s="118">
        <v>145.19999999999999</v>
      </c>
      <c r="L126" s="118">
        <v>0.156</v>
      </c>
      <c r="M126" s="118">
        <v>0.19</v>
      </c>
      <c r="N126" s="118">
        <v>389.2</v>
      </c>
      <c r="O126" s="118">
        <v>389185</v>
      </c>
      <c r="P126" s="118">
        <v>5.24</v>
      </c>
      <c r="Q126" s="118">
        <v>0</v>
      </c>
      <c r="R126" s="118">
        <v>8.75</v>
      </c>
      <c r="S126" s="118">
        <v>-127.2</v>
      </c>
      <c r="T126" s="118">
        <v>26.198</v>
      </c>
      <c r="U126" s="118">
        <v>0.113</v>
      </c>
      <c r="V126" s="118">
        <v>40.77948</v>
      </c>
      <c r="W126" s="118">
        <v>-85.636250000000004</v>
      </c>
      <c r="X126" s="118">
        <v>225.3</v>
      </c>
      <c r="Y126" s="118">
        <v>0</v>
      </c>
      <c r="Z126" s="118">
        <v>11.8</v>
      </c>
      <c r="AA126" s="118">
        <v>737.7</v>
      </c>
      <c r="AB126" s="118" t="s">
        <v>1842</v>
      </c>
    </row>
    <row r="127" spans="2:28" x14ac:dyDescent="0.25">
      <c r="B127" s="19">
        <v>45085</v>
      </c>
      <c r="C127" s="230">
        <v>0.60993055555555553</v>
      </c>
      <c r="D127" s="118">
        <v>0</v>
      </c>
      <c r="E127" s="118">
        <v>493.8</v>
      </c>
      <c r="F127" s="118">
        <v>0.14799999999999999</v>
      </c>
      <c r="G127" s="118">
        <v>494.3</v>
      </c>
      <c r="H127" s="118">
        <v>138.1</v>
      </c>
      <c r="I127" s="118">
        <v>141.69999999999999</v>
      </c>
      <c r="J127" s="118">
        <v>11.41</v>
      </c>
      <c r="K127" s="118">
        <v>108.3</v>
      </c>
      <c r="L127" s="118">
        <v>0.21</v>
      </c>
      <c r="M127" s="118">
        <v>0.24</v>
      </c>
      <c r="N127" s="118">
        <v>494.3</v>
      </c>
      <c r="O127" s="118">
        <v>494285</v>
      </c>
      <c r="P127" s="118">
        <v>-2.78</v>
      </c>
      <c r="Q127" s="118">
        <v>0</v>
      </c>
      <c r="R127" s="118">
        <v>8.9</v>
      </c>
      <c r="S127" s="118">
        <v>-134.80000000000001</v>
      </c>
      <c r="T127" s="118">
        <v>24.954000000000001</v>
      </c>
      <c r="U127" s="118">
        <v>0.14199999999999999</v>
      </c>
      <c r="V127" s="118">
        <v>40.772370000000002</v>
      </c>
      <c r="W127" s="118">
        <v>-85.605069999999998</v>
      </c>
      <c r="X127" s="118">
        <v>229.5</v>
      </c>
      <c r="Y127" s="118">
        <v>0</v>
      </c>
      <c r="Z127" s="118">
        <v>11.8</v>
      </c>
      <c r="AA127" s="118">
        <v>737.5</v>
      </c>
      <c r="AB127" s="118" t="s">
        <v>1860</v>
      </c>
    </row>
    <row r="128" spans="2:28" x14ac:dyDescent="0.25">
      <c r="B128" s="19">
        <v>45085</v>
      </c>
      <c r="C128" s="230">
        <v>0.64905092592592595</v>
      </c>
      <c r="D128" s="118">
        <v>0</v>
      </c>
      <c r="E128" s="118">
        <v>553.5</v>
      </c>
      <c r="F128" s="118">
        <v>0.32300000000000001</v>
      </c>
      <c r="G128" s="118">
        <v>548.79999999999995</v>
      </c>
      <c r="H128" s="118">
        <v>140.6</v>
      </c>
      <c r="I128" s="118">
        <v>144.19999999999999</v>
      </c>
      <c r="J128" s="118">
        <v>11.51</v>
      </c>
      <c r="K128" s="118">
        <v>223.7</v>
      </c>
      <c r="L128" s="118">
        <v>0.45800000000000002</v>
      </c>
      <c r="M128" s="118">
        <v>0.26</v>
      </c>
      <c r="N128" s="118">
        <v>549.29999999999995</v>
      </c>
      <c r="O128" s="118">
        <v>549287</v>
      </c>
      <c r="P128" s="118">
        <v>2.5</v>
      </c>
      <c r="Q128" s="118">
        <v>0</v>
      </c>
      <c r="R128" s="118">
        <v>8.59</v>
      </c>
      <c r="S128" s="118">
        <v>-118.8</v>
      </c>
      <c r="T128" s="118">
        <v>25.402000000000001</v>
      </c>
      <c r="U128" s="118">
        <v>0.32600000000000001</v>
      </c>
      <c r="V128" s="118">
        <v>40.75121</v>
      </c>
      <c r="W128" s="118">
        <v>-85.581900000000005</v>
      </c>
      <c r="X128" s="118">
        <v>221.3</v>
      </c>
      <c r="Y128" s="118">
        <v>0</v>
      </c>
      <c r="Z128" s="118">
        <v>11.8</v>
      </c>
      <c r="AA128" s="118">
        <v>737.4</v>
      </c>
      <c r="AB128" s="118" t="s">
        <v>1861</v>
      </c>
    </row>
    <row r="129" spans="2:28" x14ac:dyDescent="0.25">
      <c r="B129" s="118" t="s">
        <v>1788</v>
      </c>
      <c r="C129" s="118" t="s">
        <v>1789</v>
      </c>
      <c r="D129" s="118" t="s">
        <v>1790</v>
      </c>
      <c r="E129" s="118" t="s">
        <v>1791</v>
      </c>
      <c r="F129" s="118" t="s">
        <v>1792</v>
      </c>
      <c r="G129" s="118" t="s">
        <v>1793</v>
      </c>
      <c r="H129" s="118" t="s">
        <v>1794</v>
      </c>
      <c r="I129" s="118" t="s">
        <v>1699</v>
      </c>
      <c r="J129" s="118" t="s">
        <v>1795</v>
      </c>
      <c r="K129" s="118" t="s">
        <v>1703</v>
      </c>
      <c r="L129" s="118" t="s">
        <v>1796</v>
      </c>
      <c r="M129" s="118" t="s">
        <v>1797</v>
      </c>
      <c r="N129" s="118" t="s">
        <v>1798</v>
      </c>
      <c r="O129" s="118" t="s">
        <v>1799</v>
      </c>
      <c r="P129" s="118" t="s">
        <v>1800</v>
      </c>
      <c r="Q129" s="118" t="s">
        <v>1801</v>
      </c>
      <c r="R129" s="118" t="s">
        <v>1802</v>
      </c>
      <c r="S129" s="118" t="s">
        <v>1803</v>
      </c>
      <c r="T129" s="118" t="s">
        <v>1804</v>
      </c>
      <c r="U129" s="118" t="s">
        <v>1805</v>
      </c>
      <c r="V129" s="118" t="s">
        <v>1806</v>
      </c>
      <c r="W129" s="118" t="s">
        <v>1807</v>
      </c>
      <c r="X129" s="118" t="s">
        <v>1808</v>
      </c>
      <c r="Y129" s="118" t="s">
        <v>1809</v>
      </c>
      <c r="Z129" s="118" t="s">
        <v>1810</v>
      </c>
      <c r="AA129" s="118" t="s">
        <v>1811</v>
      </c>
      <c r="AB129" s="118" t="s">
        <v>1711</v>
      </c>
    </row>
    <row r="130" spans="2:28" x14ac:dyDescent="0.25">
      <c r="B130" s="19">
        <v>45100</v>
      </c>
      <c r="C130" s="230">
        <v>0.65694444444444444</v>
      </c>
      <c r="D130" s="118">
        <v>0</v>
      </c>
      <c r="E130" s="118">
        <v>554.20000000000005</v>
      </c>
      <c r="F130" s="118">
        <v>0.24</v>
      </c>
      <c r="G130" s="118">
        <v>562.4</v>
      </c>
      <c r="H130" s="118">
        <v>-213.5</v>
      </c>
      <c r="I130" s="118">
        <v>-213.5</v>
      </c>
      <c r="J130" s="118">
        <v>-17.850000000000001</v>
      </c>
      <c r="K130" s="118">
        <v>192.9</v>
      </c>
      <c r="L130" s="118">
        <v>0.34100000000000003</v>
      </c>
      <c r="M130" s="118">
        <v>0.27</v>
      </c>
      <c r="N130" s="118">
        <v>561.70000000000005</v>
      </c>
      <c r="O130" s="118">
        <v>561669</v>
      </c>
      <c r="P130" s="118">
        <v>4.84</v>
      </c>
      <c r="Q130" s="118">
        <v>0</v>
      </c>
      <c r="R130" s="118">
        <v>8.3800000000000008</v>
      </c>
      <c r="S130" s="118">
        <v>-121.1</v>
      </c>
      <c r="T130" s="118">
        <v>24.303000000000001</v>
      </c>
      <c r="U130" s="118">
        <v>0.24399999999999999</v>
      </c>
      <c r="V130" s="118">
        <v>40.772170000000003</v>
      </c>
      <c r="W130" s="118">
        <v>-85.644499999999994</v>
      </c>
      <c r="X130" s="118">
        <v>229.3</v>
      </c>
      <c r="Y130" s="118">
        <v>0</v>
      </c>
      <c r="Z130" s="118">
        <v>11.8</v>
      </c>
      <c r="AA130" s="118">
        <v>739.6</v>
      </c>
      <c r="AB130" s="118" t="s">
        <v>1862</v>
      </c>
    </row>
    <row r="131" spans="2:28" x14ac:dyDescent="0.25">
      <c r="B131" s="19">
        <v>45100</v>
      </c>
      <c r="C131" s="230">
        <v>0.66672453703703705</v>
      </c>
      <c r="D131" s="118">
        <v>0</v>
      </c>
      <c r="E131" s="118">
        <v>557.4</v>
      </c>
      <c r="F131" s="118">
        <v>0.23599999999999999</v>
      </c>
      <c r="G131" s="118">
        <v>563</v>
      </c>
      <c r="H131" s="118">
        <v>-241</v>
      </c>
      <c r="I131" s="118">
        <v>-241</v>
      </c>
      <c r="J131" s="118">
        <v>-20.059999999999999</v>
      </c>
      <c r="K131" s="118">
        <v>156.5</v>
      </c>
      <c r="L131" s="118">
        <v>0.33500000000000002</v>
      </c>
      <c r="M131" s="118">
        <v>0.27</v>
      </c>
      <c r="N131" s="118">
        <v>562.5</v>
      </c>
      <c r="O131" s="118">
        <v>562497</v>
      </c>
      <c r="P131" s="118">
        <v>6.92</v>
      </c>
      <c r="Q131" s="118">
        <v>0</v>
      </c>
      <c r="R131" s="118">
        <v>8.5500000000000007</v>
      </c>
      <c r="S131" s="118">
        <v>-131.4</v>
      </c>
      <c r="T131" s="118">
        <v>24.523</v>
      </c>
      <c r="U131" s="118">
        <v>0.23</v>
      </c>
      <c r="V131" s="118">
        <v>40.770890000000001</v>
      </c>
      <c r="W131" s="118">
        <v>-85.648250000000004</v>
      </c>
      <c r="X131" s="118">
        <v>227.6</v>
      </c>
      <c r="Y131" s="118">
        <v>0</v>
      </c>
      <c r="Z131" s="118">
        <v>11.8</v>
      </c>
      <c r="AA131" s="118">
        <v>739.6</v>
      </c>
      <c r="AB131" s="118" t="s">
        <v>1863</v>
      </c>
    </row>
    <row r="132" spans="2:28" x14ac:dyDescent="0.25">
      <c r="B132" s="19">
        <v>45100</v>
      </c>
      <c r="C132" s="230">
        <v>0.69111111111111112</v>
      </c>
      <c r="D132" s="118">
        <v>0</v>
      </c>
      <c r="E132" s="118">
        <v>556.5</v>
      </c>
      <c r="F132" s="118">
        <v>0.26800000000000002</v>
      </c>
      <c r="G132" s="118">
        <v>567.79999999999995</v>
      </c>
      <c r="H132" s="118">
        <v>-271.10000000000002</v>
      </c>
      <c r="I132" s="118">
        <v>-271.10000000000002</v>
      </c>
      <c r="J132" s="118">
        <v>-22.76</v>
      </c>
      <c r="K132" s="118">
        <v>141.69999999999999</v>
      </c>
      <c r="L132" s="118">
        <v>0.38</v>
      </c>
      <c r="M132" s="118">
        <v>0.27</v>
      </c>
      <c r="N132" s="118">
        <v>566.70000000000005</v>
      </c>
      <c r="O132" s="118">
        <v>566722</v>
      </c>
      <c r="P132" s="118">
        <v>5.76</v>
      </c>
      <c r="Q132" s="118">
        <v>0</v>
      </c>
      <c r="R132" s="118">
        <v>8.4700000000000006</v>
      </c>
      <c r="S132" s="118">
        <v>-126.3</v>
      </c>
      <c r="T132" s="118">
        <v>24.06</v>
      </c>
      <c r="U132" s="118">
        <v>0.27800000000000002</v>
      </c>
      <c r="V132" s="118">
        <v>40.780970000000003</v>
      </c>
      <c r="W132" s="118">
        <v>-85.643940000000001</v>
      </c>
      <c r="X132" s="118">
        <v>233</v>
      </c>
      <c r="Y132" s="118">
        <v>0</v>
      </c>
      <c r="Z132" s="118">
        <v>11.8</v>
      </c>
      <c r="AA132" s="118">
        <v>739.5</v>
      </c>
      <c r="AB132" s="118" t="s">
        <v>1864</v>
      </c>
    </row>
    <row r="133" spans="2:28" x14ac:dyDescent="0.25">
      <c r="B133" s="19">
        <v>45100</v>
      </c>
      <c r="C133" s="230">
        <v>0.70604166666666668</v>
      </c>
      <c r="D133" s="118">
        <v>0</v>
      </c>
      <c r="E133" s="118">
        <v>562.79999999999995</v>
      </c>
      <c r="F133" s="118">
        <v>0.214</v>
      </c>
      <c r="G133" s="118">
        <v>574.79999999999995</v>
      </c>
      <c r="H133" s="118">
        <v>-249.7</v>
      </c>
      <c r="I133" s="118">
        <v>-249.7</v>
      </c>
      <c r="J133" s="118">
        <v>-20.98</v>
      </c>
      <c r="K133" s="118">
        <v>140.6</v>
      </c>
      <c r="L133" s="118">
        <v>0.30399999999999999</v>
      </c>
      <c r="M133" s="118">
        <v>0.28000000000000003</v>
      </c>
      <c r="N133" s="118">
        <v>573.70000000000005</v>
      </c>
      <c r="O133" s="118">
        <v>573680</v>
      </c>
      <c r="P133" s="118">
        <v>5.1100000000000003</v>
      </c>
      <c r="Q133" s="118">
        <v>0</v>
      </c>
      <c r="R133" s="118">
        <v>8.52</v>
      </c>
      <c r="S133" s="118">
        <v>-129.19999999999999</v>
      </c>
      <c r="T133" s="118">
        <v>24.003</v>
      </c>
      <c r="U133" s="118">
        <v>0.221</v>
      </c>
      <c r="V133" s="118">
        <v>40.784289999999999</v>
      </c>
      <c r="W133" s="118">
        <v>-85.637829999999994</v>
      </c>
      <c r="X133" s="118">
        <v>230.4</v>
      </c>
      <c r="Y133" s="118">
        <v>0</v>
      </c>
      <c r="Z133" s="118">
        <v>11.8</v>
      </c>
      <c r="AA133" s="118">
        <v>739.6</v>
      </c>
      <c r="AB133" s="118" t="s">
        <v>1865</v>
      </c>
    </row>
    <row r="134" spans="2:28" x14ac:dyDescent="0.25">
      <c r="B134" s="19">
        <v>45100</v>
      </c>
      <c r="C134" s="230">
        <v>0.72304398148148152</v>
      </c>
      <c r="D134" s="118">
        <v>0</v>
      </c>
      <c r="E134" s="118">
        <v>565</v>
      </c>
      <c r="F134" s="118">
        <v>0.23400000000000001</v>
      </c>
      <c r="G134" s="118">
        <v>583</v>
      </c>
      <c r="H134" s="118">
        <v>-282.3</v>
      </c>
      <c r="I134" s="118">
        <v>-282.3</v>
      </c>
      <c r="J134" s="118">
        <v>-23.94</v>
      </c>
      <c r="K134" s="118">
        <v>158.4</v>
      </c>
      <c r="L134" s="118">
        <v>0.33200000000000002</v>
      </c>
      <c r="M134" s="118">
        <v>0.28000000000000003</v>
      </c>
      <c r="N134" s="118">
        <v>581.4</v>
      </c>
      <c r="O134" s="118">
        <v>581354</v>
      </c>
      <c r="P134" s="118">
        <v>5.51</v>
      </c>
      <c r="Q134" s="118">
        <v>0</v>
      </c>
      <c r="R134" s="118">
        <v>8.51</v>
      </c>
      <c r="S134" s="118">
        <v>-128.69999999999999</v>
      </c>
      <c r="T134" s="118">
        <v>23.524000000000001</v>
      </c>
      <c r="U134" s="118">
        <v>0.248</v>
      </c>
      <c r="V134" s="118">
        <v>40.775269999999999</v>
      </c>
      <c r="W134" s="118">
        <v>-85.623660000000001</v>
      </c>
      <c r="X134" s="118">
        <v>229.8</v>
      </c>
      <c r="Y134" s="118">
        <v>0</v>
      </c>
      <c r="Z134" s="118">
        <v>11.8</v>
      </c>
      <c r="AA134" s="118">
        <v>739.6</v>
      </c>
      <c r="AB134" s="118" t="s">
        <v>1866</v>
      </c>
    </row>
    <row r="135" spans="2:28" x14ac:dyDescent="0.25">
      <c r="B135" s="19">
        <v>45100</v>
      </c>
      <c r="C135" s="230">
        <v>0.73624999999999996</v>
      </c>
      <c r="D135" s="118">
        <v>0</v>
      </c>
      <c r="E135" s="118">
        <v>578.20000000000005</v>
      </c>
      <c r="F135" s="118">
        <v>0.23200000000000001</v>
      </c>
      <c r="G135" s="118">
        <v>587.9</v>
      </c>
      <c r="H135" s="118">
        <v>-244.3</v>
      </c>
      <c r="I135" s="118">
        <v>-244.3</v>
      </c>
      <c r="J135" s="118">
        <v>-20.45</v>
      </c>
      <c r="K135" s="118">
        <v>171.8</v>
      </c>
      <c r="L135" s="118">
        <v>0.33</v>
      </c>
      <c r="M135" s="118">
        <v>0.28000000000000003</v>
      </c>
      <c r="N135" s="118">
        <v>587</v>
      </c>
      <c r="O135" s="118">
        <v>586963</v>
      </c>
      <c r="P135" s="118">
        <v>7.55</v>
      </c>
      <c r="Q135" s="118">
        <v>0</v>
      </c>
      <c r="R135" s="118">
        <v>8.6199999999999992</v>
      </c>
      <c r="S135" s="118">
        <v>-135.9</v>
      </c>
      <c r="T135" s="118">
        <v>24.216999999999999</v>
      </c>
      <c r="U135" s="118">
        <v>0.23300000000000001</v>
      </c>
      <c r="V135" s="118">
        <v>40.77561</v>
      </c>
      <c r="W135" s="118">
        <v>-85.606409999999997</v>
      </c>
      <c r="X135" s="118">
        <v>230.4</v>
      </c>
      <c r="Y135" s="118">
        <v>0</v>
      </c>
      <c r="Z135" s="118">
        <v>11.8</v>
      </c>
      <c r="AA135" s="118">
        <v>739.5</v>
      </c>
      <c r="AB135" s="118" t="s">
        <v>1867</v>
      </c>
    </row>
    <row r="136" spans="2:28" x14ac:dyDescent="0.25">
      <c r="B136" s="19">
        <v>45100</v>
      </c>
      <c r="C136" s="230">
        <v>0.75168981481481478</v>
      </c>
      <c r="D136" s="118">
        <v>0</v>
      </c>
      <c r="E136" s="118">
        <v>592</v>
      </c>
      <c r="F136" s="118">
        <v>0.223</v>
      </c>
      <c r="G136" s="118">
        <v>607.20000000000005</v>
      </c>
      <c r="H136" s="118">
        <v>-175</v>
      </c>
      <c r="I136" s="118">
        <v>-175</v>
      </c>
      <c r="J136" s="118">
        <v>-14.76</v>
      </c>
      <c r="K136" s="118">
        <v>142.30000000000001</v>
      </c>
      <c r="L136" s="118">
        <v>0.317</v>
      </c>
      <c r="M136" s="118">
        <v>0.28999999999999998</v>
      </c>
      <c r="N136" s="118">
        <v>605.79999999999995</v>
      </c>
      <c r="O136" s="118">
        <v>605797</v>
      </c>
      <c r="P136" s="118">
        <v>4.78</v>
      </c>
      <c r="Q136" s="118">
        <v>0</v>
      </c>
      <c r="R136" s="118">
        <v>8.4499999999999993</v>
      </c>
      <c r="S136" s="118">
        <v>-125.1</v>
      </c>
      <c r="T136" s="118">
        <v>23.808</v>
      </c>
      <c r="U136" s="118">
        <v>0.23599999999999999</v>
      </c>
      <c r="V136" s="118">
        <v>40.775480000000002</v>
      </c>
      <c r="W136" s="118">
        <v>-85.580020000000005</v>
      </c>
      <c r="X136" s="118">
        <v>231</v>
      </c>
      <c r="Y136" s="118">
        <v>0</v>
      </c>
      <c r="Z136" s="118">
        <v>11.8</v>
      </c>
      <c r="AA136" s="118">
        <v>739.3</v>
      </c>
      <c r="AB136" s="118" t="s">
        <v>1868</v>
      </c>
    </row>
    <row r="137" spans="2:28" x14ac:dyDescent="0.25">
      <c r="B137" s="19">
        <v>45100</v>
      </c>
      <c r="C137" s="230">
        <v>0.76894675925925926</v>
      </c>
      <c r="D137" s="118">
        <v>0</v>
      </c>
      <c r="E137" s="118">
        <v>578.9</v>
      </c>
      <c r="F137" s="118">
        <v>0.22600000000000001</v>
      </c>
      <c r="G137" s="118">
        <v>589.79999999999995</v>
      </c>
      <c r="H137" s="118">
        <v>-333.5</v>
      </c>
      <c r="I137" s="118">
        <v>-333.5</v>
      </c>
      <c r="J137" s="118">
        <v>-27.97</v>
      </c>
      <c r="K137" s="118">
        <v>149.4</v>
      </c>
      <c r="L137" s="118">
        <v>0.32100000000000001</v>
      </c>
      <c r="M137" s="118">
        <v>0.28000000000000003</v>
      </c>
      <c r="N137" s="118">
        <v>588.79999999999995</v>
      </c>
      <c r="O137" s="118">
        <v>588837</v>
      </c>
      <c r="P137" s="118">
        <v>5.94</v>
      </c>
      <c r="Q137" s="118">
        <v>0</v>
      </c>
      <c r="R137" s="118">
        <v>8.65</v>
      </c>
      <c r="S137" s="118">
        <v>-137.30000000000001</v>
      </c>
      <c r="T137" s="118">
        <v>24.117999999999999</v>
      </c>
      <c r="U137" s="118">
        <v>0.22</v>
      </c>
      <c r="V137" s="118">
        <v>40.766820000000003</v>
      </c>
      <c r="W137" s="118">
        <v>-85.597579999999994</v>
      </c>
      <c r="X137" s="118">
        <v>230.3</v>
      </c>
      <c r="Y137" s="118">
        <v>0</v>
      </c>
      <c r="Z137" s="118">
        <v>11.8</v>
      </c>
      <c r="AA137" s="118">
        <v>739.3</v>
      </c>
      <c r="AB137" s="118" t="s">
        <v>1869</v>
      </c>
    </row>
    <row r="138" spans="2:28" x14ac:dyDescent="0.25">
      <c r="B138" s="19">
        <v>45100</v>
      </c>
      <c r="C138" s="230">
        <v>0.78031249999999996</v>
      </c>
      <c r="D138" s="118">
        <v>0</v>
      </c>
      <c r="E138" s="118">
        <v>615.29999999999995</v>
      </c>
      <c r="F138" s="118">
        <v>0.22600000000000001</v>
      </c>
      <c r="G138" s="118">
        <v>618.20000000000005</v>
      </c>
      <c r="H138" s="118">
        <v>-245.1</v>
      </c>
      <c r="I138" s="118">
        <v>-245.1</v>
      </c>
      <c r="J138" s="118">
        <v>-20.309999999999999</v>
      </c>
      <c r="K138" s="118">
        <v>148.30000000000001</v>
      </c>
      <c r="L138" s="118">
        <v>0.32100000000000001</v>
      </c>
      <c r="M138" s="118">
        <v>0.3</v>
      </c>
      <c r="N138" s="118">
        <v>617.9</v>
      </c>
      <c r="O138" s="118">
        <v>617923</v>
      </c>
      <c r="P138" s="118">
        <v>10.33</v>
      </c>
      <c r="Q138" s="118">
        <v>0</v>
      </c>
      <c r="R138" s="118">
        <v>8.76</v>
      </c>
      <c r="S138" s="118">
        <v>-144.19999999999999</v>
      </c>
      <c r="T138" s="118">
        <v>24.774000000000001</v>
      </c>
      <c r="U138" s="118">
        <v>0.22</v>
      </c>
      <c r="V138" s="118">
        <v>40.756369999999997</v>
      </c>
      <c r="W138" s="118">
        <v>-85.594440000000006</v>
      </c>
      <c r="X138" s="118">
        <v>231.8</v>
      </c>
      <c r="Y138" s="118">
        <v>0</v>
      </c>
      <c r="Z138" s="118">
        <v>11.8</v>
      </c>
      <c r="AA138" s="118">
        <v>739</v>
      </c>
      <c r="AB138" s="118" t="s">
        <v>1870</v>
      </c>
    </row>
    <row r="139" spans="2:28" x14ac:dyDescent="0.25">
      <c r="B139" s="19">
        <v>45100</v>
      </c>
      <c r="C139" s="230">
        <v>0.79098379629629634</v>
      </c>
      <c r="D139" s="118">
        <v>0</v>
      </c>
      <c r="E139" s="118">
        <v>661.2</v>
      </c>
      <c r="F139" s="118">
        <v>0.23499999999999999</v>
      </c>
      <c r="G139" s="118">
        <v>673.2</v>
      </c>
      <c r="H139" s="118">
        <v>-331.7</v>
      </c>
      <c r="I139" s="118">
        <v>-331.7</v>
      </c>
      <c r="J139" s="118">
        <v>-27.79</v>
      </c>
      <c r="K139" s="118">
        <v>124.2</v>
      </c>
      <c r="L139" s="118">
        <v>0.33400000000000002</v>
      </c>
      <c r="M139" s="118">
        <v>0.33</v>
      </c>
      <c r="N139" s="118">
        <v>672.1</v>
      </c>
      <c r="O139" s="118">
        <v>672116</v>
      </c>
      <c r="P139" s="118">
        <v>6.4</v>
      </c>
      <c r="Q139" s="118">
        <v>0</v>
      </c>
      <c r="R139" s="118">
        <v>8.5500000000000007</v>
      </c>
      <c r="S139" s="118">
        <v>-131.4</v>
      </c>
      <c r="T139" s="118">
        <v>24.149000000000001</v>
      </c>
      <c r="U139" s="118">
        <v>0.27</v>
      </c>
      <c r="V139" s="118">
        <v>40.756169999999997</v>
      </c>
      <c r="W139" s="118">
        <v>-85.581829999999997</v>
      </c>
      <c r="X139" s="118">
        <v>228.8</v>
      </c>
      <c r="Y139" s="118">
        <v>0</v>
      </c>
      <c r="Z139" s="118">
        <v>11.8</v>
      </c>
      <c r="AA139" s="118">
        <v>739.1</v>
      </c>
      <c r="AB139" s="118" t="s">
        <v>1871</v>
      </c>
    </row>
    <row r="140" spans="2:28" x14ac:dyDescent="0.25">
      <c r="B140" s="19">
        <v>45100</v>
      </c>
      <c r="C140" s="230">
        <v>0.82640046296296299</v>
      </c>
      <c r="D140" s="118">
        <v>0</v>
      </c>
      <c r="E140" s="118">
        <v>751.2</v>
      </c>
      <c r="F140" s="118">
        <v>0.20899999999999999</v>
      </c>
      <c r="G140" s="118">
        <v>756.6</v>
      </c>
      <c r="H140" s="118">
        <v>-206.4</v>
      </c>
      <c r="I140" s="118">
        <v>-206.4</v>
      </c>
      <c r="J140" s="118">
        <v>-17.13</v>
      </c>
      <c r="K140" s="118">
        <v>145.80000000000001</v>
      </c>
      <c r="L140" s="118">
        <v>0.29699999999999999</v>
      </c>
      <c r="M140" s="118">
        <v>0.37</v>
      </c>
      <c r="N140" s="118">
        <v>756.1</v>
      </c>
      <c r="O140" s="118">
        <v>756113</v>
      </c>
      <c r="P140" s="118">
        <v>9.33</v>
      </c>
      <c r="Q140" s="118">
        <v>0</v>
      </c>
      <c r="R140" s="118">
        <v>8.39</v>
      </c>
      <c r="S140" s="118">
        <v>-122</v>
      </c>
      <c r="T140" s="118">
        <v>24.661000000000001</v>
      </c>
      <c r="U140" s="118">
        <v>0.20699999999999999</v>
      </c>
      <c r="V140" s="118">
        <v>40.745739999999998</v>
      </c>
      <c r="W140" s="118">
        <v>-85.568849999999998</v>
      </c>
      <c r="X140" s="118">
        <v>230.3</v>
      </c>
      <c r="Y140" s="118">
        <v>0</v>
      </c>
      <c r="Z140" s="118">
        <v>11.8</v>
      </c>
      <c r="AA140" s="118">
        <v>738.8</v>
      </c>
      <c r="AB140" s="118" t="s">
        <v>1872</v>
      </c>
    </row>
    <row r="141" spans="2:28" x14ac:dyDescent="0.25">
      <c r="B141" s="19">
        <v>45100</v>
      </c>
      <c r="C141" s="230">
        <v>0.84239583333333334</v>
      </c>
      <c r="D141" s="118">
        <v>0</v>
      </c>
      <c r="E141" s="118">
        <v>839.4</v>
      </c>
      <c r="F141" s="118">
        <v>0.251</v>
      </c>
      <c r="G141" s="118">
        <v>828.9</v>
      </c>
      <c r="H141" s="118">
        <v>-159.9</v>
      </c>
      <c r="I141" s="118">
        <v>-159.9</v>
      </c>
      <c r="J141" s="118">
        <v>-13.04</v>
      </c>
      <c r="K141" s="118">
        <v>99.4</v>
      </c>
      <c r="L141" s="118">
        <v>0.35599999999999998</v>
      </c>
      <c r="M141" s="118">
        <v>0.41</v>
      </c>
      <c r="N141" s="118">
        <v>829.9</v>
      </c>
      <c r="O141" s="118">
        <v>829923</v>
      </c>
      <c r="P141" s="118">
        <v>20.93</v>
      </c>
      <c r="Q141" s="118">
        <v>0</v>
      </c>
      <c r="R141" s="118">
        <v>8.6</v>
      </c>
      <c r="S141" s="118">
        <v>-135.1</v>
      </c>
      <c r="T141" s="118">
        <v>25.596</v>
      </c>
      <c r="U141" s="118">
        <v>0.24199999999999999</v>
      </c>
      <c r="V141" s="118">
        <v>40.746699999999997</v>
      </c>
      <c r="W141" s="118">
        <v>-85.548580000000001</v>
      </c>
      <c r="X141" s="118">
        <v>230.9</v>
      </c>
      <c r="Y141" s="118">
        <v>0</v>
      </c>
      <c r="Z141" s="118">
        <v>11.8</v>
      </c>
      <c r="AA141" s="118">
        <v>738.7</v>
      </c>
      <c r="AB141" s="118" t="s">
        <v>1873</v>
      </c>
    </row>
    <row r="142" spans="2:28" x14ac:dyDescent="0.25">
      <c r="B142" s="19">
        <v>45100</v>
      </c>
      <c r="C142" s="230">
        <v>0.88820601851851855</v>
      </c>
      <c r="D142" s="118">
        <v>0</v>
      </c>
      <c r="E142" s="118">
        <v>572</v>
      </c>
      <c r="F142" s="118">
        <v>0.22900000000000001</v>
      </c>
      <c r="G142" s="118">
        <v>565.20000000000005</v>
      </c>
      <c r="H142" s="118">
        <v>-285.5</v>
      </c>
      <c r="I142" s="118">
        <v>-285.5</v>
      </c>
      <c r="J142" s="118">
        <v>-23.31</v>
      </c>
      <c r="K142" s="118">
        <v>129.6</v>
      </c>
      <c r="L142" s="118">
        <v>0.32500000000000001</v>
      </c>
      <c r="M142" s="118">
        <v>0.27</v>
      </c>
      <c r="N142" s="118">
        <v>565.79999999999995</v>
      </c>
      <c r="O142" s="118">
        <v>565811</v>
      </c>
      <c r="P142" s="118">
        <v>6.06</v>
      </c>
      <c r="Q142" s="118">
        <v>0</v>
      </c>
      <c r="R142" s="118">
        <v>8.56</v>
      </c>
      <c r="S142" s="118">
        <v>-132.5</v>
      </c>
      <c r="T142" s="118">
        <v>25.571999999999999</v>
      </c>
      <c r="U142" s="118">
        <v>0.23400000000000001</v>
      </c>
      <c r="V142" s="118">
        <v>40.780119999999997</v>
      </c>
      <c r="W142" s="118">
        <v>-85.636970000000005</v>
      </c>
      <c r="X142" s="118">
        <v>232</v>
      </c>
      <c r="Y142" s="118">
        <v>0</v>
      </c>
      <c r="Z142" s="118">
        <v>11.8</v>
      </c>
      <c r="AA142" s="118">
        <v>738.4</v>
      </c>
      <c r="AB142" s="118" t="s">
        <v>1874</v>
      </c>
    </row>
    <row r="143" spans="2:28" x14ac:dyDescent="0.25">
      <c r="B143" s="118" t="s">
        <v>1788</v>
      </c>
      <c r="C143" s="118" t="s">
        <v>1789</v>
      </c>
      <c r="D143" s="118" t="s">
        <v>1790</v>
      </c>
      <c r="E143" s="118" t="s">
        <v>1791</v>
      </c>
      <c r="F143" s="118" t="s">
        <v>1792</v>
      </c>
      <c r="G143" s="118" t="s">
        <v>1793</v>
      </c>
      <c r="H143" s="118" t="s">
        <v>1794</v>
      </c>
      <c r="I143" s="118" t="s">
        <v>1699</v>
      </c>
      <c r="J143" s="118" t="s">
        <v>1795</v>
      </c>
      <c r="K143" s="118" t="s">
        <v>1703</v>
      </c>
      <c r="L143" s="118" t="s">
        <v>1796</v>
      </c>
      <c r="M143" s="118" t="s">
        <v>1797</v>
      </c>
      <c r="N143" s="118" t="s">
        <v>1798</v>
      </c>
      <c r="O143" s="118" t="s">
        <v>1799</v>
      </c>
      <c r="P143" s="118" t="s">
        <v>1800</v>
      </c>
      <c r="Q143" s="118" t="s">
        <v>1801</v>
      </c>
      <c r="R143" s="118" t="s">
        <v>1802</v>
      </c>
      <c r="S143" s="118" t="s">
        <v>1803</v>
      </c>
      <c r="T143" s="118" t="s">
        <v>1804</v>
      </c>
      <c r="U143" s="118" t="s">
        <v>1805</v>
      </c>
      <c r="V143" s="118" t="s">
        <v>1806</v>
      </c>
      <c r="W143" s="118" t="s">
        <v>1807</v>
      </c>
      <c r="X143" s="118" t="s">
        <v>1808</v>
      </c>
      <c r="Y143" s="118" t="s">
        <v>1809</v>
      </c>
      <c r="Z143" s="118" t="s">
        <v>1810</v>
      </c>
      <c r="AA143" s="118" t="s">
        <v>1811</v>
      </c>
      <c r="AB143" s="118" t="s">
        <v>1711</v>
      </c>
    </row>
    <row r="144" spans="2:28" x14ac:dyDescent="0.25">
      <c r="B144" s="19">
        <v>45113</v>
      </c>
      <c r="C144" s="230">
        <v>0.47365740740740742</v>
      </c>
      <c r="D144" s="118">
        <v>0</v>
      </c>
      <c r="E144" s="118">
        <v>472</v>
      </c>
      <c r="F144" s="118">
        <v>0.53500000000000003</v>
      </c>
      <c r="G144" s="118">
        <v>453.1</v>
      </c>
      <c r="H144" s="118">
        <v>-272</v>
      </c>
      <c r="I144" s="118">
        <v>-272</v>
      </c>
      <c r="J144" s="118">
        <v>-21.66</v>
      </c>
      <c r="K144" s="118">
        <v>221.1</v>
      </c>
      <c r="L144" s="118">
        <v>0.75800000000000001</v>
      </c>
      <c r="M144" s="118">
        <v>0.22</v>
      </c>
      <c r="N144" s="118">
        <v>454.9</v>
      </c>
      <c r="O144" s="118">
        <v>454925</v>
      </c>
      <c r="P144" s="118">
        <v>1.6</v>
      </c>
      <c r="Q144" s="118">
        <v>0</v>
      </c>
      <c r="R144" s="118">
        <v>8.1199999999999992</v>
      </c>
      <c r="S144" s="118">
        <v>-108.8</v>
      </c>
      <c r="T144" s="118">
        <v>26.965</v>
      </c>
      <c r="U144" s="118">
        <v>0.52900000000000003</v>
      </c>
      <c r="V144" s="118">
        <v>40.772579999999998</v>
      </c>
      <c r="W144" s="118">
        <v>-85.639939999999996</v>
      </c>
      <c r="X144" s="118">
        <v>229.7</v>
      </c>
      <c r="Y144" s="118">
        <v>0</v>
      </c>
      <c r="Z144" s="118">
        <v>11.8</v>
      </c>
      <c r="AA144" s="118">
        <v>739</v>
      </c>
      <c r="AB144" s="118" t="s">
        <v>1843</v>
      </c>
    </row>
    <row r="145" spans="2:28" x14ac:dyDescent="0.25">
      <c r="B145" s="19">
        <v>45113</v>
      </c>
      <c r="C145" s="230">
        <v>0.51579861111111114</v>
      </c>
      <c r="D145" s="118">
        <v>0</v>
      </c>
      <c r="E145" s="118">
        <v>1.3</v>
      </c>
      <c r="F145" s="118">
        <v>3.4000000000000002E-2</v>
      </c>
      <c r="G145" s="118">
        <v>1.3</v>
      </c>
      <c r="H145" s="118">
        <v>-219.4</v>
      </c>
      <c r="I145" s="118">
        <v>-219.4</v>
      </c>
      <c r="J145" s="118">
        <v>-17.87</v>
      </c>
      <c r="K145" s="118">
        <v>91.8</v>
      </c>
      <c r="L145" s="118">
        <v>4.9000000000000002E-2</v>
      </c>
      <c r="M145" s="118">
        <v>0</v>
      </c>
      <c r="N145" s="118">
        <v>1.3</v>
      </c>
      <c r="O145" s="118">
        <v>1316</v>
      </c>
      <c r="P145" s="118">
        <v>9.2799999999999994</v>
      </c>
      <c r="Q145" s="118">
        <v>0</v>
      </c>
      <c r="R145" s="118">
        <v>6.3</v>
      </c>
      <c r="S145" s="118">
        <v>0.3</v>
      </c>
      <c r="T145" s="118">
        <v>25.789000000000001</v>
      </c>
      <c r="U145" s="118">
        <v>4.8000000000000001E-2</v>
      </c>
      <c r="V145" s="118">
        <v>40.777500000000003</v>
      </c>
      <c r="W145" s="118">
        <v>-85.646159999999995</v>
      </c>
      <c r="X145" s="118">
        <v>226.2</v>
      </c>
      <c r="Y145" s="118">
        <v>0</v>
      </c>
      <c r="Z145" s="118">
        <v>11.8</v>
      </c>
      <c r="AA145" s="118">
        <v>739.1</v>
      </c>
      <c r="AB145" s="118" t="s">
        <v>1858</v>
      </c>
    </row>
    <row r="146" spans="2:28" x14ac:dyDescent="0.25">
      <c r="B146" s="19">
        <v>45113</v>
      </c>
      <c r="C146" s="230">
        <v>0.53634259259259254</v>
      </c>
      <c r="D146" s="118">
        <v>0</v>
      </c>
      <c r="E146" s="118">
        <v>493.8</v>
      </c>
      <c r="F146" s="118">
        <v>3.5000000000000003E-2</v>
      </c>
      <c r="G146" s="118">
        <v>459.3</v>
      </c>
      <c r="H146" s="118">
        <v>-369.7</v>
      </c>
      <c r="I146" s="118">
        <v>-369.7</v>
      </c>
      <c r="J146" s="118">
        <v>-28.64</v>
      </c>
      <c r="K146" s="118">
        <v>121.3</v>
      </c>
      <c r="L146" s="118">
        <v>4.9000000000000002E-2</v>
      </c>
      <c r="M146" s="118">
        <v>0.22</v>
      </c>
      <c r="N146" s="118">
        <v>462.6</v>
      </c>
      <c r="O146" s="118">
        <v>462645</v>
      </c>
      <c r="P146" s="118">
        <v>3.08</v>
      </c>
      <c r="Q146" s="118">
        <v>0</v>
      </c>
      <c r="R146" s="118">
        <v>8.39</v>
      </c>
      <c r="S146" s="118">
        <v>-125.8</v>
      </c>
      <c r="T146" s="118">
        <v>28.524000000000001</v>
      </c>
      <c r="U146" s="118">
        <v>0.02</v>
      </c>
      <c r="V146" s="118">
        <v>40.779060000000001</v>
      </c>
      <c r="W146" s="118">
        <v>-85.634929999999997</v>
      </c>
      <c r="X146" s="118">
        <v>225.6</v>
      </c>
      <c r="Y146" s="118">
        <v>0</v>
      </c>
      <c r="Z146" s="118">
        <v>11.8</v>
      </c>
      <c r="AA146" s="118">
        <v>739.2</v>
      </c>
      <c r="AB146" s="118" t="s">
        <v>1842</v>
      </c>
    </row>
    <row r="147" spans="2:28" x14ac:dyDescent="0.25">
      <c r="B147" s="19">
        <v>45113</v>
      </c>
      <c r="C147" s="230">
        <v>0.57870370370370372</v>
      </c>
      <c r="D147" s="118">
        <v>0</v>
      </c>
      <c r="E147" s="118">
        <v>503.7</v>
      </c>
      <c r="F147" s="118">
        <v>0.45600000000000002</v>
      </c>
      <c r="G147" s="118">
        <v>469</v>
      </c>
      <c r="H147" s="118">
        <v>-219.5</v>
      </c>
      <c r="I147" s="118">
        <v>-219.5</v>
      </c>
      <c r="J147" s="118">
        <v>-17.02</v>
      </c>
      <c r="K147" s="118">
        <v>67.7</v>
      </c>
      <c r="L147" s="118">
        <v>0.64600000000000002</v>
      </c>
      <c r="M147" s="118">
        <v>0.23</v>
      </c>
      <c r="N147" s="118">
        <v>472.4</v>
      </c>
      <c r="O147" s="118">
        <v>472381</v>
      </c>
      <c r="P147" s="118">
        <v>3.59</v>
      </c>
      <c r="Q147" s="118">
        <v>0</v>
      </c>
      <c r="R147" s="118">
        <v>8.5299999999999994</v>
      </c>
      <c r="S147" s="118">
        <v>-134.1</v>
      </c>
      <c r="T147" s="118">
        <v>28.475000000000001</v>
      </c>
      <c r="U147" s="118">
        <v>0.45100000000000001</v>
      </c>
      <c r="V147" s="118">
        <v>40.77243</v>
      </c>
      <c r="W147" s="118">
        <v>-85.605050000000006</v>
      </c>
      <c r="X147" s="118">
        <v>232.1</v>
      </c>
      <c r="Y147" s="118">
        <v>0</v>
      </c>
      <c r="Z147" s="118">
        <v>11.8</v>
      </c>
      <c r="AA147" s="118">
        <v>738.7</v>
      </c>
      <c r="AB147" s="118" t="s">
        <v>1860</v>
      </c>
    </row>
    <row r="148" spans="2:28" x14ac:dyDescent="0.25">
      <c r="B148" s="19">
        <v>45113</v>
      </c>
      <c r="C148" s="230">
        <v>0.60474537037037035</v>
      </c>
      <c r="D148" s="118">
        <v>0</v>
      </c>
      <c r="E148" s="118">
        <v>566</v>
      </c>
      <c r="F148" s="118">
        <v>0.51400000000000001</v>
      </c>
      <c r="G148" s="118">
        <v>535.29999999999995</v>
      </c>
      <c r="H148" s="118">
        <v>-275.5</v>
      </c>
      <c r="I148" s="118">
        <v>-275.5</v>
      </c>
      <c r="J148" s="118">
        <v>-21.65</v>
      </c>
      <c r="K148" s="118">
        <v>101.8</v>
      </c>
      <c r="L148" s="118">
        <v>0.72899999999999998</v>
      </c>
      <c r="M148" s="118">
        <v>0.26</v>
      </c>
      <c r="N148" s="118">
        <v>538.29999999999995</v>
      </c>
      <c r="O148" s="118">
        <v>538275</v>
      </c>
      <c r="P148" s="118">
        <v>2.94</v>
      </c>
      <c r="Q148" s="118">
        <v>0</v>
      </c>
      <c r="R148" s="118">
        <v>8.36</v>
      </c>
      <c r="S148" s="118">
        <v>-123.3</v>
      </c>
      <c r="T148" s="118">
        <v>27.696999999999999</v>
      </c>
      <c r="U148" s="118">
        <v>0.499</v>
      </c>
      <c r="V148" s="118">
        <v>40.751109999999997</v>
      </c>
      <c r="W148" s="118">
        <v>-85.581569999999999</v>
      </c>
      <c r="X148" s="118">
        <v>237.6</v>
      </c>
      <c r="Y148" s="118">
        <v>0</v>
      </c>
      <c r="Z148" s="118">
        <v>11.8</v>
      </c>
      <c r="AA148" s="118">
        <v>738.6</v>
      </c>
      <c r="AB148" s="118" t="s">
        <v>1861</v>
      </c>
    </row>
    <row r="149" spans="2:28" x14ac:dyDescent="0.25">
      <c r="B149" s="19">
        <v>45113</v>
      </c>
      <c r="C149" s="230">
        <v>0.63429398148148153</v>
      </c>
      <c r="D149" s="118">
        <v>0</v>
      </c>
      <c r="E149" s="118">
        <v>498.8</v>
      </c>
      <c r="F149" s="118">
        <v>0.376</v>
      </c>
      <c r="G149" s="118">
        <v>460.9</v>
      </c>
      <c r="H149" s="118">
        <v>-388.9</v>
      </c>
      <c r="I149" s="118">
        <v>-388.9</v>
      </c>
      <c r="J149" s="118">
        <v>-29.95</v>
      </c>
      <c r="K149" s="118">
        <v>86.6</v>
      </c>
      <c r="L149" s="118">
        <v>0.53300000000000003</v>
      </c>
      <c r="M149" s="118">
        <v>0.22</v>
      </c>
      <c r="N149" s="118">
        <v>464.6</v>
      </c>
      <c r="O149" s="118">
        <v>464633</v>
      </c>
      <c r="P149" s="118">
        <v>3.31</v>
      </c>
      <c r="Q149" s="118">
        <v>0</v>
      </c>
      <c r="R149" s="118">
        <v>8.49</v>
      </c>
      <c r="S149" s="118">
        <v>-131.69999999999999</v>
      </c>
      <c r="T149" s="118">
        <v>28.852</v>
      </c>
      <c r="U149" s="118">
        <v>0.38500000000000001</v>
      </c>
      <c r="V149" s="118">
        <v>40.792259999999999</v>
      </c>
      <c r="W149" s="118">
        <v>-85.666979999999995</v>
      </c>
      <c r="X149" s="118">
        <v>223</v>
      </c>
      <c r="Y149" s="118">
        <v>0</v>
      </c>
      <c r="Z149" s="118">
        <v>11.8</v>
      </c>
      <c r="AA149" s="118">
        <v>738.6</v>
      </c>
      <c r="AB149" s="118" t="s">
        <v>1857</v>
      </c>
    </row>
    <row r="150" spans="2:28" x14ac:dyDescent="0.25">
      <c r="B150" s="19">
        <v>45113</v>
      </c>
      <c r="C150" s="230">
        <v>0.65312499999999996</v>
      </c>
      <c r="D150" s="118">
        <v>0</v>
      </c>
      <c r="E150" s="118">
        <v>502.4</v>
      </c>
      <c r="F150" s="118">
        <v>0.4</v>
      </c>
      <c r="G150" s="118">
        <v>462.7</v>
      </c>
      <c r="H150" s="118">
        <v>-328.8</v>
      </c>
      <c r="I150" s="118">
        <v>-328.8</v>
      </c>
      <c r="J150" s="118">
        <v>-25.25</v>
      </c>
      <c r="K150" s="118">
        <v>89.1</v>
      </c>
      <c r="L150" s="118">
        <v>0.56599999999999995</v>
      </c>
      <c r="M150" s="118">
        <v>0.22</v>
      </c>
      <c r="N150" s="118">
        <v>466.6</v>
      </c>
      <c r="O150" s="118">
        <v>466581</v>
      </c>
      <c r="P150" s="118">
        <v>2.84</v>
      </c>
      <c r="Q150" s="118">
        <v>0</v>
      </c>
      <c r="R150" s="118">
        <v>8.51</v>
      </c>
      <c r="S150" s="118">
        <v>-132.9</v>
      </c>
      <c r="T150" s="118">
        <v>29.023</v>
      </c>
      <c r="U150" s="118">
        <v>0.41599999999999998</v>
      </c>
      <c r="V150" s="118">
        <v>40.803319999999999</v>
      </c>
      <c r="W150" s="118">
        <v>-85.665210000000002</v>
      </c>
      <c r="X150" s="118">
        <v>223.8</v>
      </c>
      <c r="Y150" s="118">
        <v>0</v>
      </c>
      <c r="Z150" s="118">
        <v>11.8</v>
      </c>
      <c r="AA150" s="118">
        <v>738.6</v>
      </c>
      <c r="AB150" s="118" t="s">
        <v>1855</v>
      </c>
    </row>
    <row r="151" spans="2:28" x14ac:dyDescent="0.25">
      <c r="B151" s="118" t="s">
        <v>1788</v>
      </c>
      <c r="C151" s="118" t="s">
        <v>1789</v>
      </c>
      <c r="D151" s="118" t="s">
        <v>1790</v>
      </c>
      <c r="E151" s="118" t="s">
        <v>1791</v>
      </c>
      <c r="F151" s="118" t="s">
        <v>1792</v>
      </c>
      <c r="G151" s="118" t="s">
        <v>1793</v>
      </c>
      <c r="H151" s="118" t="s">
        <v>1703</v>
      </c>
      <c r="I151" s="118" t="s">
        <v>1796</v>
      </c>
      <c r="J151" s="118" t="s">
        <v>1797</v>
      </c>
      <c r="K151" s="118" t="s">
        <v>1798</v>
      </c>
      <c r="L151" s="118" t="s">
        <v>1799</v>
      </c>
      <c r="M151" s="118" t="s">
        <v>1800</v>
      </c>
      <c r="N151" s="118" t="s">
        <v>1801</v>
      </c>
      <c r="O151" s="118" t="s">
        <v>1802</v>
      </c>
      <c r="P151" s="118" t="s">
        <v>1803</v>
      </c>
      <c r="Q151" s="118" t="s">
        <v>1804</v>
      </c>
      <c r="R151" s="118" t="s">
        <v>1805</v>
      </c>
      <c r="S151" s="118" t="s">
        <v>1806</v>
      </c>
      <c r="T151" s="118" t="s">
        <v>1807</v>
      </c>
      <c r="U151" s="118" t="s">
        <v>1808</v>
      </c>
      <c r="V151" s="118" t="s">
        <v>1809</v>
      </c>
      <c r="W151" s="118" t="s">
        <v>1810</v>
      </c>
      <c r="X151" s="118" t="s">
        <v>1811</v>
      </c>
      <c r="Y151" s="118" t="s">
        <v>1711</v>
      </c>
    </row>
    <row r="152" spans="2:28" x14ac:dyDescent="0.25">
      <c r="B152" s="19">
        <v>45128</v>
      </c>
      <c r="C152" s="230">
        <v>0.46863425925925928</v>
      </c>
      <c r="D152" s="118">
        <v>0</v>
      </c>
      <c r="E152" s="118">
        <v>517.79999999999995</v>
      </c>
      <c r="F152" s="118">
        <v>0.377</v>
      </c>
      <c r="G152" s="118">
        <v>506.8</v>
      </c>
      <c r="H152" s="118">
        <v>81.2</v>
      </c>
      <c r="I152" s="118">
        <v>0.53400000000000003</v>
      </c>
      <c r="J152" s="118">
        <v>0.24</v>
      </c>
      <c r="K152" s="118">
        <v>507.8</v>
      </c>
      <c r="L152" s="118">
        <v>507832</v>
      </c>
      <c r="M152" s="118">
        <v>6.22</v>
      </c>
      <c r="N152" s="118">
        <v>-29</v>
      </c>
      <c r="O152" s="118">
        <v>8.41</v>
      </c>
      <c r="P152" s="118">
        <v>-120.6</v>
      </c>
      <c r="Q152" s="118">
        <v>26.024000000000001</v>
      </c>
      <c r="R152" s="118">
        <v>0.38700000000000001</v>
      </c>
      <c r="S152" s="118">
        <v>40.772269999999999</v>
      </c>
      <c r="T152" s="118">
        <v>-85.643929999999997</v>
      </c>
      <c r="U152" s="118">
        <v>228.5</v>
      </c>
      <c r="V152" s="118">
        <v>0</v>
      </c>
      <c r="W152" s="118">
        <v>11.7</v>
      </c>
      <c r="X152" s="118">
        <v>741.1</v>
      </c>
      <c r="Y152" s="118" t="s">
        <v>1862</v>
      </c>
    </row>
    <row r="153" spans="2:28" x14ac:dyDescent="0.25">
      <c r="B153" s="19">
        <v>45128</v>
      </c>
      <c r="C153" s="230">
        <v>0.48584490740740743</v>
      </c>
      <c r="D153" s="118">
        <v>0</v>
      </c>
      <c r="E153" s="118">
        <v>517.79999999999995</v>
      </c>
      <c r="F153" s="118">
        <v>0.217</v>
      </c>
      <c r="G153" s="118">
        <v>506</v>
      </c>
      <c r="H153" s="118">
        <v>79.7</v>
      </c>
      <c r="I153" s="118">
        <v>0.307</v>
      </c>
      <c r="J153" s="118">
        <v>0.24</v>
      </c>
      <c r="K153" s="118">
        <v>507.1</v>
      </c>
      <c r="L153" s="118">
        <v>507123</v>
      </c>
      <c r="M153" s="118">
        <v>6.97</v>
      </c>
      <c r="N153" s="118">
        <v>-28</v>
      </c>
      <c r="O153" s="118">
        <v>8.36</v>
      </c>
      <c r="P153" s="118">
        <v>-117.9</v>
      </c>
      <c r="Q153" s="118">
        <v>26.097999999999999</v>
      </c>
      <c r="R153" s="118">
        <v>0.21199999999999999</v>
      </c>
      <c r="S153" s="118">
        <v>40.77075</v>
      </c>
      <c r="T153" s="118">
        <v>-85.648160000000004</v>
      </c>
      <c r="U153" s="118">
        <v>228.6</v>
      </c>
      <c r="V153" s="118">
        <v>0</v>
      </c>
      <c r="W153" s="118">
        <v>11.7</v>
      </c>
      <c r="X153" s="118">
        <v>741.1</v>
      </c>
      <c r="Y153" s="118" t="s">
        <v>1863</v>
      </c>
    </row>
    <row r="154" spans="2:28" x14ac:dyDescent="0.25">
      <c r="B154" s="19">
        <v>45128</v>
      </c>
      <c r="C154" s="230">
        <v>0.50472222222222218</v>
      </c>
      <c r="D154" s="118">
        <v>0</v>
      </c>
      <c r="E154" s="118">
        <v>523.4</v>
      </c>
      <c r="F154" s="118">
        <v>0.51800000000000002</v>
      </c>
      <c r="G154" s="118">
        <v>510.9</v>
      </c>
      <c r="H154" s="118">
        <v>95.9</v>
      </c>
      <c r="I154" s="118">
        <v>0.73499999999999999</v>
      </c>
      <c r="J154" s="118">
        <v>0.25</v>
      </c>
      <c r="K154" s="118">
        <v>512.1</v>
      </c>
      <c r="L154" s="118">
        <v>512080</v>
      </c>
      <c r="M154" s="118">
        <v>6.49</v>
      </c>
      <c r="N154" s="118">
        <v>-28</v>
      </c>
      <c r="O154" s="118">
        <v>8.3699999999999992</v>
      </c>
      <c r="P154" s="118">
        <v>-118.8</v>
      </c>
      <c r="Q154" s="118">
        <v>26.158999999999999</v>
      </c>
      <c r="R154" s="118">
        <v>0.53700000000000003</v>
      </c>
      <c r="S154" s="118">
        <v>40.780839999999998</v>
      </c>
      <c r="T154" s="118">
        <v>-85.644570000000002</v>
      </c>
      <c r="U154" s="118">
        <v>228.7</v>
      </c>
      <c r="V154" s="118">
        <v>0</v>
      </c>
      <c r="W154" s="118">
        <v>11.7</v>
      </c>
      <c r="X154" s="118">
        <v>741</v>
      </c>
      <c r="Y154" s="118" t="s">
        <v>1864</v>
      </c>
    </row>
    <row r="155" spans="2:28" x14ac:dyDescent="0.25">
      <c r="B155" s="19">
        <v>45128</v>
      </c>
      <c r="C155" s="230">
        <v>0.52115740740740746</v>
      </c>
      <c r="D155" s="118">
        <v>0</v>
      </c>
      <c r="E155" s="118">
        <v>526.6</v>
      </c>
      <c r="F155" s="118">
        <v>0.47799999999999998</v>
      </c>
      <c r="G155" s="118">
        <v>510.1</v>
      </c>
      <c r="H155" s="118">
        <v>50.8</v>
      </c>
      <c r="I155" s="118">
        <v>0.67700000000000005</v>
      </c>
      <c r="J155" s="118">
        <v>0.25</v>
      </c>
      <c r="K155" s="118">
        <v>511.7</v>
      </c>
      <c r="L155" s="118">
        <v>511675</v>
      </c>
      <c r="M155" s="118">
        <v>8.1</v>
      </c>
      <c r="N155" s="118">
        <v>-26</v>
      </c>
      <c r="O155" s="118">
        <v>8.44</v>
      </c>
      <c r="P155" s="118">
        <v>-122.5</v>
      </c>
      <c r="Q155" s="118">
        <v>26.524000000000001</v>
      </c>
      <c r="R155" s="118">
        <v>0.47</v>
      </c>
      <c r="S155" s="118">
        <v>40.783929999999998</v>
      </c>
      <c r="T155" s="118">
        <v>-85.637820000000005</v>
      </c>
      <c r="U155" s="118">
        <v>228.3</v>
      </c>
      <c r="V155" s="118">
        <v>0</v>
      </c>
      <c r="W155" s="118">
        <v>11.7</v>
      </c>
      <c r="X155" s="118">
        <v>740.8</v>
      </c>
      <c r="Y155" s="118" t="s">
        <v>1865</v>
      </c>
    </row>
    <row r="156" spans="2:28" x14ac:dyDescent="0.25">
      <c r="B156" s="19">
        <v>45128</v>
      </c>
      <c r="C156" s="230">
        <v>0.5356481481481481</v>
      </c>
      <c r="D156" s="118">
        <v>0</v>
      </c>
      <c r="E156" s="118">
        <v>525.4</v>
      </c>
      <c r="F156" s="118">
        <v>0.47499999999999998</v>
      </c>
      <c r="G156" s="118">
        <v>511.5</v>
      </c>
      <c r="H156" s="118">
        <v>58</v>
      </c>
      <c r="I156" s="118">
        <v>0.67400000000000004</v>
      </c>
      <c r="J156" s="118">
        <v>0.25</v>
      </c>
      <c r="K156" s="118">
        <v>512.79999999999995</v>
      </c>
      <c r="L156" s="118">
        <v>512797</v>
      </c>
      <c r="M156" s="118">
        <v>7.38</v>
      </c>
      <c r="N156" s="118">
        <v>-27</v>
      </c>
      <c r="O156" s="118">
        <v>8.39</v>
      </c>
      <c r="P156" s="118">
        <v>-119.8</v>
      </c>
      <c r="Q156" s="118">
        <v>26.288</v>
      </c>
      <c r="R156" s="118">
        <v>0.46700000000000003</v>
      </c>
      <c r="S156" s="118">
        <v>40.780329999999999</v>
      </c>
      <c r="T156" s="118">
        <v>-85.637249999999995</v>
      </c>
      <c r="U156" s="118">
        <v>228.7</v>
      </c>
      <c r="V156" s="118">
        <v>0</v>
      </c>
      <c r="W156" s="118">
        <v>11.7</v>
      </c>
      <c r="X156" s="118">
        <v>740.8</v>
      </c>
      <c r="Y156" s="118" t="s">
        <v>1874</v>
      </c>
    </row>
    <row r="157" spans="2:28" x14ac:dyDescent="0.25">
      <c r="B157" s="19">
        <v>45128</v>
      </c>
      <c r="C157" s="230">
        <v>0.54807870370370371</v>
      </c>
      <c r="D157" s="118">
        <v>0</v>
      </c>
      <c r="E157" s="118">
        <v>534.1</v>
      </c>
      <c r="F157" s="118">
        <v>0.48799999999999999</v>
      </c>
      <c r="G157" s="118">
        <v>516.79999999999995</v>
      </c>
      <c r="H157" s="118">
        <v>69.900000000000006</v>
      </c>
      <c r="I157" s="118">
        <v>0.69199999999999995</v>
      </c>
      <c r="J157" s="118">
        <v>0.25</v>
      </c>
      <c r="K157" s="118">
        <v>518.4</v>
      </c>
      <c r="L157" s="118">
        <v>518434</v>
      </c>
      <c r="M157" s="118">
        <v>6.33</v>
      </c>
      <c r="N157" s="118">
        <v>-29</v>
      </c>
      <c r="O157" s="118">
        <v>8.42</v>
      </c>
      <c r="P157" s="118">
        <v>-121.6</v>
      </c>
      <c r="Q157" s="118">
        <v>26.581</v>
      </c>
      <c r="R157" s="118">
        <v>0.48899999999999999</v>
      </c>
      <c r="S157" s="118">
        <v>40.774929999999998</v>
      </c>
      <c r="T157" s="118">
        <v>-85.623660000000001</v>
      </c>
      <c r="U157" s="118">
        <v>229.5</v>
      </c>
      <c r="V157" s="118">
        <v>0</v>
      </c>
      <c r="W157" s="118">
        <v>11.7</v>
      </c>
      <c r="X157" s="118">
        <v>740.7</v>
      </c>
      <c r="Y157" s="118" t="s">
        <v>1866</v>
      </c>
    </row>
    <row r="158" spans="2:28" x14ac:dyDescent="0.25">
      <c r="B158" s="19">
        <v>45128</v>
      </c>
      <c r="C158" s="230">
        <v>0.562037037037037</v>
      </c>
      <c r="D158" s="118">
        <v>0</v>
      </c>
      <c r="E158" s="118">
        <v>547.6</v>
      </c>
      <c r="F158" s="118">
        <v>0.65500000000000003</v>
      </c>
      <c r="G158" s="118">
        <v>530.5</v>
      </c>
      <c r="H158" s="118">
        <v>61.7</v>
      </c>
      <c r="I158" s="118">
        <v>0.92900000000000005</v>
      </c>
      <c r="J158" s="118">
        <v>0.26</v>
      </c>
      <c r="K158" s="118">
        <v>532.20000000000005</v>
      </c>
      <c r="L158" s="118">
        <v>532168</v>
      </c>
      <c r="M158" s="118">
        <v>5.28</v>
      </c>
      <c r="N158" s="118">
        <v>-30</v>
      </c>
      <c r="O158" s="118">
        <v>8.32</v>
      </c>
      <c r="P158" s="118">
        <v>-116.1</v>
      </c>
      <c r="Q158" s="118">
        <v>26.513999999999999</v>
      </c>
      <c r="R158" s="118">
        <v>0.64200000000000002</v>
      </c>
      <c r="S158" s="118">
        <v>40.775219999999997</v>
      </c>
      <c r="T158" s="118">
        <v>-85.606399999999994</v>
      </c>
      <c r="U158" s="118">
        <v>223.7</v>
      </c>
      <c r="V158" s="118">
        <v>0</v>
      </c>
      <c r="W158" s="118">
        <v>11.7</v>
      </c>
      <c r="X158" s="118">
        <v>740.5</v>
      </c>
      <c r="Y158" s="118" t="s">
        <v>1867</v>
      </c>
    </row>
    <row r="159" spans="2:28" x14ac:dyDescent="0.25">
      <c r="B159" s="19">
        <v>45128</v>
      </c>
      <c r="C159" s="230">
        <v>0.5750925925925926</v>
      </c>
      <c r="D159" s="118">
        <v>0</v>
      </c>
      <c r="E159" s="118">
        <v>535.29999999999995</v>
      </c>
      <c r="F159" s="118">
        <v>0.51400000000000001</v>
      </c>
      <c r="G159" s="118">
        <v>513.6</v>
      </c>
      <c r="H159" s="118">
        <v>45.2</v>
      </c>
      <c r="I159" s="118">
        <v>0.72799999999999998</v>
      </c>
      <c r="J159" s="118">
        <v>0.25</v>
      </c>
      <c r="K159" s="118">
        <v>515.70000000000005</v>
      </c>
      <c r="L159" s="118">
        <v>515653</v>
      </c>
      <c r="M159" s="118">
        <v>5.34</v>
      </c>
      <c r="N159" s="118">
        <v>-30</v>
      </c>
      <c r="O159" s="118">
        <v>8.4700000000000006</v>
      </c>
      <c r="P159" s="118">
        <v>-124.3</v>
      </c>
      <c r="Q159" s="118">
        <v>26.991</v>
      </c>
      <c r="R159" s="118">
        <v>0.505</v>
      </c>
      <c r="S159" s="118">
        <v>40.766280000000002</v>
      </c>
      <c r="T159" s="118">
        <v>-85.597880000000004</v>
      </c>
      <c r="U159" s="118">
        <v>227.8</v>
      </c>
      <c r="V159" s="118">
        <v>0</v>
      </c>
      <c r="W159" s="118">
        <v>11.8</v>
      </c>
      <c r="X159" s="118">
        <v>740.4</v>
      </c>
      <c r="Y159" s="118" t="s">
        <v>1869</v>
      </c>
    </row>
    <row r="160" spans="2:28" x14ac:dyDescent="0.25">
      <c r="B160" s="19">
        <v>45128</v>
      </c>
      <c r="C160" s="230">
        <v>0.58923611111111107</v>
      </c>
      <c r="D160" s="118">
        <v>0</v>
      </c>
      <c r="E160" s="118">
        <v>526.70000000000005</v>
      </c>
      <c r="F160" s="118">
        <v>0.495</v>
      </c>
      <c r="G160" s="118">
        <v>501.6</v>
      </c>
      <c r="H160" s="118">
        <v>47.2</v>
      </c>
      <c r="I160" s="118">
        <v>0.70199999999999996</v>
      </c>
      <c r="J160" s="118">
        <v>0.24</v>
      </c>
      <c r="K160" s="118">
        <v>504</v>
      </c>
      <c r="L160" s="118">
        <v>503988</v>
      </c>
      <c r="M160" s="118">
        <v>9.7799999999999994</v>
      </c>
      <c r="N160" s="118">
        <v>-24</v>
      </c>
      <c r="O160" s="118">
        <v>8.5399999999999991</v>
      </c>
      <c r="P160" s="118">
        <v>-128.5</v>
      </c>
      <c r="Q160" s="118">
        <v>27.361000000000001</v>
      </c>
      <c r="R160" s="118">
        <v>0.498</v>
      </c>
      <c r="S160" s="118">
        <v>40.775620000000004</v>
      </c>
      <c r="T160" s="118">
        <v>-85.579400000000007</v>
      </c>
      <c r="U160" s="118">
        <v>230.1</v>
      </c>
      <c r="V160" s="118">
        <v>0</v>
      </c>
      <c r="W160" s="118">
        <v>11.7</v>
      </c>
      <c r="X160" s="118">
        <v>740.3</v>
      </c>
      <c r="Y160" s="118" t="s">
        <v>1868</v>
      </c>
    </row>
    <row r="161" spans="2:25" x14ac:dyDescent="0.25">
      <c r="B161" s="19">
        <v>45128</v>
      </c>
      <c r="C161" s="230">
        <v>0.60424768518518523</v>
      </c>
      <c r="D161" s="118">
        <v>0</v>
      </c>
      <c r="E161" s="118">
        <v>538.29999999999995</v>
      </c>
      <c r="F161" s="118">
        <v>0.36299999999999999</v>
      </c>
      <c r="G161" s="118">
        <v>516.4</v>
      </c>
      <c r="H161" s="118">
        <v>47.6</v>
      </c>
      <c r="I161" s="118">
        <v>0.51400000000000001</v>
      </c>
      <c r="J161" s="118">
        <v>0.25</v>
      </c>
      <c r="K161" s="118">
        <v>518.5</v>
      </c>
      <c r="L161" s="118">
        <v>518541</v>
      </c>
      <c r="M161" s="118">
        <v>5.88</v>
      </c>
      <c r="N161" s="118">
        <v>-29</v>
      </c>
      <c r="O161" s="118">
        <v>8.5</v>
      </c>
      <c r="P161" s="118">
        <v>-126</v>
      </c>
      <c r="Q161" s="118">
        <v>26.994</v>
      </c>
      <c r="R161" s="118">
        <v>0.34499999999999997</v>
      </c>
      <c r="S161" s="118">
        <v>40.756300000000003</v>
      </c>
      <c r="T161" s="118">
        <v>-85.595110000000005</v>
      </c>
      <c r="U161" s="118">
        <v>226.8</v>
      </c>
      <c r="V161" s="118">
        <v>0</v>
      </c>
      <c r="W161" s="118">
        <v>11.7</v>
      </c>
      <c r="X161" s="118">
        <v>740.4</v>
      </c>
      <c r="Y161" s="118" t="s">
        <v>1870</v>
      </c>
    </row>
    <row r="162" spans="2:25" x14ac:dyDescent="0.25">
      <c r="B162" s="19">
        <v>45128</v>
      </c>
      <c r="C162" s="230">
        <v>0.62648148148148153</v>
      </c>
      <c r="D162" s="118">
        <v>0</v>
      </c>
      <c r="E162" s="118">
        <v>553.29999999999995</v>
      </c>
      <c r="F162" s="118">
        <v>0.626</v>
      </c>
      <c r="G162" s="118">
        <v>531.70000000000005</v>
      </c>
      <c r="H162" s="118">
        <v>72.599999999999994</v>
      </c>
      <c r="I162" s="118">
        <v>0.88700000000000001</v>
      </c>
      <c r="J162" s="118">
        <v>0.26</v>
      </c>
      <c r="K162" s="118">
        <v>533.79999999999995</v>
      </c>
      <c r="L162" s="118">
        <v>533815</v>
      </c>
      <c r="M162" s="118">
        <v>8.25</v>
      </c>
      <c r="N162" s="118">
        <v>-26</v>
      </c>
      <c r="O162" s="118">
        <v>8.39</v>
      </c>
      <c r="P162" s="118">
        <v>-119.9</v>
      </c>
      <c r="Q162" s="118">
        <v>26.91</v>
      </c>
      <c r="R162" s="118">
        <v>0.61199999999999999</v>
      </c>
      <c r="S162" s="118">
        <v>40.755789999999998</v>
      </c>
      <c r="T162" s="118">
        <v>-85.581199999999995</v>
      </c>
      <c r="U162" s="118">
        <v>231.4</v>
      </c>
      <c r="V162" s="118">
        <v>0</v>
      </c>
      <c r="W162" s="118">
        <v>11.7</v>
      </c>
      <c r="X162" s="118">
        <v>740.3</v>
      </c>
      <c r="Y162" s="118" t="s">
        <v>1871</v>
      </c>
    </row>
    <row r="163" spans="2:25" x14ac:dyDescent="0.25">
      <c r="B163" s="19">
        <v>45128</v>
      </c>
      <c r="C163" s="230">
        <v>0.6398611111111111</v>
      </c>
      <c r="D163" s="118">
        <v>0</v>
      </c>
      <c r="E163" s="118">
        <v>541.20000000000005</v>
      </c>
      <c r="F163" s="118">
        <v>0.48</v>
      </c>
      <c r="G163" s="118">
        <v>514.5</v>
      </c>
      <c r="H163" s="118">
        <v>64.400000000000006</v>
      </c>
      <c r="I163" s="118">
        <v>0.68</v>
      </c>
      <c r="J163" s="118">
        <v>0.25</v>
      </c>
      <c r="K163" s="118">
        <v>517.1</v>
      </c>
      <c r="L163" s="118">
        <v>517121</v>
      </c>
      <c r="M163" s="118">
        <v>10.82</v>
      </c>
      <c r="N163" s="118">
        <v>-23</v>
      </c>
      <c r="O163" s="118">
        <v>8.6300000000000008</v>
      </c>
      <c r="P163" s="118">
        <v>-133.5</v>
      </c>
      <c r="Q163" s="118">
        <v>27.443000000000001</v>
      </c>
      <c r="R163" s="118">
        <v>0.48199999999999998</v>
      </c>
      <c r="S163" s="118">
        <v>40.744779999999999</v>
      </c>
      <c r="T163" s="118">
        <v>-85.569270000000003</v>
      </c>
      <c r="U163" s="118">
        <v>230.6</v>
      </c>
      <c r="V163" s="118">
        <v>0</v>
      </c>
      <c r="W163" s="118">
        <v>11.8</v>
      </c>
      <c r="X163" s="118">
        <v>740.5</v>
      </c>
      <c r="Y163" s="118" t="s">
        <v>1872</v>
      </c>
    </row>
    <row r="164" spans="2:25" x14ac:dyDescent="0.25">
      <c r="B164" s="19">
        <v>45128</v>
      </c>
      <c r="C164" s="230">
        <v>0.65089120370370368</v>
      </c>
      <c r="D164" s="118">
        <v>0</v>
      </c>
      <c r="E164" s="118">
        <v>532.29999999999995</v>
      </c>
      <c r="F164" s="118">
        <v>0.438</v>
      </c>
      <c r="G164" s="118">
        <v>501.5</v>
      </c>
      <c r="H164" s="118">
        <v>62.3</v>
      </c>
      <c r="I164" s="118">
        <v>0.621</v>
      </c>
      <c r="J164" s="118">
        <v>0.24</v>
      </c>
      <c r="K164" s="118">
        <v>504.5</v>
      </c>
      <c r="L164" s="118">
        <v>504463</v>
      </c>
      <c r="M164" s="118">
        <v>20.49</v>
      </c>
      <c r="N164" s="118">
        <v>-10</v>
      </c>
      <c r="O164" s="118">
        <v>8.8000000000000007</v>
      </c>
      <c r="P164" s="118">
        <v>-142.9</v>
      </c>
      <c r="Q164" s="118">
        <v>27.885999999999999</v>
      </c>
      <c r="R164" s="118">
        <v>0.434</v>
      </c>
      <c r="S164" s="118">
        <v>40.747140000000002</v>
      </c>
      <c r="T164" s="118">
        <v>-85.549620000000004</v>
      </c>
      <c r="U164" s="118">
        <v>228.3</v>
      </c>
      <c r="V164" s="118">
        <v>0</v>
      </c>
      <c r="W164" s="118">
        <v>11.7</v>
      </c>
      <c r="X164" s="118">
        <v>740.5</v>
      </c>
      <c r="Y164" s="118" t="s">
        <v>1873</v>
      </c>
    </row>
    <row r="165" spans="2:25" x14ac:dyDescent="0.25">
      <c r="B165" s="118" t="s">
        <v>1788</v>
      </c>
      <c r="C165" s="118" t="s">
        <v>1789</v>
      </c>
      <c r="D165" s="118" t="s">
        <v>1790</v>
      </c>
      <c r="E165" s="118" t="s">
        <v>1791</v>
      </c>
      <c r="F165" s="118" t="s">
        <v>1792</v>
      </c>
      <c r="G165" s="118" t="s">
        <v>1793</v>
      </c>
      <c r="H165" s="118" t="s">
        <v>1703</v>
      </c>
      <c r="I165" s="118" t="s">
        <v>1796</v>
      </c>
      <c r="J165" s="118" t="s">
        <v>1797</v>
      </c>
      <c r="K165" s="118" t="s">
        <v>1798</v>
      </c>
      <c r="L165" s="118" t="s">
        <v>1799</v>
      </c>
      <c r="M165" s="118" t="s">
        <v>1800</v>
      </c>
      <c r="N165" s="118" t="s">
        <v>1801</v>
      </c>
      <c r="O165" s="118" t="s">
        <v>1802</v>
      </c>
      <c r="P165" s="118" t="s">
        <v>1803</v>
      </c>
      <c r="Q165" s="118" t="s">
        <v>1804</v>
      </c>
      <c r="R165" s="118" t="s">
        <v>1805</v>
      </c>
      <c r="S165" s="118" t="s">
        <v>1806</v>
      </c>
      <c r="T165" s="118" t="s">
        <v>1807</v>
      </c>
      <c r="U165" s="118" t="s">
        <v>1808</v>
      </c>
      <c r="V165" s="118" t="s">
        <v>1809</v>
      </c>
      <c r="W165" s="118" t="s">
        <v>1810</v>
      </c>
      <c r="X165" s="118" t="s">
        <v>1811</v>
      </c>
      <c r="Y165" s="118" t="s">
        <v>1711</v>
      </c>
    </row>
    <row r="166" spans="2:25" x14ac:dyDescent="0.25">
      <c r="B166" s="19">
        <v>45142</v>
      </c>
      <c r="C166" s="230">
        <v>0.62474537037037037</v>
      </c>
      <c r="D166" s="118">
        <v>0</v>
      </c>
      <c r="E166" s="118">
        <v>550.20000000000005</v>
      </c>
      <c r="F166" s="118">
        <v>0.73499999999999999</v>
      </c>
      <c r="G166" s="118">
        <v>517.5</v>
      </c>
      <c r="H166" s="118">
        <v>114.6</v>
      </c>
      <c r="I166" s="118">
        <v>1.0409999999999999</v>
      </c>
      <c r="J166" s="118">
        <v>0.25</v>
      </c>
      <c r="K166" s="118">
        <v>520.70000000000005</v>
      </c>
      <c r="L166" s="118">
        <v>520714</v>
      </c>
      <c r="M166" s="118">
        <v>2.78</v>
      </c>
      <c r="N166" s="118">
        <v>3</v>
      </c>
      <c r="O166" s="118">
        <v>8.36</v>
      </c>
      <c r="P166" s="118">
        <v>-123</v>
      </c>
      <c r="Q166" s="118">
        <v>27.968</v>
      </c>
      <c r="R166" s="118">
        <v>0.72699999999999998</v>
      </c>
      <c r="S166" s="118">
        <v>40.772480000000002</v>
      </c>
      <c r="T166" s="118">
        <v>-85.644390000000001</v>
      </c>
      <c r="U166" s="118">
        <v>231.1</v>
      </c>
      <c r="V166" s="118">
        <v>0</v>
      </c>
      <c r="W166" s="118">
        <v>11.7</v>
      </c>
      <c r="X166" s="118">
        <v>740.5</v>
      </c>
      <c r="Y166" s="118" t="s">
        <v>1862</v>
      </c>
    </row>
    <row r="167" spans="2:25" x14ac:dyDescent="0.25">
      <c r="B167" s="19">
        <v>45142</v>
      </c>
      <c r="C167" s="230">
        <v>0.63689814814814816</v>
      </c>
      <c r="D167" s="118">
        <v>0</v>
      </c>
      <c r="E167" s="118">
        <v>553.20000000000005</v>
      </c>
      <c r="F167" s="118">
        <v>0.34</v>
      </c>
      <c r="G167" s="118">
        <v>519.1</v>
      </c>
      <c r="H167" s="118">
        <v>73.3</v>
      </c>
      <c r="I167" s="118">
        <v>0.48199999999999998</v>
      </c>
      <c r="J167" s="118">
        <v>0.25</v>
      </c>
      <c r="K167" s="118">
        <v>522.4</v>
      </c>
      <c r="L167" s="118">
        <v>522431</v>
      </c>
      <c r="M167" s="118">
        <v>3.21</v>
      </c>
      <c r="N167" s="118">
        <v>5</v>
      </c>
      <c r="O167" s="118">
        <v>8.65</v>
      </c>
      <c r="P167" s="118">
        <v>-139.19999999999999</v>
      </c>
      <c r="Q167" s="118">
        <v>28.084</v>
      </c>
      <c r="R167" s="118">
        <v>0.33100000000000002</v>
      </c>
      <c r="S167" s="118">
        <v>40.770940000000003</v>
      </c>
      <c r="T167" s="118">
        <v>-85.647959999999998</v>
      </c>
      <c r="U167" s="118">
        <v>233.4</v>
      </c>
      <c r="V167" s="118">
        <v>0</v>
      </c>
      <c r="W167" s="118">
        <v>11.8</v>
      </c>
      <c r="X167" s="118">
        <v>740.5</v>
      </c>
      <c r="Y167" s="118" t="s">
        <v>1863</v>
      </c>
    </row>
    <row r="168" spans="2:25" x14ac:dyDescent="0.25">
      <c r="B168" s="19">
        <v>45142</v>
      </c>
      <c r="C168" s="230">
        <v>0.65017361111111116</v>
      </c>
      <c r="D168" s="118">
        <v>0</v>
      </c>
      <c r="E168" s="118">
        <v>555.70000000000005</v>
      </c>
      <c r="F168" s="118">
        <v>0.34799999999999998</v>
      </c>
      <c r="G168" s="118">
        <v>521</v>
      </c>
      <c r="H168" s="118">
        <v>66.599999999999994</v>
      </c>
      <c r="I168" s="118">
        <v>0.49399999999999999</v>
      </c>
      <c r="J168" s="118">
        <v>0.25</v>
      </c>
      <c r="K168" s="118">
        <v>524.4</v>
      </c>
      <c r="L168" s="118">
        <v>524432</v>
      </c>
      <c r="M168" s="118">
        <v>2.4</v>
      </c>
      <c r="N168" s="118">
        <v>2</v>
      </c>
      <c r="O168" s="118">
        <v>8.6</v>
      </c>
      <c r="P168" s="118">
        <v>-136.6</v>
      </c>
      <c r="Q168" s="118">
        <v>28.122</v>
      </c>
      <c r="R168" s="118">
        <v>0.35899999999999999</v>
      </c>
      <c r="S168" s="118">
        <v>40.780540000000002</v>
      </c>
      <c r="T168" s="118">
        <v>-85.644199999999998</v>
      </c>
      <c r="U168" s="118">
        <v>227.8</v>
      </c>
      <c r="V168" s="118">
        <v>0</v>
      </c>
      <c r="W168" s="118">
        <v>11.8</v>
      </c>
      <c r="X168" s="118">
        <v>740.5</v>
      </c>
      <c r="Y168" s="118" t="s">
        <v>1864</v>
      </c>
    </row>
    <row r="169" spans="2:25" x14ac:dyDescent="0.25">
      <c r="B169" s="19">
        <v>45142</v>
      </c>
      <c r="C169" s="230">
        <v>0.66030092592592593</v>
      </c>
      <c r="D169" s="118">
        <v>0</v>
      </c>
      <c r="E169" s="118">
        <v>556.4</v>
      </c>
      <c r="F169" s="118">
        <v>0.33500000000000002</v>
      </c>
      <c r="G169" s="118">
        <v>521</v>
      </c>
      <c r="H169" s="118">
        <v>69.3</v>
      </c>
      <c r="I169" s="118">
        <v>0.47399999999999998</v>
      </c>
      <c r="J169" s="118">
        <v>0.25</v>
      </c>
      <c r="K169" s="118">
        <v>524.5</v>
      </c>
      <c r="L169" s="118">
        <v>524481</v>
      </c>
      <c r="M169" s="118">
        <v>2.87</v>
      </c>
      <c r="N169" s="118">
        <v>3</v>
      </c>
      <c r="O169" s="118">
        <v>8.56</v>
      </c>
      <c r="P169" s="118">
        <v>-134.30000000000001</v>
      </c>
      <c r="Q169" s="118">
        <v>28.184000000000001</v>
      </c>
      <c r="R169" s="118">
        <v>0.32800000000000001</v>
      </c>
      <c r="S169" s="118">
        <v>40.783470000000001</v>
      </c>
      <c r="T169" s="118">
        <v>-85.638459999999995</v>
      </c>
      <c r="U169" s="118">
        <v>229.2</v>
      </c>
      <c r="V169" s="118">
        <v>0</v>
      </c>
      <c r="W169" s="118">
        <v>11.9</v>
      </c>
      <c r="X169" s="118">
        <v>740.7</v>
      </c>
      <c r="Y169" s="118" t="s">
        <v>1865</v>
      </c>
    </row>
    <row r="170" spans="2:25" x14ac:dyDescent="0.25">
      <c r="B170" s="19">
        <v>45142</v>
      </c>
      <c r="C170" s="230">
        <v>0.67262731481481486</v>
      </c>
      <c r="D170" s="118">
        <v>0</v>
      </c>
      <c r="E170" s="118">
        <v>560.9</v>
      </c>
      <c r="F170" s="118">
        <v>0.26900000000000002</v>
      </c>
      <c r="G170" s="118">
        <v>520.9</v>
      </c>
      <c r="H170" s="118">
        <v>55</v>
      </c>
      <c r="I170" s="118">
        <v>0.38200000000000001</v>
      </c>
      <c r="J170" s="118">
        <v>0.25</v>
      </c>
      <c r="K170" s="118">
        <v>524.79999999999995</v>
      </c>
      <c r="L170" s="118">
        <v>524841</v>
      </c>
      <c r="M170" s="118">
        <v>2.97</v>
      </c>
      <c r="N170" s="118">
        <v>4</v>
      </c>
      <c r="O170" s="118">
        <v>8.57</v>
      </c>
      <c r="P170" s="118">
        <v>-135.19999999999999</v>
      </c>
      <c r="Q170" s="118">
        <v>28.594000000000001</v>
      </c>
      <c r="R170" s="118">
        <v>0.28000000000000003</v>
      </c>
      <c r="S170" s="118">
        <v>40.78049</v>
      </c>
      <c r="T170" s="118">
        <v>-85.63758</v>
      </c>
      <c r="U170" s="118">
        <v>229.6</v>
      </c>
      <c r="V170" s="118">
        <v>0</v>
      </c>
      <c r="W170" s="118">
        <v>11.8</v>
      </c>
      <c r="X170" s="118">
        <v>740.6</v>
      </c>
      <c r="Y170" s="118" t="s">
        <v>1874</v>
      </c>
    </row>
    <row r="171" spans="2:25" x14ac:dyDescent="0.25">
      <c r="B171" s="19">
        <v>45142</v>
      </c>
      <c r="C171" s="230">
        <v>0.6821180555555556</v>
      </c>
      <c r="D171" s="118">
        <v>0</v>
      </c>
      <c r="E171" s="118">
        <v>559.79999999999995</v>
      </c>
      <c r="F171" s="118">
        <v>0.435</v>
      </c>
      <c r="G171" s="118">
        <v>519.20000000000005</v>
      </c>
      <c r="H171" s="118">
        <v>97.2</v>
      </c>
      <c r="I171" s="118">
        <v>0.61599999999999999</v>
      </c>
      <c r="J171" s="118">
        <v>0.25</v>
      </c>
      <c r="K171" s="118">
        <v>523.20000000000005</v>
      </c>
      <c r="L171" s="118">
        <v>523200</v>
      </c>
      <c r="M171" s="118">
        <v>3.38</v>
      </c>
      <c r="N171" s="118">
        <v>5</v>
      </c>
      <c r="O171" s="118">
        <v>8.69</v>
      </c>
      <c r="P171" s="118">
        <v>-142.1</v>
      </c>
      <c r="Q171" s="118">
        <v>28.664999999999999</v>
      </c>
      <c r="R171" s="118">
        <v>0.438</v>
      </c>
      <c r="S171" s="118">
        <v>40.774650000000001</v>
      </c>
      <c r="T171" s="118">
        <v>-85.623630000000006</v>
      </c>
      <c r="U171" s="118">
        <v>228.7</v>
      </c>
      <c r="V171" s="118">
        <v>0</v>
      </c>
      <c r="W171" s="118">
        <v>11.8</v>
      </c>
      <c r="X171" s="118">
        <v>740.5</v>
      </c>
      <c r="Y171" s="118" t="s">
        <v>1866</v>
      </c>
    </row>
    <row r="172" spans="2:25" x14ac:dyDescent="0.25">
      <c r="B172" s="19">
        <v>45142</v>
      </c>
      <c r="C172" s="230">
        <v>0.69452546296296291</v>
      </c>
      <c r="D172" s="118">
        <v>0</v>
      </c>
      <c r="E172" s="118">
        <v>557.70000000000005</v>
      </c>
      <c r="F172" s="118">
        <v>0.33500000000000002</v>
      </c>
      <c r="G172" s="118">
        <v>520.79999999999995</v>
      </c>
      <c r="H172" s="118">
        <v>73.900000000000006</v>
      </c>
      <c r="I172" s="118">
        <v>0.47499999999999998</v>
      </c>
      <c r="J172" s="118">
        <v>0.25</v>
      </c>
      <c r="K172" s="118">
        <v>524.4</v>
      </c>
      <c r="L172" s="118">
        <v>524424</v>
      </c>
      <c r="M172" s="118">
        <v>2.85</v>
      </c>
      <c r="N172" s="118">
        <v>3</v>
      </c>
      <c r="O172" s="118">
        <v>8.74</v>
      </c>
      <c r="P172" s="118">
        <v>-144.80000000000001</v>
      </c>
      <c r="Q172" s="118">
        <v>28.321999999999999</v>
      </c>
      <c r="R172" s="118">
        <v>0.33200000000000002</v>
      </c>
      <c r="S172" s="118">
        <v>40.775500000000001</v>
      </c>
      <c r="T172" s="118">
        <v>-85.606530000000006</v>
      </c>
      <c r="U172" s="118">
        <v>233</v>
      </c>
      <c r="V172" s="118">
        <v>0</v>
      </c>
      <c r="W172" s="118">
        <v>11.8</v>
      </c>
      <c r="X172" s="118">
        <v>740.5</v>
      </c>
      <c r="Y172" s="118" t="s">
        <v>1867</v>
      </c>
    </row>
    <row r="173" spans="2:25" x14ac:dyDescent="0.25">
      <c r="B173" s="19">
        <v>45142</v>
      </c>
      <c r="C173" s="230">
        <v>0.70844907407407409</v>
      </c>
      <c r="D173" s="118">
        <v>0</v>
      </c>
      <c r="E173" s="118">
        <v>537.29999999999995</v>
      </c>
      <c r="F173" s="118">
        <v>0.46100000000000002</v>
      </c>
      <c r="G173" s="118">
        <v>500.9</v>
      </c>
      <c r="H173" s="118">
        <v>58.6</v>
      </c>
      <c r="I173" s="118">
        <v>0.65300000000000002</v>
      </c>
      <c r="J173" s="118">
        <v>0.24</v>
      </c>
      <c r="K173" s="118">
        <v>504.5</v>
      </c>
      <c r="L173" s="118">
        <v>504501</v>
      </c>
      <c r="M173" s="118">
        <v>5.44</v>
      </c>
      <c r="N173" s="118">
        <v>13</v>
      </c>
      <c r="O173" s="118">
        <v>8.89</v>
      </c>
      <c r="P173" s="118">
        <v>-153.4</v>
      </c>
      <c r="Q173" s="118">
        <v>28.395</v>
      </c>
      <c r="R173" s="118">
        <v>0.47399999999999998</v>
      </c>
      <c r="S173" s="118">
        <v>40.77534</v>
      </c>
      <c r="T173" s="118">
        <v>-85.581630000000004</v>
      </c>
      <c r="U173" s="118">
        <v>233.2</v>
      </c>
      <c r="V173" s="118">
        <v>0</v>
      </c>
      <c r="W173" s="118">
        <v>11.8</v>
      </c>
      <c r="X173" s="118">
        <v>740.5</v>
      </c>
      <c r="Y173" s="118" t="s">
        <v>1868</v>
      </c>
    </row>
    <row r="174" spans="2:25" x14ac:dyDescent="0.25">
      <c r="B174" s="19">
        <v>45142</v>
      </c>
      <c r="C174" s="230">
        <v>0.71996527777777775</v>
      </c>
      <c r="D174" s="118">
        <v>0</v>
      </c>
      <c r="E174" s="118">
        <v>555.79999999999995</v>
      </c>
      <c r="F174" s="118">
        <v>0.35</v>
      </c>
      <c r="G174" s="118">
        <v>510.9</v>
      </c>
      <c r="H174" s="118">
        <v>66.599999999999994</v>
      </c>
      <c r="I174" s="118">
        <v>0.496</v>
      </c>
      <c r="J174" s="118">
        <v>0.25</v>
      </c>
      <c r="K174" s="118">
        <v>515.4</v>
      </c>
      <c r="L174" s="118">
        <v>515370</v>
      </c>
      <c r="M174" s="118">
        <v>3.55</v>
      </c>
      <c r="N174" s="118">
        <v>6</v>
      </c>
      <c r="O174" s="118">
        <v>8.8000000000000007</v>
      </c>
      <c r="P174" s="118">
        <v>-148.30000000000001</v>
      </c>
      <c r="Q174" s="118">
        <v>29.105</v>
      </c>
      <c r="R174" s="118">
        <v>0.33100000000000002</v>
      </c>
      <c r="S174" s="118">
        <v>40.767949999999999</v>
      </c>
      <c r="T174" s="118">
        <v>-85.597759999999994</v>
      </c>
      <c r="U174" s="118">
        <v>230.1</v>
      </c>
      <c r="V174" s="118">
        <v>0</v>
      </c>
      <c r="W174" s="118">
        <v>11.8</v>
      </c>
      <c r="X174" s="118">
        <v>740.4</v>
      </c>
      <c r="Y174" s="118" t="s">
        <v>1869</v>
      </c>
    </row>
    <row r="175" spans="2:25" x14ac:dyDescent="0.25">
      <c r="B175" s="19">
        <v>45142</v>
      </c>
      <c r="C175" s="230">
        <v>0.72862268518518514</v>
      </c>
      <c r="D175" s="118">
        <v>0</v>
      </c>
      <c r="E175" s="118">
        <v>567.70000000000005</v>
      </c>
      <c r="F175" s="118">
        <v>0.33200000000000002</v>
      </c>
      <c r="G175" s="118">
        <v>514.4</v>
      </c>
      <c r="H175" s="118">
        <v>72.8</v>
      </c>
      <c r="I175" s="118">
        <v>0.47099999999999997</v>
      </c>
      <c r="J175" s="118">
        <v>0.25</v>
      </c>
      <c r="K175" s="118">
        <v>519.70000000000005</v>
      </c>
      <c r="L175" s="118">
        <v>519672</v>
      </c>
      <c r="M175" s="118">
        <v>3.81</v>
      </c>
      <c r="N175" s="118">
        <v>7</v>
      </c>
      <c r="O175" s="118">
        <v>8.76</v>
      </c>
      <c r="P175" s="118">
        <v>-146.4</v>
      </c>
      <c r="Q175" s="118">
        <v>29.841000000000001</v>
      </c>
      <c r="R175" s="118">
        <v>0.34599999999999997</v>
      </c>
      <c r="S175" s="118">
        <v>40.756860000000003</v>
      </c>
      <c r="T175" s="118">
        <v>-85.595489999999998</v>
      </c>
      <c r="U175" s="118">
        <v>232.9</v>
      </c>
      <c r="V175" s="118">
        <v>0</v>
      </c>
      <c r="W175" s="118">
        <v>11.8</v>
      </c>
      <c r="X175" s="118">
        <v>740.5</v>
      </c>
      <c r="Y175" s="118" t="s">
        <v>1870</v>
      </c>
    </row>
    <row r="176" spans="2:25" x14ac:dyDescent="0.25">
      <c r="B176" s="19">
        <v>45142</v>
      </c>
      <c r="C176" s="230">
        <v>0.73707175925925927</v>
      </c>
      <c r="D176" s="118">
        <v>0</v>
      </c>
      <c r="E176" s="118">
        <v>556.29999999999995</v>
      </c>
      <c r="F176" s="118">
        <v>0.34899999999999998</v>
      </c>
      <c r="G176" s="118">
        <v>511.6</v>
      </c>
      <c r="H176" s="118">
        <v>78.5</v>
      </c>
      <c r="I176" s="118">
        <v>0.49399999999999999</v>
      </c>
      <c r="J176" s="118">
        <v>0.25</v>
      </c>
      <c r="K176" s="118">
        <v>516</v>
      </c>
      <c r="L176" s="118">
        <v>516039</v>
      </c>
      <c r="M176" s="118">
        <v>6.1</v>
      </c>
      <c r="N176" s="118">
        <v>15</v>
      </c>
      <c r="O176" s="118">
        <v>8.92</v>
      </c>
      <c r="P176" s="118">
        <v>-155.30000000000001</v>
      </c>
      <c r="Q176" s="118">
        <v>29.079000000000001</v>
      </c>
      <c r="R176" s="118">
        <v>0.35899999999999999</v>
      </c>
      <c r="S176" s="118">
        <v>40.755549999999999</v>
      </c>
      <c r="T176" s="118">
        <v>-85.582579999999993</v>
      </c>
      <c r="U176" s="118">
        <v>231.6</v>
      </c>
      <c r="V176" s="118">
        <v>0</v>
      </c>
      <c r="W176" s="118">
        <v>11.9</v>
      </c>
      <c r="X176" s="118">
        <v>740.5</v>
      </c>
      <c r="Y176" s="118" t="s">
        <v>1871</v>
      </c>
    </row>
    <row r="177" spans="2:29" x14ac:dyDescent="0.25">
      <c r="B177" s="19">
        <v>45142</v>
      </c>
      <c r="C177" s="230">
        <v>0.74732638888888892</v>
      </c>
      <c r="D177" s="118">
        <v>0</v>
      </c>
      <c r="E177" s="118">
        <v>586.70000000000005</v>
      </c>
      <c r="F177" s="118">
        <v>0.42899999999999999</v>
      </c>
      <c r="G177" s="118">
        <v>529.4</v>
      </c>
      <c r="H177" s="118">
        <v>68.599999999999994</v>
      </c>
      <c r="I177" s="118">
        <v>0.60799999999999998</v>
      </c>
      <c r="J177" s="118">
        <v>0.26</v>
      </c>
      <c r="K177" s="118">
        <v>535.20000000000005</v>
      </c>
      <c r="L177" s="118">
        <v>535164</v>
      </c>
      <c r="M177" s="118">
        <v>8.1</v>
      </c>
      <c r="N177" s="118">
        <v>21</v>
      </c>
      <c r="O177" s="118">
        <v>8.8699999999999992</v>
      </c>
      <c r="P177" s="118">
        <v>-152.6</v>
      </c>
      <c r="Q177" s="118">
        <v>30.042999999999999</v>
      </c>
      <c r="R177" s="118">
        <v>0.42499999999999999</v>
      </c>
      <c r="S177" s="118">
        <v>40.745460000000001</v>
      </c>
      <c r="T177" s="118">
        <v>-85.569689999999994</v>
      </c>
      <c r="U177" s="118">
        <v>229.3</v>
      </c>
      <c r="V177" s="118">
        <v>0</v>
      </c>
      <c r="W177" s="118">
        <v>11.8</v>
      </c>
      <c r="X177" s="118">
        <v>740.5</v>
      </c>
      <c r="Y177" s="118" t="s">
        <v>1872</v>
      </c>
    </row>
    <row r="178" spans="2:29" x14ac:dyDescent="0.25">
      <c r="B178" s="19">
        <v>45142</v>
      </c>
      <c r="C178" s="230">
        <v>0.75601851851851853</v>
      </c>
      <c r="D178" s="118">
        <v>0</v>
      </c>
      <c r="E178" s="118">
        <v>616.9</v>
      </c>
      <c r="F178" s="118">
        <v>0.439</v>
      </c>
      <c r="G178" s="118">
        <v>557.29999999999995</v>
      </c>
      <c r="H178" s="118">
        <v>82.1</v>
      </c>
      <c r="I178" s="118">
        <v>0.622</v>
      </c>
      <c r="J178" s="118">
        <v>0.27</v>
      </c>
      <c r="K178" s="118">
        <v>563.20000000000005</v>
      </c>
      <c r="L178" s="118">
        <v>563215</v>
      </c>
      <c r="M178" s="118">
        <v>18.989999999999998</v>
      </c>
      <c r="N178" s="118">
        <v>49</v>
      </c>
      <c r="O178" s="118">
        <v>8.75</v>
      </c>
      <c r="P178" s="118">
        <v>-145.5</v>
      </c>
      <c r="Q178" s="118">
        <v>29.986999999999998</v>
      </c>
      <c r="R178" s="118">
        <v>0.42099999999999999</v>
      </c>
      <c r="S178" s="118">
        <v>40.747430000000001</v>
      </c>
      <c r="T178" s="118">
        <v>-85.549539999999993</v>
      </c>
      <c r="U178" s="118">
        <v>230.2</v>
      </c>
      <c r="V178" s="118">
        <v>0</v>
      </c>
      <c r="W178" s="118">
        <v>11.8</v>
      </c>
      <c r="X178" s="118">
        <v>740.5</v>
      </c>
      <c r="Y178" s="118" t="s">
        <v>1873</v>
      </c>
    </row>
    <row r="179" spans="2:29" x14ac:dyDescent="0.25">
      <c r="B179" s="118" t="s">
        <v>1788</v>
      </c>
      <c r="C179" s="118" t="s">
        <v>1789</v>
      </c>
      <c r="D179" s="118" t="s">
        <v>1790</v>
      </c>
      <c r="E179" s="118" t="s">
        <v>1791</v>
      </c>
      <c r="F179" s="118" t="s">
        <v>1792</v>
      </c>
      <c r="G179" s="118" t="s">
        <v>1793</v>
      </c>
      <c r="H179" s="118" t="s">
        <v>1703</v>
      </c>
      <c r="I179" s="118" t="s">
        <v>1796</v>
      </c>
      <c r="J179" s="118" t="s">
        <v>1797</v>
      </c>
      <c r="K179" s="118" t="s">
        <v>1798</v>
      </c>
      <c r="L179" s="118" t="s">
        <v>1799</v>
      </c>
      <c r="M179" s="118" t="s">
        <v>1800</v>
      </c>
      <c r="N179" s="118" t="s">
        <v>1801</v>
      </c>
      <c r="O179" s="118" t="s">
        <v>1802</v>
      </c>
      <c r="P179" s="118" t="s">
        <v>1803</v>
      </c>
      <c r="Q179" s="118" t="s">
        <v>1804</v>
      </c>
      <c r="R179" s="118" t="s">
        <v>1805</v>
      </c>
      <c r="S179" s="118" t="s">
        <v>1806</v>
      </c>
      <c r="T179" s="118" t="s">
        <v>1807</v>
      </c>
      <c r="U179" s="118" t="s">
        <v>1808</v>
      </c>
      <c r="V179" s="118" t="s">
        <v>1809</v>
      </c>
      <c r="W179" s="118" t="s">
        <v>1810</v>
      </c>
      <c r="X179" s="118" t="s">
        <v>1811</v>
      </c>
      <c r="Y179" s="118" t="s">
        <v>1711</v>
      </c>
    </row>
    <row r="180" spans="2:29" x14ac:dyDescent="0.25">
      <c r="B180" s="19">
        <v>45205</v>
      </c>
      <c r="C180" s="230">
        <v>0.52192129629629624</v>
      </c>
      <c r="D180" s="118">
        <v>0</v>
      </c>
      <c r="E180" s="118">
        <v>402.6</v>
      </c>
      <c r="F180" s="118">
        <v>0.46100000000000002</v>
      </c>
      <c r="G180" s="118">
        <v>435.2</v>
      </c>
      <c r="H180" s="118">
        <v>190.2</v>
      </c>
      <c r="I180" s="118">
        <v>0.65500000000000003</v>
      </c>
      <c r="J180" s="118">
        <v>0.21</v>
      </c>
      <c r="K180" s="118">
        <v>432.3</v>
      </c>
      <c r="L180" s="118">
        <v>432314</v>
      </c>
      <c r="M180" s="118">
        <v>7.32</v>
      </c>
      <c r="N180" s="118">
        <v>19</v>
      </c>
      <c r="O180" s="118">
        <v>7.87</v>
      </c>
      <c r="P180" s="118">
        <v>-98.9</v>
      </c>
      <c r="Q180" s="118">
        <v>21.399000000000001</v>
      </c>
      <c r="R180" s="118">
        <v>0.46899999999999997</v>
      </c>
      <c r="S180" s="118">
        <v>40.774769999999997</v>
      </c>
      <c r="T180" s="118">
        <v>-85.609669999999994</v>
      </c>
      <c r="U180" s="118">
        <v>727.5</v>
      </c>
      <c r="V180" s="118">
        <v>0</v>
      </c>
      <c r="W180" s="118">
        <v>11.6</v>
      </c>
      <c r="X180" s="118">
        <v>740.4</v>
      </c>
      <c r="Y180" s="118" t="s">
        <v>1867</v>
      </c>
    </row>
    <row r="181" spans="2:29" x14ac:dyDescent="0.25">
      <c r="B181" s="19">
        <v>45205</v>
      </c>
      <c r="C181" s="230">
        <v>0.53688657407407403</v>
      </c>
      <c r="D181" s="118">
        <v>0</v>
      </c>
      <c r="E181" s="118">
        <v>404.7</v>
      </c>
      <c r="F181" s="118">
        <v>0.58899999999999997</v>
      </c>
      <c r="G181" s="118">
        <v>440.6</v>
      </c>
      <c r="H181" s="118">
        <v>150.6</v>
      </c>
      <c r="I181" s="118">
        <v>0.83699999999999997</v>
      </c>
      <c r="J181" s="118">
        <v>0.21</v>
      </c>
      <c r="K181" s="118">
        <v>437.5</v>
      </c>
      <c r="L181" s="118">
        <v>437474</v>
      </c>
      <c r="M181" s="118">
        <v>6.63</v>
      </c>
      <c r="N181" s="118">
        <v>16</v>
      </c>
      <c r="O181" s="118">
        <v>7.89</v>
      </c>
      <c r="P181" s="118">
        <v>-99.9</v>
      </c>
      <c r="Q181" s="118">
        <v>21.082000000000001</v>
      </c>
      <c r="R181" s="118">
        <v>0.63300000000000001</v>
      </c>
      <c r="S181" s="118">
        <v>40.767389999999999</v>
      </c>
      <c r="T181" s="118">
        <v>-85.598849999999999</v>
      </c>
      <c r="U181" s="118">
        <v>223</v>
      </c>
      <c r="V181" s="118">
        <v>0</v>
      </c>
      <c r="W181" s="118">
        <v>11.7</v>
      </c>
      <c r="X181" s="118">
        <v>740.2</v>
      </c>
      <c r="Y181" s="118" t="s">
        <v>1869</v>
      </c>
    </row>
    <row r="182" spans="2:29" x14ac:dyDescent="0.25">
      <c r="B182" s="19">
        <v>45205</v>
      </c>
      <c r="C182" s="230">
        <v>0.55579861111111106</v>
      </c>
      <c r="D182" s="118">
        <v>0</v>
      </c>
      <c r="E182" s="118">
        <v>390.8</v>
      </c>
      <c r="F182" s="118">
        <v>0.751</v>
      </c>
      <c r="G182" s="118">
        <v>423.9</v>
      </c>
      <c r="H182" s="118">
        <v>130.19999999999999</v>
      </c>
      <c r="I182" s="118">
        <v>1.0660000000000001</v>
      </c>
      <c r="J182" s="118">
        <v>0.2</v>
      </c>
      <c r="K182" s="118">
        <v>421.1</v>
      </c>
      <c r="L182" s="118">
        <v>421059</v>
      </c>
      <c r="M182" s="118">
        <v>14.42</v>
      </c>
      <c r="N182" s="118">
        <v>38</v>
      </c>
      <c r="O182" s="118">
        <v>8.17</v>
      </c>
      <c r="P182" s="118">
        <v>-116.4</v>
      </c>
      <c r="Q182" s="118">
        <v>21.242000000000001</v>
      </c>
      <c r="R182" s="118">
        <v>0.753</v>
      </c>
      <c r="S182" s="118">
        <v>40.774639999999998</v>
      </c>
      <c r="T182" s="118">
        <v>-85.581500000000005</v>
      </c>
      <c r="U182" s="118">
        <v>227.9</v>
      </c>
      <c r="V182" s="118">
        <v>0</v>
      </c>
      <c r="W182" s="118">
        <v>11.6</v>
      </c>
      <c r="X182" s="118">
        <v>740.4</v>
      </c>
      <c r="Y182" s="118" t="s">
        <v>1868</v>
      </c>
    </row>
    <row r="183" spans="2:29" x14ac:dyDescent="0.25">
      <c r="B183" s="19">
        <v>45205</v>
      </c>
      <c r="C183" s="230">
        <v>0.57532407407407404</v>
      </c>
      <c r="D183" s="118">
        <v>0</v>
      </c>
      <c r="E183" s="118">
        <v>409.9</v>
      </c>
      <c r="F183" s="118">
        <v>0.57899999999999996</v>
      </c>
      <c r="G183" s="118">
        <v>446.9</v>
      </c>
      <c r="H183" s="118">
        <v>136.80000000000001</v>
      </c>
      <c r="I183" s="118">
        <v>0.82199999999999995</v>
      </c>
      <c r="J183" s="118">
        <v>0.21</v>
      </c>
      <c r="K183" s="118">
        <v>443.7</v>
      </c>
      <c r="L183" s="118">
        <v>443663</v>
      </c>
      <c r="M183" s="118">
        <v>8.34</v>
      </c>
      <c r="N183" s="118">
        <v>22</v>
      </c>
      <c r="O183" s="118">
        <v>7.84</v>
      </c>
      <c r="P183" s="118">
        <v>-97.1</v>
      </c>
      <c r="Q183" s="118">
        <v>21.021000000000001</v>
      </c>
      <c r="R183" s="118">
        <v>0.58399999999999996</v>
      </c>
      <c r="S183" s="118">
        <v>40.757559999999998</v>
      </c>
      <c r="T183" s="118">
        <v>-85.595230000000001</v>
      </c>
      <c r="U183" s="118">
        <v>228.7</v>
      </c>
      <c r="V183" s="118">
        <v>0</v>
      </c>
      <c r="W183" s="118">
        <v>11.7</v>
      </c>
      <c r="X183" s="118">
        <v>740</v>
      </c>
      <c r="Y183" s="118" t="s">
        <v>1870</v>
      </c>
    </row>
    <row r="184" spans="2:29" x14ac:dyDescent="0.25">
      <c r="B184" s="19">
        <v>45205</v>
      </c>
      <c r="C184" s="230">
        <v>0.59804398148148152</v>
      </c>
      <c r="D184" s="118">
        <v>0</v>
      </c>
      <c r="E184" s="118">
        <v>418.6</v>
      </c>
      <c r="F184" s="118">
        <v>0.54100000000000004</v>
      </c>
      <c r="G184" s="118">
        <v>459.3</v>
      </c>
      <c r="H184" s="118">
        <v>137.4</v>
      </c>
      <c r="I184" s="118">
        <v>0.76800000000000002</v>
      </c>
      <c r="J184" s="118">
        <v>0.22</v>
      </c>
      <c r="K184" s="118">
        <v>455.7</v>
      </c>
      <c r="L184" s="118">
        <v>455742</v>
      </c>
      <c r="M184" s="118">
        <v>12.28</v>
      </c>
      <c r="N184" s="118">
        <v>33</v>
      </c>
      <c r="O184" s="118">
        <v>7.64</v>
      </c>
      <c r="P184" s="118">
        <v>-85.3</v>
      </c>
      <c r="Q184" s="118">
        <v>20.731999999999999</v>
      </c>
      <c r="R184" s="118">
        <v>0.55400000000000005</v>
      </c>
      <c r="S184" s="118">
        <v>40.755870000000002</v>
      </c>
      <c r="T184" s="118">
        <v>-85.581239999999994</v>
      </c>
      <c r="U184" s="118">
        <v>240.2</v>
      </c>
      <c r="V184" s="118">
        <v>0</v>
      </c>
      <c r="W184" s="118">
        <v>11.6</v>
      </c>
      <c r="X184" s="118">
        <v>739.5</v>
      </c>
      <c r="Y184" s="118" t="s">
        <v>1871</v>
      </c>
    </row>
    <row r="185" spans="2:29" x14ac:dyDescent="0.25">
      <c r="B185" s="19">
        <v>45205</v>
      </c>
      <c r="C185" s="230">
        <v>0.64804398148148146</v>
      </c>
      <c r="D185" s="118">
        <v>0</v>
      </c>
      <c r="E185" s="118">
        <v>476.9</v>
      </c>
      <c r="F185" s="118">
        <v>0.68200000000000005</v>
      </c>
      <c r="G185" s="118">
        <v>522.70000000000005</v>
      </c>
      <c r="H185" s="118">
        <v>140.9</v>
      </c>
      <c r="I185" s="118">
        <v>0.96799999999999997</v>
      </c>
      <c r="J185" s="118">
        <v>0.25</v>
      </c>
      <c r="K185" s="118">
        <v>518.79999999999995</v>
      </c>
      <c r="L185" s="118">
        <v>518790</v>
      </c>
      <c r="M185" s="118">
        <v>37.72</v>
      </c>
      <c r="N185" s="118">
        <v>76</v>
      </c>
      <c r="O185" s="118">
        <v>8.01</v>
      </c>
      <c r="P185" s="118">
        <v>-107.1</v>
      </c>
      <c r="Q185" s="118">
        <v>20.777000000000001</v>
      </c>
      <c r="R185" s="118">
        <v>0.70399999999999996</v>
      </c>
      <c r="S185" s="118">
        <v>40.746960000000001</v>
      </c>
      <c r="T185" s="118">
        <v>-85.548689999999993</v>
      </c>
      <c r="U185" s="118">
        <v>227.6</v>
      </c>
      <c r="V185" s="118">
        <v>0</v>
      </c>
      <c r="W185" s="118">
        <v>11.8</v>
      </c>
      <c r="X185" s="118">
        <v>739.5</v>
      </c>
      <c r="Y185" s="118" t="s">
        <v>1873</v>
      </c>
    </row>
    <row r="186" spans="2:29" x14ac:dyDescent="0.25">
      <c r="B186" s="19">
        <v>45205</v>
      </c>
      <c r="C186" s="230">
        <v>0.68109953703703707</v>
      </c>
      <c r="D186" s="118">
        <v>0</v>
      </c>
      <c r="E186" s="118">
        <v>402.1</v>
      </c>
      <c r="F186" s="118">
        <v>0.60499999999999998</v>
      </c>
      <c r="G186" s="118">
        <v>432.7</v>
      </c>
      <c r="H186" s="118">
        <v>154.30000000000001</v>
      </c>
      <c r="I186" s="118">
        <v>0.85799999999999998</v>
      </c>
      <c r="J186" s="118">
        <v>0.21</v>
      </c>
      <c r="K186" s="118">
        <v>430</v>
      </c>
      <c r="L186" s="118">
        <v>430033</v>
      </c>
      <c r="M186" s="118">
        <v>8.7799999999999994</v>
      </c>
      <c r="N186" s="118">
        <v>23</v>
      </c>
      <c r="O186" s="118">
        <v>8.23</v>
      </c>
      <c r="P186" s="118">
        <v>-120.4</v>
      </c>
      <c r="Q186" s="118">
        <v>21.597000000000001</v>
      </c>
      <c r="R186" s="118">
        <v>0.626</v>
      </c>
      <c r="S186" s="118">
        <v>40.775010000000002</v>
      </c>
      <c r="T186" s="118">
        <v>-85.623490000000004</v>
      </c>
      <c r="U186" s="118">
        <v>227.6</v>
      </c>
      <c r="V186" s="118">
        <v>0</v>
      </c>
      <c r="W186" s="118">
        <v>11.8</v>
      </c>
      <c r="X186" s="118">
        <v>739.4</v>
      </c>
      <c r="Y186" s="118" t="s">
        <v>1866</v>
      </c>
    </row>
    <row r="187" spans="2:29" x14ac:dyDescent="0.25">
      <c r="B187" s="19">
        <v>45205</v>
      </c>
      <c r="C187" s="230">
        <v>0.61163194444444446</v>
      </c>
      <c r="D187" s="118">
        <v>0</v>
      </c>
      <c r="E187" s="118">
        <v>456</v>
      </c>
      <c r="F187" s="118">
        <v>1.45</v>
      </c>
      <c r="G187" s="118">
        <v>497.3</v>
      </c>
      <c r="H187" s="118">
        <v>148.19999999999999</v>
      </c>
      <c r="I187" s="118">
        <v>2.0579999999999998</v>
      </c>
      <c r="J187" s="118">
        <v>0.24</v>
      </c>
      <c r="K187" s="118">
        <v>493.7</v>
      </c>
      <c r="L187" s="118">
        <v>493673</v>
      </c>
      <c r="M187" s="118">
        <v>31.8</v>
      </c>
      <c r="N187" s="118">
        <v>69</v>
      </c>
      <c r="O187" s="118">
        <v>7.76</v>
      </c>
      <c r="P187" s="118">
        <v>-92.6</v>
      </c>
      <c r="Q187" s="118">
        <v>21.006</v>
      </c>
      <c r="R187" s="118">
        <v>1.4670000000000001</v>
      </c>
      <c r="S187" s="118">
        <v>40.746560000000002</v>
      </c>
      <c r="T187" s="118">
        <v>-85.570480000000003</v>
      </c>
      <c r="U187" s="118">
        <v>231.7</v>
      </c>
      <c r="V187" s="118">
        <v>0</v>
      </c>
      <c r="W187" s="118">
        <v>11.7</v>
      </c>
      <c r="X187" s="118">
        <v>739.5</v>
      </c>
      <c r="Y187" s="118" t="s">
        <v>1872</v>
      </c>
    </row>
    <row r="188" spans="2:29" x14ac:dyDescent="0.25">
      <c r="B188" s="118" t="s">
        <v>1684</v>
      </c>
      <c r="C188" s="118" t="s">
        <v>1685</v>
      </c>
      <c r="D188" s="118" t="s">
        <v>1686</v>
      </c>
      <c r="E188" s="118" t="s">
        <v>1687</v>
      </c>
      <c r="F188" s="118" t="s">
        <v>1688</v>
      </c>
      <c r="G188" s="118" t="s">
        <v>1689</v>
      </c>
      <c r="H188" s="118" t="s">
        <v>1690</v>
      </c>
      <c r="I188" s="118" t="s">
        <v>1691</v>
      </c>
      <c r="J188" s="118" t="s">
        <v>1692</v>
      </c>
      <c r="K188" s="118" t="s">
        <v>1693</v>
      </c>
      <c r="L188" s="118" t="s">
        <v>1694</v>
      </c>
      <c r="M188" s="118" t="s">
        <v>1695</v>
      </c>
      <c r="N188" s="118" t="s">
        <v>1696</v>
      </c>
      <c r="O188" s="118" t="s">
        <v>1697</v>
      </c>
      <c r="P188" s="118" t="s">
        <v>1698</v>
      </c>
      <c r="Q188" s="118" t="s">
        <v>1699</v>
      </c>
      <c r="R188" s="118" t="s">
        <v>1700</v>
      </c>
      <c r="S188" s="118" t="s">
        <v>1701</v>
      </c>
      <c r="T188" s="118" t="s">
        <v>1702</v>
      </c>
      <c r="U188" s="118" t="s">
        <v>1703</v>
      </c>
      <c r="V188" s="118" t="s">
        <v>1704</v>
      </c>
      <c r="W188" s="118" t="s">
        <v>1705</v>
      </c>
      <c r="X188" s="118" t="s">
        <v>1706</v>
      </c>
      <c r="Y188" s="118" t="s">
        <v>1707</v>
      </c>
      <c r="Z188" s="118" t="s">
        <v>1708</v>
      </c>
      <c r="AA188" s="118" t="s">
        <v>1709</v>
      </c>
      <c r="AB188" s="118" t="s">
        <v>1710</v>
      </c>
      <c r="AC188" s="118" t="s">
        <v>1711</v>
      </c>
    </row>
    <row r="189" spans="2:29" x14ac:dyDescent="0.25">
      <c r="B189" s="188">
        <v>0.63761574074074079</v>
      </c>
      <c r="C189" s="19">
        <v>45040</v>
      </c>
      <c r="D189" s="118">
        <v>230424</v>
      </c>
      <c r="E189" s="118">
        <v>0</v>
      </c>
      <c r="F189" s="118">
        <v>749.2</v>
      </c>
      <c r="G189" s="118">
        <v>475.8</v>
      </c>
      <c r="H189" s="118">
        <v>623.20000000000005</v>
      </c>
      <c r="I189" s="118">
        <v>623198</v>
      </c>
      <c r="J189" s="118">
        <v>0.3</v>
      </c>
      <c r="K189" s="118">
        <v>633.79999999999995</v>
      </c>
      <c r="L189" s="118">
        <v>0.54400000000000004</v>
      </c>
      <c r="M189" s="118">
        <v>0.57199999999999995</v>
      </c>
      <c r="N189" s="118">
        <v>0.77400000000000002</v>
      </c>
      <c r="O189" s="118">
        <v>121.8</v>
      </c>
      <c r="P189" s="118">
        <v>12.92</v>
      </c>
      <c r="Q189" s="118">
        <v>123.6</v>
      </c>
      <c r="R189" s="118">
        <v>40.834879999999998</v>
      </c>
      <c r="S189" s="118">
        <v>-86.807770000000005</v>
      </c>
      <c r="T189" s="118">
        <v>192.7</v>
      </c>
      <c r="U189" s="118">
        <v>230.7</v>
      </c>
      <c r="V189" s="118">
        <v>8.2799999999999994</v>
      </c>
      <c r="W189" s="118">
        <v>-98</v>
      </c>
      <c r="X189" s="118">
        <v>11.7</v>
      </c>
      <c r="Y189" s="118">
        <v>0</v>
      </c>
      <c r="Z189" s="118">
        <v>12.612</v>
      </c>
      <c r="AA189" s="118">
        <v>5.84</v>
      </c>
      <c r="AB189" s="118">
        <v>0</v>
      </c>
      <c r="AC189" s="118" t="s">
        <v>1875</v>
      </c>
    </row>
    <row r="190" spans="2:29" x14ac:dyDescent="0.25">
      <c r="B190" s="188">
        <v>0.64692129629629624</v>
      </c>
      <c r="C190" s="19">
        <v>45040</v>
      </c>
      <c r="D190" s="118">
        <v>230424</v>
      </c>
      <c r="E190" s="118">
        <v>0</v>
      </c>
      <c r="F190" s="118">
        <v>749</v>
      </c>
      <c r="G190" s="118">
        <v>468.3</v>
      </c>
      <c r="H190" s="118">
        <v>640.1</v>
      </c>
      <c r="I190" s="118">
        <v>640147</v>
      </c>
      <c r="J190" s="118">
        <v>0.31</v>
      </c>
      <c r="K190" s="118">
        <v>651.4</v>
      </c>
      <c r="L190" s="118">
        <v>0.49299999999999999</v>
      </c>
      <c r="M190" s="118">
        <v>0.48799999999999999</v>
      </c>
      <c r="N190" s="118">
        <v>0.70099999999999996</v>
      </c>
      <c r="O190" s="118">
        <v>112.1</v>
      </c>
      <c r="P190" s="118">
        <v>12.35</v>
      </c>
      <c r="Q190" s="118">
        <v>113.8</v>
      </c>
      <c r="R190" s="118">
        <v>40.840789999999998</v>
      </c>
      <c r="S190" s="118">
        <v>-86.804919999999996</v>
      </c>
      <c r="T190" s="118">
        <v>191.9</v>
      </c>
      <c r="U190" s="118">
        <v>164.5</v>
      </c>
      <c r="V190" s="118">
        <v>8.52</v>
      </c>
      <c r="W190" s="118">
        <v>-110.4</v>
      </c>
      <c r="X190" s="118">
        <v>11.8</v>
      </c>
      <c r="Y190" s="118">
        <v>0</v>
      </c>
      <c r="Z190" s="118">
        <v>10.948</v>
      </c>
      <c r="AA190" s="118">
        <v>4.66</v>
      </c>
      <c r="AB190" s="118">
        <v>0</v>
      </c>
      <c r="AC190" s="118" t="s">
        <v>1876</v>
      </c>
    </row>
    <row r="191" spans="2:29" x14ac:dyDescent="0.25">
      <c r="B191" s="188">
        <v>0.65559027777777779</v>
      </c>
      <c r="C191" s="19">
        <v>45040</v>
      </c>
      <c r="D191" s="118">
        <v>230424</v>
      </c>
      <c r="E191" s="118">
        <v>0</v>
      </c>
      <c r="F191" s="118">
        <v>749</v>
      </c>
      <c r="G191" s="118">
        <v>465.5</v>
      </c>
      <c r="H191" s="118">
        <v>667.4</v>
      </c>
      <c r="I191" s="118">
        <v>667391</v>
      </c>
      <c r="J191" s="118">
        <v>0.33</v>
      </c>
      <c r="K191" s="118">
        <v>679.2</v>
      </c>
      <c r="L191" s="118">
        <v>0.53900000000000003</v>
      </c>
      <c r="M191" s="118">
        <v>0.52700000000000002</v>
      </c>
      <c r="N191" s="118">
        <v>0.76700000000000002</v>
      </c>
      <c r="O191" s="118">
        <v>135</v>
      </c>
      <c r="P191" s="118">
        <v>15.52</v>
      </c>
      <c r="Q191" s="118">
        <v>137</v>
      </c>
      <c r="R191" s="118">
        <v>40.842820000000003</v>
      </c>
      <c r="S191" s="118">
        <v>-86.816339999999997</v>
      </c>
      <c r="T191" s="118">
        <v>193.2</v>
      </c>
      <c r="U191" s="118">
        <v>192.4</v>
      </c>
      <c r="V191" s="118">
        <v>8.52</v>
      </c>
      <c r="W191" s="118">
        <v>-109.7</v>
      </c>
      <c r="X191" s="118">
        <v>11.8</v>
      </c>
      <c r="Y191" s="118">
        <v>0</v>
      </c>
      <c r="Z191" s="118">
        <v>9.1660000000000004</v>
      </c>
      <c r="AA191" s="118">
        <v>2.25</v>
      </c>
      <c r="AB191" s="118">
        <v>0</v>
      </c>
      <c r="AC191" s="118" t="s">
        <v>1877</v>
      </c>
    </row>
    <row r="192" spans="2:29" x14ac:dyDescent="0.25">
      <c r="B192" s="188">
        <v>0.66391203703703705</v>
      </c>
      <c r="C192" s="19">
        <v>45040</v>
      </c>
      <c r="D192" s="118">
        <v>230424</v>
      </c>
      <c r="E192" s="118">
        <v>0</v>
      </c>
      <c r="F192" s="118">
        <v>749.2</v>
      </c>
      <c r="G192" s="118">
        <v>455.8</v>
      </c>
      <c r="H192" s="118">
        <v>641.9</v>
      </c>
      <c r="I192" s="118">
        <v>641946</v>
      </c>
      <c r="J192" s="118">
        <v>0.31</v>
      </c>
      <c r="K192" s="118">
        <v>653.29999999999995</v>
      </c>
      <c r="L192" s="118">
        <v>0.501</v>
      </c>
      <c r="M192" s="118">
        <v>0.51200000000000001</v>
      </c>
      <c r="N192" s="118">
        <v>0.71199999999999997</v>
      </c>
      <c r="O192" s="118">
        <v>100.3</v>
      </c>
      <c r="P192" s="118">
        <v>11.35</v>
      </c>
      <c r="Q192" s="118">
        <v>101.8</v>
      </c>
      <c r="R192" s="118">
        <v>40.847239999999999</v>
      </c>
      <c r="S192" s="118">
        <v>-86.81371</v>
      </c>
      <c r="T192" s="118">
        <v>193.6</v>
      </c>
      <c r="U192" s="118">
        <v>204.8</v>
      </c>
      <c r="V192" s="118">
        <v>8.3800000000000008</v>
      </c>
      <c r="W192" s="118">
        <v>-102.7</v>
      </c>
      <c r="X192" s="118">
        <v>11.7</v>
      </c>
      <c r="Y192" s="118">
        <v>0</v>
      </c>
      <c r="Z192" s="118">
        <v>9.8170000000000002</v>
      </c>
      <c r="AA192" s="118">
        <v>3.14</v>
      </c>
      <c r="AB192" s="118">
        <v>0</v>
      </c>
      <c r="AC192" s="118" t="s">
        <v>1878</v>
      </c>
    </row>
    <row r="193" spans="2:29" x14ac:dyDescent="0.25">
      <c r="B193" s="188">
        <v>0.68280092592592589</v>
      </c>
      <c r="C193" s="19">
        <v>45040</v>
      </c>
      <c r="D193" s="118">
        <v>230424</v>
      </c>
      <c r="E193" s="118">
        <v>0</v>
      </c>
      <c r="F193" s="118">
        <v>749</v>
      </c>
      <c r="G193" s="118">
        <v>477.6</v>
      </c>
      <c r="H193" s="118">
        <v>618.20000000000005</v>
      </c>
      <c r="I193" s="118">
        <v>618193</v>
      </c>
      <c r="J193" s="118">
        <v>0.3</v>
      </c>
      <c r="K193" s="118">
        <v>628.5</v>
      </c>
      <c r="L193" s="118">
        <v>0.51100000000000001</v>
      </c>
      <c r="M193" s="118">
        <v>0.51700000000000002</v>
      </c>
      <c r="N193" s="118">
        <v>0.72599999999999998</v>
      </c>
      <c r="O193" s="118">
        <v>117.3</v>
      </c>
      <c r="P193" s="118">
        <v>12.32</v>
      </c>
      <c r="Q193" s="118">
        <v>119.1</v>
      </c>
      <c r="R193" s="118">
        <v>40.82403</v>
      </c>
      <c r="S193" s="118">
        <v>-86.795940000000002</v>
      </c>
      <c r="T193" s="118">
        <v>192.2</v>
      </c>
      <c r="U193" s="118">
        <v>165.8</v>
      </c>
      <c r="V193" s="118">
        <v>8.3699999999999992</v>
      </c>
      <c r="W193" s="118">
        <v>-103</v>
      </c>
      <c r="X193" s="118">
        <v>11.8</v>
      </c>
      <c r="Y193" s="118">
        <v>0</v>
      </c>
      <c r="Z193" s="118">
        <v>13.089</v>
      </c>
      <c r="AA193" s="118">
        <v>5.6</v>
      </c>
      <c r="AB193" s="118">
        <v>0</v>
      </c>
      <c r="AC193" s="118" t="s">
        <v>1735</v>
      </c>
    </row>
    <row r="194" spans="2:29" x14ac:dyDescent="0.25">
      <c r="B194" s="188">
        <v>0.70373842592592595</v>
      </c>
      <c r="C194" s="19">
        <v>45040</v>
      </c>
      <c r="D194" s="118">
        <v>230424</v>
      </c>
      <c r="E194" s="118">
        <v>0</v>
      </c>
      <c r="F194" s="118">
        <v>748.8</v>
      </c>
      <c r="G194" s="118">
        <v>455.2</v>
      </c>
      <c r="H194" s="118">
        <v>627.79999999999995</v>
      </c>
      <c r="I194" s="118">
        <v>627760</v>
      </c>
      <c r="J194" s="118">
        <v>0.31</v>
      </c>
      <c r="K194" s="118">
        <v>638.9</v>
      </c>
      <c r="L194" s="118">
        <v>0.52900000000000003</v>
      </c>
      <c r="M194" s="118">
        <v>0.504</v>
      </c>
      <c r="N194" s="118">
        <v>0.752</v>
      </c>
      <c r="O194" s="118">
        <v>95.6</v>
      </c>
      <c r="P194" s="118">
        <v>10.62</v>
      </c>
      <c r="Q194" s="118">
        <v>97</v>
      </c>
      <c r="R194" s="118">
        <v>40.823160000000001</v>
      </c>
      <c r="S194" s="118">
        <v>-86.791169999999994</v>
      </c>
      <c r="T194" s="118">
        <v>191.2</v>
      </c>
      <c r="U194" s="118">
        <v>177.2</v>
      </c>
      <c r="V194" s="118">
        <v>8.34</v>
      </c>
      <c r="W194" s="118">
        <v>-101</v>
      </c>
      <c r="X194" s="118">
        <v>11.8</v>
      </c>
      <c r="Y194" s="118">
        <v>0</v>
      </c>
      <c r="Z194" s="118">
        <v>10.611000000000001</v>
      </c>
      <c r="AA194" s="118">
        <v>2.78</v>
      </c>
      <c r="AB194" s="118">
        <v>0</v>
      </c>
      <c r="AC194" s="118" t="s">
        <v>1879</v>
      </c>
    </row>
    <row r="195" spans="2:29" x14ac:dyDescent="0.25">
      <c r="B195" s="188">
        <v>0.71376157407407403</v>
      </c>
      <c r="C195" s="19">
        <v>45040</v>
      </c>
      <c r="D195" s="118">
        <v>230424</v>
      </c>
      <c r="E195" s="118">
        <v>0</v>
      </c>
      <c r="F195" s="118">
        <v>748.7</v>
      </c>
      <c r="G195" s="118">
        <v>454.7</v>
      </c>
      <c r="H195" s="118">
        <v>624.1</v>
      </c>
      <c r="I195" s="118">
        <v>624058</v>
      </c>
      <c r="J195" s="118">
        <v>0.31</v>
      </c>
      <c r="K195" s="118">
        <v>635.1</v>
      </c>
      <c r="L195" s="118">
        <v>0.51400000000000001</v>
      </c>
      <c r="M195" s="118">
        <v>0.51400000000000001</v>
      </c>
      <c r="N195" s="118">
        <v>0.73099999999999998</v>
      </c>
      <c r="O195" s="118">
        <v>94.3</v>
      </c>
      <c r="P195" s="118">
        <v>10.42</v>
      </c>
      <c r="Q195" s="118">
        <v>95.7</v>
      </c>
      <c r="R195" s="118">
        <v>40.809220000000003</v>
      </c>
      <c r="S195" s="118">
        <v>-86.790869999999998</v>
      </c>
      <c r="T195" s="118">
        <v>191</v>
      </c>
      <c r="U195" s="118">
        <v>197.8</v>
      </c>
      <c r="V195" s="118">
        <v>8.3000000000000007</v>
      </c>
      <c r="W195" s="118">
        <v>-98.7</v>
      </c>
      <c r="X195" s="118">
        <v>11.7</v>
      </c>
      <c r="Y195" s="118">
        <v>0</v>
      </c>
      <c r="Z195" s="118">
        <v>10.795</v>
      </c>
      <c r="AA195" s="118">
        <v>2.8</v>
      </c>
      <c r="AB195" s="118">
        <v>0</v>
      </c>
      <c r="AC195" s="118" t="s">
        <v>1880</v>
      </c>
    </row>
    <row r="196" spans="2:29" x14ac:dyDescent="0.25">
      <c r="B196" s="188">
        <v>0.72</v>
      </c>
      <c r="C196" s="19">
        <v>45040</v>
      </c>
      <c r="D196" s="118">
        <v>230424</v>
      </c>
      <c r="E196" s="118">
        <v>0</v>
      </c>
      <c r="F196" s="118">
        <v>748.6</v>
      </c>
      <c r="G196" s="118">
        <v>457</v>
      </c>
      <c r="H196" s="118">
        <v>624.5</v>
      </c>
      <c r="I196" s="118">
        <v>624480</v>
      </c>
      <c r="J196" s="118">
        <v>0.31</v>
      </c>
      <c r="K196" s="118">
        <v>635.5</v>
      </c>
      <c r="L196" s="118">
        <v>0.53100000000000003</v>
      </c>
      <c r="M196" s="118">
        <v>0.66100000000000003</v>
      </c>
      <c r="N196" s="118">
        <v>0.755</v>
      </c>
      <c r="O196" s="118">
        <v>93.6</v>
      </c>
      <c r="P196" s="118">
        <v>10.31</v>
      </c>
      <c r="Q196" s="118">
        <v>95</v>
      </c>
      <c r="R196" s="118">
        <v>40.809040000000003</v>
      </c>
      <c r="S196" s="118">
        <v>-86.793700000000001</v>
      </c>
      <c r="T196" s="118">
        <v>197.6</v>
      </c>
      <c r="U196" s="118">
        <v>209.3</v>
      </c>
      <c r="V196" s="118">
        <v>8.25</v>
      </c>
      <c r="W196" s="118">
        <v>-96</v>
      </c>
      <c r="X196" s="118">
        <v>11.8</v>
      </c>
      <c r="Y196" s="118">
        <v>0</v>
      </c>
      <c r="Z196" s="118">
        <v>10.962</v>
      </c>
      <c r="AA196" s="118">
        <v>2.95</v>
      </c>
      <c r="AB196" s="118">
        <v>0</v>
      </c>
      <c r="AC196" s="118" t="s">
        <v>1737</v>
      </c>
    </row>
    <row r="197" spans="2:29" x14ac:dyDescent="0.25">
      <c r="B197" s="188">
        <v>0.73109953703703701</v>
      </c>
      <c r="C197" s="19">
        <v>45040</v>
      </c>
      <c r="D197" s="118">
        <v>230424</v>
      </c>
      <c r="E197" s="118">
        <v>0</v>
      </c>
      <c r="F197" s="118">
        <v>748.4</v>
      </c>
      <c r="G197" s="118">
        <v>459.8</v>
      </c>
      <c r="H197" s="118">
        <v>625.4</v>
      </c>
      <c r="I197" s="118">
        <v>625365</v>
      </c>
      <c r="J197" s="118">
        <v>0.31</v>
      </c>
      <c r="K197" s="118">
        <v>636.29999999999995</v>
      </c>
      <c r="L197" s="118">
        <v>0.48299999999999998</v>
      </c>
      <c r="M197" s="118">
        <v>0.52600000000000002</v>
      </c>
      <c r="N197" s="118">
        <v>0.68700000000000006</v>
      </c>
      <c r="O197" s="118">
        <v>92.2</v>
      </c>
      <c r="P197" s="118">
        <v>10.119999999999999</v>
      </c>
      <c r="Q197" s="118">
        <v>93.6</v>
      </c>
      <c r="R197" s="118">
        <v>40.803840000000001</v>
      </c>
      <c r="S197" s="118">
        <v>-86.776250000000005</v>
      </c>
      <c r="T197" s="118">
        <v>197.7</v>
      </c>
      <c r="U197" s="118">
        <v>192.7</v>
      </c>
      <c r="V197" s="118">
        <v>8.2899999999999991</v>
      </c>
      <c r="W197" s="118">
        <v>-98.5</v>
      </c>
      <c r="X197" s="118">
        <v>11.8</v>
      </c>
      <c r="Y197" s="118">
        <v>0</v>
      </c>
      <c r="Z197" s="118">
        <v>11.137</v>
      </c>
      <c r="AA197" s="118">
        <v>3.38</v>
      </c>
      <c r="AB197" s="118">
        <v>0</v>
      </c>
      <c r="AC197" s="118" t="s">
        <v>1739</v>
      </c>
    </row>
    <row r="198" spans="2:29" x14ac:dyDescent="0.25">
      <c r="B198" s="188">
        <v>0.74212962962962958</v>
      </c>
      <c r="C198" s="19">
        <v>45040</v>
      </c>
      <c r="D198" s="118">
        <v>230424</v>
      </c>
      <c r="E198" s="118">
        <v>0</v>
      </c>
      <c r="F198" s="118">
        <v>748.3</v>
      </c>
      <c r="G198" s="118">
        <v>467.3</v>
      </c>
      <c r="H198" s="118">
        <v>623.70000000000005</v>
      </c>
      <c r="I198" s="118">
        <v>623705</v>
      </c>
      <c r="J198" s="118">
        <v>0.31</v>
      </c>
      <c r="K198" s="118">
        <v>634.5</v>
      </c>
      <c r="L198" s="118">
        <v>0.47199999999999998</v>
      </c>
      <c r="M198" s="118">
        <v>0.49099999999999999</v>
      </c>
      <c r="N198" s="118">
        <v>0.67100000000000004</v>
      </c>
      <c r="O198" s="118">
        <v>93.3</v>
      </c>
      <c r="P198" s="118">
        <v>10.07</v>
      </c>
      <c r="Q198" s="118">
        <v>94.7</v>
      </c>
      <c r="R198" s="118">
        <v>40.794370000000001</v>
      </c>
      <c r="S198" s="118">
        <v>-86.772639999999996</v>
      </c>
      <c r="T198" s="118">
        <v>191.3</v>
      </c>
      <c r="U198" s="118">
        <v>214.2</v>
      </c>
      <c r="V198" s="118">
        <v>8.27</v>
      </c>
      <c r="W198" s="118">
        <v>-97.1</v>
      </c>
      <c r="X198" s="118">
        <v>11.8</v>
      </c>
      <c r="Y198" s="118">
        <v>0</v>
      </c>
      <c r="Z198" s="118">
        <v>11.87</v>
      </c>
      <c r="AA198" s="118">
        <v>4.51</v>
      </c>
      <c r="AB198" s="118">
        <v>0</v>
      </c>
      <c r="AC198" s="118" t="s">
        <v>1741</v>
      </c>
    </row>
    <row r="199" spans="2:29" x14ac:dyDescent="0.25">
      <c r="B199" s="188">
        <v>0.7518055555555555</v>
      </c>
      <c r="C199" s="19">
        <v>45040</v>
      </c>
      <c r="D199" s="118">
        <v>230424</v>
      </c>
      <c r="E199" s="118">
        <v>0</v>
      </c>
      <c r="F199" s="118">
        <v>748.2</v>
      </c>
      <c r="G199" s="118">
        <v>480.3</v>
      </c>
      <c r="H199" s="118">
        <v>622.6</v>
      </c>
      <c r="I199" s="118">
        <v>622595</v>
      </c>
      <c r="J199" s="118">
        <v>0.3</v>
      </c>
      <c r="K199" s="118">
        <v>633</v>
      </c>
      <c r="L199" s="118">
        <v>0.50600000000000001</v>
      </c>
      <c r="M199" s="118">
        <v>0.51300000000000001</v>
      </c>
      <c r="N199" s="118">
        <v>0.71899999999999997</v>
      </c>
      <c r="O199" s="118">
        <v>97.8</v>
      </c>
      <c r="P199" s="118">
        <v>10.28</v>
      </c>
      <c r="Q199" s="118">
        <v>99.3</v>
      </c>
      <c r="R199" s="118">
        <v>40.786769999999997</v>
      </c>
      <c r="S199" s="118">
        <v>-86.770709999999994</v>
      </c>
      <c r="T199" s="118">
        <v>195.8</v>
      </c>
      <c r="U199" s="118">
        <v>206.6</v>
      </c>
      <c r="V199" s="118">
        <v>8.3000000000000007</v>
      </c>
      <c r="W199" s="118">
        <v>-99.4</v>
      </c>
      <c r="X199" s="118">
        <v>11.8</v>
      </c>
      <c r="Y199" s="118">
        <v>0</v>
      </c>
      <c r="Z199" s="118">
        <v>13.03</v>
      </c>
      <c r="AA199" s="118">
        <v>4.05</v>
      </c>
      <c r="AB199" s="118">
        <v>0</v>
      </c>
      <c r="AC199" s="118" t="s">
        <v>1742</v>
      </c>
    </row>
    <row r="200" spans="2:29" x14ac:dyDescent="0.25">
      <c r="B200" s="188">
        <v>0.76126157407407402</v>
      </c>
      <c r="C200" s="19">
        <v>45040</v>
      </c>
      <c r="D200" s="118">
        <v>230424</v>
      </c>
      <c r="E200" s="118">
        <v>0</v>
      </c>
      <c r="F200" s="118">
        <v>748</v>
      </c>
      <c r="G200" s="118">
        <v>477.3</v>
      </c>
      <c r="H200" s="118">
        <v>622.79999999999995</v>
      </c>
      <c r="I200" s="118">
        <v>622819</v>
      </c>
      <c r="J200" s="118">
        <v>0.3</v>
      </c>
      <c r="K200" s="118">
        <v>633.29999999999995</v>
      </c>
      <c r="L200" s="118">
        <v>0.503</v>
      </c>
      <c r="M200" s="118">
        <v>0.46700000000000003</v>
      </c>
      <c r="N200" s="118">
        <v>0.71499999999999997</v>
      </c>
      <c r="O200" s="118">
        <v>92.1</v>
      </c>
      <c r="P200" s="118">
        <v>9.73</v>
      </c>
      <c r="Q200" s="118">
        <v>93.4</v>
      </c>
      <c r="R200" s="118">
        <v>40.781860000000002</v>
      </c>
      <c r="S200" s="118">
        <v>-86.760980000000004</v>
      </c>
      <c r="T200" s="118">
        <v>188.1</v>
      </c>
      <c r="U200" s="118">
        <v>210.2</v>
      </c>
      <c r="V200" s="118">
        <v>8.1999999999999993</v>
      </c>
      <c r="W200" s="118">
        <v>-93.9</v>
      </c>
      <c r="X200" s="118">
        <v>11.8</v>
      </c>
      <c r="Y200" s="118">
        <v>0</v>
      </c>
      <c r="Z200" s="118">
        <v>12.763999999999999</v>
      </c>
      <c r="AA200" s="118">
        <v>4.68</v>
      </c>
      <c r="AB200" s="118">
        <v>0</v>
      </c>
      <c r="AC200" s="118" t="s">
        <v>1743</v>
      </c>
    </row>
    <row r="201" spans="2:29" x14ac:dyDescent="0.25">
      <c r="B201" s="118" t="s">
        <v>1788</v>
      </c>
      <c r="C201" s="118" t="s">
        <v>1789</v>
      </c>
      <c r="D201" s="118" t="s">
        <v>1790</v>
      </c>
      <c r="E201" s="118" t="s">
        <v>1791</v>
      </c>
      <c r="F201" s="118" t="s">
        <v>1792</v>
      </c>
      <c r="G201" s="118" t="s">
        <v>1793</v>
      </c>
      <c r="H201" s="118" t="s">
        <v>1794</v>
      </c>
      <c r="I201" s="118" t="s">
        <v>1699</v>
      </c>
      <c r="J201" s="118" t="s">
        <v>1795</v>
      </c>
      <c r="K201" s="118" t="s">
        <v>1703</v>
      </c>
      <c r="L201" s="118" t="s">
        <v>1796</v>
      </c>
      <c r="M201" s="118" t="s">
        <v>1797</v>
      </c>
      <c r="N201" s="118" t="s">
        <v>1798</v>
      </c>
      <c r="O201" s="118" t="s">
        <v>1799</v>
      </c>
      <c r="P201" s="118" t="s">
        <v>1800</v>
      </c>
      <c r="Q201" s="118" t="s">
        <v>1801</v>
      </c>
      <c r="R201" s="118" t="s">
        <v>1802</v>
      </c>
      <c r="S201" s="118" t="s">
        <v>1803</v>
      </c>
      <c r="T201" s="118" t="s">
        <v>1804</v>
      </c>
      <c r="U201" s="118" t="s">
        <v>1805</v>
      </c>
      <c r="V201" s="118" t="s">
        <v>1806</v>
      </c>
      <c r="W201" s="118" t="s">
        <v>1807</v>
      </c>
      <c r="X201" s="118" t="s">
        <v>1808</v>
      </c>
      <c r="Y201" s="118" t="s">
        <v>1809</v>
      </c>
      <c r="Z201" s="118" t="s">
        <v>1810</v>
      </c>
      <c r="AA201" s="118" t="s">
        <v>1811</v>
      </c>
      <c r="AB201" s="118" t="s">
        <v>1711</v>
      </c>
    </row>
    <row r="202" spans="2:29" x14ac:dyDescent="0.25">
      <c r="B202" s="19">
        <v>45071</v>
      </c>
      <c r="C202" s="230">
        <v>0.59835648148148146</v>
      </c>
      <c r="D202" s="118">
        <v>0</v>
      </c>
      <c r="E202" s="118">
        <v>522.9</v>
      </c>
      <c r="F202" s="118">
        <v>0.56899999999999995</v>
      </c>
      <c r="G202" s="118">
        <v>573.1</v>
      </c>
      <c r="H202" s="118">
        <v>182.1</v>
      </c>
      <c r="I202" s="118">
        <v>184.7</v>
      </c>
      <c r="J202" s="118">
        <v>16.28</v>
      </c>
      <c r="K202" s="118">
        <v>173.5</v>
      </c>
      <c r="L202" s="118">
        <v>0.80800000000000005</v>
      </c>
      <c r="M202" s="118">
        <v>0.28000000000000003</v>
      </c>
      <c r="N202" s="118">
        <v>568.70000000000005</v>
      </c>
      <c r="O202" s="118">
        <v>568730</v>
      </c>
      <c r="P202" s="118">
        <v>9.3800000000000008</v>
      </c>
      <c r="Q202" s="118">
        <v>0</v>
      </c>
      <c r="R202" s="118">
        <v>8.0299999999999994</v>
      </c>
      <c r="S202" s="118">
        <v>-101.9</v>
      </c>
      <c r="T202" s="118">
        <v>20.777999999999999</v>
      </c>
      <c r="U202" s="118">
        <v>0.58099999999999996</v>
      </c>
      <c r="V202" s="118">
        <v>40.834699999999998</v>
      </c>
      <c r="W202" s="118">
        <v>-86.807990000000004</v>
      </c>
      <c r="X202" s="118">
        <v>197.6</v>
      </c>
      <c r="Y202" s="118">
        <v>0</v>
      </c>
      <c r="Z202" s="118">
        <v>11.8</v>
      </c>
      <c r="AA202" s="118">
        <v>750.3</v>
      </c>
      <c r="AB202" s="118" t="s">
        <v>1875</v>
      </c>
    </row>
    <row r="203" spans="2:29" x14ac:dyDescent="0.25">
      <c r="B203" s="19">
        <v>45071</v>
      </c>
      <c r="C203" s="230">
        <v>0.61334490740740744</v>
      </c>
      <c r="D203" s="118">
        <v>0</v>
      </c>
      <c r="E203" s="118">
        <v>551.4</v>
      </c>
      <c r="F203" s="118">
        <v>0.51100000000000001</v>
      </c>
      <c r="G203" s="118">
        <v>602.70000000000005</v>
      </c>
      <c r="H203" s="118">
        <v>153.4</v>
      </c>
      <c r="I203" s="118">
        <v>155.6</v>
      </c>
      <c r="J203" s="118">
        <v>13.68</v>
      </c>
      <c r="K203" s="118">
        <v>187.9</v>
      </c>
      <c r="L203" s="118">
        <v>0.72599999999999998</v>
      </c>
      <c r="M203" s="118">
        <v>0.28999999999999998</v>
      </c>
      <c r="N203" s="118">
        <v>598.20000000000005</v>
      </c>
      <c r="O203" s="118">
        <v>598226</v>
      </c>
      <c r="P203" s="118">
        <v>8.2899999999999991</v>
      </c>
      <c r="Q203" s="118">
        <v>0</v>
      </c>
      <c r="R203" s="118">
        <v>7.69</v>
      </c>
      <c r="S203" s="118">
        <v>-82.2</v>
      </c>
      <c r="T203" s="118">
        <v>20.905000000000001</v>
      </c>
      <c r="U203" s="118">
        <v>0.50900000000000001</v>
      </c>
      <c r="V203" s="118">
        <v>40.840699999999998</v>
      </c>
      <c r="W203" s="118">
        <v>-86.805090000000007</v>
      </c>
      <c r="X203" s="118">
        <v>195</v>
      </c>
      <c r="Y203" s="118">
        <v>0</v>
      </c>
      <c r="Z203" s="118">
        <v>11.8</v>
      </c>
      <c r="AA203" s="118">
        <v>750.1</v>
      </c>
      <c r="AB203" s="118" t="s">
        <v>1876</v>
      </c>
    </row>
    <row r="204" spans="2:29" x14ac:dyDescent="0.25">
      <c r="B204" s="19">
        <v>45071</v>
      </c>
      <c r="C204" s="230">
        <v>0.62634259259259262</v>
      </c>
      <c r="D204" s="118">
        <v>0</v>
      </c>
      <c r="E204" s="118">
        <v>562.6</v>
      </c>
      <c r="F204" s="118">
        <v>0.58699999999999997</v>
      </c>
      <c r="G204" s="118">
        <v>607.70000000000005</v>
      </c>
      <c r="H204" s="118">
        <v>157.19999999999999</v>
      </c>
      <c r="I204" s="118">
        <v>159.4</v>
      </c>
      <c r="J204" s="118">
        <v>13.87</v>
      </c>
      <c r="K204" s="118">
        <v>190.9</v>
      </c>
      <c r="L204" s="118">
        <v>0.83399999999999996</v>
      </c>
      <c r="M204" s="118">
        <v>0.28999999999999998</v>
      </c>
      <c r="N204" s="118">
        <v>603.79999999999995</v>
      </c>
      <c r="O204" s="118">
        <v>603756</v>
      </c>
      <c r="P204" s="118">
        <v>10.93</v>
      </c>
      <c r="Q204" s="118">
        <v>0</v>
      </c>
      <c r="R204" s="118">
        <v>7.91</v>
      </c>
      <c r="S204" s="118">
        <v>-95</v>
      </c>
      <c r="T204" s="118">
        <v>21.43</v>
      </c>
      <c r="U204" s="118">
        <v>0.59699999999999998</v>
      </c>
      <c r="V204" s="118">
        <v>40.840119999999999</v>
      </c>
      <c r="W204" s="118">
        <v>-86.810940000000002</v>
      </c>
      <c r="X204" s="118">
        <v>195.2</v>
      </c>
      <c r="Y204" s="118">
        <v>0</v>
      </c>
      <c r="Z204" s="118">
        <v>11.8</v>
      </c>
      <c r="AA204" s="118">
        <v>750.1</v>
      </c>
      <c r="AB204" s="118" t="s">
        <v>1881</v>
      </c>
    </row>
    <row r="205" spans="2:29" x14ac:dyDescent="0.25">
      <c r="B205" s="19">
        <v>45071</v>
      </c>
      <c r="C205" s="230">
        <v>0.64009259259259255</v>
      </c>
      <c r="D205" s="118">
        <v>0</v>
      </c>
      <c r="E205" s="118">
        <v>599.70000000000005</v>
      </c>
      <c r="F205" s="118">
        <v>0.433</v>
      </c>
      <c r="G205" s="118">
        <v>641.4</v>
      </c>
      <c r="H205" s="118">
        <v>103.2</v>
      </c>
      <c r="I205" s="118">
        <v>104.6</v>
      </c>
      <c r="J205" s="118">
        <v>9.0299999999999994</v>
      </c>
      <c r="K205" s="118">
        <v>200.2</v>
      </c>
      <c r="L205" s="118">
        <v>0.61499999999999999</v>
      </c>
      <c r="M205" s="118">
        <v>0.31</v>
      </c>
      <c r="N205" s="118">
        <v>637.70000000000005</v>
      </c>
      <c r="O205" s="118">
        <v>637684</v>
      </c>
      <c r="P205" s="118">
        <v>9.01</v>
      </c>
      <c r="Q205" s="118">
        <v>0</v>
      </c>
      <c r="R205" s="118">
        <v>7.78</v>
      </c>
      <c r="S205" s="118">
        <v>-87.7</v>
      </c>
      <c r="T205" s="118">
        <v>21.882999999999999</v>
      </c>
      <c r="U205" s="118">
        <v>0.45600000000000002</v>
      </c>
      <c r="V205" s="118">
        <v>40.842799999999997</v>
      </c>
      <c r="W205" s="118">
        <v>-86.816950000000006</v>
      </c>
      <c r="X205" s="118">
        <v>197.7</v>
      </c>
      <c r="Y205" s="118">
        <v>0</v>
      </c>
      <c r="Z205" s="118">
        <v>11.8</v>
      </c>
      <c r="AA205" s="118">
        <v>750.4</v>
      </c>
      <c r="AB205" s="118" t="s">
        <v>1877</v>
      </c>
    </row>
    <row r="206" spans="2:29" x14ac:dyDescent="0.25">
      <c r="B206" s="19">
        <v>45071</v>
      </c>
      <c r="C206" s="230">
        <v>0.65540509259259261</v>
      </c>
      <c r="D206" s="118">
        <v>0</v>
      </c>
      <c r="E206" s="118">
        <v>566.79999999999995</v>
      </c>
      <c r="F206" s="118">
        <v>0.52900000000000003</v>
      </c>
      <c r="G206" s="118">
        <v>610.20000000000005</v>
      </c>
      <c r="H206" s="118">
        <v>159.30000000000001</v>
      </c>
      <c r="I206" s="118">
        <v>161.6</v>
      </c>
      <c r="J206" s="118">
        <v>14.02</v>
      </c>
      <c r="K206" s="118">
        <v>200.8</v>
      </c>
      <c r="L206" s="118">
        <v>0.751</v>
      </c>
      <c r="M206" s="118">
        <v>0.28999999999999998</v>
      </c>
      <c r="N206" s="118">
        <v>606.4</v>
      </c>
      <c r="O206" s="118">
        <v>606394</v>
      </c>
      <c r="P206" s="118">
        <v>9.15</v>
      </c>
      <c r="Q206" s="118">
        <v>0</v>
      </c>
      <c r="R206" s="118">
        <v>8.0500000000000007</v>
      </c>
      <c r="S206" s="118">
        <v>-103.3</v>
      </c>
      <c r="T206" s="118">
        <v>21.585000000000001</v>
      </c>
      <c r="U206" s="118">
        <v>0.54400000000000004</v>
      </c>
      <c r="V206" s="118">
        <v>40.847659999999998</v>
      </c>
      <c r="W206" s="118">
        <v>-86.813839999999999</v>
      </c>
      <c r="X206" s="118">
        <v>193.1</v>
      </c>
      <c r="Y206" s="118">
        <v>0</v>
      </c>
      <c r="Z206" s="118">
        <v>11.8</v>
      </c>
      <c r="AA206" s="118">
        <v>750.1</v>
      </c>
      <c r="AB206" s="118" t="s">
        <v>1878</v>
      </c>
    </row>
    <row r="207" spans="2:29" x14ac:dyDescent="0.25">
      <c r="B207" s="19">
        <v>45071</v>
      </c>
      <c r="C207" s="230">
        <v>0.7329282407407407</v>
      </c>
      <c r="D207" s="118">
        <v>0</v>
      </c>
      <c r="E207" s="118">
        <v>629.1</v>
      </c>
      <c r="F207" s="118">
        <v>0.54100000000000004</v>
      </c>
      <c r="G207" s="118">
        <v>698.2</v>
      </c>
      <c r="H207" s="118">
        <v>86.9</v>
      </c>
      <c r="I207" s="118">
        <v>88.1</v>
      </c>
      <c r="J207" s="118">
        <v>7.85</v>
      </c>
      <c r="K207" s="118">
        <v>184.5</v>
      </c>
      <c r="L207" s="118">
        <v>0.76900000000000002</v>
      </c>
      <c r="M207" s="118">
        <v>0.34</v>
      </c>
      <c r="N207" s="118">
        <v>692.3</v>
      </c>
      <c r="O207" s="118">
        <v>692270</v>
      </c>
      <c r="P207" s="118">
        <v>5.89</v>
      </c>
      <c r="Q207" s="118">
        <v>0</v>
      </c>
      <c r="R207" s="118">
        <v>7.87</v>
      </c>
      <c r="S207" s="118">
        <v>-92.9</v>
      </c>
      <c r="T207" s="118">
        <v>20.221</v>
      </c>
      <c r="U207" s="118">
        <v>0.57499999999999996</v>
      </c>
      <c r="V207" s="118">
        <v>40.834960000000002</v>
      </c>
      <c r="W207" s="118">
        <v>-86.782079999999993</v>
      </c>
      <c r="X207" s="118">
        <v>199.8</v>
      </c>
      <c r="Y207" s="118">
        <v>0</v>
      </c>
      <c r="Z207" s="118">
        <v>11.8</v>
      </c>
      <c r="AA207" s="118">
        <v>749.7</v>
      </c>
      <c r="AB207" s="118" t="s">
        <v>1736</v>
      </c>
    </row>
    <row r="208" spans="2:29" x14ac:dyDescent="0.25">
      <c r="B208" s="19">
        <v>45071</v>
      </c>
      <c r="C208" s="230">
        <v>0.79699074074074072</v>
      </c>
      <c r="D208" s="118">
        <v>0</v>
      </c>
      <c r="E208" s="118">
        <v>652.29999999999995</v>
      </c>
      <c r="F208" s="118">
        <v>0.48499999999999999</v>
      </c>
      <c r="G208" s="118">
        <v>703.7</v>
      </c>
      <c r="H208" s="118">
        <v>96.5</v>
      </c>
      <c r="I208" s="118">
        <v>97.9</v>
      </c>
      <c r="J208" s="118">
        <v>8.5</v>
      </c>
      <c r="K208" s="118">
        <v>242.6</v>
      </c>
      <c r="L208" s="118">
        <v>0.68899999999999995</v>
      </c>
      <c r="M208" s="118">
        <v>0.34</v>
      </c>
      <c r="N208" s="118">
        <v>699.2</v>
      </c>
      <c r="O208" s="118">
        <v>699230</v>
      </c>
      <c r="P208" s="118">
        <v>6.09</v>
      </c>
      <c r="Q208" s="118">
        <v>0</v>
      </c>
      <c r="R208" s="118">
        <v>7.86</v>
      </c>
      <c r="S208" s="118">
        <v>-92.6</v>
      </c>
      <c r="T208" s="118">
        <v>21.486000000000001</v>
      </c>
      <c r="U208" s="118">
        <v>0.48899999999999999</v>
      </c>
      <c r="V208" s="118">
        <v>40.810899999999997</v>
      </c>
      <c r="W208" s="118">
        <v>-86.794589999999999</v>
      </c>
      <c r="X208" s="118">
        <v>194.6</v>
      </c>
      <c r="Y208" s="118">
        <v>0</v>
      </c>
      <c r="Z208" s="118">
        <v>11.8</v>
      </c>
      <c r="AA208" s="118">
        <v>749.2</v>
      </c>
      <c r="AB208" s="118" t="s">
        <v>1737</v>
      </c>
    </row>
    <row r="209" spans="2:28" x14ac:dyDescent="0.25">
      <c r="B209" s="19">
        <v>45071</v>
      </c>
      <c r="C209" s="230">
        <v>0.81468750000000001</v>
      </c>
      <c r="D209" s="118">
        <v>0</v>
      </c>
      <c r="E209" s="118">
        <v>624.20000000000005</v>
      </c>
      <c r="F209" s="118">
        <v>0.56699999999999995</v>
      </c>
      <c r="G209" s="118">
        <v>674.4</v>
      </c>
      <c r="H209" s="118">
        <v>133.69999999999999</v>
      </c>
      <c r="I209" s="118">
        <v>135.6</v>
      </c>
      <c r="J209" s="118">
        <v>11.8</v>
      </c>
      <c r="K209" s="118">
        <v>226.3</v>
      </c>
      <c r="L209" s="118">
        <v>0.80500000000000005</v>
      </c>
      <c r="M209" s="118">
        <v>0.33</v>
      </c>
      <c r="N209" s="118">
        <v>670</v>
      </c>
      <c r="O209" s="118">
        <v>670045</v>
      </c>
      <c r="P209" s="118">
        <v>5.7</v>
      </c>
      <c r="Q209" s="118">
        <v>0</v>
      </c>
      <c r="R209" s="118">
        <v>8.0500000000000007</v>
      </c>
      <c r="S209" s="118">
        <v>-103.8</v>
      </c>
      <c r="T209" s="118">
        <v>21.420999999999999</v>
      </c>
      <c r="U209" s="118">
        <v>0.57399999999999995</v>
      </c>
      <c r="V209" s="118">
        <v>40.803840000000001</v>
      </c>
      <c r="W209" s="118">
        <v>-86.776610000000005</v>
      </c>
      <c r="X209" s="118">
        <v>194.5</v>
      </c>
      <c r="Y209" s="118">
        <v>0</v>
      </c>
      <c r="Z209" s="118">
        <v>11.8</v>
      </c>
      <c r="AA209" s="118">
        <v>749.2</v>
      </c>
      <c r="AB209" s="118" t="s">
        <v>1739</v>
      </c>
    </row>
    <row r="210" spans="2:28" x14ac:dyDescent="0.25">
      <c r="B210" s="19">
        <v>45071</v>
      </c>
      <c r="C210" s="230">
        <v>0.82814814814814819</v>
      </c>
      <c r="D210" s="118">
        <v>0</v>
      </c>
      <c r="E210" s="118">
        <v>637.20000000000005</v>
      </c>
      <c r="F210" s="118">
        <v>0.52500000000000002</v>
      </c>
      <c r="G210" s="118">
        <v>684.2</v>
      </c>
      <c r="H210" s="118">
        <v>137.1</v>
      </c>
      <c r="I210" s="118">
        <v>139</v>
      </c>
      <c r="J210" s="118">
        <v>12.03</v>
      </c>
      <c r="K210" s="118">
        <v>236.1</v>
      </c>
      <c r="L210" s="118">
        <v>0.746</v>
      </c>
      <c r="M210" s="118">
        <v>0.33</v>
      </c>
      <c r="N210" s="118">
        <v>680.1</v>
      </c>
      <c r="O210" s="118">
        <v>680066</v>
      </c>
      <c r="P210" s="118">
        <v>5.6</v>
      </c>
      <c r="Q210" s="118">
        <v>0</v>
      </c>
      <c r="R210" s="118">
        <v>8.1</v>
      </c>
      <c r="S210" s="118">
        <v>-106.3</v>
      </c>
      <c r="T210" s="118">
        <v>21.696999999999999</v>
      </c>
      <c r="U210" s="118">
        <v>0.53600000000000003</v>
      </c>
      <c r="V210" s="118">
        <v>40.79513</v>
      </c>
      <c r="W210" s="118">
        <v>-86.772260000000003</v>
      </c>
      <c r="X210" s="118">
        <v>195.3</v>
      </c>
      <c r="Y210" s="118">
        <v>0</v>
      </c>
      <c r="Z210" s="118">
        <v>11.8</v>
      </c>
      <c r="AA210" s="118">
        <v>749.1</v>
      </c>
      <c r="AB210" s="118" t="s">
        <v>1741</v>
      </c>
    </row>
    <row r="211" spans="2:28" x14ac:dyDescent="0.25">
      <c r="B211" s="19">
        <v>45071</v>
      </c>
      <c r="C211" s="230">
        <v>0.83908564814814812</v>
      </c>
      <c r="D211" s="118">
        <v>0</v>
      </c>
      <c r="E211" s="118">
        <v>610.29999999999995</v>
      </c>
      <c r="F211" s="118">
        <v>0.51300000000000001</v>
      </c>
      <c r="G211" s="118">
        <v>642.70000000000005</v>
      </c>
      <c r="H211" s="118">
        <v>184</v>
      </c>
      <c r="I211" s="118">
        <v>186.6</v>
      </c>
      <c r="J211" s="118">
        <v>15.88</v>
      </c>
      <c r="K211" s="118">
        <v>220.1</v>
      </c>
      <c r="L211" s="118">
        <v>0.72799999999999998</v>
      </c>
      <c r="M211" s="118">
        <v>0.31</v>
      </c>
      <c r="N211" s="118">
        <v>639.79999999999995</v>
      </c>
      <c r="O211" s="118">
        <v>639813</v>
      </c>
      <c r="P211" s="118">
        <v>6.71</v>
      </c>
      <c r="Q211" s="118">
        <v>0</v>
      </c>
      <c r="R211" s="118">
        <v>8.35</v>
      </c>
      <c r="S211" s="118">
        <v>-121.2</v>
      </c>
      <c r="T211" s="118">
        <v>22.584</v>
      </c>
      <c r="U211" s="118">
        <v>0.50600000000000001</v>
      </c>
      <c r="V211" s="118">
        <v>40.786960000000001</v>
      </c>
      <c r="W211" s="118">
        <v>-86.770970000000005</v>
      </c>
      <c r="X211" s="118">
        <v>198.4</v>
      </c>
      <c r="Y211" s="118">
        <v>0</v>
      </c>
      <c r="Z211" s="118">
        <v>11.8</v>
      </c>
      <c r="AA211" s="118">
        <v>748.9</v>
      </c>
      <c r="AB211" s="118" t="s">
        <v>1742</v>
      </c>
    </row>
    <row r="212" spans="2:28" x14ac:dyDescent="0.25">
      <c r="B212" s="19">
        <v>45071</v>
      </c>
      <c r="C212" s="230">
        <v>0.75417824074074069</v>
      </c>
      <c r="D212" s="118">
        <v>0</v>
      </c>
      <c r="E212" s="118">
        <v>634.20000000000005</v>
      </c>
      <c r="F212" s="118">
        <v>1.0189999999999999</v>
      </c>
      <c r="G212" s="118">
        <v>714.4</v>
      </c>
      <c r="H212" s="118">
        <v>84</v>
      </c>
      <c r="I212" s="118">
        <v>85.2</v>
      </c>
      <c r="J212" s="118">
        <v>7.68</v>
      </c>
      <c r="K212" s="118">
        <v>213.4</v>
      </c>
      <c r="L212" s="118">
        <v>1.4470000000000001</v>
      </c>
      <c r="M212" s="118">
        <v>0.35</v>
      </c>
      <c r="N212" s="118">
        <v>707.6</v>
      </c>
      <c r="O212" s="118">
        <v>707616</v>
      </c>
      <c r="P212" s="118">
        <v>6.17</v>
      </c>
      <c r="Q212" s="118">
        <v>0</v>
      </c>
      <c r="R212" s="118">
        <v>7.82</v>
      </c>
      <c r="S212" s="118">
        <v>-89.9</v>
      </c>
      <c r="T212" s="118">
        <v>19.567</v>
      </c>
      <c r="U212" s="118">
        <v>0.89</v>
      </c>
      <c r="V212" s="118">
        <v>40.847119999999997</v>
      </c>
      <c r="W212" s="118">
        <v>-86.760210000000001</v>
      </c>
      <c r="X212" s="118">
        <v>194.4</v>
      </c>
      <c r="Y212" s="118">
        <v>0</v>
      </c>
      <c r="Z212" s="118">
        <v>11.8</v>
      </c>
      <c r="AA212" s="118">
        <v>749.5</v>
      </c>
      <c r="AB212" s="118" t="s">
        <v>1882</v>
      </c>
    </row>
    <row r="213" spans="2:28" x14ac:dyDescent="0.25">
      <c r="B213" s="118" t="s">
        <v>1788</v>
      </c>
      <c r="C213" s="118" t="s">
        <v>1789</v>
      </c>
      <c r="D213" s="118" t="s">
        <v>1790</v>
      </c>
      <c r="E213" s="118" t="s">
        <v>1791</v>
      </c>
      <c r="F213" s="118" t="s">
        <v>1792</v>
      </c>
      <c r="G213" s="118" t="s">
        <v>1793</v>
      </c>
      <c r="H213" s="118" t="s">
        <v>1794</v>
      </c>
      <c r="I213" s="118" t="s">
        <v>1699</v>
      </c>
      <c r="J213" s="118" t="s">
        <v>1795</v>
      </c>
      <c r="K213" s="118" t="s">
        <v>1703</v>
      </c>
      <c r="L213" s="118" t="s">
        <v>1796</v>
      </c>
      <c r="M213" s="118" t="s">
        <v>1797</v>
      </c>
      <c r="N213" s="118" t="s">
        <v>1798</v>
      </c>
      <c r="O213" s="118" t="s">
        <v>1799</v>
      </c>
      <c r="P213" s="118" t="s">
        <v>1800</v>
      </c>
      <c r="Q213" s="118" t="s">
        <v>1801</v>
      </c>
      <c r="R213" s="118" t="s">
        <v>1802</v>
      </c>
      <c r="S213" s="118" t="s">
        <v>1803</v>
      </c>
      <c r="T213" s="118" t="s">
        <v>1804</v>
      </c>
      <c r="U213" s="118" t="s">
        <v>1805</v>
      </c>
      <c r="V213" s="118" t="s">
        <v>1806</v>
      </c>
      <c r="W213" s="118" t="s">
        <v>1807</v>
      </c>
      <c r="X213" s="118" t="s">
        <v>1808</v>
      </c>
      <c r="Y213" s="118" t="s">
        <v>1809</v>
      </c>
      <c r="Z213" s="118" t="s">
        <v>1810</v>
      </c>
      <c r="AA213" s="118" t="s">
        <v>1811</v>
      </c>
      <c r="AB213" s="118" t="s">
        <v>1711</v>
      </c>
    </row>
    <row r="214" spans="2:28" x14ac:dyDescent="0.25">
      <c r="B214" s="19">
        <v>45097</v>
      </c>
      <c r="C214" s="230">
        <v>0.47621527777777778</v>
      </c>
      <c r="D214" s="118">
        <v>0</v>
      </c>
      <c r="E214" s="118">
        <v>785.8</v>
      </c>
      <c r="F214" s="118">
        <v>0.10299999999999999</v>
      </c>
      <c r="G214" s="118">
        <v>781.6</v>
      </c>
      <c r="H214" s="118">
        <v>87.9</v>
      </c>
      <c r="I214" s="118">
        <v>89.9</v>
      </c>
      <c r="J214" s="118">
        <v>7.21</v>
      </c>
      <c r="K214" s="118">
        <v>-79.8</v>
      </c>
      <c r="L214" s="118">
        <v>0.14599999999999999</v>
      </c>
      <c r="M214" s="118">
        <v>0.38</v>
      </c>
      <c r="N214" s="118">
        <v>782</v>
      </c>
      <c r="O214" s="118">
        <v>781996</v>
      </c>
      <c r="P214" s="118">
        <v>153.78</v>
      </c>
      <c r="Q214" s="118">
        <v>0</v>
      </c>
      <c r="R214" s="118">
        <v>7.4</v>
      </c>
      <c r="S214" s="118">
        <v>-64.099999999999994</v>
      </c>
      <c r="T214" s="118">
        <v>25.247</v>
      </c>
      <c r="U214" s="118">
        <v>0.107</v>
      </c>
      <c r="V214" s="118">
        <v>40.843420000000002</v>
      </c>
      <c r="W214" s="118">
        <v>-86.81747</v>
      </c>
      <c r="X214" s="118">
        <v>202</v>
      </c>
      <c r="Y214" s="118">
        <v>0</v>
      </c>
      <c r="Z214" s="118">
        <v>11.8</v>
      </c>
      <c r="AA214" s="118">
        <v>743.2</v>
      </c>
      <c r="AB214" s="118" t="s">
        <v>1883</v>
      </c>
    </row>
    <row r="215" spans="2:28" x14ac:dyDescent="0.25">
      <c r="B215" s="19">
        <v>45097</v>
      </c>
      <c r="C215" s="230">
        <v>0.50509259259259254</v>
      </c>
      <c r="D215" s="118">
        <v>0</v>
      </c>
      <c r="E215" s="118">
        <v>643.79999999999995</v>
      </c>
      <c r="F215" s="118">
        <v>9.1999999999999998E-2</v>
      </c>
      <c r="G215" s="118">
        <v>659.5</v>
      </c>
      <c r="H215" s="118">
        <v>162.80000000000001</v>
      </c>
      <c r="I215" s="118">
        <v>166.5</v>
      </c>
      <c r="J215" s="118">
        <v>13.71</v>
      </c>
      <c r="K215" s="118">
        <v>119.4</v>
      </c>
      <c r="L215" s="118">
        <v>0.13</v>
      </c>
      <c r="M215" s="118">
        <v>0.32</v>
      </c>
      <c r="N215" s="118">
        <v>658.1</v>
      </c>
      <c r="O215" s="118">
        <v>658098</v>
      </c>
      <c r="P215" s="118">
        <v>3.08</v>
      </c>
      <c r="Q215" s="118">
        <v>0</v>
      </c>
      <c r="R215" s="118">
        <v>8.1</v>
      </c>
      <c r="S215" s="118">
        <v>-105.4</v>
      </c>
      <c r="T215" s="118">
        <v>23.86</v>
      </c>
      <c r="U215" s="118">
        <v>9.5000000000000001E-2</v>
      </c>
      <c r="V215" s="118">
        <v>40.823839999999997</v>
      </c>
      <c r="W215" s="118">
        <v>-86.794569999999993</v>
      </c>
      <c r="X215" s="118">
        <v>201.8</v>
      </c>
      <c r="Y215" s="118">
        <v>0</v>
      </c>
      <c r="Z215" s="118">
        <v>11.8</v>
      </c>
      <c r="AA215" s="118">
        <v>743.2</v>
      </c>
      <c r="AB215" s="118" t="s">
        <v>1884</v>
      </c>
    </row>
    <row r="216" spans="2:28" x14ac:dyDescent="0.25">
      <c r="B216" s="19">
        <v>45097</v>
      </c>
      <c r="C216" s="230">
        <v>0.53687499999999999</v>
      </c>
      <c r="D216" s="118">
        <v>0</v>
      </c>
      <c r="E216" s="118">
        <v>770.9</v>
      </c>
      <c r="F216" s="118">
        <v>0.11799999999999999</v>
      </c>
      <c r="G216" s="118">
        <v>786</v>
      </c>
      <c r="H216" s="118">
        <v>124.5</v>
      </c>
      <c r="I216" s="118">
        <v>127.4</v>
      </c>
      <c r="J216" s="118">
        <v>10.44</v>
      </c>
      <c r="K216" s="118">
        <v>123.2</v>
      </c>
      <c r="L216" s="118">
        <v>0.16700000000000001</v>
      </c>
      <c r="M216" s="118">
        <v>0.38</v>
      </c>
      <c r="N216" s="118">
        <v>784.6</v>
      </c>
      <c r="O216" s="118">
        <v>784614</v>
      </c>
      <c r="P216" s="118">
        <v>1.9</v>
      </c>
      <c r="Q216" s="118">
        <v>0</v>
      </c>
      <c r="R216" s="118">
        <v>8.02</v>
      </c>
      <c r="S216" s="118">
        <v>-100.5</v>
      </c>
      <c r="T216" s="118">
        <v>24.084</v>
      </c>
      <c r="U216" s="118">
        <v>0.125</v>
      </c>
      <c r="V216" s="118">
        <v>40.808770000000003</v>
      </c>
      <c r="W216" s="118">
        <v>-86.794629999999998</v>
      </c>
      <c r="X216" s="118">
        <v>205</v>
      </c>
      <c r="Y216" s="118">
        <v>0</v>
      </c>
      <c r="Z216" s="118">
        <v>11.8</v>
      </c>
      <c r="AA216" s="118">
        <v>743.3</v>
      </c>
      <c r="AB216" s="118" t="s">
        <v>1885</v>
      </c>
    </row>
    <row r="217" spans="2:28" x14ac:dyDescent="0.25">
      <c r="B217" s="118" t="s">
        <v>1788</v>
      </c>
      <c r="C217" s="118" t="s">
        <v>1789</v>
      </c>
      <c r="D217" s="118" t="s">
        <v>1790</v>
      </c>
      <c r="E217" s="118" t="s">
        <v>1791</v>
      </c>
      <c r="F217" s="118" t="s">
        <v>1792</v>
      </c>
      <c r="G217" s="118" t="s">
        <v>1793</v>
      </c>
      <c r="H217" s="118" t="s">
        <v>1794</v>
      </c>
      <c r="I217" s="118" t="s">
        <v>1699</v>
      </c>
      <c r="J217" s="118" t="s">
        <v>1795</v>
      </c>
      <c r="K217" s="118" t="s">
        <v>1703</v>
      </c>
      <c r="L217" s="118" t="s">
        <v>1796</v>
      </c>
      <c r="M217" s="118" t="s">
        <v>1797</v>
      </c>
      <c r="N217" s="118" t="s">
        <v>1798</v>
      </c>
      <c r="O217" s="118" t="s">
        <v>1799</v>
      </c>
      <c r="P217" s="118" t="s">
        <v>1800</v>
      </c>
      <c r="Q217" s="118" t="s">
        <v>1801</v>
      </c>
      <c r="R217" s="118" t="s">
        <v>1802</v>
      </c>
      <c r="S217" s="118" t="s">
        <v>1803</v>
      </c>
      <c r="T217" s="118" t="s">
        <v>1804</v>
      </c>
      <c r="U217" s="118" t="s">
        <v>1805</v>
      </c>
      <c r="V217" s="118" t="s">
        <v>1806</v>
      </c>
      <c r="W217" s="118" t="s">
        <v>1807</v>
      </c>
      <c r="X217" s="118" t="s">
        <v>1808</v>
      </c>
      <c r="Y217" s="118" t="s">
        <v>1809</v>
      </c>
      <c r="Z217" s="118" t="s">
        <v>1810</v>
      </c>
      <c r="AA217" s="118" t="s">
        <v>1811</v>
      </c>
      <c r="AB217" s="118" t="s">
        <v>1711</v>
      </c>
    </row>
    <row r="218" spans="2:28" x14ac:dyDescent="0.25">
      <c r="B218" s="19">
        <v>45107</v>
      </c>
      <c r="C218" s="230">
        <v>0.42570601851851853</v>
      </c>
      <c r="D218" s="118">
        <v>0</v>
      </c>
      <c r="E218" s="118">
        <v>590</v>
      </c>
      <c r="F218" s="118">
        <v>0.11799999999999999</v>
      </c>
      <c r="G218" s="118">
        <v>618.79999999999995</v>
      </c>
      <c r="H218" s="118">
        <v>-364.8</v>
      </c>
      <c r="I218" s="118">
        <v>-364.8</v>
      </c>
      <c r="J218" s="118">
        <v>-31.38</v>
      </c>
      <c r="K218" s="118">
        <v>-66.5</v>
      </c>
      <c r="L218" s="118">
        <v>0.16800000000000001</v>
      </c>
      <c r="M218" s="118">
        <v>0.3</v>
      </c>
      <c r="N218" s="118">
        <v>616.20000000000005</v>
      </c>
      <c r="O218" s="118">
        <v>616200</v>
      </c>
      <c r="P218" s="118">
        <v>28.76</v>
      </c>
      <c r="Q218" s="118">
        <v>0</v>
      </c>
      <c r="R218" s="118">
        <v>6.2</v>
      </c>
      <c r="S218" s="118">
        <v>3.8</v>
      </c>
      <c r="T218" s="118">
        <v>22.771000000000001</v>
      </c>
      <c r="U218" s="118">
        <v>0.113</v>
      </c>
      <c r="V218" s="118">
        <v>40.843409999999999</v>
      </c>
      <c r="W218" s="118">
        <v>-86.817449999999994</v>
      </c>
      <c r="X218" s="118">
        <v>191.2</v>
      </c>
      <c r="Y218" s="118">
        <v>0</v>
      </c>
      <c r="Z218" s="118">
        <v>11.8</v>
      </c>
      <c r="AA218" s="118">
        <v>743.1</v>
      </c>
      <c r="AB218" s="118" t="s">
        <v>1883</v>
      </c>
    </row>
    <row r="219" spans="2:28" x14ac:dyDescent="0.25">
      <c r="B219" s="19">
        <v>45107</v>
      </c>
      <c r="C219" s="230">
        <v>0.44226851851851851</v>
      </c>
      <c r="D219" s="118">
        <v>0</v>
      </c>
      <c r="E219" s="118">
        <v>580.79999999999995</v>
      </c>
      <c r="F219" s="118">
        <v>0.49399999999999999</v>
      </c>
      <c r="G219" s="118">
        <v>594.1</v>
      </c>
      <c r="H219" s="118">
        <v>-439.6</v>
      </c>
      <c r="I219" s="118">
        <v>-439.6</v>
      </c>
      <c r="J219" s="118">
        <v>-36.99</v>
      </c>
      <c r="K219" s="118">
        <v>132.9</v>
      </c>
      <c r="L219" s="118">
        <v>0.70099999999999996</v>
      </c>
      <c r="M219" s="118">
        <v>0.28999999999999998</v>
      </c>
      <c r="N219" s="118">
        <v>592.9</v>
      </c>
      <c r="O219" s="118">
        <v>592925</v>
      </c>
      <c r="P219" s="118">
        <v>1.69</v>
      </c>
      <c r="Q219" s="118">
        <v>0</v>
      </c>
      <c r="R219" s="118">
        <v>7.76</v>
      </c>
      <c r="S219" s="118">
        <v>-88.6</v>
      </c>
      <c r="T219" s="118">
        <v>23.931000000000001</v>
      </c>
      <c r="U219" s="118">
        <v>0.49299999999999999</v>
      </c>
      <c r="V219" s="118">
        <v>40.82385</v>
      </c>
      <c r="W219" s="118">
        <v>-86.794709999999995</v>
      </c>
      <c r="X219" s="118">
        <v>195.8</v>
      </c>
      <c r="Y219" s="118">
        <v>0</v>
      </c>
      <c r="Z219" s="118">
        <v>11.8</v>
      </c>
      <c r="AA219" s="118">
        <v>742.6</v>
      </c>
      <c r="AB219" s="118" t="s">
        <v>1884</v>
      </c>
    </row>
    <row r="220" spans="2:28" x14ac:dyDescent="0.25">
      <c r="B220" s="19">
        <v>45107</v>
      </c>
      <c r="C220" s="230">
        <v>0.45973379629629629</v>
      </c>
      <c r="D220" s="118">
        <v>0</v>
      </c>
      <c r="E220" s="118">
        <v>676</v>
      </c>
      <c r="F220" s="118">
        <v>0.56000000000000005</v>
      </c>
      <c r="G220" s="118">
        <v>706.2</v>
      </c>
      <c r="H220" s="118">
        <v>-331.3</v>
      </c>
      <c r="I220" s="118">
        <v>-331.3</v>
      </c>
      <c r="J220" s="118">
        <v>-28.39</v>
      </c>
      <c r="K220" s="118">
        <v>126.5</v>
      </c>
      <c r="L220" s="118">
        <v>0.79500000000000004</v>
      </c>
      <c r="M220" s="118">
        <v>0.34</v>
      </c>
      <c r="N220" s="118">
        <v>703.5</v>
      </c>
      <c r="O220" s="118">
        <v>703499</v>
      </c>
      <c r="P220" s="118">
        <v>2.14</v>
      </c>
      <c r="Q220" s="118">
        <v>0</v>
      </c>
      <c r="R220" s="118">
        <v>7.78</v>
      </c>
      <c r="S220" s="118">
        <v>-89.7</v>
      </c>
      <c r="T220" s="118">
        <v>22.954000000000001</v>
      </c>
      <c r="U220" s="118">
        <v>0.57999999999999996</v>
      </c>
      <c r="V220" s="118">
        <v>40.80874</v>
      </c>
      <c r="W220" s="118">
        <v>-86.794640000000001</v>
      </c>
      <c r="X220" s="118">
        <v>198.3</v>
      </c>
      <c r="Y220" s="118">
        <v>0</v>
      </c>
      <c r="Z220" s="118">
        <v>11.8</v>
      </c>
      <c r="AA220" s="118">
        <v>742.6</v>
      </c>
      <c r="AB220" s="118" t="s">
        <v>1885</v>
      </c>
    </row>
    <row r="221" spans="2:28" x14ac:dyDescent="0.25">
      <c r="B221" s="118" t="s">
        <v>1788</v>
      </c>
      <c r="C221" s="118" t="s">
        <v>1789</v>
      </c>
      <c r="D221" s="118" t="s">
        <v>1790</v>
      </c>
      <c r="E221" s="118" t="s">
        <v>1791</v>
      </c>
      <c r="F221" s="118" t="s">
        <v>1792</v>
      </c>
      <c r="G221" s="118" t="s">
        <v>1793</v>
      </c>
      <c r="H221" s="118" t="s">
        <v>1794</v>
      </c>
      <c r="I221" s="118" t="s">
        <v>1699</v>
      </c>
      <c r="J221" s="118" t="s">
        <v>1795</v>
      </c>
      <c r="K221" s="118" t="s">
        <v>1703</v>
      </c>
      <c r="L221" s="118" t="s">
        <v>1796</v>
      </c>
      <c r="M221" s="118" t="s">
        <v>1797</v>
      </c>
      <c r="N221" s="118" t="s">
        <v>1798</v>
      </c>
      <c r="O221" s="118" t="s">
        <v>1799</v>
      </c>
      <c r="P221" s="118" t="s">
        <v>1800</v>
      </c>
      <c r="Q221" s="118" t="s">
        <v>1801</v>
      </c>
      <c r="R221" s="118" t="s">
        <v>1802</v>
      </c>
      <c r="S221" s="118" t="s">
        <v>1803</v>
      </c>
      <c r="T221" s="118" t="s">
        <v>1804</v>
      </c>
      <c r="U221" s="118" t="s">
        <v>1805</v>
      </c>
      <c r="V221" s="118" t="s">
        <v>1806</v>
      </c>
      <c r="W221" s="118" t="s">
        <v>1807</v>
      </c>
      <c r="X221" s="118" t="s">
        <v>1808</v>
      </c>
      <c r="Y221" s="118" t="s">
        <v>1809</v>
      </c>
      <c r="Z221" s="118" t="s">
        <v>1810</v>
      </c>
      <c r="AA221" s="118" t="s">
        <v>1811</v>
      </c>
      <c r="AB221" s="118" t="s">
        <v>1711</v>
      </c>
    </row>
    <row r="222" spans="2:28" x14ac:dyDescent="0.25">
      <c r="B222" s="19">
        <v>45120</v>
      </c>
      <c r="C222" s="230">
        <v>0.47224537037037034</v>
      </c>
      <c r="D222" s="118">
        <v>0</v>
      </c>
      <c r="E222" s="118">
        <v>725.9</v>
      </c>
      <c r="F222" s="118">
        <v>0.17</v>
      </c>
      <c r="G222" s="118">
        <v>720.1</v>
      </c>
      <c r="H222" s="118">
        <v>-264.89999999999998</v>
      </c>
      <c r="I222" s="118">
        <v>-264.89999999999998</v>
      </c>
      <c r="J222" s="118">
        <v>-21.69</v>
      </c>
      <c r="K222" s="118">
        <v>98.1</v>
      </c>
      <c r="L222" s="118">
        <v>0.24199999999999999</v>
      </c>
      <c r="M222" s="118">
        <v>0.35</v>
      </c>
      <c r="N222" s="118">
        <v>720.6</v>
      </c>
      <c r="O222" s="118">
        <v>720631</v>
      </c>
      <c r="P222" s="118">
        <v>6.66</v>
      </c>
      <c r="Q222" s="118">
        <v>0</v>
      </c>
      <c r="R222" s="118">
        <v>8.01</v>
      </c>
      <c r="S222" s="118">
        <v>-105.7</v>
      </c>
      <c r="T222" s="118">
        <v>25.384</v>
      </c>
      <c r="U222" s="118">
        <v>0.185</v>
      </c>
      <c r="V222" s="118">
        <v>40.808779999999999</v>
      </c>
      <c r="W222" s="118">
        <v>-86.794640000000001</v>
      </c>
      <c r="X222" s="118">
        <v>195.2</v>
      </c>
      <c r="Y222" s="118">
        <v>0</v>
      </c>
      <c r="Z222" s="118">
        <v>11.8</v>
      </c>
      <c r="AA222" s="118">
        <v>740.8</v>
      </c>
      <c r="AB222" s="118" t="s">
        <v>1885</v>
      </c>
    </row>
    <row r="223" spans="2:28" x14ac:dyDescent="0.25">
      <c r="B223" s="19">
        <v>45120</v>
      </c>
      <c r="C223" s="230">
        <v>0.50049768518518523</v>
      </c>
      <c r="D223" s="118">
        <v>0</v>
      </c>
      <c r="E223" s="118">
        <v>632.6</v>
      </c>
      <c r="F223" s="118">
        <v>8.3000000000000004E-2</v>
      </c>
      <c r="G223" s="118">
        <v>628.29999999999995</v>
      </c>
      <c r="H223" s="118">
        <v>-308.3</v>
      </c>
      <c r="I223" s="118">
        <v>-308.3</v>
      </c>
      <c r="J223" s="118">
        <v>-25.29</v>
      </c>
      <c r="K223" s="118">
        <v>82.2</v>
      </c>
      <c r="L223" s="118">
        <v>0.11799999999999999</v>
      </c>
      <c r="M223" s="118">
        <v>0.3</v>
      </c>
      <c r="N223" s="118">
        <v>628.70000000000005</v>
      </c>
      <c r="O223" s="118">
        <v>628698</v>
      </c>
      <c r="P223" s="118">
        <v>6.52</v>
      </c>
      <c r="Q223" s="118">
        <v>0</v>
      </c>
      <c r="R223" s="118">
        <v>8.01</v>
      </c>
      <c r="S223" s="118">
        <v>-105.8</v>
      </c>
      <c r="T223" s="118">
        <v>25.321000000000002</v>
      </c>
      <c r="U223" s="118">
        <v>6.9000000000000006E-2</v>
      </c>
      <c r="V223" s="118">
        <v>40.823830000000001</v>
      </c>
      <c r="W223" s="118">
        <v>-86.794589999999999</v>
      </c>
      <c r="X223" s="118">
        <v>195.6</v>
      </c>
      <c r="Y223" s="118">
        <v>0</v>
      </c>
      <c r="Z223" s="118">
        <v>11.8</v>
      </c>
      <c r="AA223" s="118">
        <v>740.6</v>
      </c>
      <c r="AB223" s="118" t="s">
        <v>1884</v>
      </c>
    </row>
    <row r="224" spans="2:28" x14ac:dyDescent="0.25">
      <c r="B224" s="19">
        <v>45120</v>
      </c>
      <c r="C224" s="230">
        <v>0.5326967592592593</v>
      </c>
      <c r="D224" s="118">
        <v>0</v>
      </c>
      <c r="E224" s="118">
        <v>748.1</v>
      </c>
      <c r="F224" s="118">
        <v>7.1999999999999995E-2</v>
      </c>
      <c r="G224" s="118">
        <v>753.3</v>
      </c>
      <c r="H224" s="118">
        <v>-290.5</v>
      </c>
      <c r="I224" s="118">
        <v>-290.5</v>
      </c>
      <c r="J224" s="118">
        <v>-24.1</v>
      </c>
      <c r="K224" s="118">
        <v>-108.4</v>
      </c>
      <c r="L224" s="118">
        <v>0.10199999999999999</v>
      </c>
      <c r="M224" s="118">
        <v>0.37</v>
      </c>
      <c r="N224" s="118">
        <v>752.8</v>
      </c>
      <c r="O224" s="118">
        <v>752792</v>
      </c>
      <c r="P224" s="118">
        <v>31.86</v>
      </c>
      <c r="Q224" s="118">
        <v>0</v>
      </c>
      <c r="R224" s="118">
        <v>7.43</v>
      </c>
      <c r="S224" s="118">
        <v>-71.3</v>
      </c>
      <c r="T224" s="118">
        <v>24.673999999999999</v>
      </c>
      <c r="U224" s="118">
        <v>6.4000000000000001E-2</v>
      </c>
      <c r="V224" s="118">
        <v>40.843389999999999</v>
      </c>
      <c r="W224" s="118">
        <v>-86.817440000000005</v>
      </c>
      <c r="X224" s="118">
        <v>198.5</v>
      </c>
      <c r="Y224" s="118">
        <v>0</v>
      </c>
      <c r="Z224" s="118">
        <v>11.8</v>
      </c>
      <c r="AA224" s="118">
        <v>740.5</v>
      </c>
      <c r="AB224" s="118" t="s">
        <v>1883</v>
      </c>
    </row>
    <row r="225" spans="2:28" x14ac:dyDescent="0.25">
      <c r="B225" s="118" t="s">
        <v>1788</v>
      </c>
      <c r="C225" s="118" t="s">
        <v>1789</v>
      </c>
      <c r="D225" s="118" t="s">
        <v>1790</v>
      </c>
      <c r="E225" s="118" t="s">
        <v>1791</v>
      </c>
      <c r="F225" s="118" t="s">
        <v>1792</v>
      </c>
      <c r="G225" s="118" t="s">
        <v>1793</v>
      </c>
      <c r="H225" s="118" t="s">
        <v>1794</v>
      </c>
      <c r="I225" s="118" t="s">
        <v>1699</v>
      </c>
      <c r="J225" s="118" t="s">
        <v>1795</v>
      </c>
      <c r="K225" s="118" t="s">
        <v>1703</v>
      </c>
      <c r="L225" s="118" t="s">
        <v>1796</v>
      </c>
      <c r="M225" s="118" t="s">
        <v>1797</v>
      </c>
      <c r="N225" s="118" t="s">
        <v>1798</v>
      </c>
      <c r="O225" s="118" t="s">
        <v>1799</v>
      </c>
      <c r="P225" s="118" t="s">
        <v>1800</v>
      </c>
      <c r="Q225" s="118" t="s">
        <v>1801</v>
      </c>
      <c r="R225" s="118" t="s">
        <v>1802</v>
      </c>
      <c r="S225" s="118" t="s">
        <v>1803</v>
      </c>
      <c r="T225" s="118" t="s">
        <v>1804</v>
      </c>
      <c r="U225" s="118" t="s">
        <v>1805</v>
      </c>
      <c r="V225" s="118" t="s">
        <v>1806</v>
      </c>
      <c r="W225" s="118" t="s">
        <v>1807</v>
      </c>
      <c r="X225" s="118" t="s">
        <v>1808</v>
      </c>
      <c r="Y225" s="118" t="s">
        <v>1809</v>
      </c>
      <c r="Z225" s="118" t="s">
        <v>1810</v>
      </c>
      <c r="AA225" s="118" t="s">
        <v>1811</v>
      </c>
      <c r="AB225" s="118" t="s">
        <v>1711</v>
      </c>
    </row>
    <row r="226" spans="2:28" x14ac:dyDescent="0.25">
      <c r="B226" s="19">
        <v>45125</v>
      </c>
      <c r="C226" s="230">
        <v>0.4698148148148148</v>
      </c>
      <c r="D226" s="118">
        <v>0</v>
      </c>
      <c r="E226" s="118">
        <v>686.7</v>
      </c>
      <c r="F226" s="118">
        <v>0.55200000000000005</v>
      </c>
      <c r="G226" s="118">
        <v>671.2</v>
      </c>
      <c r="H226" s="118">
        <v>-312.60000000000002</v>
      </c>
      <c r="I226" s="118">
        <v>-312.60000000000002</v>
      </c>
      <c r="J226" s="118">
        <v>-25.28</v>
      </c>
      <c r="K226" s="118">
        <v>80.7</v>
      </c>
      <c r="L226" s="118">
        <v>0.78200000000000003</v>
      </c>
      <c r="M226" s="118">
        <v>0.33</v>
      </c>
      <c r="N226" s="118">
        <v>672.7</v>
      </c>
      <c r="O226" s="118">
        <v>672713</v>
      </c>
      <c r="P226" s="118">
        <v>7.16</v>
      </c>
      <c r="Q226" s="118">
        <v>-28</v>
      </c>
      <c r="R226" s="118">
        <v>8.25</v>
      </c>
      <c r="S226" s="118">
        <v>-114.8</v>
      </c>
      <c r="T226" s="118">
        <v>26.091000000000001</v>
      </c>
      <c r="U226" s="118">
        <v>0.54700000000000004</v>
      </c>
      <c r="V226" s="118">
        <v>40.823830000000001</v>
      </c>
      <c r="W226" s="118">
        <v>-86.794579999999996</v>
      </c>
      <c r="X226" s="118">
        <v>194.4</v>
      </c>
      <c r="Y226" s="118">
        <v>0</v>
      </c>
      <c r="Z226" s="118">
        <v>11.8</v>
      </c>
      <c r="AA226" s="118">
        <v>743.4</v>
      </c>
      <c r="AB226" s="118" t="s">
        <v>1884</v>
      </c>
    </row>
    <row r="227" spans="2:28" x14ac:dyDescent="0.25">
      <c r="B227" s="19">
        <v>45125</v>
      </c>
      <c r="C227" s="230">
        <v>0.49222222222222223</v>
      </c>
      <c r="D227" s="118">
        <v>0</v>
      </c>
      <c r="E227" s="118">
        <v>674.6</v>
      </c>
      <c r="F227" s="118">
        <v>0.112</v>
      </c>
      <c r="G227" s="118">
        <v>680</v>
      </c>
      <c r="H227" s="118">
        <v>-267.60000000000002</v>
      </c>
      <c r="I227" s="118">
        <v>-267.60000000000002</v>
      </c>
      <c r="J227" s="118">
        <v>-22.23</v>
      </c>
      <c r="K227" s="118">
        <v>-168.2</v>
      </c>
      <c r="L227" s="118">
        <v>0.158</v>
      </c>
      <c r="M227" s="118">
        <v>0.33</v>
      </c>
      <c r="N227" s="118">
        <v>679.5</v>
      </c>
      <c r="O227" s="118">
        <v>679496</v>
      </c>
      <c r="P227" s="118">
        <v>15599.62</v>
      </c>
      <c r="Q227" s="118">
        <v>-550070</v>
      </c>
      <c r="R227" s="118">
        <v>7.55</v>
      </c>
      <c r="S227" s="118">
        <v>-74.8</v>
      </c>
      <c r="T227" s="118">
        <v>24.622</v>
      </c>
      <c r="U227" s="118">
        <v>0.124</v>
      </c>
      <c r="V227" s="118">
        <v>40.843409999999999</v>
      </c>
      <c r="W227" s="118">
        <v>-86.817440000000005</v>
      </c>
      <c r="X227" s="118">
        <v>200.6</v>
      </c>
      <c r="Y227" s="118">
        <v>0</v>
      </c>
      <c r="Z227" s="118">
        <v>11.8</v>
      </c>
      <c r="AA227" s="118">
        <v>743.3</v>
      </c>
      <c r="AB227" s="118" t="s">
        <v>1883</v>
      </c>
    </row>
    <row r="228" spans="2:28" x14ac:dyDescent="0.25">
      <c r="B228" s="19">
        <v>45125</v>
      </c>
      <c r="C228" s="230">
        <v>0.5228356481481482</v>
      </c>
      <c r="D228" s="118">
        <v>0</v>
      </c>
      <c r="E228" s="118">
        <v>799.5</v>
      </c>
      <c r="F228" s="118">
        <v>0.11799999999999999</v>
      </c>
      <c r="G228" s="118">
        <v>778</v>
      </c>
      <c r="H228" s="118">
        <v>-323.8</v>
      </c>
      <c r="I228" s="118">
        <v>-323.8</v>
      </c>
      <c r="J228" s="118">
        <v>-26.08</v>
      </c>
      <c r="K228" s="118">
        <v>70.400000000000006</v>
      </c>
      <c r="L228" s="118">
        <v>0.16700000000000001</v>
      </c>
      <c r="M228" s="118">
        <v>0.38</v>
      </c>
      <c r="N228" s="118">
        <v>780.1</v>
      </c>
      <c r="O228" s="118">
        <v>780053</v>
      </c>
      <c r="P228" s="118">
        <v>4.58</v>
      </c>
      <c r="Q228" s="118">
        <v>-31</v>
      </c>
      <c r="R228" s="118">
        <v>8.16</v>
      </c>
      <c r="S228" s="118">
        <v>-109.9</v>
      </c>
      <c r="T228" s="118">
        <v>26.311</v>
      </c>
      <c r="U228" s="118">
        <v>0.11600000000000001</v>
      </c>
      <c r="V228" s="118">
        <v>40.808759999999999</v>
      </c>
      <c r="W228" s="118">
        <v>-86.794619999999995</v>
      </c>
      <c r="X228" s="118">
        <v>197.5</v>
      </c>
      <c r="Y228" s="118">
        <v>0</v>
      </c>
      <c r="Z228" s="118">
        <v>11.8</v>
      </c>
      <c r="AA228" s="118">
        <v>743.5</v>
      </c>
      <c r="AB228" s="118" t="s">
        <v>1885</v>
      </c>
    </row>
    <row r="229" spans="2:28" x14ac:dyDescent="0.25">
      <c r="B229" s="118" t="s">
        <v>1788</v>
      </c>
      <c r="C229" s="118" t="s">
        <v>1789</v>
      </c>
      <c r="D229" s="118" t="s">
        <v>1790</v>
      </c>
      <c r="E229" s="118" t="s">
        <v>1791</v>
      </c>
      <c r="F229" s="118" t="s">
        <v>1792</v>
      </c>
      <c r="G229" s="118" t="s">
        <v>1793</v>
      </c>
      <c r="H229" s="118" t="s">
        <v>1703</v>
      </c>
      <c r="I229" s="118" t="s">
        <v>1796</v>
      </c>
      <c r="J229" s="118" t="s">
        <v>1797</v>
      </c>
      <c r="K229" s="118" t="s">
        <v>1798</v>
      </c>
      <c r="L229" s="118" t="s">
        <v>1799</v>
      </c>
      <c r="M229" s="118" t="s">
        <v>1800</v>
      </c>
      <c r="N229" s="118" t="s">
        <v>1801</v>
      </c>
      <c r="O229" s="118" t="s">
        <v>1802</v>
      </c>
      <c r="P229" s="118" t="s">
        <v>1803</v>
      </c>
      <c r="Q229" s="118" t="s">
        <v>1804</v>
      </c>
      <c r="R229" s="118" t="s">
        <v>1805</v>
      </c>
      <c r="S229" s="118" t="s">
        <v>1806</v>
      </c>
      <c r="T229" s="118" t="s">
        <v>1807</v>
      </c>
      <c r="U229" s="118" t="s">
        <v>1808</v>
      </c>
      <c r="V229" s="118" t="s">
        <v>1809</v>
      </c>
      <c r="W229" s="118" t="s">
        <v>1810</v>
      </c>
      <c r="X229" s="118" t="s">
        <v>1811</v>
      </c>
      <c r="Y229" s="118" t="s">
        <v>1711</v>
      </c>
    </row>
    <row r="230" spans="2:28" x14ac:dyDescent="0.25">
      <c r="B230" s="19">
        <v>45139</v>
      </c>
      <c r="C230" s="118" t="s">
        <v>1886</v>
      </c>
      <c r="D230" s="118">
        <v>0</v>
      </c>
      <c r="E230" s="118">
        <v>856.2</v>
      </c>
      <c r="F230" s="118">
        <v>0.17899999999999999</v>
      </c>
      <c r="G230" s="118">
        <v>817.4</v>
      </c>
      <c r="H230" s="118">
        <v>177</v>
      </c>
      <c r="I230" s="118">
        <v>0.253</v>
      </c>
      <c r="J230" s="118">
        <v>0.4</v>
      </c>
      <c r="K230" s="118">
        <v>821.1</v>
      </c>
      <c r="L230" s="118">
        <v>821145</v>
      </c>
      <c r="M230" s="118">
        <v>8.51</v>
      </c>
      <c r="N230" s="118">
        <v>22</v>
      </c>
      <c r="O230" s="118">
        <v>7.89</v>
      </c>
      <c r="P230" s="118">
        <v>-96.7</v>
      </c>
      <c r="Q230" s="118">
        <v>27.233000000000001</v>
      </c>
      <c r="R230" s="118">
        <v>0.188</v>
      </c>
      <c r="S230" s="118">
        <v>40.842910000000003</v>
      </c>
      <c r="T230" s="118">
        <v>-86.816999999999993</v>
      </c>
      <c r="U230" s="118">
        <v>206.9</v>
      </c>
      <c r="V230" s="118">
        <v>0</v>
      </c>
      <c r="W230" s="118">
        <v>11.8</v>
      </c>
      <c r="X230" s="118">
        <v>749.4</v>
      </c>
      <c r="Y230" s="118" t="s">
        <v>1877</v>
      </c>
    </row>
    <row r="231" spans="2:28" x14ac:dyDescent="0.25">
      <c r="B231" s="19">
        <v>45139</v>
      </c>
      <c r="C231" s="230">
        <v>0.6799884259259259</v>
      </c>
      <c r="D231" s="118">
        <v>0</v>
      </c>
      <c r="E231" s="118">
        <v>707.9</v>
      </c>
      <c r="F231" s="118">
        <v>0.41899999999999998</v>
      </c>
      <c r="G231" s="118">
        <v>679.4</v>
      </c>
      <c r="H231" s="118">
        <v>78.2</v>
      </c>
      <c r="I231" s="118">
        <v>0.59399999999999997</v>
      </c>
      <c r="J231" s="118">
        <v>0.33</v>
      </c>
      <c r="K231" s="118">
        <v>682.2</v>
      </c>
      <c r="L231" s="118">
        <v>682153</v>
      </c>
      <c r="M231" s="118">
        <v>8.9499999999999993</v>
      </c>
      <c r="N231" s="118">
        <v>24</v>
      </c>
      <c r="O231" s="118">
        <v>8.19</v>
      </c>
      <c r="P231" s="118">
        <v>-113.6</v>
      </c>
      <c r="Q231" s="118">
        <v>26.978999999999999</v>
      </c>
      <c r="R231" s="118">
        <v>0.40400000000000003</v>
      </c>
      <c r="S231" s="118">
        <v>40.847650000000002</v>
      </c>
      <c r="T231" s="118">
        <v>-86.81326</v>
      </c>
      <c r="U231" s="118">
        <v>200.8</v>
      </c>
      <c r="V231" s="118">
        <v>0</v>
      </c>
      <c r="W231" s="118">
        <v>11.8</v>
      </c>
      <c r="X231" s="118">
        <v>749.2</v>
      </c>
      <c r="Y231" s="118" t="s">
        <v>1878</v>
      </c>
    </row>
    <row r="232" spans="2:28" x14ac:dyDescent="0.25">
      <c r="B232" s="19">
        <v>45139</v>
      </c>
      <c r="C232" s="230">
        <v>0.69547453703703699</v>
      </c>
      <c r="D232" s="118">
        <v>0</v>
      </c>
      <c r="E232" s="118">
        <v>807.1</v>
      </c>
      <c r="F232" s="118">
        <v>0.27500000000000002</v>
      </c>
      <c r="G232" s="118">
        <v>762.3</v>
      </c>
      <c r="H232" s="118">
        <v>72.3</v>
      </c>
      <c r="I232" s="118">
        <v>0.38900000000000001</v>
      </c>
      <c r="J232" s="118">
        <v>0.37</v>
      </c>
      <c r="K232" s="118">
        <v>766.7</v>
      </c>
      <c r="L232" s="118">
        <v>766668</v>
      </c>
      <c r="M232" s="118">
        <v>9.3000000000000007</v>
      </c>
      <c r="N232" s="118">
        <v>25</v>
      </c>
      <c r="O232" s="118">
        <v>8.16</v>
      </c>
      <c r="P232" s="118">
        <v>-112.1</v>
      </c>
      <c r="Q232" s="118">
        <v>27.763000000000002</v>
      </c>
      <c r="R232" s="118">
        <v>0.30199999999999999</v>
      </c>
      <c r="S232" s="118">
        <v>40.839979999999997</v>
      </c>
      <c r="T232" s="118">
        <v>-86.811459999999997</v>
      </c>
      <c r="U232" s="118">
        <v>199.2</v>
      </c>
      <c r="V232" s="118">
        <v>0</v>
      </c>
      <c r="W232" s="118">
        <v>11.8</v>
      </c>
      <c r="X232" s="118">
        <v>749.1</v>
      </c>
      <c r="Y232" s="118" t="s">
        <v>1881</v>
      </c>
    </row>
    <row r="233" spans="2:28" x14ac:dyDescent="0.25">
      <c r="B233" s="19">
        <v>45139</v>
      </c>
      <c r="C233" s="230">
        <v>0.70701388888888894</v>
      </c>
      <c r="D233" s="118">
        <v>0</v>
      </c>
      <c r="E233" s="118">
        <v>756.6</v>
      </c>
      <c r="F233" s="118">
        <v>0.23200000000000001</v>
      </c>
      <c r="G233" s="118">
        <v>712.3</v>
      </c>
      <c r="H233" s="118">
        <v>77.099999999999994</v>
      </c>
      <c r="I233" s="118">
        <v>0.32900000000000001</v>
      </c>
      <c r="J233" s="118">
        <v>0.35</v>
      </c>
      <c r="K233" s="118">
        <v>716.6</v>
      </c>
      <c r="L233" s="118">
        <v>716602</v>
      </c>
      <c r="M233" s="118">
        <v>7.73</v>
      </c>
      <c r="N233" s="118">
        <v>20</v>
      </c>
      <c r="O233" s="118">
        <v>8.24</v>
      </c>
      <c r="P233" s="118">
        <v>-117</v>
      </c>
      <c r="Q233" s="118">
        <v>27.920999999999999</v>
      </c>
      <c r="R233" s="118">
        <v>0.23899999999999999</v>
      </c>
      <c r="S233" s="118">
        <v>40.841030000000003</v>
      </c>
      <c r="T233" s="118">
        <v>-86.804900000000004</v>
      </c>
      <c r="U233" s="118">
        <v>199.2</v>
      </c>
      <c r="V233" s="118">
        <v>0</v>
      </c>
      <c r="W233" s="118">
        <v>11.8</v>
      </c>
      <c r="X233" s="118">
        <v>749.1</v>
      </c>
      <c r="Y233" s="118" t="s">
        <v>1876</v>
      </c>
    </row>
    <row r="234" spans="2:28" x14ac:dyDescent="0.25">
      <c r="B234" s="19">
        <v>45139</v>
      </c>
      <c r="C234" s="230">
        <v>0.72100694444444446</v>
      </c>
      <c r="D234" s="118">
        <v>0</v>
      </c>
      <c r="E234" s="118">
        <v>756.2</v>
      </c>
      <c r="F234" s="118">
        <v>0.187</v>
      </c>
      <c r="G234" s="118">
        <v>712.4</v>
      </c>
      <c r="H234" s="118">
        <v>71.900000000000006</v>
      </c>
      <c r="I234" s="118">
        <v>0.26600000000000001</v>
      </c>
      <c r="J234" s="118">
        <v>0.35</v>
      </c>
      <c r="K234" s="118">
        <v>716.6</v>
      </c>
      <c r="L234" s="118">
        <v>716649</v>
      </c>
      <c r="M234" s="118">
        <v>6.45</v>
      </c>
      <c r="N234" s="118">
        <v>16</v>
      </c>
      <c r="O234" s="118">
        <v>8.1300000000000008</v>
      </c>
      <c r="P234" s="118">
        <v>-110.4</v>
      </c>
      <c r="Q234" s="118">
        <v>27.888000000000002</v>
      </c>
      <c r="R234" s="118">
        <v>0.17899999999999999</v>
      </c>
      <c r="S234" s="118">
        <v>40.83484</v>
      </c>
      <c r="T234" s="118">
        <v>-86.807980000000001</v>
      </c>
      <c r="U234" s="118">
        <v>200.8</v>
      </c>
      <c r="V234" s="118">
        <v>0</v>
      </c>
      <c r="W234" s="118">
        <v>11.7</v>
      </c>
      <c r="X234" s="118">
        <v>749.1</v>
      </c>
      <c r="Y234" s="118" t="s">
        <v>1875</v>
      </c>
    </row>
    <row r="235" spans="2:28" x14ac:dyDescent="0.25">
      <c r="B235" s="19">
        <v>45139</v>
      </c>
      <c r="C235" s="230">
        <v>0.74615740740740744</v>
      </c>
      <c r="D235" s="118">
        <v>0</v>
      </c>
      <c r="E235" s="118">
        <v>747.9</v>
      </c>
      <c r="F235" s="118">
        <v>0.20200000000000001</v>
      </c>
      <c r="G235" s="118">
        <v>700.2</v>
      </c>
      <c r="H235" s="118">
        <v>61.8</v>
      </c>
      <c r="I235" s="118">
        <v>0.28699999999999998</v>
      </c>
      <c r="J235" s="118">
        <v>0.34</v>
      </c>
      <c r="K235" s="118">
        <v>704.8</v>
      </c>
      <c r="L235" s="118">
        <v>704839</v>
      </c>
      <c r="M235" s="118">
        <v>5.67</v>
      </c>
      <c r="N235" s="118">
        <v>13</v>
      </c>
      <c r="O235" s="118">
        <v>8.4</v>
      </c>
      <c r="P235" s="118">
        <v>-126.3</v>
      </c>
      <c r="Q235" s="118">
        <v>28.195</v>
      </c>
      <c r="R235" s="118">
        <v>0.184</v>
      </c>
      <c r="S235" s="118">
        <v>40.823990000000002</v>
      </c>
      <c r="T235" s="118">
        <v>-86.79522</v>
      </c>
      <c r="U235" s="118">
        <v>196.2</v>
      </c>
      <c r="V235" s="118">
        <v>0</v>
      </c>
      <c r="W235" s="118">
        <v>11.7</v>
      </c>
      <c r="X235" s="118">
        <v>749.1</v>
      </c>
      <c r="Y235" s="118" t="s">
        <v>1735</v>
      </c>
    </row>
    <row r="236" spans="2:28" x14ac:dyDescent="0.25">
      <c r="B236" s="19">
        <v>45139</v>
      </c>
      <c r="C236" s="230">
        <v>0.77880787037037036</v>
      </c>
      <c r="D236" s="118">
        <v>0</v>
      </c>
      <c r="E236" s="118">
        <v>643.79999999999995</v>
      </c>
      <c r="F236" s="118">
        <v>0.17899999999999999</v>
      </c>
      <c r="G236" s="118">
        <v>644.70000000000005</v>
      </c>
      <c r="H236" s="118">
        <v>77.099999999999994</v>
      </c>
      <c r="I236" s="118">
        <v>0.253</v>
      </c>
      <c r="J236" s="118">
        <v>0.31</v>
      </c>
      <c r="K236" s="118">
        <v>644.6</v>
      </c>
      <c r="L236" s="118">
        <v>644630</v>
      </c>
      <c r="M236" s="118">
        <v>3.25</v>
      </c>
      <c r="N236" s="118">
        <v>5</v>
      </c>
      <c r="O236" s="118">
        <v>7.68</v>
      </c>
      <c r="P236" s="118">
        <v>-83.9</v>
      </c>
      <c r="Q236" s="118">
        <v>24.93</v>
      </c>
      <c r="R236" s="118">
        <v>0.19500000000000001</v>
      </c>
      <c r="S236" s="118">
        <v>40.846939999999996</v>
      </c>
      <c r="T236" s="118">
        <v>-86.760059999999996</v>
      </c>
      <c r="U236" s="118">
        <v>203</v>
      </c>
      <c r="V236" s="118">
        <v>0</v>
      </c>
      <c r="W236" s="118">
        <v>11.8</v>
      </c>
      <c r="X236" s="118">
        <v>748.6</v>
      </c>
      <c r="Y236" s="118" t="s">
        <v>1882</v>
      </c>
    </row>
    <row r="237" spans="2:28" x14ac:dyDescent="0.25">
      <c r="B237" s="19">
        <v>45139</v>
      </c>
      <c r="C237" s="230">
        <v>0.79708333333333337</v>
      </c>
      <c r="D237" s="118">
        <v>0</v>
      </c>
      <c r="E237" s="118">
        <v>658.7</v>
      </c>
      <c r="F237" s="118">
        <v>0.183</v>
      </c>
      <c r="G237" s="118">
        <v>654</v>
      </c>
      <c r="H237" s="118">
        <v>102</v>
      </c>
      <c r="I237" s="118">
        <v>0.25900000000000001</v>
      </c>
      <c r="J237" s="118">
        <v>0.32</v>
      </c>
      <c r="K237" s="118">
        <v>654.4</v>
      </c>
      <c r="L237" s="118">
        <v>654433</v>
      </c>
      <c r="M237" s="118">
        <v>2.58</v>
      </c>
      <c r="N237" s="118">
        <v>2</v>
      </c>
      <c r="O237" s="118">
        <v>7.73</v>
      </c>
      <c r="P237" s="118">
        <v>-86.7</v>
      </c>
      <c r="Q237" s="118">
        <v>25.343</v>
      </c>
      <c r="R237" s="118">
        <v>0.17299999999999999</v>
      </c>
      <c r="S237" s="118">
        <v>40.835090000000001</v>
      </c>
      <c r="T237" s="118">
        <v>-86.782030000000006</v>
      </c>
      <c r="U237" s="118">
        <v>195.1</v>
      </c>
      <c r="V237" s="118">
        <v>0</v>
      </c>
      <c r="W237" s="118">
        <v>11.8</v>
      </c>
      <c r="X237" s="118">
        <v>748.6</v>
      </c>
      <c r="Y237" s="118" t="s">
        <v>1736</v>
      </c>
    </row>
    <row r="238" spans="2:28" x14ac:dyDescent="0.25">
      <c r="B238" s="19">
        <v>45139</v>
      </c>
      <c r="C238" s="230">
        <v>0.82098379629629625</v>
      </c>
      <c r="D238" s="118">
        <v>0</v>
      </c>
      <c r="E238" s="118">
        <v>707.2</v>
      </c>
      <c r="F238" s="118">
        <v>0.19700000000000001</v>
      </c>
      <c r="G238" s="118">
        <v>673.3</v>
      </c>
      <c r="H238" s="118">
        <v>107</v>
      </c>
      <c r="I238" s="118">
        <v>0.27900000000000003</v>
      </c>
      <c r="J238" s="118">
        <v>0.33</v>
      </c>
      <c r="K238" s="118">
        <v>676.6</v>
      </c>
      <c r="L238" s="118">
        <v>676624</v>
      </c>
      <c r="M238" s="118">
        <v>2.64</v>
      </c>
      <c r="N238" s="118">
        <v>3</v>
      </c>
      <c r="O238" s="118">
        <v>7.89</v>
      </c>
      <c r="P238" s="118">
        <v>-96.6</v>
      </c>
      <c r="Q238" s="118">
        <v>27.369</v>
      </c>
      <c r="R238" s="118">
        <v>0.20799999999999999</v>
      </c>
      <c r="S238" s="118">
        <v>40.810980000000001</v>
      </c>
      <c r="T238" s="118">
        <v>-86.794600000000003</v>
      </c>
      <c r="U238" s="118">
        <v>198.2</v>
      </c>
      <c r="V238" s="118">
        <v>0</v>
      </c>
      <c r="W238" s="118">
        <v>11.7</v>
      </c>
      <c r="X238" s="118">
        <v>748</v>
      </c>
      <c r="Y238" s="118" t="s">
        <v>1737</v>
      </c>
    </row>
    <row r="239" spans="2:28" x14ac:dyDescent="0.25">
      <c r="B239" s="19">
        <v>45139</v>
      </c>
      <c r="C239" s="230">
        <v>0.83078703703703705</v>
      </c>
      <c r="D239" s="118">
        <v>0</v>
      </c>
      <c r="E239" s="118">
        <v>739.9</v>
      </c>
      <c r="F239" s="118">
        <v>0.17100000000000001</v>
      </c>
      <c r="G239" s="118">
        <v>692.5</v>
      </c>
      <c r="H239" s="118">
        <v>96.4</v>
      </c>
      <c r="I239" s="118">
        <v>0.24299999999999999</v>
      </c>
      <c r="J239" s="118">
        <v>0.34</v>
      </c>
      <c r="K239" s="118">
        <v>697.2</v>
      </c>
      <c r="L239" s="118">
        <v>697173</v>
      </c>
      <c r="M239" s="118">
        <v>2.37</v>
      </c>
      <c r="N239" s="118">
        <v>2</v>
      </c>
      <c r="O239" s="118">
        <v>8.11</v>
      </c>
      <c r="P239" s="118">
        <v>-109.2</v>
      </c>
      <c r="Q239" s="118">
        <v>28.212</v>
      </c>
      <c r="R239" s="118">
        <v>0.18099999999999999</v>
      </c>
      <c r="S239" s="118">
        <v>40.8065</v>
      </c>
      <c r="T239" s="118">
        <v>-86.785139999999998</v>
      </c>
      <c r="U239" s="118">
        <v>197.9</v>
      </c>
      <c r="V239" s="118">
        <v>0</v>
      </c>
      <c r="W239" s="118">
        <v>11.8</v>
      </c>
      <c r="X239" s="118">
        <v>748</v>
      </c>
      <c r="Y239" s="118" t="s">
        <v>1738</v>
      </c>
    </row>
    <row r="240" spans="2:28" x14ac:dyDescent="0.25">
      <c r="B240" s="19">
        <v>45139</v>
      </c>
      <c r="C240" s="230">
        <v>0.84040509259259255</v>
      </c>
      <c r="D240" s="118">
        <v>0</v>
      </c>
      <c r="E240" s="118">
        <v>810.5</v>
      </c>
      <c r="F240" s="118">
        <v>0.16700000000000001</v>
      </c>
      <c r="G240" s="118">
        <v>751.5</v>
      </c>
      <c r="H240" s="118">
        <v>94</v>
      </c>
      <c r="I240" s="118">
        <v>0.23699999999999999</v>
      </c>
      <c r="J240" s="118">
        <v>0.37</v>
      </c>
      <c r="K240" s="118">
        <v>757.3</v>
      </c>
      <c r="L240" s="118">
        <v>757342</v>
      </c>
      <c r="M240" s="118">
        <v>4.59</v>
      </c>
      <c r="N240" s="118">
        <v>10</v>
      </c>
      <c r="O240" s="118">
        <v>8.33</v>
      </c>
      <c r="P240" s="118">
        <v>-122.5</v>
      </c>
      <c r="Q240" s="118">
        <v>28.672000000000001</v>
      </c>
      <c r="R240" s="118">
        <v>0.16</v>
      </c>
      <c r="S240" s="118">
        <v>40.803699999999999</v>
      </c>
      <c r="T240" s="118">
        <v>-86.775970000000001</v>
      </c>
      <c r="U240" s="118">
        <v>197.6</v>
      </c>
      <c r="V240" s="118">
        <v>0</v>
      </c>
      <c r="W240" s="118">
        <v>11.9</v>
      </c>
      <c r="X240" s="118">
        <v>747.9</v>
      </c>
      <c r="Y240" s="118" t="s">
        <v>1739</v>
      </c>
    </row>
    <row r="241" spans="2:25" x14ac:dyDescent="0.25">
      <c r="B241" s="19">
        <v>45139</v>
      </c>
      <c r="C241" s="230">
        <v>0.84865740740740736</v>
      </c>
      <c r="D241" s="118">
        <v>0</v>
      </c>
      <c r="E241" s="118">
        <v>806</v>
      </c>
      <c r="F241" s="118">
        <v>0.20799999999999999</v>
      </c>
      <c r="G241" s="118">
        <v>744.7</v>
      </c>
      <c r="H241" s="118">
        <v>87.5</v>
      </c>
      <c r="I241" s="118">
        <v>0.29499999999999998</v>
      </c>
      <c r="J241" s="118">
        <v>0.36</v>
      </c>
      <c r="K241" s="118">
        <v>750.8</v>
      </c>
      <c r="L241" s="118">
        <v>750785</v>
      </c>
      <c r="M241" s="118">
        <v>6.41</v>
      </c>
      <c r="N241" s="118">
        <v>16</v>
      </c>
      <c r="O241" s="118">
        <v>8.3699999999999992</v>
      </c>
      <c r="P241" s="118">
        <v>-124.9</v>
      </c>
      <c r="Q241" s="118">
        <v>28.849</v>
      </c>
      <c r="R241" s="118">
        <v>0.20499999999999999</v>
      </c>
      <c r="S241" s="118">
        <v>40.800109999999997</v>
      </c>
      <c r="T241" s="118">
        <v>-86.779169999999993</v>
      </c>
      <c r="U241" s="118">
        <v>198</v>
      </c>
      <c r="V241" s="118">
        <v>0</v>
      </c>
      <c r="W241" s="118">
        <v>11.9</v>
      </c>
      <c r="X241" s="118">
        <v>747.8</v>
      </c>
      <c r="Y241" s="118" t="s">
        <v>1740</v>
      </c>
    </row>
    <row r="242" spans="2:25" x14ac:dyDescent="0.25">
      <c r="B242" s="19">
        <v>45139</v>
      </c>
      <c r="C242" s="230">
        <v>0.85709490740740746</v>
      </c>
      <c r="D242" s="118">
        <v>0</v>
      </c>
      <c r="E242" s="118">
        <v>812.4</v>
      </c>
      <c r="F242" s="118">
        <v>0.16400000000000001</v>
      </c>
      <c r="G242" s="118">
        <v>754.7</v>
      </c>
      <c r="H242" s="118">
        <v>100</v>
      </c>
      <c r="I242" s="118">
        <v>0.23200000000000001</v>
      </c>
      <c r="J242" s="118">
        <v>0.37</v>
      </c>
      <c r="K242" s="118">
        <v>760.4</v>
      </c>
      <c r="L242" s="118">
        <v>760390</v>
      </c>
      <c r="M242" s="118">
        <v>6.33</v>
      </c>
      <c r="N242" s="118">
        <v>15</v>
      </c>
      <c r="O242" s="118">
        <v>8.3800000000000008</v>
      </c>
      <c r="P242" s="118">
        <v>-125.1</v>
      </c>
      <c r="Q242" s="118">
        <v>28.582999999999998</v>
      </c>
      <c r="R242" s="118">
        <v>0.17</v>
      </c>
      <c r="S242" s="118">
        <v>40.794580000000003</v>
      </c>
      <c r="T242" s="118">
        <v>-86.773960000000002</v>
      </c>
      <c r="U242" s="118">
        <v>197</v>
      </c>
      <c r="V242" s="118">
        <v>0</v>
      </c>
      <c r="W242" s="118">
        <v>11.9</v>
      </c>
      <c r="X242" s="118">
        <v>747.7</v>
      </c>
      <c r="Y242" s="118" t="s">
        <v>1741</v>
      </c>
    </row>
    <row r="243" spans="2:25" x14ac:dyDescent="0.25">
      <c r="B243" s="19">
        <v>45139</v>
      </c>
      <c r="C243" s="230">
        <v>0.86766203703703704</v>
      </c>
      <c r="D243" s="118">
        <v>0</v>
      </c>
      <c r="E243" s="118">
        <v>815.2</v>
      </c>
      <c r="F243" s="118">
        <v>0.20399999999999999</v>
      </c>
      <c r="G243" s="118">
        <v>756.6</v>
      </c>
      <c r="H243" s="118">
        <v>94</v>
      </c>
      <c r="I243" s="118">
        <v>0.28899999999999998</v>
      </c>
      <c r="J243" s="118">
        <v>0.37</v>
      </c>
      <c r="K243" s="118">
        <v>762.4</v>
      </c>
      <c r="L243" s="118">
        <v>762371</v>
      </c>
      <c r="M243" s="118">
        <v>7.54</v>
      </c>
      <c r="N243" s="118">
        <v>19</v>
      </c>
      <c r="O243" s="118">
        <v>8.33</v>
      </c>
      <c r="P243" s="118">
        <v>-122</v>
      </c>
      <c r="Q243" s="118">
        <v>28.629000000000001</v>
      </c>
      <c r="R243" s="118">
        <v>0.20899999999999999</v>
      </c>
      <c r="S243" s="118">
        <v>40.781619999999997</v>
      </c>
      <c r="T243" s="118">
        <v>-86.762079999999997</v>
      </c>
      <c r="U243" s="118">
        <v>195.5</v>
      </c>
      <c r="V243" s="118">
        <v>0</v>
      </c>
      <c r="W243" s="118">
        <v>11.9</v>
      </c>
      <c r="X243" s="118">
        <v>747.8</v>
      </c>
      <c r="Y243" s="118" t="s">
        <v>1743</v>
      </c>
    </row>
    <row r="244" spans="2:25" x14ac:dyDescent="0.25">
      <c r="B244" s="19">
        <v>45139</v>
      </c>
      <c r="C244" s="230">
        <v>0.88021990740740741</v>
      </c>
      <c r="D244" s="118">
        <v>0</v>
      </c>
      <c r="E244" s="118">
        <v>809.1</v>
      </c>
      <c r="F244" s="118">
        <v>0.17</v>
      </c>
      <c r="G244" s="118">
        <v>744.2</v>
      </c>
      <c r="H244" s="118">
        <v>56.2</v>
      </c>
      <c r="I244" s="118">
        <v>0.24099999999999999</v>
      </c>
      <c r="J244" s="118">
        <v>0.36</v>
      </c>
      <c r="K244" s="118">
        <v>750.6</v>
      </c>
      <c r="L244" s="118">
        <v>750629</v>
      </c>
      <c r="M244" s="118">
        <v>5.89</v>
      </c>
      <c r="N244" s="118">
        <v>14</v>
      </c>
      <c r="O244" s="118">
        <v>8.4</v>
      </c>
      <c r="P244" s="118">
        <v>-126.6</v>
      </c>
      <c r="Q244" s="118">
        <v>29.074999999999999</v>
      </c>
      <c r="R244" s="118">
        <v>0.16700000000000001</v>
      </c>
      <c r="S244" s="118">
        <v>40.788440000000001</v>
      </c>
      <c r="T244" s="118">
        <v>-86.771060000000006</v>
      </c>
      <c r="U244" s="118">
        <v>200.6</v>
      </c>
      <c r="V244" s="118">
        <v>0</v>
      </c>
      <c r="W244" s="118">
        <v>11.8</v>
      </c>
      <c r="X244" s="118">
        <v>747.7</v>
      </c>
      <c r="Y244" s="118" t="s">
        <v>1742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C7DE-3EC5-41E3-89FC-3601258E5A91}">
  <dimension ref="A1:BE231"/>
  <sheetViews>
    <sheetView topLeftCell="X1" zoomScale="55" zoomScaleNormal="55" workbookViewId="0">
      <selection activeCell="AG3" sqref="AG3:BC231"/>
    </sheetView>
  </sheetViews>
  <sheetFormatPr defaultRowHeight="15" x14ac:dyDescent="0.25"/>
  <cols>
    <col min="1" max="1" width="31.7109375" bestFit="1" customWidth="1"/>
    <col min="33" max="55" width="9.140625" style="118"/>
  </cols>
  <sheetData>
    <row r="1" spans="1:57" s="118" customFormat="1" x14ac:dyDescent="0.25">
      <c r="AC1" s="118" t="s">
        <v>1684</v>
      </c>
      <c r="AD1" s="118" t="s">
        <v>1685</v>
      </c>
      <c r="AE1" s="118" t="s">
        <v>1686</v>
      </c>
      <c r="AF1" s="118" t="s">
        <v>1687</v>
      </c>
      <c r="BD1" s="118" t="s">
        <v>1755</v>
      </c>
      <c r="BE1" s="118" t="s">
        <v>1711</v>
      </c>
    </row>
    <row r="2" spans="1:57" ht="60" x14ac:dyDescent="0.25">
      <c r="AG2" s="32" t="s">
        <v>1758</v>
      </c>
      <c r="AH2" s="32" t="s">
        <v>1759</v>
      </c>
      <c r="AI2" s="32" t="s">
        <v>1760</v>
      </c>
      <c r="AJ2" s="32" t="s">
        <v>1761</v>
      </c>
      <c r="AK2" s="32" t="s">
        <v>1762</v>
      </c>
      <c r="AL2" s="32" t="s">
        <v>1763</v>
      </c>
      <c r="AM2" s="32" t="s">
        <v>1757</v>
      </c>
      <c r="AN2" s="32" t="s">
        <v>1764</v>
      </c>
      <c r="AO2" s="32" t="s">
        <v>1765</v>
      </c>
      <c r="AP2" s="32" t="s">
        <v>1766</v>
      </c>
      <c r="AQ2" s="32" t="s">
        <v>1767</v>
      </c>
      <c r="AR2" s="32" t="s">
        <v>1768</v>
      </c>
      <c r="AS2" s="32" t="s">
        <v>1777</v>
      </c>
      <c r="AT2" s="32" t="s">
        <v>1778</v>
      </c>
      <c r="AU2" s="32" t="s">
        <v>1769</v>
      </c>
      <c r="AV2" s="32" t="s">
        <v>1770</v>
      </c>
      <c r="AW2" s="32" t="s">
        <v>1704</v>
      </c>
      <c r="AX2" s="32" t="s">
        <v>1771</v>
      </c>
      <c r="AY2" s="32" t="s">
        <v>1772</v>
      </c>
      <c r="AZ2" s="32" t="s">
        <v>1773</v>
      </c>
      <c r="BA2" s="32" t="s">
        <v>1774</v>
      </c>
      <c r="BB2" s="32" t="s">
        <v>1775</v>
      </c>
      <c r="BC2" s="32" t="s">
        <v>1776</v>
      </c>
    </row>
    <row r="3" spans="1:57" x14ac:dyDescent="0.25">
      <c r="A3" s="26" t="s">
        <v>293</v>
      </c>
      <c r="AG3" s="155">
        <v>737.5</v>
      </c>
      <c r="AH3" s="155">
        <v>402.2</v>
      </c>
      <c r="AI3" s="155">
        <v>441.2</v>
      </c>
      <c r="AJ3" s="155">
        <v>287</v>
      </c>
      <c r="AK3" s="155">
        <v>0.21</v>
      </c>
      <c r="AL3" s="155">
        <v>444.9</v>
      </c>
      <c r="AM3" s="155">
        <v>0.53100000000000003</v>
      </c>
      <c r="AN3" s="155">
        <v>0.55900000000000005</v>
      </c>
      <c r="AO3" s="155">
        <v>0.754</v>
      </c>
      <c r="AP3" s="155">
        <v>111.9</v>
      </c>
      <c r="AQ3" s="155">
        <v>10.08</v>
      </c>
      <c r="AR3" s="155">
        <v>115.5</v>
      </c>
      <c r="AS3" s="155">
        <v>40.68186</v>
      </c>
      <c r="AT3" s="155">
        <v>-85.888649999999998</v>
      </c>
      <c r="AU3" s="155">
        <v>218.1</v>
      </c>
      <c r="AV3" s="155">
        <v>94.1</v>
      </c>
      <c r="AW3" s="155">
        <v>8.58</v>
      </c>
      <c r="AX3" s="155">
        <v>-97.9</v>
      </c>
      <c r="AY3" s="155">
        <v>11.9</v>
      </c>
      <c r="AZ3" s="155">
        <v>0</v>
      </c>
      <c r="BA3" s="155">
        <v>20.37</v>
      </c>
      <c r="BB3" s="155">
        <v>6.47</v>
      </c>
      <c r="BC3" s="155">
        <v>0</v>
      </c>
    </row>
    <row r="4" spans="1:57" x14ac:dyDescent="0.25">
      <c r="A4" s="118" t="s">
        <v>294</v>
      </c>
      <c r="AG4" s="26">
        <v>737.6</v>
      </c>
      <c r="AH4" s="26">
        <v>457.7</v>
      </c>
      <c r="AI4" s="26">
        <v>491.9</v>
      </c>
      <c r="AJ4" s="26">
        <v>320</v>
      </c>
      <c r="AK4" s="26">
        <v>0.24</v>
      </c>
      <c r="AL4" s="26">
        <v>495.2</v>
      </c>
      <c r="AM4" s="26">
        <v>0.501</v>
      </c>
      <c r="AN4" s="26">
        <v>0.48</v>
      </c>
      <c r="AO4" s="26">
        <v>0.71099999999999997</v>
      </c>
      <c r="AP4" s="26">
        <v>145.69999999999999</v>
      </c>
      <c r="AQ4" s="26">
        <v>12.88</v>
      </c>
      <c r="AR4" s="26">
        <v>150.4</v>
      </c>
      <c r="AS4" s="26">
        <v>40.677390000000003</v>
      </c>
      <c r="AT4" s="26">
        <v>-85.877480000000006</v>
      </c>
      <c r="AU4" s="26">
        <v>218.1</v>
      </c>
      <c r="AV4" s="26">
        <v>103.5</v>
      </c>
      <c r="AW4" s="26">
        <v>8.8000000000000007</v>
      </c>
      <c r="AX4" s="26">
        <v>-111.1</v>
      </c>
      <c r="AY4" s="26">
        <v>12</v>
      </c>
      <c r="AZ4" s="26">
        <v>0</v>
      </c>
      <c r="BA4" s="26">
        <v>21.355</v>
      </c>
      <c r="BB4" s="26">
        <v>5.04</v>
      </c>
      <c r="BC4" s="155">
        <v>0</v>
      </c>
    </row>
    <row r="5" spans="1:57" x14ac:dyDescent="0.25">
      <c r="A5" s="118" t="s">
        <v>295</v>
      </c>
      <c r="AG5" s="155">
        <v>737.5</v>
      </c>
      <c r="AH5" s="155">
        <v>460.4</v>
      </c>
      <c r="AI5" s="155">
        <v>494.1</v>
      </c>
      <c r="AJ5" s="155">
        <v>321</v>
      </c>
      <c r="AK5" s="155">
        <v>0.24</v>
      </c>
      <c r="AL5" s="155">
        <v>497.4</v>
      </c>
      <c r="AM5" s="155">
        <v>0.53200000000000003</v>
      </c>
      <c r="AN5" s="155">
        <v>0.54800000000000004</v>
      </c>
      <c r="AO5" s="155">
        <v>0.755</v>
      </c>
      <c r="AP5" s="155">
        <v>175.8</v>
      </c>
      <c r="AQ5" s="155">
        <v>15.52</v>
      </c>
      <c r="AR5" s="155">
        <v>181.5</v>
      </c>
      <c r="AS5" s="155">
        <v>40.671309999999998</v>
      </c>
      <c r="AT5" s="155">
        <v>-85.869649999999993</v>
      </c>
      <c r="AU5" s="155">
        <v>217.6</v>
      </c>
      <c r="AV5" s="155">
        <v>71.400000000000006</v>
      </c>
      <c r="AW5" s="155">
        <v>8.94</v>
      </c>
      <c r="AX5" s="155">
        <v>-119.6</v>
      </c>
      <c r="AY5" s="155">
        <v>12</v>
      </c>
      <c r="AZ5" s="155">
        <v>0</v>
      </c>
      <c r="BA5" s="155">
        <v>21.425000000000001</v>
      </c>
      <c r="BB5" s="155">
        <v>5.22</v>
      </c>
      <c r="BC5" s="155">
        <v>0</v>
      </c>
    </row>
    <row r="6" spans="1:57" x14ac:dyDescent="0.25">
      <c r="A6" s="118" t="s">
        <v>296</v>
      </c>
      <c r="AG6" s="26">
        <v>737.5</v>
      </c>
      <c r="AH6" s="26">
        <v>462.6</v>
      </c>
      <c r="AI6" s="26">
        <v>507.7</v>
      </c>
      <c r="AJ6" s="26">
        <v>330</v>
      </c>
      <c r="AK6" s="26">
        <v>0.25</v>
      </c>
      <c r="AL6" s="26">
        <v>512</v>
      </c>
      <c r="AM6" s="26">
        <v>0.45900000000000002</v>
      </c>
      <c r="AN6" s="26">
        <v>0.45200000000000001</v>
      </c>
      <c r="AO6" s="26">
        <v>0.65200000000000002</v>
      </c>
      <c r="AP6" s="26">
        <v>131.19999999999999</v>
      </c>
      <c r="AQ6" s="26">
        <v>11.83</v>
      </c>
      <c r="AR6" s="26">
        <v>135.4</v>
      </c>
      <c r="AS6" s="26">
        <v>40.662909999999997</v>
      </c>
      <c r="AT6" s="26">
        <v>-85.867450000000005</v>
      </c>
      <c r="AU6" s="26">
        <v>217.6</v>
      </c>
      <c r="AV6" s="26">
        <v>97.1</v>
      </c>
      <c r="AW6" s="26">
        <v>8.65</v>
      </c>
      <c r="AX6" s="26">
        <v>-102.4</v>
      </c>
      <c r="AY6" s="26">
        <v>11.9</v>
      </c>
      <c r="AZ6" s="26">
        <v>0</v>
      </c>
      <c r="BA6" s="26">
        <v>20.350000000000001</v>
      </c>
      <c r="BB6" s="26">
        <v>3.87</v>
      </c>
      <c r="BC6" s="155">
        <v>0</v>
      </c>
    </row>
    <row r="7" spans="1:57" x14ac:dyDescent="0.25">
      <c r="A7" s="118" t="s">
        <v>297</v>
      </c>
      <c r="AG7" s="26">
        <v>737.3</v>
      </c>
      <c r="AH7" s="26">
        <v>472.3</v>
      </c>
      <c r="AI7" s="26">
        <v>507</v>
      </c>
      <c r="AJ7" s="26">
        <v>330</v>
      </c>
      <c r="AK7" s="26">
        <v>0.24</v>
      </c>
      <c r="AL7" s="26">
        <v>510.3</v>
      </c>
      <c r="AM7" s="26">
        <v>0.51500000000000001</v>
      </c>
      <c r="AN7" s="26">
        <v>0.52600000000000002</v>
      </c>
      <c r="AO7" s="26">
        <v>0.73099999999999998</v>
      </c>
      <c r="AP7" s="26">
        <v>166.4</v>
      </c>
      <c r="AQ7" s="26">
        <v>14.7</v>
      </c>
      <c r="AR7" s="26">
        <v>171.8</v>
      </c>
      <c r="AS7" s="26">
        <v>40.668909999999997</v>
      </c>
      <c r="AT7" s="26">
        <v>-85.847520000000003</v>
      </c>
      <c r="AU7" s="26">
        <v>219</v>
      </c>
      <c r="AV7" s="26">
        <v>101.1</v>
      </c>
      <c r="AW7" s="26">
        <v>8.82</v>
      </c>
      <c r="AX7" s="26">
        <v>-112.4</v>
      </c>
      <c r="AY7" s="26">
        <v>12</v>
      </c>
      <c r="AZ7" s="26">
        <v>0</v>
      </c>
      <c r="BA7" s="26">
        <v>21.416</v>
      </c>
      <c r="BB7" s="26">
        <v>4.7699999999999996</v>
      </c>
      <c r="BC7" s="155">
        <v>0</v>
      </c>
    </row>
    <row r="8" spans="1:57" ht="15.75" thickBot="1" x14ac:dyDescent="0.3">
      <c r="A8" s="118" t="s">
        <v>298</v>
      </c>
      <c r="AG8" s="155">
        <v>737.1</v>
      </c>
      <c r="AH8" s="155">
        <v>481.8</v>
      </c>
      <c r="AI8" s="155">
        <v>514.1</v>
      </c>
      <c r="AJ8" s="155">
        <v>334</v>
      </c>
      <c r="AK8" s="155">
        <v>0.25</v>
      </c>
      <c r="AL8" s="155">
        <v>517.20000000000005</v>
      </c>
      <c r="AM8" s="155">
        <v>0.50600000000000001</v>
      </c>
      <c r="AN8" s="155">
        <v>0.51100000000000001</v>
      </c>
      <c r="AO8" s="155">
        <v>0.71799999999999997</v>
      </c>
      <c r="AP8" s="155">
        <v>186.6</v>
      </c>
      <c r="AQ8" s="155">
        <v>16.39</v>
      </c>
      <c r="AR8" s="155">
        <v>192.7</v>
      </c>
      <c r="AS8" s="155">
        <v>40.673859999999998</v>
      </c>
      <c r="AT8" s="155">
        <v>-85.83175</v>
      </c>
      <c r="AU8" s="155">
        <v>220.2</v>
      </c>
      <c r="AV8" s="155">
        <v>115.8</v>
      </c>
      <c r="AW8" s="155">
        <v>8.89</v>
      </c>
      <c r="AX8" s="155">
        <v>-116.4</v>
      </c>
      <c r="AY8" s="155">
        <v>11.9</v>
      </c>
      <c r="AZ8" s="155">
        <v>0</v>
      </c>
      <c r="BA8" s="155">
        <v>21.712</v>
      </c>
      <c r="BB8" s="155">
        <v>4.97</v>
      </c>
      <c r="BC8" s="155">
        <v>0</v>
      </c>
    </row>
    <row r="9" spans="1:57" x14ac:dyDescent="0.25">
      <c r="A9" s="118" t="s">
        <v>299</v>
      </c>
      <c r="AG9" s="223">
        <v>737.8</v>
      </c>
      <c r="AH9" s="223">
        <v>376.4</v>
      </c>
      <c r="AI9" s="223">
        <v>412.5</v>
      </c>
      <c r="AJ9" s="223">
        <v>268</v>
      </c>
      <c r="AK9" s="223">
        <v>0.2</v>
      </c>
      <c r="AL9" s="223">
        <v>415.9</v>
      </c>
      <c r="AM9" s="223">
        <v>0.57399999999999995</v>
      </c>
      <c r="AN9" s="223">
        <v>0.56100000000000005</v>
      </c>
      <c r="AO9" s="223">
        <v>0.81499999999999995</v>
      </c>
      <c r="AP9" s="223">
        <v>94</v>
      </c>
      <c r="AQ9" s="223">
        <v>8.4700000000000006</v>
      </c>
      <c r="AR9" s="223">
        <v>97.1</v>
      </c>
      <c r="AS9" s="223">
        <v>40.687788930000004</v>
      </c>
      <c r="AT9" s="223">
        <v>-85.896540270000003</v>
      </c>
      <c r="AU9" s="223">
        <v>223.1</v>
      </c>
      <c r="AV9" s="223">
        <v>66.099999999999994</v>
      </c>
      <c r="AW9" s="223">
        <v>8.32</v>
      </c>
      <c r="AX9" s="223">
        <v>-83</v>
      </c>
      <c r="AY9" s="223">
        <v>11.9</v>
      </c>
      <c r="AZ9" s="223">
        <v>0</v>
      </c>
      <c r="BA9" s="223">
        <v>20.407</v>
      </c>
      <c r="BB9" s="223">
        <v>8.85</v>
      </c>
      <c r="BC9" s="225">
        <v>0</v>
      </c>
    </row>
    <row r="10" spans="1:57" x14ac:dyDescent="0.25">
      <c r="A10" s="118" t="s">
        <v>300</v>
      </c>
      <c r="AG10" s="26">
        <v>738</v>
      </c>
      <c r="AH10" s="26">
        <v>367.8</v>
      </c>
      <c r="AI10" s="26">
        <v>398.4</v>
      </c>
      <c r="AJ10" s="26">
        <v>259</v>
      </c>
      <c r="AK10" s="26">
        <v>0.19</v>
      </c>
      <c r="AL10" s="26">
        <v>401.3</v>
      </c>
      <c r="AM10" s="26">
        <v>0.48499999999999999</v>
      </c>
      <c r="AN10" s="26">
        <v>0.50700000000000001</v>
      </c>
      <c r="AO10" s="26">
        <v>0.68799999999999994</v>
      </c>
      <c r="AP10" s="26">
        <v>95.3</v>
      </c>
      <c r="AQ10" s="26">
        <v>8.49</v>
      </c>
      <c r="AR10" s="26">
        <v>98.4</v>
      </c>
      <c r="AS10" s="26">
        <v>40.691644570000001</v>
      </c>
      <c r="AT10" s="26">
        <v>-85.908247720000006</v>
      </c>
      <c r="AU10" s="26">
        <v>222.2</v>
      </c>
      <c r="AV10" s="26">
        <v>73.2</v>
      </c>
      <c r="AW10" s="26">
        <v>8.3800000000000008</v>
      </c>
      <c r="AX10" s="26">
        <v>-86.8</v>
      </c>
      <c r="AY10" s="26">
        <v>11.9</v>
      </c>
      <c r="AZ10" s="26">
        <v>0</v>
      </c>
      <c r="BA10" s="26">
        <v>20.98</v>
      </c>
      <c r="BB10" s="26">
        <v>10.3</v>
      </c>
      <c r="BC10" s="226">
        <v>0</v>
      </c>
    </row>
    <row r="11" spans="1:57" x14ac:dyDescent="0.25">
      <c r="A11" s="118" t="s">
        <v>301</v>
      </c>
      <c r="AG11" s="155">
        <v>738.2</v>
      </c>
      <c r="AH11" s="155">
        <v>349.9</v>
      </c>
      <c r="AI11" s="155">
        <v>381</v>
      </c>
      <c r="AJ11" s="155">
        <v>248</v>
      </c>
      <c r="AK11" s="155">
        <v>0.18</v>
      </c>
      <c r="AL11" s="155">
        <v>383.9</v>
      </c>
      <c r="AM11" s="155">
        <v>0.56200000000000006</v>
      </c>
      <c r="AN11" s="155">
        <v>0.56799999999999995</v>
      </c>
      <c r="AO11" s="155">
        <v>0.79800000000000004</v>
      </c>
      <c r="AP11" s="155">
        <v>88.4</v>
      </c>
      <c r="AQ11" s="155">
        <v>7.91</v>
      </c>
      <c r="AR11" s="155">
        <v>91.2</v>
      </c>
      <c r="AS11" s="155">
        <v>40.70410554</v>
      </c>
      <c r="AT11" s="155">
        <v>-85.929932579999999</v>
      </c>
      <c r="AU11" s="155">
        <v>223.2</v>
      </c>
      <c r="AV11" s="155">
        <v>109.4</v>
      </c>
      <c r="AW11" s="155">
        <v>8.19</v>
      </c>
      <c r="AX11" s="155">
        <v>-75.7</v>
      </c>
      <c r="AY11" s="155">
        <v>11.9</v>
      </c>
      <c r="AZ11" s="155">
        <v>0</v>
      </c>
      <c r="BA11" s="155">
        <v>20.724</v>
      </c>
      <c r="BB11" s="155">
        <v>11.41</v>
      </c>
      <c r="BC11" s="226">
        <v>0</v>
      </c>
    </row>
    <row r="12" spans="1:57" x14ac:dyDescent="0.25">
      <c r="A12" s="118" t="s">
        <v>302</v>
      </c>
      <c r="AG12" s="26">
        <v>738.1</v>
      </c>
      <c r="AH12" s="26">
        <v>358.1</v>
      </c>
      <c r="AI12" s="26">
        <v>389.8</v>
      </c>
      <c r="AJ12" s="26">
        <v>253</v>
      </c>
      <c r="AK12" s="26">
        <v>0.19</v>
      </c>
      <c r="AL12" s="26">
        <v>392.8</v>
      </c>
      <c r="AM12" s="26">
        <v>0.51300000000000001</v>
      </c>
      <c r="AN12" s="26">
        <v>0.52200000000000002</v>
      </c>
      <c r="AO12" s="26">
        <v>0.72799999999999998</v>
      </c>
      <c r="AP12" s="26">
        <v>90.2</v>
      </c>
      <c r="AQ12" s="26">
        <v>8.07</v>
      </c>
      <c r="AR12" s="26">
        <v>93.1</v>
      </c>
      <c r="AS12" s="26">
        <v>40.693329519999999</v>
      </c>
      <c r="AT12" s="26">
        <v>-85.920152470000005</v>
      </c>
      <c r="AU12" s="26">
        <v>217.6</v>
      </c>
      <c r="AV12" s="26">
        <v>104.9</v>
      </c>
      <c r="AW12" s="26">
        <v>8.25</v>
      </c>
      <c r="AX12" s="26">
        <v>-79</v>
      </c>
      <c r="AY12" s="26">
        <v>11.9</v>
      </c>
      <c r="AZ12" s="26">
        <v>0</v>
      </c>
      <c r="BA12" s="26">
        <v>20.736000000000001</v>
      </c>
      <c r="BB12" s="26">
        <v>10.42</v>
      </c>
      <c r="BC12" s="226">
        <v>0</v>
      </c>
    </row>
    <row r="13" spans="1:57" x14ac:dyDescent="0.25">
      <c r="A13" s="118" t="s">
        <v>303</v>
      </c>
      <c r="AG13" s="26">
        <v>738.1</v>
      </c>
      <c r="AH13" s="26">
        <v>343.7</v>
      </c>
      <c r="AI13" s="26">
        <v>375.8</v>
      </c>
      <c r="AJ13" s="26">
        <v>244</v>
      </c>
      <c r="AK13" s="26">
        <v>0.18</v>
      </c>
      <c r="AL13" s="26">
        <v>378.8</v>
      </c>
      <c r="AM13" s="26">
        <v>0.59199999999999997</v>
      </c>
      <c r="AN13" s="26">
        <v>0.57699999999999996</v>
      </c>
      <c r="AO13" s="26">
        <v>0.84</v>
      </c>
      <c r="AP13" s="26">
        <v>87.6</v>
      </c>
      <c r="AQ13" s="26">
        <v>7.88</v>
      </c>
      <c r="AR13" s="26">
        <v>90.5</v>
      </c>
      <c r="AS13" s="26">
        <v>40.710942269999997</v>
      </c>
      <c r="AT13" s="26">
        <v>-85.93857319</v>
      </c>
      <c r="AU13" s="26">
        <v>219.6</v>
      </c>
      <c r="AV13" s="26">
        <v>87.2</v>
      </c>
      <c r="AW13" s="26">
        <v>8.16</v>
      </c>
      <c r="AX13" s="26">
        <v>-73.8</v>
      </c>
      <c r="AY13" s="26">
        <v>12</v>
      </c>
      <c r="AZ13" s="26">
        <v>0</v>
      </c>
      <c r="BA13" s="26">
        <v>20.521000000000001</v>
      </c>
      <c r="BB13" s="26">
        <v>12.19</v>
      </c>
      <c r="BC13" s="226">
        <v>0</v>
      </c>
    </row>
    <row r="14" spans="1:57" x14ac:dyDescent="0.25">
      <c r="A14" s="118" t="s">
        <v>304</v>
      </c>
      <c r="AG14" s="26">
        <v>738.1</v>
      </c>
      <c r="AH14" s="26">
        <v>342.1</v>
      </c>
      <c r="AI14" s="26">
        <v>371.8</v>
      </c>
      <c r="AJ14" s="26">
        <v>242</v>
      </c>
      <c r="AK14" s="26">
        <v>0.18</v>
      </c>
      <c r="AL14" s="26">
        <v>374.7</v>
      </c>
      <c r="AM14" s="26">
        <v>0.54900000000000004</v>
      </c>
      <c r="AN14" s="26">
        <v>0.54400000000000004</v>
      </c>
      <c r="AO14" s="26">
        <v>0.78</v>
      </c>
      <c r="AP14" s="26">
        <v>88.2</v>
      </c>
      <c r="AQ14" s="26">
        <v>7.88</v>
      </c>
      <c r="AR14" s="26">
        <v>91</v>
      </c>
      <c r="AS14" s="26">
        <v>40.711599679999999</v>
      </c>
      <c r="AT14" s="26">
        <v>-85.951027190000005</v>
      </c>
      <c r="AU14" s="26">
        <v>218.1</v>
      </c>
      <c r="AV14" s="26">
        <v>84.7</v>
      </c>
      <c r="AW14" s="26">
        <v>8.15</v>
      </c>
      <c r="AX14" s="26">
        <v>-73.3</v>
      </c>
      <c r="AY14" s="26">
        <v>11.9</v>
      </c>
      <c r="AZ14" s="26">
        <v>0</v>
      </c>
      <c r="BA14" s="26">
        <v>20.812000000000001</v>
      </c>
      <c r="BB14" s="26">
        <v>12.34</v>
      </c>
      <c r="BC14" s="226">
        <v>0</v>
      </c>
    </row>
    <row r="15" spans="1:57" ht="15.75" thickBot="1" x14ac:dyDescent="0.3">
      <c r="A15" s="118" t="s">
        <v>305</v>
      </c>
      <c r="AG15" s="224">
        <v>737.2</v>
      </c>
      <c r="AH15" s="224">
        <v>478</v>
      </c>
      <c r="AI15" s="224">
        <v>510.2</v>
      </c>
      <c r="AJ15" s="224">
        <v>332</v>
      </c>
      <c r="AK15" s="224">
        <v>0.25</v>
      </c>
      <c r="AL15" s="224">
        <v>513.4</v>
      </c>
      <c r="AM15" s="224">
        <v>0.499</v>
      </c>
      <c r="AN15" s="224">
        <v>0.51600000000000001</v>
      </c>
      <c r="AO15" s="224">
        <v>0.70899999999999996</v>
      </c>
      <c r="AP15" s="224">
        <v>177.9</v>
      </c>
      <c r="AQ15" s="224">
        <v>15.63</v>
      </c>
      <c r="AR15" s="224">
        <v>183.6</v>
      </c>
      <c r="AS15" s="224">
        <v>40.672780000000003</v>
      </c>
      <c r="AT15" s="224">
        <v>-85.841340000000002</v>
      </c>
      <c r="AU15" s="224">
        <v>216.9</v>
      </c>
      <c r="AV15" s="224">
        <v>105.4</v>
      </c>
      <c r="AW15" s="224">
        <v>8.85</v>
      </c>
      <c r="AX15" s="224">
        <v>-114.3</v>
      </c>
      <c r="AY15" s="224">
        <v>12</v>
      </c>
      <c r="AZ15" s="224">
        <v>0</v>
      </c>
      <c r="BA15" s="224">
        <v>21.687000000000001</v>
      </c>
      <c r="BB15" s="224">
        <v>5.73</v>
      </c>
      <c r="BC15" s="227">
        <v>0</v>
      </c>
    </row>
    <row r="16" spans="1:57" x14ac:dyDescent="0.25">
      <c r="A16" s="118" t="s">
        <v>306</v>
      </c>
    </row>
    <row r="17" spans="1:55" x14ac:dyDescent="0.25">
      <c r="A17" s="118" t="s">
        <v>307</v>
      </c>
    </row>
    <row r="18" spans="1:55" x14ac:dyDescent="0.25">
      <c r="A18" s="118" t="s">
        <v>308</v>
      </c>
    </row>
    <row r="19" spans="1:55" x14ac:dyDescent="0.25">
      <c r="A19" s="118" t="s">
        <v>309</v>
      </c>
    </row>
    <row r="20" spans="1:55" x14ac:dyDescent="0.25">
      <c r="A20" s="118" t="s">
        <v>310</v>
      </c>
    </row>
    <row r="21" spans="1:55" x14ac:dyDescent="0.25">
      <c r="A21" s="118" t="s">
        <v>311</v>
      </c>
    </row>
    <row r="22" spans="1:55" x14ac:dyDescent="0.25">
      <c r="A22" s="118" t="s">
        <v>312</v>
      </c>
    </row>
    <row r="23" spans="1:55" x14ac:dyDescent="0.25">
      <c r="A23" s="118" t="s">
        <v>313</v>
      </c>
    </row>
    <row r="24" spans="1:55" x14ac:dyDescent="0.25">
      <c r="A24" s="118" t="s">
        <v>631</v>
      </c>
      <c r="AG24" s="190"/>
      <c r="AH24" s="190"/>
      <c r="AI24" s="190"/>
      <c r="AJ24" s="190"/>
      <c r="AK24" s="190"/>
      <c r="AL24" s="190"/>
      <c r="AM24" s="190"/>
      <c r="AN24" s="190"/>
      <c r="AO24" s="190"/>
      <c r="AP24" s="190"/>
      <c r="AQ24" s="190"/>
      <c r="AR24" s="190"/>
      <c r="AS24" s="190"/>
      <c r="AT24" s="190"/>
      <c r="AU24" s="190"/>
      <c r="AV24" s="190"/>
      <c r="AW24" s="190"/>
      <c r="AX24" s="190"/>
      <c r="AY24" s="190"/>
      <c r="AZ24" s="190"/>
      <c r="BA24" s="190"/>
      <c r="BB24" s="190"/>
      <c r="BC24" s="190"/>
    </row>
    <row r="25" spans="1:55" x14ac:dyDescent="0.25">
      <c r="A25" s="118" t="s">
        <v>314</v>
      </c>
      <c r="AG25" s="190"/>
      <c r="AH25" s="190"/>
      <c r="AI25" s="190"/>
      <c r="AJ25" s="190"/>
      <c r="AK25" s="190"/>
      <c r="AL25" s="190"/>
      <c r="AM25" s="190"/>
      <c r="AN25" s="190"/>
      <c r="AO25" s="190"/>
      <c r="AP25" s="190"/>
      <c r="AQ25" s="190"/>
      <c r="AR25" s="190"/>
      <c r="AS25" s="190"/>
      <c r="AT25" s="190"/>
      <c r="AU25" s="190"/>
      <c r="AV25" s="190"/>
      <c r="AW25" s="190"/>
      <c r="AX25" s="190"/>
      <c r="AY25" s="190"/>
      <c r="AZ25" s="190"/>
      <c r="BA25" s="190"/>
      <c r="BB25" s="190"/>
      <c r="BC25" s="190"/>
    </row>
    <row r="26" spans="1:55" x14ac:dyDescent="0.25">
      <c r="A26" s="118" t="s">
        <v>315</v>
      </c>
      <c r="AG26" s="190"/>
      <c r="AH26" s="190"/>
      <c r="AI26" s="190"/>
      <c r="AJ26" s="190"/>
      <c r="AK26" s="190"/>
      <c r="AL26" s="190"/>
      <c r="AM26" s="190"/>
      <c r="AN26" s="190"/>
      <c r="AO26" s="190"/>
      <c r="AP26" s="190"/>
      <c r="AQ26" s="190"/>
      <c r="AR26" s="190"/>
      <c r="AS26" s="190"/>
      <c r="AT26" s="190"/>
      <c r="AU26" s="190"/>
      <c r="AV26" s="190"/>
      <c r="AW26" s="190"/>
      <c r="AX26" s="190"/>
      <c r="AY26" s="190"/>
      <c r="AZ26" s="190"/>
      <c r="BA26" s="190"/>
      <c r="BB26" s="190"/>
      <c r="BC26" s="190"/>
    </row>
    <row r="27" spans="1:55" x14ac:dyDescent="0.25">
      <c r="A27" s="118" t="s">
        <v>316</v>
      </c>
      <c r="AG27" s="190"/>
      <c r="AH27" s="190"/>
      <c r="AI27" s="190"/>
      <c r="AJ27" s="190"/>
      <c r="AK27" s="190"/>
      <c r="AL27" s="190"/>
      <c r="AM27" s="190"/>
      <c r="AN27" s="190"/>
      <c r="AO27" s="190"/>
      <c r="AP27" s="190"/>
      <c r="AQ27" s="190"/>
      <c r="AR27" s="190"/>
      <c r="AS27" s="190"/>
      <c r="AT27" s="190"/>
      <c r="AU27" s="190"/>
      <c r="AV27" s="190"/>
      <c r="AW27" s="190"/>
      <c r="AX27" s="190"/>
      <c r="AY27" s="190"/>
      <c r="AZ27" s="190"/>
      <c r="BA27" s="190"/>
      <c r="BB27" s="190"/>
      <c r="BC27" s="190"/>
    </row>
    <row r="28" spans="1:55" x14ac:dyDescent="0.25">
      <c r="A28" s="118" t="s">
        <v>317</v>
      </c>
      <c r="AG28" s="190"/>
      <c r="AH28" s="190"/>
      <c r="AI28" s="190"/>
      <c r="AJ28" s="190"/>
      <c r="AK28" s="190"/>
      <c r="AL28" s="190"/>
      <c r="AM28" s="190"/>
      <c r="AN28" s="190"/>
      <c r="AO28" s="190"/>
      <c r="AP28" s="190"/>
      <c r="AQ28" s="190"/>
      <c r="AR28" s="190"/>
      <c r="AS28" s="190"/>
      <c r="AT28" s="190"/>
      <c r="AU28" s="190"/>
      <c r="AV28" s="190"/>
      <c r="AW28" s="190"/>
      <c r="AX28" s="190"/>
      <c r="AY28" s="190"/>
      <c r="AZ28" s="190"/>
      <c r="BA28" s="190"/>
      <c r="BB28" s="190"/>
      <c r="BC28" s="190"/>
    </row>
    <row r="29" spans="1:55" x14ac:dyDescent="0.25">
      <c r="A29" s="118" t="s">
        <v>318</v>
      </c>
      <c r="AG29" s="190"/>
      <c r="AH29" s="190"/>
      <c r="AI29" s="190"/>
      <c r="AJ29" s="190"/>
      <c r="AK29" s="190"/>
      <c r="AL29" s="190"/>
      <c r="AM29" s="190"/>
      <c r="AN29" s="190"/>
      <c r="AO29" s="190"/>
      <c r="AP29" s="190"/>
      <c r="AQ29" s="190"/>
      <c r="AR29" s="190"/>
      <c r="AS29" s="190"/>
      <c r="AT29" s="190"/>
      <c r="AU29" s="190"/>
      <c r="AV29" s="190"/>
      <c r="AW29" s="190"/>
      <c r="AX29" s="190"/>
      <c r="AY29" s="190"/>
      <c r="AZ29" s="190"/>
      <c r="BA29" s="190"/>
      <c r="BB29" s="190"/>
      <c r="BC29" s="190"/>
    </row>
    <row r="30" spans="1:55" x14ac:dyDescent="0.25">
      <c r="A30" s="118" t="s">
        <v>319</v>
      </c>
      <c r="AG30" s="190"/>
      <c r="AH30" s="190"/>
      <c r="AI30" s="190"/>
      <c r="AJ30" s="190"/>
      <c r="AK30" s="190"/>
      <c r="AL30" s="190"/>
      <c r="AM30" s="190"/>
      <c r="AN30" s="190"/>
      <c r="AO30" s="190"/>
      <c r="AP30" s="190"/>
      <c r="AQ30" s="190"/>
      <c r="AR30" s="190"/>
      <c r="AS30" s="190"/>
      <c r="AT30" s="190"/>
      <c r="AU30" s="190"/>
      <c r="AV30" s="190"/>
      <c r="AW30" s="190"/>
      <c r="AX30" s="190"/>
      <c r="AY30" s="190"/>
      <c r="AZ30" s="190"/>
      <c r="BA30" s="190"/>
      <c r="BB30" s="190"/>
      <c r="BC30" s="190"/>
    </row>
    <row r="31" spans="1:55" x14ac:dyDescent="0.25">
      <c r="A31" s="118" t="s">
        <v>320</v>
      </c>
      <c r="AG31" s="190"/>
      <c r="AH31" s="190"/>
      <c r="AI31" s="190"/>
      <c r="AJ31" s="190"/>
      <c r="AK31" s="190"/>
      <c r="AL31" s="190"/>
      <c r="AM31" s="190"/>
      <c r="AN31" s="190"/>
      <c r="AO31" s="190"/>
      <c r="AP31" s="190"/>
      <c r="AQ31" s="190"/>
      <c r="AR31" s="190"/>
      <c r="AS31" s="190"/>
      <c r="AT31" s="190"/>
      <c r="AU31" s="190"/>
      <c r="AV31" s="190"/>
      <c r="AW31" s="190"/>
      <c r="AX31" s="190"/>
      <c r="AY31" s="190"/>
      <c r="AZ31" s="190"/>
      <c r="BA31" s="190"/>
      <c r="BB31" s="190"/>
      <c r="BC31" s="190"/>
    </row>
    <row r="32" spans="1:55" x14ac:dyDescent="0.25">
      <c r="A32" s="118" t="s">
        <v>321</v>
      </c>
      <c r="AG32" s="190"/>
      <c r="AH32" s="190"/>
      <c r="AI32" s="190"/>
      <c r="AJ32" s="190"/>
      <c r="AK32" s="190"/>
      <c r="AL32" s="190"/>
      <c r="AM32" s="190"/>
      <c r="AN32" s="190"/>
      <c r="AO32" s="190"/>
      <c r="AP32" s="190"/>
      <c r="AQ32" s="190"/>
      <c r="AR32" s="190"/>
      <c r="AS32" s="190"/>
      <c r="AT32" s="190"/>
      <c r="AU32" s="190"/>
      <c r="AV32" s="190"/>
      <c r="AW32" s="190"/>
      <c r="AX32" s="190"/>
      <c r="AY32" s="190"/>
      <c r="AZ32" s="190"/>
      <c r="BA32" s="190"/>
      <c r="BB32" s="190"/>
      <c r="BC32" s="190"/>
    </row>
    <row r="33" spans="1:55" x14ac:dyDescent="0.25">
      <c r="A33" s="118" t="s">
        <v>322</v>
      </c>
    </row>
    <row r="34" spans="1:55" x14ac:dyDescent="0.25">
      <c r="A34" s="118" t="s">
        <v>323</v>
      </c>
      <c r="AG34" s="118">
        <v>733</v>
      </c>
      <c r="AH34" s="118">
        <v>361.9</v>
      </c>
      <c r="AI34" s="118">
        <v>369.2</v>
      </c>
      <c r="AJ34" s="118">
        <v>240</v>
      </c>
      <c r="AK34" s="118">
        <v>0.18</v>
      </c>
      <c r="AL34" s="118">
        <v>370</v>
      </c>
      <c r="AM34" s="118">
        <v>0.49099999999999999</v>
      </c>
      <c r="AN34" s="118">
        <v>0.48099999999999998</v>
      </c>
      <c r="AO34" s="118">
        <v>0.69599999999999995</v>
      </c>
      <c r="AP34" s="118">
        <v>111.1</v>
      </c>
      <c r="AQ34" s="118">
        <v>9.35</v>
      </c>
      <c r="AR34" s="118">
        <v>114.7</v>
      </c>
      <c r="AS34" s="118">
        <v>-85.647150420000003</v>
      </c>
      <c r="AT34" s="118">
        <v>40.770774430000003</v>
      </c>
      <c r="AU34" s="118">
        <v>232.2</v>
      </c>
      <c r="AV34" s="118">
        <v>119.3</v>
      </c>
      <c r="AW34" s="118">
        <v>8.5</v>
      </c>
      <c r="AX34" s="118">
        <v>-102.4</v>
      </c>
      <c r="AY34" s="118">
        <v>12.1</v>
      </c>
      <c r="AZ34" s="118">
        <v>0</v>
      </c>
      <c r="BA34" s="118">
        <v>23.96</v>
      </c>
      <c r="BB34" s="118">
        <v>10.46</v>
      </c>
      <c r="BC34" s="118">
        <v>0</v>
      </c>
    </row>
    <row r="35" spans="1:55" x14ac:dyDescent="0.25">
      <c r="A35" s="118" t="s">
        <v>324</v>
      </c>
      <c r="AG35" s="118">
        <v>732.9</v>
      </c>
      <c r="AH35" s="118">
        <v>362.1</v>
      </c>
      <c r="AI35" s="118">
        <v>369.4</v>
      </c>
      <c r="AJ35" s="118">
        <v>240</v>
      </c>
      <c r="AK35" s="118">
        <v>0.18</v>
      </c>
      <c r="AL35" s="118">
        <v>370.1</v>
      </c>
      <c r="AM35" s="118">
        <v>0.46</v>
      </c>
      <c r="AN35" s="118">
        <v>0.41699999999999998</v>
      </c>
      <c r="AO35" s="118">
        <v>0.65300000000000002</v>
      </c>
      <c r="AP35" s="118">
        <v>104.7</v>
      </c>
      <c r="AQ35" s="118">
        <v>8.81</v>
      </c>
      <c r="AR35" s="118">
        <v>108.2</v>
      </c>
      <c r="AS35" s="118">
        <v>-85.646588960000003</v>
      </c>
      <c r="AT35" s="118">
        <v>40.781075420000001</v>
      </c>
      <c r="AU35" s="118">
        <v>224.1</v>
      </c>
      <c r="AV35" s="118">
        <v>102.4</v>
      </c>
      <c r="AW35" s="118">
        <v>8.44</v>
      </c>
      <c r="AX35" s="118">
        <v>-99</v>
      </c>
      <c r="AY35" s="118">
        <v>12.1</v>
      </c>
      <c r="AZ35" s="118">
        <v>0</v>
      </c>
      <c r="BA35" s="118">
        <v>23.97</v>
      </c>
      <c r="BB35" s="118">
        <v>10.63</v>
      </c>
      <c r="BC35" s="118">
        <v>0</v>
      </c>
    </row>
    <row r="36" spans="1:55" x14ac:dyDescent="0.25">
      <c r="A36" s="118" t="s">
        <v>325</v>
      </c>
      <c r="AG36" s="118">
        <v>732.7</v>
      </c>
      <c r="AH36" s="118">
        <v>368.7</v>
      </c>
      <c r="AI36" s="118">
        <v>372.5</v>
      </c>
      <c r="AJ36" s="118">
        <v>242</v>
      </c>
      <c r="AK36" s="118">
        <v>0.18</v>
      </c>
      <c r="AL36" s="118">
        <v>372.9</v>
      </c>
      <c r="AM36" s="118">
        <v>0.55200000000000005</v>
      </c>
      <c r="AN36" s="118">
        <v>0.56799999999999995</v>
      </c>
      <c r="AO36" s="118">
        <v>0.78300000000000003</v>
      </c>
      <c r="AP36" s="118">
        <v>124.4</v>
      </c>
      <c r="AQ36" s="118">
        <v>10.37</v>
      </c>
      <c r="AR36" s="118">
        <v>128.5</v>
      </c>
      <c r="AS36" s="118">
        <v>-85.638733939999995</v>
      </c>
      <c r="AT36" s="118">
        <v>40.783930470000001</v>
      </c>
      <c r="AU36" s="118">
        <v>229.6</v>
      </c>
      <c r="AV36" s="118">
        <v>73.8</v>
      </c>
      <c r="AW36" s="118">
        <v>8.69</v>
      </c>
      <c r="AX36" s="118">
        <v>-113.8</v>
      </c>
      <c r="AY36" s="118">
        <v>12.1</v>
      </c>
      <c r="AZ36" s="118">
        <v>0</v>
      </c>
      <c r="BA36" s="118">
        <v>24.471</v>
      </c>
      <c r="BB36" s="118">
        <v>11.13</v>
      </c>
      <c r="BC36" s="118">
        <v>0</v>
      </c>
    </row>
    <row r="37" spans="1:55" x14ac:dyDescent="0.25">
      <c r="A37" s="118" t="s">
        <v>326</v>
      </c>
      <c r="AG37" s="118">
        <v>732.7</v>
      </c>
      <c r="AH37" s="118">
        <v>370.6</v>
      </c>
      <c r="AI37" s="118">
        <v>374.9</v>
      </c>
      <c r="AJ37" s="118">
        <v>244</v>
      </c>
      <c r="AK37" s="118">
        <v>0.18</v>
      </c>
      <c r="AL37" s="118">
        <v>375.4</v>
      </c>
      <c r="AM37" s="118">
        <v>0.55300000000000005</v>
      </c>
      <c r="AN37" s="118">
        <v>0.55700000000000005</v>
      </c>
      <c r="AO37" s="118">
        <v>0.78400000000000003</v>
      </c>
      <c r="AP37" s="118">
        <v>116.7</v>
      </c>
      <c r="AQ37" s="118">
        <v>9.74</v>
      </c>
      <c r="AR37" s="118">
        <v>120.5</v>
      </c>
      <c r="AS37" s="118">
        <v>-85.624036320000002</v>
      </c>
      <c r="AT37" s="118">
        <v>40.774560219999998</v>
      </c>
      <c r="AU37" s="118">
        <v>227</v>
      </c>
      <c r="AV37" s="118">
        <v>65.7</v>
      </c>
      <c r="AW37" s="118">
        <v>8.64</v>
      </c>
      <c r="AX37" s="118">
        <v>-110.7</v>
      </c>
      <c r="AY37" s="118">
        <v>12.1</v>
      </c>
      <c r="AZ37" s="118">
        <v>0</v>
      </c>
      <c r="BA37" s="118">
        <v>24.396999999999998</v>
      </c>
      <c r="BB37" s="118">
        <v>18.28</v>
      </c>
      <c r="BC37" s="118">
        <v>0</v>
      </c>
    </row>
    <row r="38" spans="1:55" x14ac:dyDescent="0.25">
      <c r="A38" s="118" t="s">
        <v>327</v>
      </c>
      <c r="AG38" s="118">
        <v>732.4</v>
      </c>
      <c r="AH38" s="118">
        <v>398.3</v>
      </c>
      <c r="AI38" s="118">
        <v>405.3</v>
      </c>
      <c r="AJ38" s="118">
        <v>263</v>
      </c>
      <c r="AK38" s="118">
        <v>0.19</v>
      </c>
      <c r="AL38" s="118">
        <v>406</v>
      </c>
      <c r="AM38" s="118">
        <v>0.66900000000000004</v>
      </c>
      <c r="AN38" s="118">
        <v>0.70199999999999996</v>
      </c>
      <c r="AO38" s="118">
        <v>0.94899999999999995</v>
      </c>
      <c r="AP38" s="118">
        <v>114.5</v>
      </c>
      <c r="AQ38" s="118">
        <v>9.61</v>
      </c>
      <c r="AR38" s="118">
        <v>118.3</v>
      </c>
      <c r="AS38" s="118">
        <v>-85.606134130000001</v>
      </c>
      <c r="AT38" s="118">
        <v>40.77494488</v>
      </c>
      <c r="AU38" s="118">
        <v>226.1</v>
      </c>
      <c r="AV38" s="118">
        <v>105.1</v>
      </c>
      <c r="AW38" s="118">
        <v>8.64</v>
      </c>
      <c r="AX38" s="118">
        <v>-110.6</v>
      </c>
      <c r="AY38" s="118">
        <v>12.1</v>
      </c>
      <c r="AZ38" s="118">
        <v>0</v>
      </c>
      <c r="BA38" s="118">
        <v>24.096</v>
      </c>
      <c r="BB38" s="118">
        <v>8.57</v>
      </c>
      <c r="BC38" s="118">
        <v>0</v>
      </c>
    </row>
    <row r="39" spans="1:55" x14ac:dyDescent="0.25">
      <c r="A39" s="118" t="s">
        <v>328</v>
      </c>
    </row>
    <row r="40" spans="1:55" x14ac:dyDescent="0.25">
      <c r="A40" s="118" t="s">
        <v>329</v>
      </c>
      <c r="AG40" s="118">
        <v>732.4</v>
      </c>
      <c r="AH40" s="118">
        <v>404.2</v>
      </c>
      <c r="AI40" s="118">
        <v>411.1</v>
      </c>
      <c r="AJ40" s="118">
        <v>267</v>
      </c>
      <c r="AK40" s="118">
        <v>0.2</v>
      </c>
      <c r="AL40" s="118">
        <v>411.7</v>
      </c>
      <c r="AM40" s="118">
        <v>0.68600000000000005</v>
      </c>
      <c r="AN40" s="118">
        <v>0.68899999999999995</v>
      </c>
      <c r="AO40" s="118">
        <v>0.97299999999999998</v>
      </c>
      <c r="AP40" s="118">
        <v>130.80000000000001</v>
      </c>
      <c r="AQ40" s="118">
        <v>10.97</v>
      </c>
      <c r="AR40" s="118">
        <v>135.1</v>
      </c>
      <c r="AS40" s="118">
        <v>-85.596868459999996</v>
      </c>
      <c r="AT40" s="118">
        <v>40.766858499999998</v>
      </c>
      <c r="AU40" s="118">
        <v>237.9</v>
      </c>
      <c r="AV40" s="118">
        <v>74</v>
      </c>
      <c r="AW40" s="118">
        <v>8.75</v>
      </c>
      <c r="AX40" s="118">
        <v>-117.3</v>
      </c>
      <c r="AY40" s="118">
        <v>12.1</v>
      </c>
      <c r="AZ40" s="118">
        <v>0</v>
      </c>
      <c r="BA40" s="118">
        <v>24.132999999999999</v>
      </c>
      <c r="BB40" s="118">
        <v>7.06</v>
      </c>
      <c r="BC40" s="118">
        <v>0</v>
      </c>
    </row>
    <row r="41" spans="1:55" x14ac:dyDescent="0.25">
      <c r="A41" s="118" t="s">
        <v>330</v>
      </c>
      <c r="AG41" s="118">
        <v>732.3</v>
      </c>
      <c r="AH41" s="118">
        <v>411.5</v>
      </c>
      <c r="AI41" s="118">
        <v>413.5</v>
      </c>
      <c r="AJ41" s="118">
        <v>269</v>
      </c>
      <c r="AK41" s="118">
        <v>0.2</v>
      </c>
      <c r="AL41" s="118">
        <v>413.7</v>
      </c>
      <c r="AM41" s="118">
        <v>0.73599999999999999</v>
      </c>
      <c r="AN41" s="118">
        <v>0.74</v>
      </c>
      <c r="AO41" s="118">
        <v>1.044</v>
      </c>
      <c r="AP41" s="118">
        <v>153.1</v>
      </c>
      <c r="AQ41" s="118">
        <v>12.7</v>
      </c>
      <c r="AR41" s="118">
        <v>158.19999999999999</v>
      </c>
      <c r="AS41" s="118">
        <v>-85.594853409999999</v>
      </c>
      <c r="AT41" s="118">
        <v>40.757165809999996</v>
      </c>
      <c r="AU41" s="118">
        <v>225.4</v>
      </c>
      <c r="AV41" s="118">
        <v>84</v>
      </c>
      <c r="AW41" s="118">
        <v>8.8800000000000008</v>
      </c>
      <c r="AX41" s="118">
        <v>-125</v>
      </c>
      <c r="AY41" s="118">
        <v>12.1</v>
      </c>
      <c r="AZ41" s="118">
        <v>0</v>
      </c>
      <c r="BA41" s="118">
        <v>24.744</v>
      </c>
      <c r="BB41" s="118">
        <v>6.64</v>
      </c>
      <c r="BC41" s="118">
        <v>0</v>
      </c>
    </row>
    <row r="42" spans="1:55" x14ac:dyDescent="0.25">
      <c r="A42" s="118" t="s">
        <v>331</v>
      </c>
      <c r="AG42" s="118">
        <v>732.3</v>
      </c>
      <c r="AH42" s="118">
        <v>417.7</v>
      </c>
      <c r="AI42" s="118">
        <v>426.6</v>
      </c>
      <c r="AJ42" s="118">
        <v>277</v>
      </c>
      <c r="AK42" s="118">
        <v>0.2</v>
      </c>
      <c r="AL42" s="118">
        <v>427.5</v>
      </c>
      <c r="AM42" s="118">
        <v>0.52400000000000002</v>
      </c>
      <c r="AN42" s="118">
        <v>0.56599999999999995</v>
      </c>
      <c r="AO42" s="118">
        <v>0.74399999999999999</v>
      </c>
      <c r="AP42" s="118">
        <v>137.1</v>
      </c>
      <c r="AQ42" s="118">
        <v>11.55</v>
      </c>
      <c r="AR42" s="118">
        <v>141.69999999999999</v>
      </c>
      <c r="AS42" s="118">
        <v>-85.582874129999993</v>
      </c>
      <c r="AT42" s="118">
        <v>40.755891669999997</v>
      </c>
      <c r="AU42" s="118">
        <v>226.5</v>
      </c>
      <c r="AV42" s="118">
        <v>74.400000000000006</v>
      </c>
      <c r="AW42" s="118">
        <v>8.77</v>
      </c>
      <c r="AX42" s="118">
        <v>-118.5</v>
      </c>
      <c r="AY42" s="118">
        <v>12.1</v>
      </c>
      <c r="AZ42" s="118">
        <v>0</v>
      </c>
      <c r="BA42" s="118">
        <v>23.908000000000001</v>
      </c>
      <c r="BB42" s="118">
        <v>8.9600000000000009</v>
      </c>
      <c r="BC42" s="118">
        <v>0</v>
      </c>
    </row>
    <row r="43" spans="1:55" x14ac:dyDescent="0.25">
      <c r="A43" s="118" t="s">
        <v>332</v>
      </c>
      <c r="AG43" s="118">
        <v>732.7</v>
      </c>
      <c r="AH43" s="118">
        <v>364.8</v>
      </c>
      <c r="AI43" s="118">
        <v>371.8</v>
      </c>
      <c r="AJ43" s="118">
        <v>242</v>
      </c>
      <c r="AK43" s="118">
        <v>0.18</v>
      </c>
      <c r="AL43" s="118">
        <v>372.5</v>
      </c>
      <c r="AM43" s="118">
        <v>0.745</v>
      </c>
      <c r="AN43" s="118">
        <v>0.75900000000000001</v>
      </c>
      <c r="AO43" s="118">
        <v>1.0569999999999999</v>
      </c>
      <c r="AP43" s="118">
        <v>106.5</v>
      </c>
      <c r="AQ43" s="118">
        <v>8.9600000000000009</v>
      </c>
      <c r="AR43" s="118">
        <v>110.1</v>
      </c>
      <c r="AS43" s="118">
        <v>-85.637500149999994</v>
      </c>
      <c r="AT43" s="118">
        <v>40.781062970000001</v>
      </c>
      <c r="AU43" s="118">
        <v>229.5</v>
      </c>
      <c r="AV43" s="118">
        <v>95.3</v>
      </c>
      <c r="AW43" s="118">
        <v>8.51</v>
      </c>
      <c r="AX43" s="118">
        <v>-103</v>
      </c>
      <c r="AY43" s="118">
        <v>12.1</v>
      </c>
      <c r="AZ43" s="118">
        <v>0</v>
      </c>
      <c r="BA43" s="118">
        <v>24.015999999999998</v>
      </c>
      <c r="BB43" s="118">
        <v>13.17</v>
      </c>
      <c r="BC43" s="118">
        <v>0</v>
      </c>
    </row>
    <row r="44" spans="1:55" x14ac:dyDescent="0.25">
      <c r="A44" s="118" t="s">
        <v>333</v>
      </c>
      <c r="AG44" s="118">
        <v>732.2</v>
      </c>
      <c r="AH44" s="118">
        <v>357.7</v>
      </c>
      <c r="AI44" s="118">
        <v>366.9</v>
      </c>
      <c r="AJ44" s="118">
        <v>238</v>
      </c>
      <c r="AK44" s="118">
        <v>0.17</v>
      </c>
      <c r="AL44" s="118">
        <v>367.8</v>
      </c>
      <c r="AM44" s="118">
        <v>0.57399999999999995</v>
      </c>
      <c r="AN44" s="118">
        <v>0.61699999999999999</v>
      </c>
      <c r="AO44" s="118">
        <v>0.81399999999999995</v>
      </c>
      <c r="AP44" s="118">
        <v>87.3</v>
      </c>
      <c r="AQ44" s="118">
        <v>7.38</v>
      </c>
      <c r="AR44" s="118">
        <v>90.2</v>
      </c>
      <c r="AS44" s="118">
        <v>-85.667890909999997</v>
      </c>
      <c r="AT44" s="118">
        <v>40.8002343</v>
      </c>
      <c r="AU44" s="118">
        <v>228.8</v>
      </c>
      <c r="AV44" s="118">
        <v>139.5</v>
      </c>
      <c r="AW44" s="118">
        <v>8.1999999999999993</v>
      </c>
      <c r="AX44" s="118">
        <v>-84.6</v>
      </c>
      <c r="AY44" s="118">
        <v>12.1</v>
      </c>
      <c r="AZ44" s="118">
        <v>0</v>
      </c>
      <c r="BA44" s="118">
        <v>23.687000000000001</v>
      </c>
      <c r="BB44" s="118">
        <v>13.96</v>
      </c>
      <c r="BC44" s="118">
        <v>0</v>
      </c>
    </row>
    <row r="45" spans="1:55" x14ac:dyDescent="0.25">
      <c r="A45" s="63" t="s">
        <v>334</v>
      </c>
      <c r="AG45" s="118">
        <v>740.9</v>
      </c>
      <c r="AH45" s="118">
        <v>444.2</v>
      </c>
      <c r="AI45" s="118">
        <v>451.9</v>
      </c>
      <c r="AJ45" s="118">
        <v>294</v>
      </c>
      <c r="AK45" s="118">
        <v>0.22</v>
      </c>
      <c r="AL45" s="118">
        <v>452.7</v>
      </c>
      <c r="AM45" s="118">
        <v>0.66700000000000004</v>
      </c>
      <c r="AN45" s="118">
        <v>0.67900000000000005</v>
      </c>
      <c r="AO45" s="118">
        <v>0.94599999999999995</v>
      </c>
      <c r="AP45" s="118">
        <v>169.5</v>
      </c>
      <c r="AQ45" s="118">
        <v>14.22</v>
      </c>
      <c r="AR45" s="118">
        <v>173.1</v>
      </c>
      <c r="AS45" s="118">
        <v>-85.889103570000003</v>
      </c>
      <c r="AT45" s="118">
        <v>40.681706509999998</v>
      </c>
      <c r="AU45" s="118">
        <v>233</v>
      </c>
      <c r="AV45" s="118">
        <v>92.5</v>
      </c>
      <c r="AW45" s="118">
        <v>8.52</v>
      </c>
      <c r="AX45" s="118">
        <v>-124.6</v>
      </c>
      <c r="AY45" s="118">
        <v>12.1</v>
      </c>
      <c r="AZ45" s="118">
        <v>0</v>
      </c>
      <c r="BA45" s="118">
        <v>24.106000000000002</v>
      </c>
      <c r="BB45" s="118">
        <v>11.08</v>
      </c>
      <c r="BC45" s="118">
        <v>0</v>
      </c>
    </row>
    <row r="46" spans="1:55" x14ac:dyDescent="0.25">
      <c r="A46" s="63" t="s">
        <v>335</v>
      </c>
      <c r="AG46" s="118">
        <v>740.8</v>
      </c>
      <c r="AH46" s="118">
        <v>468.2</v>
      </c>
      <c r="AI46" s="118">
        <v>478.9</v>
      </c>
      <c r="AJ46" s="118">
        <v>311</v>
      </c>
      <c r="AK46" s="118">
        <v>0.23</v>
      </c>
      <c r="AL46" s="118">
        <v>480</v>
      </c>
      <c r="AM46" s="118">
        <v>0.63400000000000001</v>
      </c>
      <c r="AN46" s="118">
        <v>0.63200000000000001</v>
      </c>
      <c r="AO46" s="118">
        <v>0.9</v>
      </c>
      <c r="AP46" s="118">
        <v>143.69999999999999</v>
      </c>
      <c r="AQ46" s="118">
        <v>12.12</v>
      </c>
      <c r="AR46" s="118">
        <v>146.80000000000001</v>
      </c>
      <c r="AS46" s="118">
        <v>-85.876863529999994</v>
      </c>
      <c r="AT46" s="118">
        <v>40.676915960000002</v>
      </c>
      <c r="AU46" s="118">
        <v>225.9</v>
      </c>
      <c r="AV46" s="118">
        <v>76.5</v>
      </c>
      <c r="AW46" s="118">
        <v>8.2899999999999991</v>
      </c>
      <c r="AX46" s="118">
        <v>-110.6</v>
      </c>
      <c r="AY46" s="118">
        <v>12.1</v>
      </c>
      <c r="AZ46" s="118">
        <v>0</v>
      </c>
      <c r="BA46" s="118">
        <v>23.835000000000001</v>
      </c>
      <c r="BB46" s="118">
        <v>9.23</v>
      </c>
      <c r="BC46" s="118">
        <v>0</v>
      </c>
    </row>
    <row r="47" spans="1:55" x14ac:dyDescent="0.25">
      <c r="A47" s="63" t="s">
        <v>336</v>
      </c>
      <c r="AG47" s="118">
        <v>740.8</v>
      </c>
      <c r="AH47" s="118">
        <v>466.8</v>
      </c>
      <c r="AI47" s="118">
        <v>478.2</v>
      </c>
      <c r="AJ47" s="118">
        <v>311</v>
      </c>
      <c r="AK47" s="118">
        <v>0.23</v>
      </c>
      <c r="AL47" s="118">
        <v>479.4</v>
      </c>
      <c r="AM47" s="118">
        <v>0.72499999999999998</v>
      </c>
      <c r="AN47" s="118">
        <v>0.67900000000000005</v>
      </c>
      <c r="AO47" s="118">
        <v>1.028</v>
      </c>
      <c r="AP47" s="118">
        <v>187.5</v>
      </c>
      <c r="AQ47" s="118">
        <v>15.84</v>
      </c>
      <c r="AR47" s="118">
        <v>191.4</v>
      </c>
      <c r="AS47" s="118">
        <v>-85.870393300000003</v>
      </c>
      <c r="AT47" s="118">
        <v>40.6708827</v>
      </c>
      <c r="AU47" s="118">
        <v>227.1</v>
      </c>
      <c r="AV47" s="118">
        <v>90.8</v>
      </c>
      <c r="AW47" s="118">
        <v>8.39</v>
      </c>
      <c r="AX47" s="118">
        <v>-116.4</v>
      </c>
      <c r="AY47" s="118">
        <v>12.1</v>
      </c>
      <c r="AZ47" s="118">
        <v>0</v>
      </c>
      <c r="BA47" s="118">
        <v>23.741</v>
      </c>
      <c r="BB47" s="118">
        <v>12.67</v>
      </c>
      <c r="BC47" s="118">
        <v>0</v>
      </c>
    </row>
    <row r="48" spans="1:55" x14ac:dyDescent="0.25">
      <c r="A48" s="63" t="s">
        <v>337</v>
      </c>
      <c r="AG48" s="118">
        <v>740.7</v>
      </c>
      <c r="AH48" s="118">
        <v>529.20000000000005</v>
      </c>
      <c r="AI48" s="118">
        <v>550.20000000000005</v>
      </c>
      <c r="AJ48" s="118">
        <v>358</v>
      </c>
      <c r="AK48" s="118">
        <v>0.27</v>
      </c>
      <c r="AL48" s="118">
        <v>552.29999999999995</v>
      </c>
      <c r="AM48" s="118">
        <v>0.52700000000000002</v>
      </c>
      <c r="AN48" s="118">
        <v>0.97899999999999998</v>
      </c>
      <c r="AO48" s="118">
        <v>0.747</v>
      </c>
      <c r="AP48" s="118">
        <v>88.6</v>
      </c>
      <c r="AQ48" s="118">
        <v>7.59</v>
      </c>
      <c r="AR48" s="118">
        <v>90.5</v>
      </c>
      <c r="AS48" s="118">
        <v>-85.866574819999997</v>
      </c>
      <c r="AT48" s="118">
        <v>40.663138060000001</v>
      </c>
      <c r="AU48" s="118">
        <v>227.1</v>
      </c>
      <c r="AV48" s="118">
        <v>114.7</v>
      </c>
      <c r="AW48" s="118">
        <v>7.82</v>
      </c>
      <c r="AX48" s="118">
        <v>-82.1</v>
      </c>
      <c r="AY48" s="118">
        <v>12.1</v>
      </c>
      <c r="AZ48" s="118">
        <v>0</v>
      </c>
      <c r="BA48" s="118">
        <v>22.986999999999998</v>
      </c>
      <c r="BB48" s="118">
        <v>11.39</v>
      </c>
      <c r="BC48" s="118">
        <v>0</v>
      </c>
    </row>
    <row r="49" spans="1:55" x14ac:dyDescent="0.25">
      <c r="A49" s="118" t="s">
        <v>338</v>
      </c>
      <c r="AG49" s="118">
        <v>740.5</v>
      </c>
      <c r="AH49" s="118">
        <v>515</v>
      </c>
      <c r="AI49" s="118">
        <v>521.6</v>
      </c>
      <c r="AJ49" s="118">
        <v>339</v>
      </c>
      <c r="AK49" s="118">
        <v>0.25</v>
      </c>
      <c r="AL49" s="118">
        <v>522.29999999999995</v>
      </c>
      <c r="AM49" s="118">
        <v>0.78</v>
      </c>
      <c r="AN49" s="118">
        <v>0.80600000000000005</v>
      </c>
      <c r="AO49" s="118">
        <v>1.1060000000000001</v>
      </c>
      <c r="AP49" s="118">
        <v>173.2</v>
      </c>
      <c r="AQ49" s="118">
        <v>14.47</v>
      </c>
      <c r="AR49" s="118">
        <v>176.9</v>
      </c>
      <c r="AS49" s="118">
        <v>-85.847674220000002</v>
      </c>
      <c r="AT49" s="118">
        <v>40.668509559999997</v>
      </c>
      <c r="AU49" s="118">
        <v>224.1</v>
      </c>
      <c r="AV49" s="118">
        <v>75.400000000000006</v>
      </c>
      <c r="AW49" s="118">
        <v>8.17</v>
      </c>
      <c r="AX49" s="118">
        <v>-103.7</v>
      </c>
      <c r="AY49" s="118">
        <v>12.1</v>
      </c>
      <c r="AZ49" s="118">
        <v>0</v>
      </c>
      <c r="BA49" s="118">
        <v>24.338000000000001</v>
      </c>
      <c r="BB49" s="118">
        <v>13.47</v>
      </c>
      <c r="BC49" s="118">
        <v>0</v>
      </c>
    </row>
    <row r="50" spans="1:55" x14ac:dyDescent="0.25">
      <c r="A50" s="118" t="s">
        <v>339</v>
      </c>
      <c r="AG50" s="118">
        <v>740.3</v>
      </c>
      <c r="AH50" s="118">
        <v>508</v>
      </c>
      <c r="AI50" s="118">
        <v>506.8</v>
      </c>
      <c r="AJ50" s="118">
        <v>329</v>
      </c>
      <c r="AK50" s="118">
        <v>0.24</v>
      </c>
      <c r="AL50" s="118">
        <v>506.6</v>
      </c>
      <c r="AM50" s="118">
        <v>0.68400000000000005</v>
      </c>
      <c r="AN50" s="118">
        <v>0.65400000000000003</v>
      </c>
      <c r="AO50" s="118">
        <v>0.97</v>
      </c>
      <c r="AP50" s="118">
        <v>215.9</v>
      </c>
      <c r="AQ50" s="118">
        <v>17.78</v>
      </c>
      <c r="AR50" s="118">
        <v>220.5</v>
      </c>
      <c r="AS50" s="118">
        <v>-85.831847109999998</v>
      </c>
      <c r="AT50" s="118">
        <v>40.67382929</v>
      </c>
      <c r="AU50" s="118">
        <v>223.8</v>
      </c>
      <c r="AV50" s="118">
        <v>99.8</v>
      </c>
      <c r="AW50" s="118">
        <v>8.33</v>
      </c>
      <c r="AX50" s="118">
        <v>-113.5</v>
      </c>
      <c r="AY50" s="118">
        <v>12.1</v>
      </c>
      <c r="AZ50" s="118">
        <v>0</v>
      </c>
      <c r="BA50" s="118">
        <v>25.13</v>
      </c>
      <c r="BB50" s="118">
        <v>10.82</v>
      </c>
      <c r="BC50" s="118">
        <v>0</v>
      </c>
    </row>
    <row r="51" spans="1:55" x14ac:dyDescent="0.25">
      <c r="A51" s="118" t="s">
        <v>340</v>
      </c>
      <c r="AG51" s="118">
        <v>742</v>
      </c>
      <c r="AH51" s="118">
        <v>439.3</v>
      </c>
      <c r="AI51" s="118">
        <v>455.3</v>
      </c>
      <c r="AJ51" s="118">
        <v>296</v>
      </c>
      <c r="AK51" s="118">
        <v>0.22</v>
      </c>
      <c r="AL51" s="118">
        <v>456.9</v>
      </c>
      <c r="AM51" s="118">
        <v>0.749</v>
      </c>
      <c r="AN51" s="118">
        <v>0.76700000000000002</v>
      </c>
      <c r="AO51" s="118">
        <v>1.0620000000000001</v>
      </c>
      <c r="AP51" s="118">
        <v>146.1</v>
      </c>
      <c r="AQ51" s="118">
        <v>12.48</v>
      </c>
      <c r="AR51" s="118">
        <v>149.1</v>
      </c>
      <c r="AS51" s="118">
        <v>-85.895519590000006</v>
      </c>
      <c r="AT51" s="118">
        <v>40.68853842</v>
      </c>
      <c r="AU51" s="118">
        <v>211.7</v>
      </c>
      <c r="AV51" s="118">
        <v>138.69999999999999</v>
      </c>
      <c r="AW51" s="118">
        <v>8.3000000000000007</v>
      </c>
      <c r="AX51" s="118">
        <v>-110.7</v>
      </c>
      <c r="AY51" s="118">
        <v>12.1</v>
      </c>
      <c r="AZ51" s="118">
        <v>0</v>
      </c>
      <c r="BA51" s="118">
        <v>23.155999999999999</v>
      </c>
      <c r="BB51" s="118">
        <v>10.66</v>
      </c>
      <c r="BC51" s="118">
        <v>0</v>
      </c>
    </row>
    <row r="52" spans="1:55" x14ac:dyDescent="0.25">
      <c r="A52" s="63" t="s">
        <v>341</v>
      </c>
      <c r="AG52" s="118">
        <v>741.7</v>
      </c>
      <c r="AH52" s="118">
        <v>441.2</v>
      </c>
      <c r="AI52" s="118">
        <v>460.2</v>
      </c>
      <c r="AJ52" s="118">
        <v>299</v>
      </c>
      <c r="AK52" s="118">
        <v>0.22</v>
      </c>
      <c r="AL52" s="118">
        <v>462.1</v>
      </c>
      <c r="AM52" s="118">
        <v>0.65500000000000003</v>
      </c>
      <c r="AN52" s="118">
        <v>0.621</v>
      </c>
      <c r="AO52" s="118">
        <v>0.92900000000000005</v>
      </c>
      <c r="AP52" s="118">
        <v>130.30000000000001</v>
      </c>
      <c r="AQ52" s="118">
        <v>11.2</v>
      </c>
      <c r="AR52" s="118">
        <v>133</v>
      </c>
      <c r="AS52" s="118">
        <v>-85.908480589999996</v>
      </c>
      <c r="AT52" s="118">
        <v>40.691867619999996</v>
      </c>
      <c r="AU52" s="118">
        <v>225.8</v>
      </c>
      <c r="AV52" s="118">
        <v>84.8</v>
      </c>
      <c r="AW52" s="118">
        <v>8.36</v>
      </c>
      <c r="AX52" s="118">
        <v>-114.2</v>
      </c>
      <c r="AY52" s="118">
        <v>12.1</v>
      </c>
      <c r="AZ52" s="118">
        <v>0</v>
      </c>
      <c r="BA52" s="118">
        <v>22.838999999999999</v>
      </c>
      <c r="BB52" s="118">
        <v>9.91</v>
      </c>
      <c r="BC52" s="118">
        <v>0</v>
      </c>
    </row>
    <row r="53" spans="1:55" x14ac:dyDescent="0.25">
      <c r="A53" s="118" t="s">
        <v>342</v>
      </c>
      <c r="AG53" s="118">
        <v>741.3</v>
      </c>
      <c r="AH53" s="118">
        <v>433.1</v>
      </c>
      <c r="AI53" s="118">
        <v>456.8</v>
      </c>
      <c r="AJ53" s="118">
        <v>297</v>
      </c>
      <c r="AK53" s="118">
        <v>0.22</v>
      </c>
      <c r="AL53" s="118">
        <v>459.2</v>
      </c>
      <c r="AM53" s="118">
        <v>0.76100000000000001</v>
      </c>
      <c r="AN53" s="118">
        <v>0.76100000000000001</v>
      </c>
      <c r="AO53" s="118">
        <v>1.079</v>
      </c>
      <c r="AP53" s="118">
        <v>99.6</v>
      </c>
      <c r="AQ53" s="118">
        <v>8.66</v>
      </c>
      <c r="AR53" s="118">
        <v>101.7</v>
      </c>
      <c r="AS53" s="118">
        <v>-85.929715139999999</v>
      </c>
      <c r="AT53" s="118">
        <v>40.704621889999999</v>
      </c>
      <c r="AU53" s="118">
        <v>228.2</v>
      </c>
      <c r="AV53" s="118">
        <v>33.4</v>
      </c>
      <c r="AW53" s="118">
        <v>8.15</v>
      </c>
      <c r="AX53" s="118">
        <v>-101.9</v>
      </c>
      <c r="AY53" s="118">
        <v>12.1</v>
      </c>
      <c r="AZ53" s="118">
        <v>0</v>
      </c>
      <c r="BA53" s="118">
        <v>22.277000000000001</v>
      </c>
      <c r="BB53" s="118">
        <v>6.95</v>
      </c>
      <c r="BC53" s="118">
        <v>0</v>
      </c>
    </row>
    <row r="54" spans="1:55" x14ac:dyDescent="0.25">
      <c r="A54" s="118" t="s">
        <v>343</v>
      </c>
      <c r="AG54" s="118">
        <v>741.5</v>
      </c>
      <c r="AH54" s="118">
        <v>443.5</v>
      </c>
      <c r="AI54" s="118">
        <v>463.3</v>
      </c>
      <c r="AJ54" s="118">
        <v>301</v>
      </c>
      <c r="AK54" s="118">
        <v>0.22</v>
      </c>
      <c r="AL54" s="118">
        <v>465.2</v>
      </c>
      <c r="AM54" s="118">
        <v>0.59499999999999997</v>
      </c>
      <c r="AN54" s="118">
        <v>0.58299999999999996</v>
      </c>
      <c r="AO54" s="118">
        <v>0.84399999999999997</v>
      </c>
      <c r="AP54" s="118">
        <v>117.1</v>
      </c>
      <c r="AQ54" s="118">
        <v>10.08</v>
      </c>
      <c r="AR54" s="118">
        <v>119.6</v>
      </c>
      <c r="AS54" s="118">
        <v>-85.920466590000004</v>
      </c>
      <c r="AT54" s="118">
        <v>40.693373649999998</v>
      </c>
      <c r="AU54" s="118">
        <v>225.3</v>
      </c>
      <c r="AV54" s="118">
        <v>95.2</v>
      </c>
      <c r="AW54" s="118">
        <v>8.24</v>
      </c>
      <c r="AX54" s="118">
        <v>-107</v>
      </c>
      <c r="AY54" s="118">
        <v>12.1</v>
      </c>
      <c r="AZ54" s="118">
        <v>0</v>
      </c>
      <c r="BA54" s="118">
        <v>22.77</v>
      </c>
      <c r="BB54" s="118">
        <v>7.71</v>
      </c>
      <c r="BC54" s="118">
        <v>0</v>
      </c>
    </row>
    <row r="55" spans="1:55" x14ac:dyDescent="0.25">
      <c r="A55" s="118" t="s">
        <v>344</v>
      </c>
      <c r="AG55" s="118">
        <v>741.3</v>
      </c>
      <c r="AH55" s="118">
        <v>432.8</v>
      </c>
      <c r="AI55" s="118">
        <v>449</v>
      </c>
      <c r="AJ55" s="118">
        <v>292</v>
      </c>
      <c r="AK55" s="118">
        <v>0.22</v>
      </c>
      <c r="AL55" s="118">
        <v>450.6</v>
      </c>
      <c r="AM55" s="118">
        <v>0.83299999999999996</v>
      </c>
      <c r="AN55" s="118">
        <v>0.83199999999999996</v>
      </c>
      <c r="AO55" s="118">
        <v>1.1819999999999999</v>
      </c>
      <c r="AP55" s="118">
        <v>131.80000000000001</v>
      </c>
      <c r="AQ55" s="118">
        <v>11.27</v>
      </c>
      <c r="AR55" s="118">
        <v>134.6</v>
      </c>
      <c r="AS55" s="118">
        <v>-85.938395619999994</v>
      </c>
      <c r="AT55" s="118">
        <v>40.71107155</v>
      </c>
      <c r="AU55" s="118">
        <v>226.4</v>
      </c>
      <c r="AV55" s="118">
        <v>87.7</v>
      </c>
      <c r="AW55" s="118">
        <v>8.32</v>
      </c>
      <c r="AX55" s="118">
        <v>-112.2</v>
      </c>
      <c r="AY55" s="118">
        <v>12.1</v>
      </c>
      <c r="AZ55" s="118">
        <v>0</v>
      </c>
      <c r="BA55" s="118">
        <v>23.109000000000002</v>
      </c>
      <c r="BB55" s="118">
        <v>9.1199999999999992</v>
      </c>
      <c r="BC55" s="118">
        <v>0</v>
      </c>
    </row>
    <row r="56" spans="1:55" x14ac:dyDescent="0.25">
      <c r="A56" s="118" t="s">
        <v>345</v>
      </c>
      <c r="AG56" s="118">
        <v>741.2</v>
      </c>
      <c r="AH56" s="118">
        <v>429.8</v>
      </c>
      <c r="AI56" s="118">
        <v>443.1</v>
      </c>
      <c r="AJ56" s="118">
        <v>288</v>
      </c>
      <c r="AK56" s="118">
        <v>0.21</v>
      </c>
      <c r="AL56" s="118">
        <v>444.5</v>
      </c>
      <c r="AM56" s="118">
        <v>0.74199999999999999</v>
      </c>
      <c r="AN56" s="118">
        <v>0.76500000000000001</v>
      </c>
      <c r="AO56" s="118">
        <v>1.0529999999999999</v>
      </c>
      <c r="AP56" s="118">
        <v>146.1</v>
      </c>
      <c r="AQ56" s="118">
        <v>12.42</v>
      </c>
      <c r="AR56" s="118">
        <v>149.19999999999999</v>
      </c>
      <c r="AS56" s="118">
        <v>-85.95084713</v>
      </c>
      <c r="AT56" s="118">
        <v>40.711626320000001</v>
      </c>
      <c r="AU56" s="118">
        <v>226.7</v>
      </c>
      <c r="AV56" s="118">
        <v>99</v>
      </c>
      <c r="AW56" s="118">
        <v>8.42</v>
      </c>
      <c r="AX56" s="118">
        <v>-117.9</v>
      </c>
      <c r="AY56" s="118">
        <v>12.1</v>
      </c>
      <c r="AZ56" s="118">
        <v>0</v>
      </c>
      <c r="BA56" s="118">
        <v>23.42</v>
      </c>
      <c r="BB56" s="118">
        <v>9</v>
      </c>
      <c r="BC56" s="118">
        <v>0</v>
      </c>
    </row>
    <row r="57" spans="1:55" x14ac:dyDescent="0.25">
      <c r="A57" s="118" t="s">
        <v>346</v>
      </c>
    </row>
    <row r="58" spans="1:55" x14ac:dyDescent="0.25">
      <c r="A58" s="118" t="s">
        <v>347</v>
      </c>
      <c r="AG58" s="118">
        <v>740.5</v>
      </c>
      <c r="AH58" s="118">
        <v>604.29999999999995</v>
      </c>
      <c r="AI58" s="118">
        <v>609</v>
      </c>
      <c r="AJ58" s="118">
        <v>396</v>
      </c>
      <c r="AK58" s="118">
        <v>0.28999999999999998</v>
      </c>
      <c r="AL58" s="118">
        <v>609.5</v>
      </c>
      <c r="AM58" s="118">
        <v>0.49199999999999999</v>
      </c>
      <c r="AN58" s="118">
        <v>0.50600000000000001</v>
      </c>
      <c r="AO58" s="118">
        <v>0.69799999999999995</v>
      </c>
      <c r="AP58" s="118">
        <v>196.9</v>
      </c>
      <c r="AQ58" s="118">
        <v>16.37</v>
      </c>
      <c r="AR58" s="118">
        <v>201.7</v>
      </c>
      <c r="AS58" s="118">
        <v>-86.807147639999997</v>
      </c>
      <c r="AT58" s="118">
        <v>40.835024840000003</v>
      </c>
      <c r="AU58" s="118">
        <v>195.6</v>
      </c>
      <c r="AV58" s="118">
        <v>125</v>
      </c>
      <c r="AW58" s="118">
        <v>8.08</v>
      </c>
      <c r="AX58" s="118">
        <v>-83.3</v>
      </c>
      <c r="AY58" s="118">
        <v>11.9</v>
      </c>
      <c r="AZ58" s="118">
        <v>0</v>
      </c>
      <c r="BA58" s="118">
        <v>24.594000000000001</v>
      </c>
      <c r="BB58" s="118">
        <v>9.24</v>
      </c>
      <c r="BC58" s="118">
        <v>0</v>
      </c>
    </row>
    <row r="59" spans="1:55" x14ac:dyDescent="0.25">
      <c r="A59" s="118" t="s">
        <v>348</v>
      </c>
      <c r="AG59" s="118">
        <v>740.8</v>
      </c>
      <c r="AH59" s="118">
        <v>592.20000000000005</v>
      </c>
      <c r="AI59" s="118">
        <v>613</v>
      </c>
      <c r="AJ59" s="118">
        <v>398</v>
      </c>
      <c r="AK59" s="118">
        <v>0.3</v>
      </c>
      <c r="AL59" s="118">
        <v>615.1</v>
      </c>
      <c r="AM59" s="118">
        <v>0.59</v>
      </c>
      <c r="AN59" s="118">
        <v>0.60599999999999998</v>
      </c>
      <c r="AO59" s="118">
        <v>0.83699999999999997</v>
      </c>
      <c r="AP59" s="118">
        <v>159</v>
      </c>
      <c r="AQ59" s="118">
        <v>13.56</v>
      </c>
      <c r="AR59" s="118">
        <v>162.9</v>
      </c>
      <c r="AS59" s="118">
        <v>-86.795836289999997</v>
      </c>
      <c r="AT59" s="118">
        <v>40.823874850000003</v>
      </c>
      <c r="AU59" s="118">
        <v>199</v>
      </c>
      <c r="AV59" s="118">
        <v>127.5</v>
      </c>
      <c r="AW59" s="118">
        <v>8.09</v>
      </c>
      <c r="AX59" s="118">
        <v>-83.8</v>
      </c>
      <c r="AY59" s="118">
        <v>11.9</v>
      </c>
      <c r="AZ59" s="118">
        <v>0</v>
      </c>
      <c r="BA59" s="118">
        <v>23.225000000000001</v>
      </c>
      <c r="BB59" s="118">
        <v>5.31</v>
      </c>
      <c r="BC59" s="118">
        <v>0</v>
      </c>
    </row>
    <row r="60" spans="1:55" x14ac:dyDescent="0.25">
      <c r="A60" s="118" t="s">
        <v>349</v>
      </c>
      <c r="AG60" s="118">
        <v>740.9</v>
      </c>
      <c r="AH60" s="118">
        <v>643.1</v>
      </c>
      <c r="AI60" s="118">
        <v>667.2</v>
      </c>
      <c r="AJ60" s="118">
        <v>434</v>
      </c>
      <c r="AK60" s="118">
        <v>0.32</v>
      </c>
      <c r="AL60" s="118">
        <v>669.6</v>
      </c>
      <c r="AM60" s="118">
        <v>0.52800000000000002</v>
      </c>
      <c r="AN60" s="118">
        <v>0.52800000000000002</v>
      </c>
      <c r="AO60" s="118">
        <v>0.749</v>
      </c>
      <c r="AP60" s="118">
        <v>102.6</v>
      </c>
      <c r="AQ60" s="118">
        <v>8.76</v>
      </c>
      <c r="AR60" s="118">
        <v>105.1</v>
      </c>
      <c r="AS60" s="118">
        <v>-86.781764559999999</v>
      </c>
      <c r="AT60" s="118">
        <v>40.834882550000003</v>
      </c>
      <c r="AU60" s="118">
        <v>199.9</v>
      </c>
      <c r="AV60" s="118">
        <v>136.6</v>
      </c>
      <c r="AW60" s="118">
        <v>8.02</v>
      </c>
      <c r="AX60" s="118">
        <v>-79.099999999999994</v>
      </c>
      <c r="AY60" s="118">
        <v>11.9</v>
      </c>
      <c r="AZ60" s="118">
        <v>0</v>
      </c>
      <c r="BA60" s="118">
        <v>23.111999999999998</v>
      </c>
      <c r="BB60" s="118">
        <v>3.24</v>
      </c>
      <c r="BC60" s="118">
        <v>0</v>
      </c>
    </row>
    <row r="61" spans="1:55" x14ac:dyDescent="0.25">
      <c r="A61" s="118" t="s">
        <v>350</v>
      </c>
      <c r="AG61" s="118">
        <v>741.1</v>
      </c>
      <c r="AH61" s="118">
        <v>622</v>
      </c>
      <c r="AI61" s="118">
        <v>645.4</v>
      </c>
      <c r="AJ61" s="118">
        <v>420</v>
      </c>
      <c r="AK61" s="118">
        <v>0.31</v>
      </c>
      <c r="AL61" s="118">
        <v>647.79999999999995</v>
      </c>
      <c r="AM61" s="118">
        <v>0.51600000000000001</v>
      </c>
      <c r="AN61" s="118">
        <v>0.497</v>
      </c>
      <c r="AO61" s="118">
        <v>0.73199999999999998</v>
      </c>
      <c r="AP61" s="118">
        <v>99.4</v>
      </c>
      <c r="AQ61" s="118">
        <v>8.5</v>
      </c>
      <c r="AR61" s="118">
        <v>101.9</v>
      </c>
      <c r="AS61" s="118">
        <v>-86.794299730000006</v>
      </c>
      <c r="AT61" s="118">
        <v>40.81108966</v>
      </c>
      <c r="AU61" s="118">
        <v>201.3</v>
      </c>
      <c r="AV61" s="118">
        <v>141</v>
      </c>
      <c r="AW61" s="118">
        <v>7.92</v>
      </c>
      <c r="AX61" s="118">
        <v>-73.599999999999994</v>
      </c>
      <c r="AY61" s="118">
        <v>12</v>
      </c>
      <c r="AZ61" s="118">
        <v>0</v>
      </c>
      <c r="BA61" s="118">
        <v>23.1</v>
      </c>
      <c r="BB61" s="118">
        <v>4.9800000000000004</v>
      </c>
      <c r="BC61" s="118">
        <v>0</v>
      </c>
    </row>
    <row r="62" spans="1:55" x14ac:dyDescent="0.25">
      <c r="A62" s="118" t="s">
        <v>351</v>
      </c>
      <c r="AG62" s="118">
        <v>740.7</v>
      </c>
      <c r="AH62" s="118">
        <v>609.9</v>
      </c>
      <c r="AI62" s="118">
        <v>632.9</v>
      </c>
      <c r="AJ62" s="118">
        <v>411</v>
      </c>
      <c r="AK62" s="118">
        <v>0.31</v>
      </c>
      <c r="AL62" s="118">
        <v>635.20000000000005</v>
      </c>
      <c r="AM62" s="118">
        <v>0.56799999999999995</v>
      </c>
      <c r="AN62" s="118">
        <v>0.55400000000000005</v>
      </c>
      <c r="AO62" s="118">
        <v>0.80600000000000005</v>
      </c>
      <c r="AP62" s="118">
        <v>153.30000000000001</v>
      </c>
      <c r="AQ62" s="118">
        <v>13.11</v>
      </c>
      <c r="AR62" s="118">
        <v>157.1</v>
      </c>
      <c r="AS62" s="118">
        <v>-86.774830640000005</v>
      </c>
      <c r="AT62" s="118">
        <v>40.804242270000003</v>
      </c>
      <c r="AU62" s="118">
        <v>200.9</v>
      </c>
      <c r="AV62" s="118">
        <v>123.3</v>
      </c>
      <c r="AW62" s="118">
        <v>8.11</v>
      </c>
      <c r="AX62" s="118">
        <v>-84.4</v>
      </c>
      <c r="AY62" s="118">
        <v>11.9</v>
      </c>
      <c r="AZ62" s="118">
        <v>0</v>
      </c>
      <c r="BA62" s="118">
        <v>23.096</v>
      </c>
      <c r="BB62" s="118">
        <v>5.92</v>
      </c>
      <c r="BC62" s="118">
        <v>0</v>
      </c>
    </row>
    <row r="63" spans="1:55" x14ac:dyDescent="0.25">
      <c r="A63" s="118" t="s">
        <v>352</v>
      </c>
      <c r="AG63" s="118">
        <v>740.5</v>
      </c>
      <c r="AH63" s="118">
        <v>622.79999999999995</v>
      </c>
      <c r="AI63" s="118">
        <v>649</v>
      </c>
      <c r="AJ63" s="118">
        <v>422</v>
      </c>
      <c r="AK63" s="118">
        <v>0.32</v>
      </c>
      <c r="AL63" s="118">
        <v>651.5</v>
      </c>
      <c r="AM63" s="118">
        <v>0.48599999999999999</v>
      </c>
      <c r="AN63" s="118">
        <v>0.48899999999999999</v>
      </c>
      <c r="AO63" s="118">
        <v>0.68899999999999995</v>
      </c>
      <c r="AP63" s="118">
        <v>135.30000000000001</v>
      </c>
      <c r="AQ63" s="118">
        <v>11.61</v>
      </c>
      <c r="AR63" s="118">
        <v>138.6</v>
      </c>
      <c r="AS63" s="118">
        <v>-86.774344880000001</v>
      </c>
      <c r="AT63" s="118">
        <v>40.794689409999997</v>
      </c>
      <c r="AU63" s="118">
        <v>201.1</v>
      </c>
      <c r="AV63" s="118">
        <v>129.5</v>
      </c>
      <c r="AW63" s="118">
        <v>8.16</v>
      </c>
      <c r="AX63" s="118">
        <v>-87.7</v>
      </c>
      <c r="AY63" s="118">
        <v>12</v>
      </c>
      <c r="AZ63" s="118">
        <v>0</v>
      </c>
      <c r="BA63" s="118">
        <v>22.89</v>
      </c>
      <c r="BB63" s="118">
        <v>4.8099999999999996</v>
      </c>
      <c r="BC63" s="118">
        <v>0</v>
      </c>
    </row>
    <row r="64" spans="1:55" x14ac:dyDescent="0.25">
      <c r="A64" s="118" t="s">
        <v>353</v>
      </c>
      <c r="AG64" s="118">
        <v>741.3</v>
      </c>
      <c r="AH64" s="118">
        <v>596.29999999999995</v>
      </c>
      <c r="AI64" s="118">
        <v>621</v>
      </c>
      <c r="AJ64" s="118">
        <v>404</v>
      </c>
      <c r="AK64" s="118">
        <v>0.3</v>
      </c>
      <c r="AL64" s="118">
        <v>623.5</v>
      </c>
      <c r="AM64" s="118">
        <v>0.51900000000000002</v>
      </c>
      <c r="AN64" s="118">
        <v>0.496</v>
      </c>
      <c r="AO64" s="118">
        <v>0.73599999999999999</v>
      </c>
      <c r="AP64" s="118">
        <v>177.8</v>
      </c>
      <c r="AQ64" s="118">
        <v>15.25</v>
      </c>
      <c r="AR64" s="118">
        <v>182.2</v>
      </c>
      <c r="AS64" s="118">
        <v>-86.772130180000005</v>
      </c>
      <c r="AT64" s="118">
        <v>40.78862204</v>
      </c>
      <c r="AU64" s="118">
        <v>203.2</v>
      </c>
      <c r="AV64" s="118">
        <v>108.2</v>
      </c>
      <c r="AW64" s="118">
        <v>8.19</v>
      </c>
      <c r="AX64" s="118">
        <v>-89.2</v>
      </c>
      <c r="AY64" s="118">
        <v>11.9</v>
      </c>
      <c r="AZ64" s="118">
        <v>0</v>
      </c>
      <c r="BA64" s="118">
        <v>22.92</v>
      </c>
      <c r="BB64" s="118">
        <v>6.1</v>
      </c>
      <c r="BC64" s="118">
        <v>0</v>
      </c>
    </row>
    <row r="65" spans="1:55" x14ac:dyDescent="0.25">
      <c r="A65" s="118" t="s">
        <v>354</v>
      </c>
      <c r="AG65" s="118">
        <v>740.8</v>
      </c>
      <c r="AH65" s="118">
        <v>607.6</v>
      </c>
      <c r="AI65" s="118">
        <v>635.70000000000005</v>
      </c>
      <c r="AJ65" s="118">
        <v>413</v>
      </c>
      <c r="AK65" s="118">
        <v>0.31</v>
      </c>
      <c r="AL65" s="118">
        <v>638.5</v>
      </c>
      <c r="AM65" s="118">
        <v>0.49399999999999999</v>
      </c>
      <c r="AN65" s="118">
        <v>0.50600000000000001</v>
      </c>
      <c r="AO65" s="118">
        <v>0.70099999999999996</v>
      </c>
      <c r="AP65" s="118">
        <v>150.69999999999999</v>
      </c>
      <c r="AQ65" s="118">
        <v>12.99</v>
      </c>
      <c r="AR65" s="118">
        <v>154.4</v>
      </c>
      <c r="AS65" s="118">
        <v>-86.762205379999997</v>
      </c>
      <c r="AT65" s="118">
        <v>40.782380209999999</v>
      </c>
      <c r="AU65" s="118">
        <v>202.9</v>
      </c>
      <c r="AV65" s="118">
        <v>116.5</v>
      </c>
      <c r="AW65" s="118">
        <v>8.2200000000000006</v>
      </c>
      <c r="AX65" s="118">
        <v>-91.3</v>
      </c>
      <c r="AY65" s="118">
        <v>11.9</v>
      </c>
      <c r="AZ65" s="118">
        <v>0</v>
      </c>
      <c r="BA65" s="118">
        <v>22.684999999999999</v>
      </c>
      <c r="BB65" s="118">
        <v>4.6900000000000004</v>
      </c>
      <c r="BC65" s="118">
        <v>0</v>
      </c>
    </row>
    <row r="66" spans="1:55" x14ac:dyDescent="0.25">
      <c r="A66" s="118" t="s">
        <v>355</v>
      </c>
      <c r="AG66" s="118">
        <v>740.9</v>
      </c>
      <c r="AH66" s="118">
        <v>636.6</v>
      </c>
      <c r="AI66" s="118">
        <v>662.5</v>
      </c>
      <c r="AJ66" s="118">
        <v>431</v>
      </c>
      <c r="AK66" s="118">
        <v>0.32</v>
      </c>
      <c r="AL66" s="118">
        <v>665.1</v>
      </c>
      <c r="AM66" s="118">
        <v>0.47199999999999998</v>
      </c>
      <c r="AN66" s="118">
        <v>0.497</v>
      </c>
      <c r="AO66" s="118">
        <v>0.67</v>
      </c>
      <c r="AP66" s="118">
        <v>106.7</v>
      </c>
      <c r="AQ66" s="118">
        <v>9.15</v>
      </c>
      <c r="AR66" s="118">
        <v>109.3</v>
      </c>
      <c r="AS66" s="118">
        <v>-86.785247049999995</v>
      </c>
      <c r="AT66" s="118">
        <v>40.807313710000003</v>
      </c>
      <c r="AU66" s="118">
        <v>200.8</v>
      </c>
      <c r="AV66" s="118">
        <v>120.5</v>
      </c>
      <c r="AW66" s="118">
        <v>8</v>
      </c>
      <c r="AX66" s="118">
        <v>-78.2</v>
      </c>
      <c r="AY66" s="118">
        <v>11.9</v>
      </c>
      <c r="AZ66" s="118">
        <v>0</v>
      </c>
      <c r="BA66" s="118">
        <v>22.951000000000001</v>
      </c>
      <c r="BB66" s="118">
        <v>4.4000000000000004</v>
      </c>
      <c r="BC66" s="118">
        <v>0</v>
      </c>
    </row>
    <row r="67" spans="1:55" x14ac:dyDescent="0.25">
      <c r="A67" s="118" t="s">
        <v>356</v>
      </c>
      <c r="AG67" s="190"/>
      <c r="AH67" s="190"/>
      <c r="AI67" s="190"/>
      <c r="AJ67" s="190"/>
      <c r="AK67" s="190"/>
      <c r="AL67" s="190"/>
      <c r="AM67" s="190"/>
      <c r="AN67" s="190"/>
      <c r="AO67" s="190"/>
      <c r="AP67" s="190"/>
      <c r="AQ67" s="190"/>
      <c r="AR67" s="190"/>
      <c r="AS67" s="190"/>
      <c r="AT67" s="190"/>
      <c r="AU67" s="190"/>
      <c r="AV67" s="190"/>
      <c r="AW67" s="190"/>
      <c r="AX67" s="190"/>
      <c r="AY67" s="190"/>
      <c r="AZ67" s="190"/>
      <c r="BA67" s="190"/>
      <c r="BB67" s="190"/>
      <c r="BC67" s="190"/>
    </row>
    <row r="68" spans="1:55" x14ac:dyDescent="0.25">
      <c r="A68" s="118" t="s">
        <v>357</v>
      </c>
      <c r="AG68" s="118">
        <v>742</v>
      </c>
      <c r="AH68" s="118">
        <v>390.1</v>
      </c>
      <c r="AI68" s="118">
        <v>388.4</v>
      </c>
      <c r="AJ68" s="118">
        <v>252</v>
      </c>
      <c r="AK68" s="118">
        <v>0.19</v>
      </c>
      <c r="AL68" s="118">
        <v>388.2</v>
      </c>
      <c r="AM68" s="118">
        <v>0.55100000000000005</v>
      </c>
      <c r="AN68" s="118">
        <v>0.54500000000000004</v>
      </c>
      <c r="AO68" s="118">
        <v>0.78200000000000003</v>
      </c>
      <c r="AP68" s="118">
        <v>150.19999999999999</v>
      </c>
      <c r="AQ68" s="118">
        <v>12.35</v>
      </c>
      <c r="AR68" s="118">
        <v>153.5</v>
      </c>
      <c r="AS68" s="118">
        <v>-85.645051519999996</v>
      </c>
      <c r="AT68" s="118">
        <v>40.772296269999998</v>
      </c>
      <c r="AU68" s="118">
        <v>231.6</v>
      </c>
      <c r="AV68" s="118">
        <v>110.9</v>
      </c>
      <c r="AW68" s="118">
        <v>8.7100000000000009</v>
      </c>
      <c r="AX68" s="118">
        <v>-123.2</v>
      </c>
      <c r="AY68" s="118">
        <v>11.9</v>
      </c>
      <c r="AZ68" s="118">
        <v>0</v>
      </c>
      <c r="BA68" s="118">
        <v>25.224</v>
      </c>
      <c r="BB68" s="118">
        <v>4.1500000000000004</v>
      </c>
      <c r="BC68" s="118">
        <v>0</v>
      </c>
    </row>
    <row r="69" spans="1:55" x14ac:dyDescent="0.25">
      <c r="A69" s="118" t="s">
        <v>358</v>
      </c>
      <c r="AG69" s="118">
        <v>742.1</v>
      </c>
      <c r="AH69" s="118">
        <v>390.7</v>
      </c>
      <c r="AI69" s="118">
        <v>390.8</v>
      </c>
      <c r="AJ69" s="118">
        <v>254</v>
      </c>
      <c r="AK69" s="118">
        <v>0.19</v>
      </c>
      <c r="AL69" s="118">
        <v>390.8</v>
      </c>
      <c r="AM69" s="118">
        <v>0.49099999999999999</v>
      </c>
      <c r="AN69" s="118">
        <v>0.499</v>
      </c>
      <c r="AO69" s="118">
        <v>0.69699999999999995</v>
      </c>
      <c r="AP69" s="118">
        <v>144.69999999999999</v>
      </c>
      <c r="AQ69" s="118">
        <v>11.95</v>
      </c>
      <c r="AR69" s="118">
        <v>147.9</v>
      </c>
      <c r="AS69" s="118">
        <v>-85.647150420000003</v>
      </c>
      <c r="AT69" s="118">
        <v>40.770774430000003</v>
      </c>
      <c r="AU69" s="118">
        <v>231.3</v>
      </c>
      <c r="AV69" s="118">
        <v>127.8</v>
      </c>
      <c r="AW69" s="118">
        <v>8.65</v>
      </c>
      <c r="AX69" s="118">
        <v>-119.6</v>
      </c>
      <c r="AY69" s="118">
        <v>12</v>
      </c>
      <c r="AZ69" s="118">
        <v>0</v>
      </c>
      <c r="BA69" s="118">
        <v>24.984000000000002</v>
      </c>
      <c r="BB69" s="118">
        <v>3.64</v>
      </c>
      <c r="BC69" s="118">
        <v>0</v>
      </c>
    </row>
    <row r="70" spans="1:55" x14ac:dyDescent="0.25">
      <c r="A70" s="118" t="s">
        <v>359</v>
      </c>
      <c r="AG70" s="118">
        <v>742</v>
      </c>
      <c r="AH70" s="118">
        <v>397.8</v>
      </c>
      <c r="AI70" s="118">
        <v>396</v>
      </c>
      <c r="AJ70" s="118">
        <v>257</v>
      </c>
      <c r="AK70" s="118">
        <v>0.19</v>
      </c>
      <c r="AL70" s="118">
        <v>395.8</v>
      </c>
      <c r="AM70" s="118">
        <v>0.50600000000000001</v>
      </c>
      <c r="AN70" s="118">
        <v>0.51800000000000002</v>
      </c>
      <c r="AO70" s="118">
        <v>0.71799999999999997</v>
      </c>
      <c r="AP70" s="118">
        <v>139.4</v>
      </c>
      <c r="AQ70" s="118">
        <v>11.45</v>
      </c>
      <c r="AR70" s="118">
        <v>142.4</v>
      </c>
      <c r="AS70" s="118">
        <v>-85.646588960000003</v>
      </c>
      <c r="AT70" s="118">
        <v>40.781075420000001</v>
      </c>
      <c r="AU70" s="118">
        <v>227</v>
      </c>
      <c r="AV70" s="118">
        <v>125.5</v>
      </c>
      <c r="AW70" s="118">
        <v>8.64</v>
      </c>
      <c r="AX70" s="118">
        <v>-119.2</v>
      </c>
      <c r="AY70" s="118">
        <v>12</v>
      </c>
      <c r="AZ70" s="118">
        <v>0</v>
      </c>
      <c r="BA70" s="118">
        <v>25.23</v>
      </c>
      <c r="BB70" s="118">
        <v>3.54</v>
      </c>
      <c r="BC70" s="118">
        <v>0</v>
      </c>
    </row>
    <row r="71" spans="1:55" x14ac:dyDescent="0.25">
      <c r="A71" s="118" t="s">
        <v>360</v>
      </c>
      <c r="AG71" s="118">
        <v>742</v>
      </c>
      <c r="AH71" s="118">
        <v>410.5</v>
      </c>
      <c r="AI71" s="118">
        <v>402</v>
      </c>
      <c r="AJ71" s="118">
        <v>261</v>
      </c>
      <c r="AK71" s="118">
        <v>0.19</v>
      </c>
      <c r="AL71" s="118">
        <v>401.1</v>
      </c>
      <c r="AM71" s="118">
        <v>0.48599999999999999</v>
      </c>
      <c r="AN71" s="118">
        <v>0.47</v>
      </c>
      <c r="AO71" s="118">
        <v>0.68899999999999995</v>
      </c>
      <c r="AP71" s="118">
        <v>155</v>
      </c>
      <c r="AQ71" s="118">
        <v>12.54</v>
      </c>
      <c r="AR71" s="118">
        <v>158.4</v>
      </c>
      <c r="AS71" s="118">
        <v>-85.638733939999995</v>
      </c>
      <c r="AT71" s="118">
        <v>40.783930470000001</v>
      </c>
      <c r="AU71" s="118">
        <v>230.5</v>
      </c>
      <c r="AV71" s="118">
        <v>77.599999999999994</v>
      </c>
      <c r="AW71" s="118">
        <v>8.6300000000000008</v>
      </c>
      <c r="AX71" s="118">
        <v>-119</v>
      </c>
      <c r="AY71" s="118">
        <v>11.9</v>
      </c>
      <c r="AZ71" s="118">
        <v>0</v>
      </c>
      <c r="BA71" s="118">
        <v>26.113</v>
      </c>
      <c r="BB71" s="118">
        <v>6.27</v>
      </c>
      <c r="BC71" s="118">
        <v>0</v>
      </c>
    </row>
    <row r="72" spans="1:55" x14ac:dyDescent="0.25">
      <c r="A72" s="118" t="s">
        <v>361</v>
      </c>
      <c r="AG72" s="118">
        <v>741.8</v>
      </c>
      <c r="AH72" s="118">
        <v>419.5</v>
      </c>
      <c r="AI72" s="118">
        <v>408.2</v>
      </c>
      <c r="AJ72" s="118">
        <v>265</v>
      </c>
      <c r="AK72" s="118">
        <v>0.19</v>
      </c>
      <c r="AL72" s="118">
        <v>407</v>
      </c>
      <c r="AM72" s="118">
        <v>0.55000000000000004</v>
      </c>
      <c r="AN72" s="118">
        <v>0.56399999999999995</v>
      </c>
      <c r="AO72" s="118">
        <v>0.78</v>
      </c>
      <c r="AP72" s="118">
        <v>161.19999999999999</v>
      </c>
      <c r="AQ72" s="118">
        <v>12.96</v>
      </c>
      <c r="AR72" s="118">
        <v>164.8</v>
      </c>
      <c r="AS72" s="118">
        <v>-85.624036320000002</v>
      </c>
      <c r="AT72" s="118">
        <v>40.774560219999998</v>
      </c>
      <c r="AU72" s="118">
        <v>230.3</v>
      </c>
      <c r="AV72" s="118">
        <v>104.8</v>
      </c>
      <c r="AW72" s="118">
        <v>8.58</v>
      </c>
      <c r="AX72" s="118">
        <v>-115.9</v>
      </c>
      <c r="AY72" s="118">
        <v>11.9</v>
      </c>
      <c r="AZ72" s="118">
        <v>0</v>
      </c>
      <c r="BA72" s="118">
        <v>26.452999999999999</v>
      </c>
      <c r="BB72" s="118">
        <v>5.19</v>
      </c>
      <c r="BC72" s="118">
        <v>0</v>
      </c>
    </row>
    <row r="73" spans="1:55" x14ac:dyDescent="0.25">
      <c r="A73" s="118" t="s">
        <v>362</v>
      </c>
      <c r="AG73" s="118">
        <v>741.7</v>
      </c>
      <c r="AH73" s="118">
        <v>422.8</v>
      </c>
      <c r="AI73" s="118">
        <v>415.9</v>
      </c>
      <c r="AJ73" s="118">
        <v>270</v>
      </c>
      <c r="AK73" s="118">
        <v>0.2</v>
      </c>
      <c r="AL73" s="118">
        <v>415.1</v>
      </c>
      <c r="AM73" s="118">
        <v>0.53400000000000003</v>
      </c>
      <c r="AN73" s="118">
        <v>0.54700000000000004</v>
      </c>
      <c r="AO73" s="118">
        <v>0.75700000000000001</v>
      </c>
      <c r="AP73" s="118">
        <v>151.6</v>
      </c>
      <c r="AQ73" s="118">
        <v>12.31</v>
      </c>
      <c r="AR73" s="118">
        <v>154.9</v>
      </c>
      <c r="AS73" s="118">
        <v>-85.606134130000001</v>
      </c>
      <c r="AT73" s="118">
        <v>40.77494488</v>
      </c>
      <c r="AU73" s="118">
        <v>232.3</v>
      </c>
      <c r="AV73" s="118">
        <v>47.8</v>
      </c>
      <c r="AW73" s="118">
        <v>8.5299999999999994</v>
      </c>
      <c r="AX73" s="118">
        <v>-112.8</v>
      </c>
      <c r="AY73" s="118">
        <v>11.9</v>
      </c>
      <c r="AZ73" s="118">
        <v>0</v>
      </c>
      <c r="BA73" s="118">
        <v>25.875</v>
      </c>
      <c r="BB73" s="118">
        <v>5.54</v>
      </c>
      <c r="BC73" s="118">
        <v>0</v>
      </c>
    </row>
    <row r="74" spans="1:55" x14ac:dyDescent="0.25">
      <c r="A74" s="118" t="s">
        <v>363</v>
      </c>
      <c r="AG74" s="118">
        <v>741.3</v>
      </c>
      <c r="AH74" s="118">
        <v>418.4</v>
      </c>
      <c r="AI74" s="118">
        <v>408.6</v>
      </c>
      <c r="AJ74" s="118">
        <v>266</v>
      </c>
      <c r="AK74" s="118">
        <v>0.19</v>
      </c>
      <c r="AL74" s="118">
        <v>407.6</v>
      </c>
      <c r="AM74" s="118">
        <v>0.51400000000000001</v>
      </c>
      <c r="AN74" s="118">
        <v>0.52900000000000003</v>
      </c>
      <c r="AO74" s="118">
        <v>0.72799999999999998</v>
      </c>
      <c r="AP74" s="118">
        <v>167.3</v>
      </c>
      <c r="AQ74" s="118">
        <v>13.5</v>
      </c>
      <c r="AR74" s="118">
        <v>171</v>
      </c>
      <c r="AS74" s="118">
        <v>-85.580525960000003</v>
      </c>
      <c r="AT74" s="118">
        <v>40.775568530000001</v>
      </c>
      <c r="AU74" s="118">
        <v>231.3</v>
      </c>
      <c r="AV74" s="118">
        <v>109.8</v>
      </c>
      <c r="AW74" s="118">
        <v>8.6199999999999992</v>
      </c>
      <c r="AX74" s="118">
        <v>-118.5</v>
      </c>
      <c r="AY74" s="118">
        <v>11.9</v>
      </c>
      <c r="AZ74" s="118">
        <v>0</v>
      </c>
      <c r="BA74" s="118">
        <v>26.251000000000001</v>
      </c>
      <c r="BB74" s="118">
        <v>6.63</v>
      </c>
      <c r="BC74" s="118">
        <v>0</v>
      </c>
    </row>
    <row r="75" spans="1:55" x14ac:dyDescent="0.25">
      <c r="A75" s="118" t="s">
        <v>364</v>
      </c>
      <c r="AG75" s="118">
        <v>741.3</v>
      </c>
      <c r="AH75" s="118">
        <v>426</v>
      </c>
      <c r="AI75" s="118">
        <v>424.6</v>
      </c>
      <c r="AJ75" s="118">
        <v>276</v>
      </c>
      <c r="AK75" s="118">
        <v>0.2</v>
      </c>
      <c r="AL75" s="118">
        <v>424.5</v>
      </c>
      <c r="AM75" s="118">
        <v>0.54400000000000004</v>
      </c>
      <c r="AN75" s="118">
        <v>0.53100000000000003</v>
      </c>
      <c r="AO75" s="118">
        <v>0.77100000000000002</v>
      </c>
      <c r="AP75" s="118">
        <v>142.4</v>
      </c>
      <c r="AQ75" s="118">
        <v>11.72</v>
      </c>
      <c r="AR75" s="118">
        <v>145.5</v>
      </c>
      <c r="AS75" s="118">
        <v>-85.596868459999996</v>
      </c>
      <c r="AT75" s="118">
        <v>40.766858499999998</v>
      </c>
      <c r="AU75" s="118">
        <v>232.7</v>
      </c>
      <c r="AV75" s="118">
        <v>113.9</v>
      </c>
      <c r="AW75" s="118">
        <v>8.5</v>
      </c>
      <c r="AX75" s="118">
        <v>-111.1</v>
      </c>
      <c r="AY75" s="118">
        <v>11.9</v>
      </c>
      <c r="AZ75" s="118">
        <v>0</v>
      </c>
      <c r="BA75" s="118">
        <v>25.175999999999998</v>
      </c>
      <c r="BB75" s="118">
        <v>6.09</v>
      </c>
      <c r="BC75" s="118">
        <v>0</v>
      </c>
    </row>
    <row r="76" spans="1:55" x14ac:dyDescent="0.25">
      <c r="A76" s="118" t="s">
        <v>365</v>
      </c>
      <c r="AG76" s="118">
        <v>741.2</v>
      </c>
      <c r="AH76" s="118">
        <v>431.2</v>
      </c>
      <c r="AI76" s="118">
        <v>429</v>
      </c>
      <c r="AJ76" s="118">
        <v>279</v>
      </c>
      <c r="AK76" s="118">
        <v>0.2</v>
      </c>
      <c r="AL76" s="118">
        <v>428.8</v>
      </c>
      <c r="AM76" s="118">
        <v>0.504</v>
      </c>
      <c r="AN76" s="118">
        <v>0.497</v>
      </c>
      <c r="AO76" s="118">
        <v>0.71499999999999997</v>
      </c>
      <c r="AP76" s="118">
        <v>154.5</v>
      </c>
      <c r="AQ76" s="118">
        <v>12.69</v>
      </c>
      <c r="AR76" s="118">
        <v>157.9</v>
      </c>
      <c r="AS76" s="118">
        <v>-85.594853409999999</v>
      </c>
      <c r="AT76" s="118">
        <v>40.757165809999996</v>
      </c>
      <c r="AU76" s="118">
        <v>231</v>
      </c>
      <c r="AV76" s="118">
        <v>113.6</v>
      </c>
      <c r="AW76" s="118">
        <v>8.5500000000000007</v>
      </c>
      <c r="AX76" s="118">
        <v>-113.7</v>
      </c>
      <c r="AY76" s="118">
        <v>11.9</v>
      </c>
      <c r="AZ76" s="118">
        <v>0</v>
      </c>
      <c r="BA76" s="118">
        <v>25.268999999999998</v>
      </c>
      <c r="BB76" s="118">
        <v>6.22</v>
      </c>
      <c r="BC76" s="118">
        <v>0</v>
      </c>
    </row>
    <row r="77" spans="1:55" x14ac:dyDescent="0.25">
      <c r="A77" s="118" t="s">
        <v>366</v>
      </c>
      <c r="AG77" s="118">
        <v>741.1</v>
      </c>
      <c r="AH77" s="118">
        <v>455.5</v>
      </c>
      <c r="AI77" s="118">
        <v>442.9</v>
      </c>
      <c r="AJ77" s="118">
        <v>288</v>
      </c>
      <c r="AK77" s="118">
        <v>0.21</v>
      </c>
      <c r="AL77" s="118">
        <v>441.6</v>
      </c>
      <c r="AM77" s="118">
        <v>0.59299999999999997</v>
      </c>
      <c r="AN77" s="118">
        <v>0.60799999999999998</v>
      </c>
      <c r="AO77" s="118">
        <v>0.84099999999999997</v>
      </c>
      <c r="AP77" s="118">
        <v>156.4</v>
      </c>
      <c r="AQ77" s="118">
        <v>12.56</v>
      </c>
      <c r="AR77" s="118">
        <v>159.80000000000001</v>
      </c>
      <c r="AS77" s="118">
        <v>-85.582874129999993</v>
      </c>
      <c r="AT77" s="118">
        <v>40.755891669999997</v>
      </c>
      <c r="AU77" s="118">
        <v>232.7</v>
      </c>
      <c r="AV77" s="118">
        <v>104.9</v>
      </c>
      <c r="AW77" s="118">
        <v>8.5</v>
      </c>
      <c r="AX77" s="118">
        <v>-111.5</v>
      </c>
      <c r="AY77" s="118">
        <v>11.9</v>
      </c>
      <c r="AZ77" s="118">
        <v>0</v>
      </c>
      <c r="BA77" s="118">
        <v>26.495000000000001</v>
      </c>
      <c r="BB77" s="118">
        <v>5.2</v>
      </c>
      <c r="BC77" s="118">
        <v>0</v>
      </c>
    </row>
    <row r="78" spans="1:55" x14ac:dyDescent="0.25">
      <c r="A78" s="118" t="s">
        <v>367</v>
      </c>
      <c r="AG78" s="118">
        <v>742</v>
      </c>
      <c r="AH78" s="118">
        <v>412.8</v>
      </c>
      <c r="AI78" s="118">
        <v>408.3</v>
      </c>
      <c r="AJ78" s="118">
        <v>265</v>
      </c>
      <c r="AK78" s="118">
        <v>0.19</v>
      </c>
      <c r="AL78" s="118">
        <v>407.8</v>
      </c>
      <c r="AM78" s="118">
        <v>0.53800000000000003</v>
      </c>
      <c r="AN78" s="118">
        <v>0.53900000000000003</v>
      </c>
      <c r="AO78" s="118">
        <v>0.76300000000000001</v>
      </c>
      <c r="AP78" s="118">
        <v>143.4</v>
      </c>
      <c r="AQ78" s="118">
        <v>11.72</v>
      </c>
      <c r="AR78" s="118">
        <v>146.6</v>
      </c>
      <c r="AS78" s="118">
        <v>-85.637500149999994</v>
      </c>
      <c r="AT78" s="118">
        <v>40.781062970000001</v>
      </c>
      <c r="AU78" s="118">
        <v>230.6</v>
      </c>
      <c r="AV78" s="118">
        <v>100.9</v>
      </c>
      <c r="AW78" s="118">
        <v>8.58</v>
      </c>
      <c r="AX78" s="118">
        <v>-115.8</v>
      </c>
      <c r="AY78" s="118">
        <v>12</v>
      </c>
      <c r="AZ78" s="118">
        <v>0</v>
      </c>
      <c r="BA78" s="118">
        <v>25.582000000000001</v>
      </c>
      <c r="BB78" s="118">
        <v>5.86</v>
      </c>
      <c r="BC78" s="118">
        <v>0</v>
      </c>
    </row>
    <row r="79" spans="1:55" x14ac:dyDescent="0.25">
      <c r="A79" s="118" t="s">
        <v>368</v>
      </c>
      <c r="AG79" s="118">
        <v>740.6</v>
      </c>
      <c r="AH79" s="118">
        <v>399.4</v>
      </c>
      <c r="AI79" s="118">
        <v>382.4</v>
      </c>
      <c r="AJ79" s="118">
        <v>249</v>
      </c>
      <c r="AK79" s="118">
        <v>0.18</v>
      </c>
      <c r="AL79" s="118">
        <v>380.5</v>
      </c>
      <c r="AM79" s="118">
        <v>0.50700000000000001</v>
      </c>
      <c r="AN79" s="118">
        <v>0.495</v>
      </c>
      <c r="AO79" s="118">
        <v>0.71899999999999997</v>
      </c>
      <c r="AP79" s="118">
        <v>173.6</v>
      </c>
      <c r="AQ79" s="118">
        <v>13.74</v>
      </c>
      <c r="AR79" s="118">
        <v>177.5</v>
      </c>
      <c r="AS79" s="118">
        <v>-85.667890909999997</v>
      </c>
      <c r="AT79" s="118">
        <v>40.8002343</v>
      </c>
      <c r="AU79" s="118">
        <v>231.3</v>
      </c>
      <c r="AV79" s="118">
        <v>94.8</v>
      </c>
      <c r="AW79" s="118">
        <v>8.86</v>
      </c>
      <c r="AX79" s="118">
        <v>-133.19999999999999</v>
      </c>
      <c r="AY79" s="118">
        <v>11.9</v>
      </c>
      <c r="AZ79" s="118">
        <v>0</v>
      </c>
      <c r="BA79" s="118">
        <v>27.334</v>
      </c>
      <c r="BB79" s="118">
        <v>5.73</v>
      </c>
      <c r="BC79" s="118">
        <v>0</v>
      </c>
    </row>
    <row r="80" spans="1:55" x14ac:dyDescent="0.25">
      <c r="A80" s="69" t="s">
        <v>369</v>
      </c>
      <c r="AG80" s="190"/>
      <c r="AH80" s="190"/>
      <c r="AI80" s="190"/>
      <c r="AJ80" s="190"/>
      <c r="AK80" s="190"/>
      <c r="AL80" s="190"/>
      <c r="AM80" s="190"/>
      <c r="AN80" s="190"/>
      <c r="AO80" s="190"/>
      <c r="AP80" s="190"/>
      <c r="AQ80" s="190"/>
      <c r="AR80" s="190"/>
      <c r="AS80" s="190"/>
      <c r="AT80" s="190"/>
      <c r="AU80" s="190"/>
      <c r="AV80" s="190"/>
      <c r="AW80" s="190"/>
      <c r="AX80" s="190"/>
      <c r="AY80" s="190"/>
      <c r="AZ80" s="190"/>
      <c r="BA80" s="190"/>
      <c r="BB80" s="190"/>
      <c r="BC80" s="190"/>
    </row>
    <row r="81" spans="1:55" x14ac:dyDescent="0.25">
      <c r="A81" s="69" t="s">
        <v>370</v>
      </c>
      <c r="AG81" s="190"/>
      <c r="AH81" s="190"/>
      <c r="AI81" s="190"/>
      <c r="AJ81" s="190"/>
      <c r="AK81" s="190"/>
      <c r="AL81" s="190"/>
      <c r="AM81" s="190"/>
      <c r="AN81" s="190"/>
      <c r="AO81" s="190"/>
      <c r="AP81" s="190"/>
      <c r="AQ81" s="190"/>
      <c r="AR81" s="190"/>
      <c r="AS81" s="190"/>
      <c r="AT81" s="190"/>
      <c r="AU81" s="190"/>
      <c r="AV81" s="190"/>
      <c r="AW81" s="190"/>
      <c r="AX81" s="190"/>
      <c r="AY81" s="190"/>
      <c r="AZ81" s="190"/>
      <c r="BA81" s="190"/>
      <c r="BB81" s="190"/>
      <c r="BC81" s="190"/>
    </row>
    <row r="82" spans="1:55" x14ac:dyDescent="0.25">
      <c r="A82" s="118" t="s">
        <v>371</v>
      </c>
      <c r="AG82" s="190"/>
      <c r="AH82" s="190"/>
      <c r="AI82" s="190"/>
      <c r="AJ82" s="190"/>
      <c r="AK82" s="190"/>
      <c r="AL82" s="190"/>
      <c r="AM82" s="190"/>
      <c r="AN82" s="190"/>
      <c r="AO82" s="190"/>
      <c r="AP82" s="190"/>
      <c r="AQ82" s="190"/>
      <c r="AR82" s="190"/>
      <c r="AS82" s="190"/>
      <c r="AT82" s="190"/>
      <c r="AU82" s="190"/>
      <c r="AV82" s="190"/>
      <c r="AW82" s="190"/>
      <c r="AX82" s="190"/>
      <c r="AY82" s="190"/>
      <c r="AZ82" s="190"/>
      <c r="BA82" s="190"/>
      <c r="BB82" s="190"/>
      <c r="BC82" s="190"/>
    </row>
    <row r="83" spans="1:55" x14ac:dyDescent="0.25">
      <c r="A83" s="118" t="s">
        <v>372</v>
      </c>
      <c r="AG83" s="190"/>
      <c r="AH83" s="190"/>
      <c r="AI83" s="190"/>
      <c r="AJ83" s="190"/>
      <c r="AK83" s="190"/>
      <c r="AL83" s="190"/>
      <c r="AM83" s="190"/>
      <c r="AN83" s="190"/>
      <c r="AO83" s="190"/>
      <c r="AP83" s="190"/>
      <c r="AQ83" s="190"/>
      <c r="AR83" s="190"/>
      <c r="AS83" s="190"/>
      <c r="AT83" s="190"/>
      <c r="AU83" s="190"/>
      <c r="AV83" s="190"/>
      <c r="AW83" s="190"/>
      <c r="AX83" s="190"/>
      <c r="AY83" s="190"/>
      <c r="AZ83" s="190"/>
      <c r="BA83" s="190"/>
      <c r="BB83" s="190"/>
      <c r="BC83" s="190"/>
    </row>
    <row r="84" spans="1:55" x14ac:dyDescent="0.25">
      <c r="A84" s="118" t="s">
        <v>373</v>
      </c>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row>
    <row r="85" spans="1:55" x14ac:dyDescent="0.25">
      <c r="A85" s="118" t="s">
        <v>374</v>
      </c>
      <c r="AG85" s="190">
        <v>749.4</v>
      </c>
      <c r="AH85" s="190">
        <v>727.8</v>
      </c>
      <c r="AI85" s="190">
        <v>704.9</v>
      </c>
      <c r="AJ85" s="190">
        <v>458</v>
      </c>
      <c r="AK85" s="190">
        <v>0.34</v>
      </c>
      <c r="AL85" s="190">
        <v>702.5</v>
      </c>
      <c r="AM85" s="190">
        <v>0.42</v>
      </c>
      <c r="AN85" s="190">
        <v>0.42899999999999999</v>
      </c>
      <c r="AO85" s="190">
        <v>0.59499999999999997</v>
      </c>
      <c r="AP85" s="190">
        <v>160</v>
      </c>
      <c r="AQ85" s="190">
        <v>12.79</v>
      </c>
      <c r="AR85" s="190">
        <v>162.4</v>
      </c>
      <c r="AS85" s="190">
        <v>-86.772130180000005</v>
      </c>
      <c r="AT85" s="190">
        <v>40.78862204</v>
      </c>
      <c r="AU85" s="190">
        <v>196.7</v>
      </c>
      <c r="AV85" s="190">
        <v>173.4</v>
      </c>
      <c r="AW85" s="190">
        <v>8.07</v>
      </c>
      <c r="AX85" s="190">
        <v>-84.5</v>
      </c>
      <c r="AY85" s="190">
        <v>11.9</v>
      </c>
      <c r="AZ85" s="190">
        <v>0</v>
      </c>
      <c r="BA85" s="190">
        <v>26.696999999999999</v>
      </c>
      <c r="BB85" s="190">
        <v>4.4800000000000004</v>
      </c>
      <c r="BC85" s="190">
        <v>0</v>
      </c>
    </row>
    <row r="86" spans="1:55" x14ac:dyDescent="0.25">
      <c r="A86" s="118" t="s">
        <v>375</v>
      </c>
      <c r="AG86" s="190"/>
      <c r="AH86" s="190"/>
      <c r="AI86" s="190"/>
      <c r="AJ86" s="190"/>
      <c r="AK86" s="190"/>
      <c r="AL86" s="190"/>
      <c r="AM86" s="190"/>
      <c r="AN86" s="190"/>
      <c r="AO86" s="190"/>
      <c r="AP86" s="190"/>
      <c r="AQ86" s="190"/>
      <c r="AR86" s="190"/>
      <c r="AS86" s="190"/>
      <c r="AT86" s="190"/>
      <c r="AU86" s="190"/>
      <c r="AV86" s="190"/>
      <c r="AW86" s="190"/>
      <c r="AX86" s="190"/>
      <c r="AY86" s="190"/>
      <c r="AZ86" s="190"/>
      <c r="BA86" s="190"/>
      <c r="BB86" s="190"/>
      <c r="BC86" s="190"/>
    </row>
    <row r="87" spans="1:55" x14ac:dyDescent="0.25">
      <c r="A87" s="118" t="s">
        <v>376</v>
      </c>
      <c r="AG87" s="190"/>
      <c r="AH87" s="190"/>
      <c r="AI87" s="190"/>
      <c r="AJ87" s="190"/>
      <c r="AK87" s="190"/>
      <c r="AL87" s="190"/>
      <c r="AM87" s="190"/>
      <c r="AN87" s="190"/>
      <c r="AO87" s="190"/>
      <c r="AP87" s="190"/>
      <c r="AQ87" s="190"/>
      <c r="AR87" s="190"/>
      <c r="AS87" s="190"/>
      <c r="AT87" s="190"/>
      <c r="AU87" s="190"/>
      <c r="AV87" s="190"/>
      <c r="AW87" s="190"/>
      <c r="AX87" s="190"/>
      <c r="AY87" s="190"/>
      <c r="AZ87" s="190"/>
      <c r="BA87" s="190"/>
      <c r="BB87" s="190"/>
      <c r="BC87" s="190"/>
    </row>
    <row r="88" spans="1:55" x14ac:dyDescent="0.25">
      <c r="A88" s="118" t="s">
        <v>377</v>
      </c>
      <c r="AG88" s="190"/>
      <c r="AH88" s="190"/>
      <c r="AI88" s="190"/>
      <c r="AJ88" s="190"/>
      <c r="AK88" s="190"/>
      <c r="AL88" s="190"/>
      <c r="AM88" s="190"/>
      <c r="AN88" s="190"/>
      <c r="AO88" s="190"/>
      <c r="AP88" s="190"/>
      <c r="AQ88" s="190"/>
      <c r="AR88" s="190"/>
      <c r="AS88" s="190"/>
      <c r="AT88" s="190"/>
      <c r="AU88" s="190"/>
      <c r="AV88" s="190"/>
      <c r="AW88" s="190"/>
      <c r="AX88" s="190"/>
      <c r="AY88" s="190"/>
      <c r="AZ88" s="190"/>
      <c r="BA88" s="190"/>
      <c r="BB88" s="190"/>
      <c r="BC88" s="190"/>
    </row>
    <row r="89" spans="1:55" x14ac:dyDescent="0.25">
      <c r="A89" s="118" t="s">
        <v>378</v>
      </c>
      <c r="AG89" s="118">
        <v>741</v>
      </c>
      <c r="AH89" s="118">
        <v>448.6</v>
      </c>
      <c r="AI89" s="118">
        <v>422.4</v>
      </c>
      <c r="AJ89" s="118">
        <v>275</v>
      </c>
      <c r="AK89" s="118">
        <v>0.2</v>
      </c>
      <c r="AL89" s="118">
        <v>419.6</v>
      </c>
      <c r="AM89" s="118">
        <v>0.52700000000000002</v>
      </c>
      <c r="AN89" s="118">
        <v>0.53600000000000003</v>
      </c>
      <c r="AO89" s="118">
        <v>0.747</v>
      </c>
      <c r="AP89" s="118">
        <v>124.4</v>
      </c>
      <c r="AQ89" s="118">
        <v>9.69</v>
      </c>
      <c r="AR89" s="118">
        <v>127.4</v>
      </c>
      <c r="AS89" s="118">
        <v>-85.88874079</v>
      </c>
      <c r="AT89" s="118">
        <v>40.681483559999997</v>
      </c>
      <c r="AU89" s="118">
        <v>224.2</v>
      </c>
      <c r="AV89" s="118">
        <v>118</v>
      </c>
      <c r="AW89" s="118">
        <v>8.4600000000000009</v>
      </c>
      <c r="AX89" s="118">
        <v>-108.5</v>
      </c>
      <c r="AY89" s="118">
        <v>11.9</v>
      </c>
      <c r="AZ89" s="118">
        <v>0</v>
      </c>
      <c r="BA89" s="118">
        <v>28.245000000000001</v>
      </c>
      <c r="BB89" s="118">
        <v>4.21</v>
      </c>
      <c r="BC89" s="118">
        <v>0</v>
      </c>
    </row>
    <row r="90" spans="1:55" x14ac:dyDescent="0.25">
      <c r="A90" s="118" t="s">
        <v>379</v>
      </c>
      <c r="AG90" s="118">
        <v>741</v>
      </c>
      <c r="AH90" s="118">
        <v>448.7</v>
      </c>
      <c r="AI90" s="118">
        <v>426.4</v>
      </c>
      <c r="AJ90" s="118">
        <v>277</v>
      </c>
      <c r="AK90" s="118">
        <v>0.2</v>
      </c>
      <c r="AL90" s="118">
        <v>423.9</v>
      </c>
      <c r="AM90" s="118">
        <v>0.53300000000000003</v>
      </c>
      <c r="AN90" s="118">
        <v>0.56699999999999995</v>
      </c>
      <c r="AO90" s="118">
        <v>0.755</v>
      </c>
      <c r="AP90" s="118">
        <v>128.9</v>
      </c>
      <c r="AQ90" s="118">
        <v>10.130000000000001</v>
      </c>
      <c r="AR90" s="118">
        <v>132</v>
      </c>
      <c r="AS90" s="118">
        <v>-85.877136289999996</v>
      </c>
      <c r="AT90" s="118">
        <v>40.676955960000001</v>
      </c>
      <c r="AU90" s="118">
        <v>222.9</v>
      </c>
      <c r="AV90" s="118">
        <v>112.6</v>
      </c>
      <c r="AW90" s="118">
        <v>8.4700000000000006</v>
      </c>
      <c r="AX90" s="118">
        <v>-109.3</v>
      </c>
      <c r="AY90" s="118">
        <v>12</v>
      </c>
      <c r="AZ90" s="118">
        <v>0</v>
      </c>
      <c r="BA90" s="118">
        <v>27.745999999999999</v>
      </c>
      <c r="BB90" s="118">
        <v>5.64</v>
      </c>
      <c r="BC90" s="118">
        <v>0</v>
      </c>
    </row>
    <row r="91" spans="1:55" x14ac:dyDescent="0.25">
      <c r="A91" s="118" t="s">
        <v>380</v>
      </c>
      <c r="AG91" s="118">
        <v>741.1</v>
      </c>
      <c r="AH91" s="118">
        <v>464.9</v>
      </c>
      <c r="AI91" s="118">
        <v>440.6</v>
      </c>
      <c r="AJ91" s="118">
        <v>286</v>
      </c>
      <c r="AK91" s="118">
        <v>0.21</v>
      </c>
      <c r="AL91" s="118">
        <v>437.9</v>
      </c>
      <c r="AM91" s="118">
        <v>0.59299999999999997</v>
      </c>
      <c r="AN91" s="118">
        <v>0.59399999999999997</v>
      </c>
      <c r="AO91" s="118">
        <v>0.84</v>
      </c>
      <c r="AP91" s="118">
        <v>143</v>
      </c>
      <c r="AQ91" s="118">
        <v>11.2</v>
      </c>
      <c r="AR91" s="118">
        <v>146.4</v>
      </c>
      <c r="AS91" s="118">
        <v>-85.870131319999999</v>
      </c>
      <c r="AT91" s="118">
        <v>40.670490749999999</v>
      </c>
      <c r="AU91" s="118">
        <v>224.9</v>
      </c>
      <c r="AV91" s="118">
        <v>112.6</v>
      </c>
      <c r="AW91" s="118">
        <v>8.5399999999999991</v>
      </c>
      <c r="AX91" s="118">
        <v>-113.1</v>
      </c>
      <c r="AY91" s="118">
        <v>12</v>
      </c>
      <c r="AZ91" s="118">
        <v>0</v>
      </c>
      <c r="BA91" s="118">
        <v>27.893999999999998</v>
      </c>
      <c r="BB91" s="118">
        <v>5.2</v>
      </c>
      <c r="BC91" s="118">
        <v>0</v>
      </c>
    </row>
    <row r="92" spans="1:55" x14ac:dyDescent="0.25">
      <c r="A92" s="118" t="s">
        <v>381</v>
      </c>
      <c r="AG92" s="118">
        <v>741</v>
      </c>
      <c r="AH92" s="118">
        <v>479.3</v>
      </c>
      <c r="AI92" s="118">
        <v>454.6</v>
      </c>
      <c r="AJ92" s="118">
        <v>296</v>
      </c>
      <c r="AK92" s="118">
        <v>0.22</v>
      </c>
      <c r="AL92" s="118">
        <v>452</v>
      </c>
      <c r="AM92" s="118">
        <v>0.53900000000000003</v>
      </c>
      <c r="AN92" s="118">
        <v>0.54300000000000004</v>
      </c>
      <c r="AO92" s="118">
        <v>0.76300000000000001</v>
      </c>
      <c r="AP92" s="118">
        <v>133.5</v>
      </c>
      <c r="AQ92" s="118">
        <v>10.46</v>
      </c>
      <c r="AR92" s="118">
        <v>136.6</v>
      </c>
      <c r="AS92" s="118">
        <v>-85.866598379999999</v>
      </c>
      <c r="AT92" s="118">
        <v>40.66285852</v>
      </c>
      <c r="AU92" s="118">
        <v>221.9</v>
      </c>
      <c r="AV92" s="118">
        <v>123.9</v>
      </c>
      <c r="AW92" s="118">
        <v>8.42</v>
      </c>
      <c r="AX92" s="118">
        <v>-105.8</v>
      </c>
      <c r="AY92" s="118">
        <v>12</v>
      </c>
      <c r="AZ92" s="118">
        <v>0</v>
      </c>
      <c r="BA92" s="118">
        <v>27.846</v>
      </c>
      <c r="BB92" s="118">
        <v>6.06</v>
      </c>
      <c r="BC92" s="118">
        <v>0</v>
      </c>
    </row>
    <row r="93" spans="1:55" x14ac:dyDescent="0.25">
      <c r="A93" s="118" t="s">
        <v>382</v>
      </c>
      <c r="AG93" s="118">
        <v>740.9</v>
      </c>
      <c r="AH93" s="118">
        <v>528.5</v>
      </c>
      <c r="AI93" s="118">
        <v>493</v>
      </c>
      <c r="AJ93" s="118">
        <v>320</v>
      </c>
      <c r="AK93" s="118">
        <v>0.24</v>
      </c>
      <c r="AL93" s="118">
        <v>489.1</v>
      </c>
      <c r="AM93" s="118">
        <v>0.54100000000000004</v>
      </c>
      <c r="AN93" s="118">
        <v>0.54600000000000004</v>
      </c>
      <c r="AO93" s="118">
        <v>0.76600000000000001</v>
      </c>
      <c r="AP93" s="118">
        <v>164.9</v>
      </c>
      <c r="AQ93" s="118">
        <v>12.72</v>
      </c>
      <c r="AR93" s="118">
        <v>168.8</v>
      </c>
      <c r="AS93" s="118">
        <v>-85.847566670000006</v>
      </c>
      <c r="AT93" s="118">
        <v>40.668957339999999</v>
      </c>
      <c r="AU93" s="118">
        <v>224.1</v>
      </c>
      <c r="AV93" s="118">
        <v>121.9</v>
      </c>
      <c r="AW93" s="118">
        <v>8.42</v>
      </c>
      <c r="AX93" s="118">
        <v>-106.4</v>
      </c>
      <c r="AY93" s="118">
        <v>12</v>
      </c>
      <c r="AZ93" s="118">
        <v>0</v>
      </c>
      <c r="BA93" s="118">
        <v>28.765999999999998</v>
      </c>
      <c r="BB93" s="118">
        <v>5.45</v>
      </c>
      <c r="BC93" s="118">
        <v>0</v>
      </c>
    </row>
    <row r="94" spans="1:55" x14ac:dyDescent="0.25">
      <c r="A94" s="118" t="s">
        <v>383</v>
      </c>
      <c r="AG94" s="118">
        <v>740.8</v>
      </c>
      <c r="AH94" s="118">
        <v>526.6</v>
      </c>
      <c r="AI94" s="118">
        <v>487.1</v>
      </c>
      <c r="AJ94" s="118">
        <v>317</v>
      </c>
      <c r="AK94" s="118">
        <v>0.23</v>
      </c>
      <c r="AL94" s="118">
        <v>482.8</v>
      </c>
      <c r="AM94" s="118">
        <v>0.53900000000000003</v>
      </c>
      <c r="AN94" s="118">
        <v>0.53600000000000003</v>
      </c>
      <c r="AO94" s="118">
        <v>0.76400000000000001</v>
      </c>
      <c r="AP94" s="118">
        <v>216</v>
      </c>
      <c r="AQ94" s="118">
        <v>16.52</v>
      </c>
      <c r="AR94" s="118">
        <v>221.1</v>
      </c>
      <c r="AS94" s="118">
        <v>-85.83173601</v>
      </c>
      <c r="AT94" s="118">
        <v>40.673867250000001</v>
      </c>
      <c r="AU94" s="118">
        <v>223.4</v>
      </c>
      <c r="AV94" s="118">
        <v>106.5</v>
      </c>
      <c r="AW94" s="118">
        <v>8.6999999999999993</v>
      </c>
      <c r="AX94" s="118">
        <v>-123.7</v>
      </c>
      <c r="AY94" s="118">
        <v>12</v>
      </c>
      <c r="AZ94" s="118">
        <v>0</v>
      </c>
      <c r="BA94" s="118">
        <v>29.248999999999999</v>
      </c>
      <c r="BB94" s="118">
        <v>8.2100000000000009</v>
      </c>
      <c r="BC94" s="118">
        <v>0</v>
      </c>
    </row>
    <row r="95" spans="1:55" x14ac:dyDescent="0.25">
      <c r="A95" s="118" t="s">
        <v>384</v>
      </c>
      <c r="AG95" s="118">
        <v>740.8</v>
      </c>
      <c r="AH95" s="118">
        <v>433.7</v>
      </c>
      <c r="AI95" s="118">
        <v>417.9</v>
      </c>
      <c r="AJ95" s="118">
        <v>272</v>
      </c>
      <c r="AK95" s="118">
        <v>0.2</v>
      </c>
      <c r="AL95" s="118">
        <v>416.2</v>
      </c>
      <c r="AM95" s="118">
        <v>0.48099999999999998</v>
      </c>
      <c r="AN95" s="118">
        <v>0.48899999999999999</v>
      </c>
      <c r="AO95" s="118">
        <v>0.68200000000000005</v>
      </c>
      <c r="AP95" s="118">
        <v>106.6</v>
      </c>
      <c r="AQ95" s="118">
        <v>8.49</v>
      </c>
      <c r="AR95" s="118">
        <v>109.1</v>
      </c>
      <c r="AS95" s="118">
        <v>-85.896697639999999</v>
      </c>
      <c r="AT95" s="118">
        <v>40.688448100000002</v>
      </c>
      <c r="AU95" s="118">
        <v>224.3</v>
      </c>
      <c r="AV95" s="118">
        <v>154.30000000000001</v>
      </c>
      <c r="AW95" s="118">
        <v>8.3000000000000007</v>
      </c>
      <c r="AX95" s="118">
        <v>-98.4</v>
      </c>
      <c r="AY95" s="118">
        <v>11.9</v>
      </c>
      <c r="AZ95" s="118">
        <v>0</v>
      </c>
      <c r="BA95" s="118">
        <v>26.972999999999999</v>
      </c>
      <c r="BB95" s="118">
        <v>5.37</v>
      </c>
      <c r="BC95" s="118">
        <v>0</v>
      </c>
    </row>
    <row r="96" spans="1:55" x14ac:dyDescent="0.25">
      <c r="A96" s="118" t="s">
        <v>385</v>
      </c>
      <c r="AG96" s="118">
        <v>740.8</v>
      </c>
      <c r="AH96" s="118">
        <v>431.7</v>
      </c>
      <c r="AI96" s="118">
        <v>417.4</v>
      </c>
      <c r="AJ96" s="118">
        <v>271</v>
      </c>
      <c r="AK96" s="118">
        <v>0.2</v>
      </c>
      <c r="AL96" s="118">
        <v>415.8</v>
      </c>
      <c r="AM96" s="118">
        <v>0.66900000000000004</v>
      </c>
      <c r="AN96" s="118">
        <v>0.66400000000000003</v>
      </c>
      <c r="AO96" s="118">
        <v>0.94799999999999995</v>
      </c>
      <c r="AP96" s="118">
        <v>105</v>
      </c>
      <c r="AQ96" s="118">
        <v>8.39</v>
      </c>
      <c r="AR96" s="118">
        <v>107.5</v>
      </c>
      <c r="AS96" s="118">
        <v>-85.908454610000007</v>
      </c>
      <c r="AT96" s="118">
        <v>40.691704379999997</v>
      </c>
      <c r="AU96" s="118">
        <v>224.7</v>
      </c>
      <c r="AV96" s="118">
        <v>139</v>
      </c>
      <c r="AW96" s="118">
        <v>8.2899999999999991</v>
      </c>
      <c r="AX96" s="118">
        <v>-97.9</v>
      </c>
      <c r="AY96" s="118">
        <v>12</v>
      </c>
      <c r="AZ96" s="118">
        <v>0</v>
      </c>
      <c r="BA96" s="118">
        <v>26.802</v>
      </c>
      <c r="BB96" s="118">
        <v>5.59</v>
      </c>
      <c r="BC96" s="118">
        <v>0</v>
      </c>
    </row>
    <row r="97" spans="1:55" x14ac:dyDescent="0.25">
      <c r="A97" s="118" t="s">
        <v>386</v>
      </c>
      <c r="AG97" s="118">
        <v>740.9</v>
      </c>
      <c r="AH97" s="118">
        <v>430.7</v>
      </c>
      <c r="AI97" s="118">
        <v>417.4</v>
      </c>
      <c r="AJ97" s="118">
        <v>271</v>
      </c>
      <c r="AK97" s="118">
        <v>0.2</v>
      </c>
      <c r="AL97" s="118">
        <v>416</v>
      </c>
      <c r="AM97" s="118">
        <v>0.48299999999999998</v>
      </c>
      <c r="AN97" s="118">
        <v>0.495</v>
      </c>
      <c r="AO97" s="118">
        <v>0.68500000000000005</v>
      </c>
      <c r="AP97" s="118">
        <v>104.3</v>
      </c>
      <c r="AQ97" s="118">
        <v>8.35</v>
      </c>
      <c r="AR97" s="118">
        <v>106.7</v>
      </c>
      <c r="AS97" s="118">
        <v>-85.929649389999994</v>
      </c>
      <c r="AT97" s="118">
        <v>40.704138399999998</v>
      </c>
      <c r="AU97" s="118">
        <v>225.5</v>
      </c>
      <c r="AV97" s="118">
        <v>145.19999999999999</v>
      </c>
      <c r="AW97" s="118">
        <v>8.31</v>
      </c>
      <c r="AX97" s="118">
        <v>-99.2</v>
      </c>
      <c r="AY97" s="118">
        <v>12</v>
      </c>
      <c r="AZ97" s="118">
        <v>0</v>
      </c>
      <c r="BA97" s="118">
        <v>26.667999999999999</v>
      </c>
      <c r="BB97" s="118">
        <v>5.28</v>
      </c>
      <c r="BC97" s="118">
        <v>0</v>
      </c>
    </row>
    <row r="98" spans="1:55" x14ac:dyDescent="0.25">
      <c r="A98" s="118" t="s">
        <v>387</v>
      </c>
      <c r="AG98" s="118">
        <v>740.8</v>
      </c>
      <c r="AH98" s="118">
        <v>429.4</v>
      </c>
      <c r="AI98" s="118">
        <v>415.7</v>
      </c>
      <c r="AJ98" s="118">
        <v>270</v>
      </c>
      <c r="AK98" s="118">
        <v>0.2</v>
      </c>
      <c r="AL98" s="118">
        <v>414.3</v>
      </c>
      <c r="AM98" s="118">
        <v>0.70899999999999996</v>
      </c>
      <c r="AN98" s="118">
        <v>0.72299999999999998</v>
      </c>
      <c r="AO98" s="118">
        <v>1.006</v>
      </c>
      <c r="AP98" s="118">
        <v>106.5</v>
      </c>
      <c r="AQ98" s="118">
        <v>8.52</v>
      </c>
      <c r="AR98" s="118">
        <v>109</v>
      </c>
      <c r="AS98" s="118">
        <v>-85.920312339999995</v>
      </c>
      <c r="AT98" s="118">
        <v>40.693279609999998</v>
      </c>
      <c r="AU98" s="118">
        <v>220.3</v>
      </c>
      <c r="AV98" s="118">
        <v>126.5</v>
      </c>
      <c r="AW98" s="118">
        <v>8.32</v>
      </c>
      <c r="AX98" s="118">
        <v>-99.8</v>
      </c>
      <c r="AY98" s="118">
        <v>11.9</v>
      </c>
      <c r="AZ98" s="118">
        <v>0</v>
      </c>
      <c r="BA98" s="118">
        <v>26.725000000000001</v>
      </c>
      <c r="BB98" s="118">
        <v>5.0999999999999996</v>
      </c>
      <c r="BC98" s="118">
        <v>0</v>
      </c>
    </row>
    <row r="99" spans="1:55" x14ac:dyDescent="0.25">
      <c r="A99" s="118" t="s">
        <v>388</v>
      </c>
      <c r="AG99" s="118">
        <v>740.9</v>
      </c>
      <c r="AH99" s="118">
        <v>427.6</v>
      </c>
      <c r="AI99" s="118">
        <v>413.3</v>
      </c>
      <c r="AJ99" s="118">
        <v>269</v>
      </c>
      <c r="AK99" s="118">
        <v>0.2</v>
      </c>
      <c r="AL99" s="118">
        <v>411.7</v>
      </c>
      <c r="AM99" s="118">
        <v>0.64</v>
      </c>
      <c r="AN99" s="118">
        <v>0.65300000000000002</v>
      </c>
      <c r="AO99" s="118">
        <v>0.90700000000000003</v>
      </c>
      <c r="AP99" s="118">
        <v>105.5</v>
      </c>
      <c r="AQ99" s="118">
        <v>8.43</v>
      </c>
      <c r="AR99" s="118">
        <v>108</v>
      </c>
      <c r="AS99" s="118">
        <v>-85.938016349999998</v>
      </c>
      <c r="AT99" s="118">
        <v>40.710970340000003</v>
      </c>
      <c r="AU99" s="118">
        <v>225.8</v>
      </c>
      <c r="AV99" s="118">
        <v>115.9</v>
      </c>
      <c r="AW99" s="118">
        <v>8.35</v>
      </c>
      <c r="AX99" s="118">
        <v>-101.3</v>
      </c>
      <c r="AY99" s="118">
        <v>12</v>
      </c>
      <c r="AZ99" s="118">
        <v>0</v>
      </c>
      <c r="BA99" s="118">
        <v>26.814</v>
      </c>
      <c r="BB99" s="118">
        <v>5.0599999999999996</v>
      </c>
      <c r="BC99" s="118">
        <v>0</v>
      </c>
    </row>
    <row r="100" spans="1:55" x14ac:dyDescent="0.25">
      <c r="A100" s="118" t="s">
        <v>389</v>
      </c>
      <c r="AG100" s="118">
        <v>740.9</v>
      </c>
      <c r="AH100" s="118">
        <v>424.1</v>
      </c>
      <c r="AI100" s="118">
        <v>411.1</v>
      </c>
      <c r="AJ100" s="118">
        <v>267</v>
      </c>
      <c r="AK100" s="118">
        <v>0.2</v>
      </c>
      <c r="AL100" s="118">
        <v>409.8</v>
      </c>
      <c r="AM100" s="118">
        <v>0.58399999999999996</v>
      </c>
      <c r="AN100" s="118">
        <v>0.58599999999999997</v>
      </c>
      <c r="AO100" s="118">
        <v>0.82799999999999996</v>
      </c>
      <c r="AP100" s="118">
        <v>108.2</v>
      </c>
      <c r="AQ100" s="118">
        <v>8.67</v>
      </c>
      <c r="AR100" s="118">
        <v>110.7</v>
      </c>
      <c r="AS100" s="118">
        <v>-85.950999049999993</v>
      </c>
      <c r="AT100" s="118">
        <v>40.711466199999997</v>
      </c>
      <c r="AU100" s="118">
        <v>223.7</v>
      </c>
      <c r="AV100" s="118">
        <v>93.4</v>
      </c>
      <c r="AW100" s="118">
        <v>8.3699999999999992</v>
      </c>
      <c r="AX100" s="118">
        <v>-102.5</v>
      </c>
      <c r="AY100" s="118">
        <v>11.9</v>
      </c>
      <c r="AZ100" s="118">
        <v>0</v>
      </c>
      <c r="BA100" s="118">
        <v>26.652000000000001</v>
      </c>
      <c r="BB100" s="118">
        <v>5.91</v>
      </c>
      <c r="BC100" s="118">
        <v>0</v>
      </c>
    </row>
    <row r="101" spans="1:55" x14ac:dyDescent="0.25">
      <c r="A101" s="118" t="s">
        <v>390</v>
      </c>
      <c r="AG101" s="118">
        <v>740.8</v>
      </c>
      <c r="AH101" s="118">
        <v>530.9</v>
      </c>
      <c r="AI101" s="118">
        <v>495.5</v>
      </c>
      <c r="AJ101" s="118">
        <v>322</v>
      </c>
      <c r="AK101" s="118">
        <v>0.24</v>
      </c>
      <c r="AL101" s="118">
        <v>491.7</v>
      </c>
      <c r="AM101" s="118">
        <v>0.56299999999999994</v>
      </c>
      <c r="AN101" s="118">
        <v>0.56499999999999995</v>
      </c>
      <c r="AO101" s="118">
        <v>0.79800000000000004</v>
      </c>
      <c r="AP101" s="118">
        <v>155.5</v>
      </c>
      <c r="AQ101" s="118">
        <v>12</v>
      </c>
      <c r="AR101" s="118">
        <v>159.19999999999999</v>
      </c>
      <c r="AS101" s="118">
        <v>-85.84132262</v>
      </c>
      <c r="AT101" s="118">
        <v>40.673133649999997</v>
      </c>
      <c r="AU101" s="118">
        <v>225.1</v>
      </c>
      <c r="AV101" s="118">
        <v>118.7</v>
      </c>
      <c r="AW101" s="118">
        <v>8.3699999999999992</v>
      </c>
      <c r="AX101" s="118">
        <v>-103.2</v>
      </c>
      <c r="AY101" s="118">
        <v>11.9</v>
      </c>
      <c r="AZ101" s="118">
        <v>0</v>
      </c>
      <c r="BA101" s="118">
        <v>28.74</v>
      </c>
      <c r="BB101" s="118">
        <v>5.88</v>
      </c>
      <c r="BC101" s="118">
        <v>0</v>
      </c>
    </row>
    <row r="102" spans="1:55" x14ac:dyDescent="0.25">
      <c r="A102" s="118" t="s">
        <v>391</v>
      </c>
      <c r="AG102" s="118">
        <v>740.5</v>
      </c>
      <c r="AH102" s="118">
        <v>390.3</v>
      </c>
      <c r="AI102" s="118">
        <v>390.4</v>
      </c>
      <c r="AJ102" s="118">
        <v>254</v>
      </c>
      <c r="AK102" s="118">
        <v>0.19</v>
      </c>
      <c r="AL102" s="118">
        <v>390.4</v>
      </c>
      <c r="AM102" s="118">
        <v>0.53900000000000003</v>
      </c>
      <c r="AN102" s="118">
        <v>0.55000000000000004</v>
      </c>
      <c r="AO102" s="118">
        <v>0.76500000000000001</v>
      </c>
      <c r="AP102" s="118">
        <v>101.4</v>
      </c>
      <c r="AQ102" s="118">
        <v>8.3699999999999992</v>
      </c>
      <c r="AR102" s="118">
        <v>103.7</v>
      </c>
      <c r="AS102" s="118">
        <v>-85.645051519999996</v>
      </c>
      <c r="AT102" s="118">
        <v>40.772296269999998</v>
      </c>
      <c r="AU102" s="118">
        <v>230.2</v>
      </c>
      <c r="AV102" s="118">
        <v>161.9</v>
      </c>
      <c r="AW102" s="118">
        <v>8.32</v>
      </c>
      <c r="AX102" s="118">
        <v>-103</v>
      </c>
      <c r="AY102" s="118">
        <v>11.9</v>
      </c>
      <c r="AZ102" s="118">
        <v>0</v>
      </c>
      <c r="BA102" s="118">
        <v>24.99</v>
      </c>
      <c r="BB102" s="118">
        <v>5.27</v>
      </c>
      <c r="BC102" s="118">
        <v>0</v>
      </c>
    </row>
    <row r="103" spans="1:55" x14ac:dyDescent="0.25">
      <c r="A103" s="118" t="s">
        <v>392</v>
      </c>
      <c r="AG103" s="118">
        <v>740.5</v>
      </c>
      <c r="AH103" s="118">
        <v>392.3</v>
      </c>
      <c r="AI103" s="118">
        <v>392.1</v>
      </c>
      <c r="AJ103" s="118">
        <v>255</v>
      </c>
      <c r="AK103" s="118">
        <v>0.19</v>
      </c>
      <c r="AL103" s="118">
        <v>392.1</v>
      </c>
      <c r="AM103" s="118">
        <v>0.53700000000000003</v>
      </c>
      <c r="AN103" s="118">
        <v>0.56000000000000005</v>
      </c>
      <c r="AO103" s="118">
        <v>0.76200000000000001</v>
      </c>
      <c r="AP103" s="118">
        <v>96.8</v>
      </c>
      <c r="AQ103" s="118">
        <v>7.99</v>
      </c>
      <c r="AR103" s="118">
        <v>99.1</v>
      </c>
      <c r="AS103" s="118">
        <v>-85.647150420000003</v>
      </c>
      <c r="AT103" s="118">
        <v>40.770774430000003</v>
      </c>
      <c r="AU103" s="118">
        <v>229.6</v>
      </c>
      <c r="AV103" s="118">
        <v>135.4</v>
      </c>
      <c r="AW103" s="118">
        <v>8.26</v>
      </c>
      <c r="AX103" s="118">
        <v>-99.1</v>
      </c>
      <c r="AY103" s="118">
        <v>11.9</v>
      </c>
      <c r="AZ103" s="118">
        <v>0</v>
      </c>
      <c r="BA103" s="118">
        <v>25.027999999999999</v>
      </c>
      <c r="BB103" s="118">
        <v>6.03</v>
      </c>
      <c r="BC103" s="118">
        <v>0</v>
      </c>
    </row>
    <row r="104" spans="1:55" x14ac:dyDescent="0.25">
      <c r="A104" s="118" t="s">
        <v>393</v>
      </c>
      <c r="AG104" s="118">
        <v>740.6</v>
      </c>
      <c r="AH104" s="118">
        <v>396.9</v>
      </c>
      <c r="AI104" s="118">
        <v>395.1</v>
      </c>
      <c r="AJ104" s="118">
        <v>257</v>
      </c>
      <c r="AK104" s="118">
        <v>0.19</v>
      </c>
      <c r="AL104" s="118">
        <v>394.9</v>
      </c>
      <c r="AM104" s="118">
        <v>0.53900000000000003</v>
      </c>
      <c r="AN104" s="118">
        <v>0.54600000000000004</v>
      </c>
      <c r="AO104" s="118">
        <v>0.76400000000000001</v>
      </c>
      <c r="AP104" s="118">
        <v>100.9</v>
      </c>
      <c r="AQ104" s="118">
        <v>8.3000000000000007</v>
      </c>
      <c r="AR104" s="118">
        <v>103.3</v>
      </c>
      <c r="AS104" s="118">
        <v>-85.646588960000003</v>
      </c>
      <c r="AT104" s="118">
        <v>40.781075420000001</v>
      </c>
      <c r="AU104" s="118">
        <v>232.2</v>
      </c>
      <c r="AV104" s="118">
        <v>89.5</v>
      </c>
      <c r="AW104" s="118">
        <v>8.33</v>
      </c>
      <c r="AX104" s="118">
        <v>-103.4</v>
      </c>
      <c r="AY104" s="118">
        <v>11.9</v>
      </c>
      <c r="AZ104" s="118">
        <v>0</v>
      </c>
      <c r="BA104" s="118">
        <v>25.233000000000001</v>
      </c>
      <c r="BB104" s="118">
        <v>4.87</v>
      </c>
      <c r="BC104" s="118">
        <v>0</v>
      </c>
    </row>
    <row r="105" spans="1:55" x14ac:dyDescent="0.25">
      <c r="A105" s="118" t="s">
        <v>394</v>
      </c>
      <c r="AG105" s="118">
        <v>740.5</v>
      </c>
      <c r="AH105" s="118">
        <v>399</v>
      </c>
      <c r="AI105" s="118">
        <v>395.5</v>
      </c>
      <c r="AJ105" s="118">
        <v>257</v>
      </c>
      <c r="AK105" s="118">
        <v>0.19</v>
      </c>
      <c r="AL105" s="118">
        <v>395.1</v>
      </c>
      <c r="AM105" s="118">
        <v>0.57499999999999996</v>
      </c>
      <c r="AN105" s="118">
        <v>0.58499999999999996</v>
      </c>
      <c r="AO105" s="118">
        <v>0.81599999999999995</v>
      </c>
      <c r="AP105" s="118">
        <v>97.3</v>
      </c>
      <c r="AQ105" s="118">
        <v>7.97</v>
      </c>
      <c r="AR105" s="118">
        <v>99.6</v>
      </c>
      <c r="AS105" s="118">
        <v>-85.638733939999995</v>
      </c>
      <c r="AT105" s="118">
        <v>40.783930470000001</v>
      </c>
      <c r="AU105" s="118">
        <v>229.3</v>
      </c>
      <c r="AV105" s="118">
        <v>153.5</v>
      </c>
      <c r="AW105" s="118">
        <v>8.3000000000000007</v>
      </c>
      <c r="AX105" s="118">
        <v>-102</v>
      </c>
      <c r="AY105" s="118">
        <v>11.9</v>
      </c>
      <c r="AZ105" s="118">
        <v>0</v>
      </c>
      <c r="BA105" s="118">
        <v>25.463000000000001</v>
      </c>
      <c r="BB105" s="118">
        <v>7.1</v>
      </c>
      <c r="BC105" s="118">
        <v>0</v>
      </c>
    </row>
    <row r="106" spans="1:55" x14ac:dyDescent="0.25">
      <c r="A106" s="118" t="s">
        <v>395</v>
      </c>
      <c r="AG106" s="118">
        <v>740.5</v>
      </c>
      <c r="AH106" s="118">
        <v>408.8</v>
      </c>
      <c r="AI106" s="118">
        <v>402.8</v>
      </c>
      <c r="AJ106" s="118">
        <v>262</v>
      </c>
      <c r="AK106" s="118">
        <v>0.19</v>
      </c>
      <c r="AL106" s="118">
        <v>402.2</v>
      </c>
      <c r="AM106" s="118">
        <v>0.53400000000000003</v>
      </c>
      <c r="AN106" s="118">
        <v>0.56399999999999995</v>
      </c>
      <c r="AO106" s="118">
        <v>0.75700000000000001</v>
      </c>
      <c r="AP106" s="118">
        <v>98.9</v>
      </c>
      <c r="AQ106" s="118">
        <v>8.0500000000000007</v>
      </c>
      <c r="AR106" s="118">
        <v>101.2</v>
      </c>
      <c r="AS106" s="118">
        <v>-85.624036320000002</v>
      </c>
      <c r="AT106" s="118">
        <v>40.774560219999998</v>
      </c>
      <c r="AU106" s="118">
        <v>224.8</v>
      </c>
      <c r="AV106" s="118">
        <v>157.30000000000001</v>
      </c>
      <c r="AW106" s="118">
        <v>8.3000000000000007</v>
      </c>
      <c r="AX106" s="118">
        <v>-101.8</v>
      </c>
      <c r="AY106" s="118">
        <v>11.9</v>
      </c>
      <c r="AZ106" s="118">
        <v>0</v>
      </c>
      <c r="BA106" s="118">
        <v>25.774999999999999</v>
      </c>
      <c r="BB106" s="118">
        <v>4.34</v>
      </c>
      <c r="BC106" s="118">
        <v>0</v>
      </c>
    </row>
    <row r="107" spans="1:55" x14ac:dyDescent="0.25">
      <c r="A107" s="118" t="s">
        <v>396</v>
      </c>
      <c r="AG107" s="118">
        <v>740.5</v>
      </c>
      <c r="AH107" s="118">
        <v>420.3</v>
      </c>
      <c r="AI107" s="118">
        <v>409</v>
      </c>
      <c r="AJ107" s="118">
        <v>266</v>
      </c>
      <c r="AK107" s="118">
        <v>0.19</v>
      </c>
      <c r="AL107" s="118">
        <v>407.8</v>
      </c>
      <c r="AM107" s="118">
        <v>0.51200000000000001</v>
      </c>
      <c r="AN107" s="118">
        <v>0.53800000000000003</v>
      </c>
      <c r="AO107" s="118">
        <v>0.72599999999999998</v>
      </c>
      <c r="AP107" s="118">
        <v>104.9</v>
      </c>
      <c r="AQ107" s="118">
        <v>8.44</v>
      </c>
      <c r="AR107" s="118">
        <v>107.4</v>
      </c>
      <c r="AS107" s="118">
        <v>-85.606134130000001</v>
      </c>
      <c r="AT107" s="118">
        <v>40.77494488</v>
      </c>
      <c r="AU107" s="118">
        <v>232.5</v>
      </c>
      <c r="AV107" s="118">
        <v>154.30000000000001</v>
      </c>
      <c r="AW107" s="118">
        <v>8.3000000000000007</v>
      </c>
      <c r="AX107" s="118">
        <v>-102.2</v>
      </c>
      <c r="AY107" s="118">
        <v>11.9</v>
      </c>
      <c r="AZ107" s="118">
        <v>0</v>
      </c>
      <c r="BA107" s="118">
        <v>26.446999999999999</v>
      </c>
      <c r="BB107" s="118">
        <v>4.49</v>
      </c>
      <c r="BC107" s="118">
        <v>0</v>
      </c>
    </row>
    <row r="108" spans="1:55" x14ac:dyDescent="0.25">
      <c r="A108" s="118" t="s">
        <v>397</v>
      </c>
      <c r="AG108" s="118">
        <v>740.3</v>
      </c>
      <c r="AH108" s="118">
        <v>416.6</v>
      </c>
      <c r="AI108" s="118">
        <v>406.1</v>
      </c>
      <c r="AJ108" s="118">
        <v>264</v>
      </c>
      <c r="AK108" s="118">
        <v>0.19</v>
      </c>
      <c r="AL108" s="118">
        <v>405</v>
      </c>
      <c r="AM108" s="118">
        <v>0.56299999999999994</v>
      </c>
      <c r="AN108" s="118">
        <v>0.55500000000000005</v>
      </c>
      <c r="AO108" s="118">
        <v>0.79900000000000004</v>
      </c>
      <c r="AP108" s="118">
        <v>102.5</v>
      </c>
      <c r="AQ108" s="118">
        <v>8.26</v>
      </c>
      <c r="AR108" s="118">
        <v>104.9</v>
      </c>
      <c r="AS108" s="118">
        <v>-85.580525960000003</v>
      </c>
      <c r="AT108" s="118">
        <v>40.775568530000001</v>
      </c>
      <c r="AU108" s="118">
        <v>231.7</v>
      </c>
      <c r="AV108" s="118">
        <v>103.8</v>
      </c>
      <c r="AW108" s="118">
        <v>8.2799999999999994</v>
      </c>
      <c r="AX108" s="118">
        <v>-100.7</v>
      </c>
      <c r="AY108" s="118">
        <v>11.9</v>
      </c>
      <c r="AZ108" s="118">
        <v>0</v>
      </c>
      <c r="BA108" s="118">
        <v>26.349</v>
      </c>
      <c r="BB108" s="118">
        <v>5.58</v>
      </c>
      <c r="BC108" s="118">
        <v>0</v>
      </c>
    </row>
    <row r="109" spans="1:55" x14ac:dyDescent="0.25">
      <c r="A109" s="118" t="s">
        <v>398</v>
      </c>
      <c r="AG109" s="118">
        <v>740.3</v>
      </c>
      <c r="AH109" s="118">
        <v>423.1</v>
      </c>
      <c r="AI109" s="118">
        <v>414.1</v>
      </c>
      <c r="AJ109" s="118">
        <v>269</v>
      </c>
      <c r="AK109" s="118">
        <v>0.2</v>
      </c>
      <c r="AL109" s="118">
        <v>413.2</v>
      </c>
      <c r="AM109" s="118">
        <v>0.54800000000000004</v>
      </c>
      <c r="AN109" s="118">
        <v>0.52300000000000002</v>
      </c>
      <c r="AO109" s="118">
        <v>0.77700000000000002</v>
      </c>
      <c r="AP109" s="118">
        <v>102.2</v>
      </c>
      <c r="AQ109" s="118">
        <v>8.26</v>
      </c>
      <c r="AR109" s="118">
        <v>104.5</v>
      </c>
      <c r="AS109" s="118">
        <v>-85.596868459999996</v>
      </c>
      <c r="AT109" s="118">
        <v>40.766858499999998</v>
      </c>
      <c r="AU109" s="118">
        <v>232.5</v>
      </c>
      <c r="AV109" s="118">
        <v>141.1</v>
      </c>
      <c r="AW109" s="118">
        <v>8.26</v>
      </c>
      <c r="AX109" s="118">
        <v>-99.5</v>
      </c>
      <c r="AY109" s="118">
        <v>12</v>
      </c>
      <c r="AZ109" s="118">
        <v>0</v>
      </c>
      <c r="BA109" s="118">
        <v>26.135999999999999</v>
      </c>
      <c r="BB109" s="118">
        <v>3.81</v>
      </c>
      <c r="BC109" s="118">
        <v>0</v>
      </c>
    </row>
    <row r="110" spans="1:55" x14ac:dyDescent="0.25">
      <c r="A110" s="118" t="s">
        <v>399</v>
      </c>
      <c r="AG110" s="118">
        <v>740.4</v>
      </c>
      <c r="AH110" s="118">
        <v>432.2</v>
      </c>
      <c r="AI110" s="118">
        <v>422.3</v>
      </c>
      <c r="AJ110" s="118">
        <v>274</v>
      </c>
      <c r="AK110" s="118">
        <v>0.2</v>
      </c>
      <c r="AL110" s="118">
        <v>421.2</v>
      </c>
      <c r="AM110" s="118">
        <v>0.53200000000000003</v>
      </c>
      <c r="AN110" s="118">
        <v>0.54400000000000004</v>
      </c>
      <c r="AO110" s="118">
        <v>0.754</v>
      </c>
      <c r="AP110" s="118">
        <v>105.1</v>
      </c>
      <c r="AQ110" s="118">
        <v>8.48</v>
      </c>
      <c r="AR110" s="118">
        <v>107.5</v>
      </c>
      <c r="AS110" s="118">
        <v>-85.594853409999999</v>
      </c>
      <c r="AT110" s="118">
        <v>40.757165809999996</v>
      </c>
      <c r="AU110" s="118">
        <v>234.4</v>
      </c>
      <c r="AV110" s="118">
        <v>134</v>
      </c>
      <c r="AW110" s="118">
        <v>8.26</v>
      </c>
      <c r="AX110" s="118">
        <v>-99.8</v>
      </c>
      <c r="AY110" s="118">
        <v>11.9</v>
      </c>
      <c r="AZ110" s="118">
        <v>0</v>
      </c>
      <c r="BA110" s="118">
        <v>26.227</v>
      </c>
      <c r="BB110" s="118">
        <v>4.24</v>
      </c>
      <c r="BC110" s="118">
        <v>0</v>
      </c>
    </row>
    <row r="111" spans="1:55" x14ac:dyDescent="0.25">
      <c r="A111" s="118" t="s">
        <v>400</v>
      </c>
      <c r="AG111" s="118">
        <v>740.5</v>
      </c>
      <c r="AH111" s="118">
        <v>458.5</v>
      </c>
      <c r="AI111" s="118">
        <v>444.4</v>
      </c>
      <c r="AJ111" s="118">
        <v>289</v>
      </c>
      <c r="AK111" s="118">
        <v>0.21</v>
      </c>
      <c r="AL111" s="118">
        <v>442.9</v>
      </c>
      <c r="AM111" s="118">
        <v>0.55800000000000005</v>
      </c>
      <c r="AN111" s="118">
        <v>0.56299999999999994</v>
      </c>
      <c r="AO111" s="118">
        <v>0.79200000000000004</v>
      </c>
      <c r="AP111" s="118">
        <v>100.5</v>
      </c>
      <c r="AQ111" s="118">
        <v>8.0500000000000007</v>
      </c>
      <c r="AR111" s="118">
        <v>102.8</v>
      </c>
      <c r="AS111" s="118">
        <v>-85.582874129999993</v>
      </c>
      <c r="AT111" s="118">
        <v>40.755891669999997</v>
      </c>
      <c r="AU111" s="118">
        <v>232.8</v>
      </c>
      <c r="AV111" s="118">
        <v>172.5</v>
      </c>
      <c r="AW111" s="118">
        <v>8.07</v>
      </c>
      <c r="AX111" s="118">
        <v>-87.9</v>
      </c>
      <c r="AY111" s="118">
        <v>11.9</v>
      </c>
      <c r="AZ111" s="118">
        <v>0</v>
      </c>
      <c r="BA111" s="118">
        <v>26.655000000000001</v>
      </c>
      <c r="BB111" s="118">
        <v>6.12</v>
      </c>
      <c r="BC111" s="118">
        <v>0</v>
      </c>
    </row>
    <row r="112" spans="1:55" x14ac:dyDescent="0.25">
      <c r="A112" s="118" t="s">
        <v>401</v>
      </c>
      <c r="AG112" s="118">
        <v>740.6</v>
      </c>
      <c r="AH112" s="118">
        <v>398.6</v>
      </c>
      <c r="AI112" s="118">
        <v>394.4</v>
      </c>
      <c r="AJ112" s="118">
        <v>256</v>
      </c>
      <c r="AK112" s="118">
        <v>0.19</v>
      </c>
      <c r="AL112" s="118">
        <v>393.9</v>
      </c>
      <c r="AM112" s="118">
        <v>0.51600000000000001</v>
      </c>
      <c r="AN112" s="118">
        <v>0.51800000000000002</v>
      </c>
      <c r="AO112" s="118">
        <v>0.73199999999999998</v>
      </c>
      <c r="AP112" s="118">
        <v>108.5</v>
      </c>
      <c r="AQ112" s="118">
        <v>8.86</v>
      </c>
      <c r="AR112" s="118">
        <v>111</v>
      </c>
      <c r="AS112" s="118">
        <v>-85.637500149999994</v>
      </c>
      <c r="AT112" s="118">
        <v>40.781062970000001</v>
      </c>
      <c r="AU112" s="118">
        <v>231.2</v>
      </c>
      <c r="AV112" s="118">
        <v>137.6</v>
      </c>
      <c r="AW112" s="118">
        <v>8.41</v>
      </c>
      <c r="AX112" s="118">
        <v>-108.5</v>
      </c>
      <c r="AY112" s="118">
        <v>11.9</v>
      </c>
      <c r="AZ112" s="118">
        <v>0</v>
      </c>
      <c r="BA112" s="118">
        <v>25.56</v>
      </c>
      <c r="BB112" s="118">
        <v>5.55</v>
      </c>
      <c r="BC112" s="118">
        <v>0</v>
      </c>
    </row>
    <row r="113" spans="1:55" x14ac:dyDescent="0.25">
      <c r="A113" s="118" t="s">
        <v>402</v>
      </c>
      <c r="AG113" s="118">
        <v>740.3</v>
      </c>
      <c r="AH113" s="118">
        <v>380.5</v>
      </c>
      <c r="AI113" s="118">
        <v>372.2</v>
      </c>
      <c r="AJ113" s="118">
        <v>242</v>
      </c>
      <c r="AK113" s="118">
        <v>0.18</v>
      </c>
      <c r="AL113" s="118">
        <v>371.3</v>
      </c>
      <c r="AM113" s="118">
        <v>0.5</v>
      </c>
      <c r="AN113" s="118">
        <v>0.501</v>
      </c>
      <c r="AO113" s="118">
        <v>0.70799999999999996</v>
      </c>
      <c r="AP113" s="118">
        <v>132.9</v>
      </c>
      <c r="AQ113" s="118">
        <v>10.74</v>
      </c>
      <c r="AR113" s="118">
        <v>136</v>
      </c>
      <c r="AS113" s="118">
        <v>-85.667890909999997</v>
      </c>
      <c r="AT113" s="118">
        <v>40.8002343</v>
      </c>
      <c r="AU113" s="118">
        <v>231.3</v>
      </c>
      <c r="AV113" s="118">
        <v>144</v>
      </c>
      <c r="AW113" s="118">
        <v>8.5500000000000007</v>
      </c>
      <c r="AX113" s="118">
        <v>-117.1</v>
      </c>
      <c r="AY113" s="118">
        <v>11.9</v>
      </c>
      <c r="AZ113" s="118">
        <v>0</v>
      </c>
      <c r="BA113" s="118">
        <v>26.173999999999999</v>
      </c>
      <c r="BB113" s="118">
        <v>5.74</v>
      </c>
      <c r="BC113" s="118">
        <v>0</v>
      </c>
    </row>
    <row r="114" spans="1:55" x14ac:dyDescent="0.25">
      <c r="A114" s="118" t="s">
        <v>403</v>
      </c>
      <c r="AG114" s="118">
        <v>751</v>
      </c>
      <c r="AH114" s="118">
        <v>574.79999999999995</v>
      </c>
      <c r="AI114" s="118">
        <v>573.4</v>
      </c>
      <c r="AJ114" s="118">
        <v>373</v>
      </c>
      <c r="AK114" s="118">
        <v>0.28000000000000003</v>
      </c>
      <c r="AL114" s="118">
        <v>573.29999999999995</v>
      </c>
      <c r="AM114" s="118">
        <v>0.55600000000000005</v>
      </c>
      <c r="AN114" s="118">
        <v>0.57099999999999995</v>
      </c>
      <c r="AO114" s="118">
        <v>0.78900000000000003</v>
      </c>
      <c r="AP114" s="118">
        <v>147.69999999999999</v>
      </c>
      <c r="AQ114" s="118">
        <v>12.16</v>
      </c>
      <c r="AR114" s="118">
        <v>149.5</v>
      </c>
      <c r="AS114" s="118">
        <v>-86.807147639999997</v>
      </c>
      <c r="AT114" s="118">
        <v>40.835024840000003</v>
      </c>
      <c r="AU114" s="118">
        <v>199.8</v>
      </c>
      <c r="AV114" s="118">
        <v>166.4</v>
      </c>
      <c r="AW114" s="118">
        <v>8.02</v>
      </c>
      <c r="AX114" s="118">
        <v>-85.5</v>
      </c>
      <c r="AY114" s="118">
        <v>11.9</v>
      </c>
      <c r="AZ114" s="118">
        <v>0</v>
      </c>
      <c r="BA114" s="118">
        <v>25.125</v>
      </c>
      <c r="BB114" s="118">
        <v>9.33</v>
      </c>
      <c r="BC114" s="118">
        <v>0</v>
      </c>
    </row>
    <row r="115" spans="1:55" x14ac:dyDescent="0.25">
      <c r="A115" s="118" t="s">
        <v>404</v>
      </c>
      <c r="AG115" s="118">
        <v>751.1</v>
      </c>
      <c r="AH115" s="118">
        <v>567.5</v>
      </c>
      <c r="AI115" s="118">
        <v>569.5</v>
      </c>
      <c r="AJ115" s="118">
        <v>370</v>
      </c>
      <c r="AK115" s="118">
        <v>0.27</v>
      </c>
      <c r="AL115" s="118">
        <v>569.70000000000005</v>
      </c>
      <c r="AM115" s="118">
        <v>0.56499999999999995</v>
      </c>
      <c r="AN115" s="118">
        <v>0.55900000000000005</v>
      </c>
      <c r="AO115" s="118">
        <v>0.80200000000000005</v>
      </c>
      <c r="AP115" s="118">
        <v>149.30000000000001</v>
      </c>
      <c r="AQ115" s="118">
        <v>12.36</v>
      </c>
      <c r="AR115" s="118">
        <v>151.1</v>
      </c>
      <c r="AS115" s="118">
        <v>-86.795836289999997</v>
      </c>
      <c r="AT115" s="118">
        <v>40.823874850000003</v>
      </c>
      <c r="AU115" s="118">
        <v>199.5</v>
      </c>
      <c r="AV115" s="118">
        <v>204.8</v>
      </c>
      <c r="AW115" s="118">
        <v>8.17</v>
      </c>
      <c r="AX115" s="118">
        <v>-94.5</v>
      </c>
      <c r="AY115" s="118">
        <v>11.9</v>
      </c>
      <c r="AZ115" s="118">
        <v>0</v>
      </c>
      <c r="BA115" s="118">
        <v>24.821999999999999</v>
      </c>
      <c r="BB115" s="118">
        <v>5.4</v>
      </c>
      <c r="BC115" s="118">
        <v>0</v>
      </c>
    </row>
    <row r="116" spans="1:55" x14ac:dyDescent="0.25">
      <c r="A116" s="118" t="s">
        <v>405</v>
      </c>
      <c r="AG116" s="118">
        <v>750.5</v>
      </c>
      <c r="AH116" s="118">
        <v>596.6</v>
      </c>
      <c r="AI116" s="118">
        <v>626.5</v>
      </c>
      <c r="AJ116" s="118">
        <v>407</v>
      </c>
      <c r="AK116" s="118">
        <v>0.3</v>
      </c>
      <c r="AL116" s="118">
        <v>629.4</v>
      </c>
      <c r="AM116" s="118">
        <v>0.49</v>
      </c>
      <c r="AN116" s="118">
        <v>0.51800000000000002</v>
      </c>
      <c r="AO116" s="118">
        <v>0.69599999999999995</v>
      </c>
      <c r="AP116" s="118">
        <v>90.8</v>
      </c>
      <c r="AQ116" s="118">
        <v>7.85</v>
      </c>
      <c r="AR116" s="118">
        <v>91.9</v>
      </c>
      <c r="AS116" s="118">
        <v>-86.781764559999999</v>
      </c>
      <c r="AT116" s="118">
        <v>40.834882550000003</v>
      </c>
      <c r="AU116" s="118">
        <v>201.8</v>
      </c>
      <c r="AV116" s="118">
        <v>144.4</v>
      </c>
      <c r="AW116" s="118">
        <v>7.87</v>
      </c>
      <c r="AX116" s="118">
        <v>-76.400000000000006</v>
      </c>
      <c r="AY116" s="118">
        <v>11.9</v>
      </c>
      <c r="AZ116" s="118">
        <v>0</v>
      </c>
      <c r="BA116" s="118">
        <v>22.503</v>
      </c>
      <c r="BB116" s="118">
        <v>3.05</v>
      </c>
      <c r="BC116" s="118">
        <v>0</v>
      </c>
    </row>
    <row r="117" spans="1:55" x14ac:dyDescent="0.25">
      <c r="A117" s="118" t="s">
        <v>406</v>
      </c>
      <c r="AG117" s="118">
        <v>751.2</v>
      </c>
      <c r="AH117" s="118">
        <v>604.9</v>
      </c>
      <c r="AI117" s="118">
        <v>620.1</v>
      </c>
      <c r="AJ117" s="118">
        <v>403</v>
      </c>
      <c r="AK117" s="118">
        <v>0.3</v>
      </c>
      <c r="AL117" s="118">
        <v>621.70000000000005</v>
      </c>
      <c r="AM117" s="118">
        <v>0.55800000000000005</v>
      </c>
      <c r="AN117" s="118">
        <v>0.56599999999999995</v>
      </c>
      <c r="AO117" s="118">
        <v>0.79100000000000004</v>
      </c>
      <c r="AP117" s="118">
        <v>94.4</v>
      </c>
      <c r="AQ117" s="118">
        <v>7.98</v>
      </c>
      <c r="AR117" s="118">
        <v>95.6</v>
      </c>
      <c r="AS117" s="118">
        <v>-86.794299730000006</v>
      </c>
      <c r="AT117" s="118">
        <v>40.81108966</v>
      </c>
      <c r="AU117" s="118">
        <v>198.6</v>
      </c>
      <c r="AV117" s="118">
        <v>204.8</v>
      </c>
      <c r="AW117" s="118">
        <v>7.87</v>
      </c>
      <c r="AX117" s="118">
        <v>-76.7</v>
      </c>
      <c r="AY117" s="118">
        <v>12</v>
      </c>
      <c r="AZ117" s="118">
        <v>0</v>
      </c>
      <c r="BA117" s="118">
        <v>23.715</v>
      </c>
      <c r="BB117" s="118">
        <v>4.68</v>
      </c>
      <c r="BC117" s="118">
        <v>0</v>
      </c>
    </row>
    <row r="118" spans="1:55" x14ac:dyDescent="0.25">
      <c r="A118" s="118" t="s">
        <v>407</v>
      </c>
      <c r="AG118" s="118">
        <v>751</v>
      </c>
      <c r="AH118" s="118">
        <v>597</v>
      </c>
      <c r="AI118" s="118">
        <v>606.29999999999995</v>
      </c>
      <c r="AJ118" s="118">
        <v>394</v>
      </c>
      <c r="AK118" s="118">
        <v>0.28999999999999998</v>
      </c>
      <c r="AL118" s="118">
        <v>607.29999999999995</v>
      </c>
      <c r="AM118" s="118">
        <v>0.52600000000000002</v>
      </c>
      <c r="AN118" s="118">
        <v>0.52400000000000002</v>
      </c>
      <c r="AO118" s="118">
        <v>0.747</v>
      </c>
      <c r="AP118" s="118">
        <v>109.2</v>
      </c>
      <c r="AQ118" s="118">
        <v>9.14</v>
      </c>
      <c r="AR118" s="118">
        <v>110.5</v>
      </c>
      <c r="AS118" s="118">
        <v>-86.774830640000005</v>
      </c>
      <c r="AT118" s="118">
        <v>40.804242270000003</v>
      </c>
      <c r="AU118" s="118">
        <v>202.2</v>
      </c>
      <c r="AV118" s="118">
        <v>123.5</v>
      </c>
      <c r="AW118" s="118">
        <v>7.85</v>
      </c>
      <c r="AX118" s="118">
        <v>-75.2</v>
      </c>
      <c r="AY118" s="118">
        <v>11.9</v>
      </c>
      <c r="AZ118" s="118">
        <v>0</v>
      </c>
      <c r="BA118" s="118">
        <v>24.192</v>
      </c>
      <c r="BB118" s="118">
        <v>5.47</v>
      </c>
      <c r="BC118" s="118">
        <v>0</v>
      </c>
    </row>
    <row r="119" spans="1:55" x14ac:dyDescent="0.25">
      <c r="A119" s="118" t="s">
        <v>408</v>
      </c>
      <c r="AG119" s="118">
        <v>751.3</v>
      </c>
      <c r="AH119" s="118">
        <v>596.70000000000005</v>
      </c>
      <c r="AI119" s="118">
        <v>610.29999999999995</v>
      </c>
      <c r="AJ119" s="118">
        <v>397</v>
      </c>
      <c r="AK119" s="118">
        <v>0.3</v>
      </c>
      <c r="AL119" s="118">
        <v>611.6</v>
      </c>
      <c r="AM119" s="118">
        <v>0.54200000000000004</v>
      </c>
      <c r="AN119" s="118">
        <v>0.55200000000000005</v>
      </c>
      <c r="AO119" s="118">
        <v>0.76900000000000002</v>
      </c>
      <c r="AP119" s="118">
        <v>91</v>
      </c>
      <c r="AQ119" s="118">
        <v>7.67</v>
      </c>
      <c r="AR119" s="118">
        <v>92.1</v>
      </c>
      <c r="AS119" s="118">
        <v>-86.774344880000001</v>
      </c>
      <c r="AT119" s="118">
        <v>40.794689409999997</v>
      </c>
      <c r="AU119" s="118">
        <v>197.2</v>
      </c>
      <c r="AV119" s="118">
        <v>187.6</v>
      </c>
      <c r="AW119" s="118">
        <v>7.82</v>
      </c>
      <c r="AX119" s="118">
        <v>-73.3</v>
      </c>
      <c r="AY119" s="118">
        <v>11.9</v>
      </c>
      <c r="AZ119" s="118">
        <v>0</v>
      </c>
      <c r="BA119" s="118">
        <v>23.838999999999999</v>
      </c>
      <c r="BB119" s="118">
        <v>5.23</v>
      </c>
      <c r="BC119" s="118">
        <v>0</v>
      </c>
    </row>
    <row r="120" spans="1:55" x14ac:dyDescent="0.25">
      <c r="A120" s="118" t="s">
        <v>409</v>
      </c>
      <c r="AG120" s="118">
        <v>751.3</v>
      </c>
      <c r="AH120" s="118">
        <v>598.29999999999995</v>
      </c>
      <c r="AI120" s="118">
        <v>612.4</v>
      </c>
      <c r="AJ120" s="118">
        <v>398</v>
      </c>
      <c r="AK120" s="118">
        <v>0.3</v>
      </c>
      <c r="AL120" s="118">
        <v>613.79999999999995</v>
      </c>
      <c r="AM120" s="118">
        <v>0.56000000000000005</v>
      </c>
      <c r="AN120" s="118">
        <v>0.54600000000000004</v>
      </c>
      <c r="AO120" s="118">
        <v>0.79400000000000004</v>
      </c>
      <c r="AP120" s="118">
        <v>104.1</v>
      </c>
      <c r="AQ120" s="118">
        <v>8.7899999999999991</v>
      </c>
      <c r="AR120" s="118">
        <v>105.4</v>
      </c>
      <c r="AS120" s="118">
        <v>-86.772130180000005</v>
      </c>
      <c r="AT120" s="118">
        <v>40.78862204</v>
      </c>
      <c r="AU120" s="118">
        <v>197.5</v>
      </c>
      <c r="AV120" s="118">
        <v>168.7</v>
      </c>
      <c r="AW120" s="118">
        <v>7.89</v>
      </c>
      <c r="AX120" s="118">
        <v>-77.900000000000006</v>
      </c>
      <c r="AY120" s="118">
        <v>11.9</v>
      </c>
      <c r="AZ120" s="118">
        <v>0</v>
      </c>
      <c r="BA120" s="118">
        <v>23.797000000000001</v>
      </c>
      <c r="BB120" s="118">
        <v>4.2699999999999996</v>
      </c>
      <c r="BC120" s="118">
        <v>0</v>
      </c>
    </row>
    <row r="121" spans="1:55" x14ac:dyDescent="0.25">
      <c r="A121" s="118" t="s">
        <v>410</v>
      </c>
      <c r="AG121" s="118">
        <v>751.2</v>
      </c>
      <c r="AH121" s="118">
        <v>602.20000000000005</v>
      </c>
      <c r="AI121" s="118">
        <v>614.5</v>
      </c>
      <c r="AJ121" s="118">
        <v>399</v>
      </c>
      <c r="AK121" s="118">
        <v>0.3</v>
      </c>
      <c r="AL121" s="118">
        <v>615.79999999999995</v>
      </c>
      <c r="AM121" s="118">
        <v>0.55200000000000005</v>
      </c>
      <c r="AN121" s="118">
        <v>0.55400000000000005</v>
      </c>
      <c r="AO121" s="118">
        <v>0.78300000000000003</v>
      </c>
      <c r="AP121" s="118">
        <v>95.1</v>
      </c>
      <c r="AQ121" s="118">
        <v>8</v>
      </c>
      <c r="AR121" s="118">
        <v>96.3</v>
      </c>
      <c r="AS121" s="118">
        <v>-86.762205379999997</v>
      </c>
      <c r="AT121" s="118">
        <v>40.782380209999999</v>
      </c>
      <c r="AU121" s="118">
        <v>196.9</v>
      </c>
      <c r="AV121" s="118">
        <v>200.3</v>
      </c>
      <c r="AW121" s="118">
        <v>7.83</v>
      </c>
      <c r="AX121" s="118">
        <v>-74.2</v>
      </c>
      <c r="AY121" s="118">
        <v>11.9</v>
      </c>
      <c r="AZ121" s="118">
        <v>0</v>
      </c>
      <c r="BA121" s="118">
        <v>23.95</v>
      </c>
      <c r="BB121" s="118">
        <v>4.88</v>
      </c>
      <c r="BC121" s="118">
        <v>0</v>
      </c>
    </row>
    <row r="122" spans="1:55" x14ac:dyDescent="0.25">
      <c r="A122" s="118" t="s">
        <v>411</v>
      </c>
      <c r="AG122" s="118">
        <v>751.1</v>
      </c>
      <c r="AH122" s="118">
        <v>594.29999999999995</v>
      </c>
      <c r="AI122" s="118">
        <v>610.9</v>
      </c>
      <c r="AJ122" s="118">
        <v>397</v>
      </c>
      <c r="AK122" s="118">
        <v>0.3</v>
      </c>
      <c r="AL122" s="118">
        <v>612.6</v>
      </c>
      <c r="AM122" s="118">
        <v>0.58599999999999997</v>
      </c>
      <c r="AN122" s="118">
        <v>0.57199999999999995</v>
      </c>
      <c r="AO122" s="118">
        <v>0.83099999999999996</v>
      </c>
      <c r="AP122" s="118">
        <v>92.1</v>
      </c>
      <c r="AQ122" s="118">
        <v>7.8</v>
      </c>
      <c r="AR122" s="118">
        <v>93.2</v>
      </c>
      <c r="AS122" s="118">
        <v>-86.785247049999995</v>
      </c>
      <c r="AT122" s="118">
        <v>40.807313710000003</v>
      </c>
      <c r="AU122" s="118">
        <v>200.3</v>
      </c>
      <c r="AV122" s="118">
        <v>186.6</v>
      </c>
      <c r="AW122" s="118">
        <v>7.86</v>
      </c>
      <c r="AX122" s="118">
        <v>-76</v>
      </c>
      <c r="AY122" s="118">
        <v>12</v>
      </c>
      <c r="AZ122" s="118">
        <v>0</v>
      </c>
      <c r="BA122" s="118">
        <v>23.577000000000002</v>
      </c>
      <c r="BB122" s="118">
        <v>6.2</v>
      </c>
      <c r="BC122" s="118">
        <v>0</v>
      </c>
    </row>
    <row r="123" spans="1:55" x14ac:dyDescent="0.25">
      <c r="A123" s="118" t="s">
        <v>412</v>
      </c>
      <c r="AG123" s="118">
        <v>751</v>
      </c>
      <c r="AH123" s="118">
        <v>595.4</v>
      </c>
      <c r="AI123" s="118">
        <v>609.29999999999995</v>
      </c>
      <c r="AJ123" s="118">
        <v>396</v>
      </c>
      <c r="AK123" s="118">
        <v>0.28999999999999998</v>
      </c>
      <c r="AL123" s="118">
        <v>610.70000000000005</v>
      </c>
      <c r="AM123" s="118">
        <v>0.56799999999999995</v>
      </c>
      <c r="AN123" s="118">
        <v>0.56499999999999995</v>
      </c>
      <c r="AO123" s="118">
        <v>0.80600000000000005</v>
      </c>
      <c r="AP123" s="118">
        <v>93.6</v>
      </c>
      <c r="AQ123" s="118">
        <v>7.9</v>
      </c>
      <c r="AR123" s="118">
        <v>94.7</v>
      </c>
      <c r="AS123" s="118">
        <v>-86.777779629999998</v>
      </c>
      <c r="AT123" s="118">
        <v>40.799243930000003</v>
      </c>
      <c r="AU123" s="118">
        <v>201.1</v>
      </c>
      <c r="AV123" s="118">
        <v>125.7</v>
      </c>
      <c r="AW123" s="118">
        <v>7.85</v>
      </c>
      <c r="AX123" s="118">
        <v>-75.2</v>
      </c>
      <c r="AY123" s="118">
        <v>11.9</v>
      </c>
      <c r="AZ123" s="118">
        <v>0</v>
      </c>
      <c r="BA123" s="118">
        <v>23.8</v>
      </c>
      <c r="BB123" s="118">
        <v>4.12</v>
      </c>
      <c r="BC123" s="118">
        <v>0</v>
      </c>
    </row>
    <row r="124" spans="1:55" x14ac:dyDescent="0.25">
      <c r="A124" s="118" t="s">
        <v>413</v>
      </c>
    </row>
    <row r="125" spans="1:55" x14ac:dyDescent="0.25">
      <c r="A125" s="118" t="s">
        <v>414</v>
      </c>
    </row>
    <row r="126" spans="1:55" x14ac:dyDescent="0.25">
      <c r="A126" s="118" t="s">
        <v>415</v>
      </c>
    </row>
    <row r="127" spans="1:55" x14ac:dyDescent="0.25">
      <c r="A127" s="118" t="s">
        <v>416</v>
      </c>
    </row>
    <row r="128" spans="1:55" x14ac:dyDescent="0.25">
      <c r="A128" s="118" t="s">
        <v>417</v>
      </c>
      <c r="AG128" s="118">
        <v>742</v>
      </c>
      <c r="AH128" s="118">
        <v>516.79999999999995</v>
      </c>
      <c r="AI128" s="118">
        <v>520.20000000000005</v>
      </c>
      <c r="AJ128" s="118">
        <v>338</v>
      </c>
      <c r="AK128" s="118">
        <v>0.25</v>
      </c>
      <c r="AL128" s="118">
        <v>520.6</v>
      </c>
      <c r="AM128" s="118">
        <v>0.51300000000000001</v>
      </c>
      <c r="AN128" s="118">
        <v>0.51</v>
      </c>
      <c r="AO128" s="118">
        <v>0.72799999999999998</v>
      </c>
      <c r="AP128" s="118">
        <v>57.5</v>
      </c>
      <c r="AQ128" s="118">
        <v>4.7699999999999996</v>
      </c>
      <c r="AR128" s="118">
        <v>58.9</v>
      </c>
      <c r="AS128" s="118">
        <v>-86.795836289999997</v>
      </c>
      <c r="AT128" s="118">
        <v>40.823874850000003</v>
      </c>
      <c r="AU128" s="118">
        <v>201.3</v>
      </c>
      <c r="AV128" s="118">
        <v>147.69999999999999</v>
      </c>
      <c r="AW128" s="118">
        <v>7.26</v>
      </c>
      <c r="AX128" s="118">
        <v>-38.5</v>
      </c>
      <c r="AY128" s="118">
        <v>11.9</v>
      </c>
      <c r="AZ128" s="118">
        <v>0</v>
      </c>
      <c r="BA128" s="118">
        <v>24.654</v>
      </c>
      <c r="BB128" s="118">
        <v>3.43</v>
      </c>
      <c r="BC128" s="118">
        <v>0</v>
      </c>
    </row>
    <row r="129" spans="1:55" x14ac:dyDescent="0.25">
      <c r="A129" s="118" t="s">
        <v>418</v>
      </c>
      <c r="AG129" s="118">
        <v>742</v>
      </c>
      <c r="AH129" s="118">
        <v>464.4</v>
      </c>
      <c r="AI129" s="118">
        <v>480.4</v>
      </c>
      <c r="AJ129" s="118">
        <v>312</v>
      </c>
      <c r="AK129" s="118">
        <v>0.23</v>
      </c>
      <c r="AL129" s="118">
        <v>482</v>
      </c>
      <c r="AM129" s="118">
        <v>0.40899999999999997</v>
      </c>
      <c r="AN129" s="118">
        <v>0.34399999999999997</v>
      </c>
      <c r="AO129" s="118">
        <v>0.57999999999999996</v>
      </c>
      <c r="AP129" s="118">
        <v>63.2</v>
      </c>
      <c r="AQ129" s="118">
        <v>5.39</v>
      </c>
      <c r="AR129" s="118">
        <v>64.8</v>
      </c>
      <c r="AS129" s="118">
        <v>-86.781764559999999</v>
      </c>
      <c r="AT129" s="118">
        <v>40.834882550000003</v>
      </c>
      <c r="AU129" s="118">
        <v>200</v>
      </c>
      <c r="AV129" s="118">
        <v>187.9</v>
      </c>
      <c r="AW129" s="118">
        <v>7.28</v>
      </c>
      <c r="AX129" s="118">
        <v>-39.5</v>
      </c>
      <c r="AY129" s="118">
        <v>11.9</v>
      </c>
      <c r="AZ129" s="118">
        <v>0</v>
      </c>
      <c r="BA129" s="118">
        <v>23.256</v>
      </c>
      <c r="BB129" s="118">
        <v>8.65</v>
      </c>
      <c r="BC129" s="118">
        <v>0</v>
      </c>
    </row>
    <row r="130" spans="1:55" x14ac:dyDescent="0.25">
      <c r="A130" s="28" t="s">
        <v>419</v>
      </c>
      <c r="AG130" s="118">
        <v>742</v>
      </c>
      <c r="AH130" s="118">
        <v>473.1</v>
      </c>
      <c r="AI130" s="118">
        <v>485.2</v>
      </c>
      <c r="AJ130" s="118">
        <v>315</v>
      </c>
      <c r="AK130" s="118">
        <v>0.23</v>
      </c>
      <c r="AL130" s="118">
        <v>486.4</v>
      </c>
      <c r="AM130" s="118">
        <v>0.57799999999999996</v>
      </c>
      <c r="AN130" s="118">
        <v>0.59299999999999997</v>
      </c>
      <c r="AO130" s="118">
        <v>0.82</v>
      </c>
      <c r="AP130" s="118">
        <v>60.1</v>
      </c>
      <c r="AQ130" s="118">
        <v>5.08</v>
      </c>
      <c r="AR130" s="118">
        <v>61.6</v>
      </c>
      <c r="AS130" s="118">
        <v>-86.794299730000006</v>
      </c>
      <c r="AT130" s="118">
        <v>40.81108966</v>
      </c>
      <c r="AU130" s="118">
        <v>200.5</v>
      </c>
      <c r="AV130" s="118">
        <v>153.4</v>
      </c>
      <c r="AW130" s="118">
        <v>7.28</v>
      </c>
      <c r="AX130" s="118">
        <v>-39.299999999999997</v>
      </c>
      <c r="AY130" s="118">
        <v>11.9</v>
      </c>
      <c r="AZ130" s="118">
        <v>0</v>
      </c>
      <c r="BA130" s="118">
        <v>23.695</v>
      </c>
      <c r="BB130" s="118">
        <v>6.57</v>
      </c>
      <c r="BC130" s="118">
        <v>0</v>
      </c>
    </row>
    <row r="131" spans="1:55" x14ac:dyDescent="0.25">
      <c r="A131" s="118" t="s">
        <v>420</v>
      </c>
      <c r="AG131" s="118">
        <v>741.7</v>
      </c>
      <c r="AH131" s="118">
        <v>496.2</v>
      </c>
      <c r="AI131" s="118">
        <v>504.9</v>
      </c>
      <c r="AJ131" s="118">
        <v>328</v>
      </c>
      <c r="AK131" s="118">
        <v>0.24</v>
      </c>
      <c r="AL131" s="118">
        <v>505.8</v>
      </c>
      <c r="AM131" s="118">
        <v>0.53300000000000003</v>
      </c>
      <c r="AN131" s="118">
        <v>0.53300000000000003</v>
      </c>
      <c r="AO131" s="118">
        <v>0.75600000000000001</v>
      </c>
      <c r="AP131" s="118">
        <v>119.2</v>
      </c>
      <c r="AQ131" s="118">
        <v>10</v>
      </c>
      <c r="AR131" s="118">
        <v>122.2</v>
      </c>
      <c r="AS131" s="118">
        <v>-86.774830640000005</v>
      </c>
      <c r="AT131" s="118">
        <v>40.804242270000003</v>
      </c>
      <c r="AU131" s="118">
        <v>199.8</v>
      </c>
      <c r="AV131" s="118">
        <v>182.7</v>
      </c>
      <c r="AW131" s="118">
        <v>7.77</v>
      </c>
      <c r="AX131" s="118">
        <v>-69.2</v>
      </c>
      <c r="AY131" s="118">
        <v>11.9</v>
      </c>
      <c r="AZ131" s="118">
        <v>0</v>
      </c>
      <c r="BA131" s="118">
        <v>24.099</v>
      </c>
      <c r="BB131" s="118">
        <v>6.21</v>
      </c>
      <c r="BC131" s="118">
        <v>0</v>
      </c>
    </row>
    <row r="132" spans="1:55" x14ac:dyDescent="0.25">
      <c r="A132" s="118" t="s">
        <v>421</v>
      </c>
      <c r="AG132" s="118">
        <v>741.6</v>
      </c>
      <c r="AH132" s="118">
        <v>445.3</v>
      </c>
      <c r="AI132" s="118">
        <v>460.7</v>
      </c>
      <c r="AJ132" s="118">
        <v>299</v>
      </c>
      <c r="AK132" s="118">
        <v>0.22</v>
      </c>
      <c r="AL132" s="118">
        <v>462.3</v>
      </c>
      <c r="AM132" s="118">
        <v>0.56999999999999995</v>
      </c>
      <c r="AN132" s="118">
        <v>0.72499999999999998</v>
      </c>
      <c r="AO132" s="118">
        <v>0.80900000000000005</v>
      </c>
      <c r="AP132" s="118">
        <v>65.3</v>
      </c>
      <c r="AQ132" s="118">
        <v>5.57</v>
      </c>
      <c r="AR132" s="118">
        <v>67</v>
      </c>
      <c r="AS132" s="118">
        <v>-86.774344880000001</v>
      </c>
      <c r="AT132" s="118">
        <v>40.794689409999997</v>
      </c>
      <c r="AU132" s="118">
        <v>200.3</v>
      </c>
      <c r="AV132" s="118">
        <v>214.2</v>
      </c>
      <c r="AW132" s="118">
        <v>7.31</v>
      </c>
      <c r="AX132" s="118">
        <v>-41</v>
      </c>
      <c r="AY132" s="118">
        <v>11.9</v>
      </c>
      <c r="AZ132" s="118">
        <v>0</v>
      </c>
      <c r="BA132" s="118">
        <v>23.242999999999999</v>
      </c>
      <c r="BB132" s="118">
        <v>7.48</v>
      </c>
      <c r="BC132" s="118">
        <v>0</v>
      </c>
    </row>
    <row r="133" spans="1:55" x14ac:dyDescent="0.25">
      <c r="A133" s="118" t="s">
        <v>422</v>
      </c>
      <c r="AG133" s="118">
        <v>741.4</v>
      </c>
      <c r="AH133" s="118">
        <v>512.5</v>
      </c>
      <c r="AI133" s="118">
        <v>524.6</v>
      </c>
      <c r="AJ133" s="118">
        <v>341</v>
      </c>
      <c r="AK133" s="118">
        <v>0.25</v>
      </c>
      <c r="AL133" s="118">
        <v>525.79999999999995</v>
      </c>
      <c r="AM133" s="118">
        <v>0.65100000000000002</v>
      </c>
      <c r="AN133" s="118">
        <v>0.63300000000000001</v>
      </c>
      <c r="AO133" s="118">
        <v>0.92400000000000004</v>
      </c>
      <c r="AP133" s="118">
        <v>64.400000000000006</v>
      </c>
      <c r="AQ133" s="118">
        <v>5.43</v>
      </c>
      <c r="AR133" s="118">
        <v>66</v>
      </c>
      <c r="AS133" s="118">
        <v>-86.772130180000005</v>
      </c>
      <c r="AT133" s="118">
        <v>40.78862204</v>
      </c>
      <c r="AU133" s="118">
        <v>202.5</v>
      </c>
      <c r="AV133" s="118">
        <v>244.1</v>
      </c>
      <c r="AW133" s="118">
        <v>7.26</v>
      </c>
      <c r="AX133" s="118">
        <v>-38.299999999999997</v>
      </c>
      <c r="AY133" s="118">
        <v>11.9</v>
      </c>
      <c r="AZ133" s="118">
        <v>0</v>
      </c>
      <c r="BA133" s="118">
        <v>23.794</v>
      </c>
      <c r="BB133" s="118">
        <v>4.45</v>
      </c>
      <c r="BC133" s="118">
        <v>0</v>
      </c>
    </row>
    <row r="134" spans="1:55" x14ac:dyDescent="0.25">
      <c r="A134" s="118" t="s">
        <v>423</v>
      </c>
      <c r="AG134" s="118">
        <v>741.4</v>
      </c>
      <c r="AH134" s="118">
        <v>443.7</v>
      </c>
      <c r="AI134" s="118">
        <v>458.7</v>
      </c>
      <c r="AJ134" s="118">
        <v>298</v>
      </c>
      <c r="AK134" s="118">
        <v>0.22</v>
      </c>
      <c r="AL134" s="118">
        <v>460.2</v>
      </c>
      <c r="AM134" s="118">
        <v>0.497</v>
      </c>
      <c r="AN134" s="118">
        <v>0.495</v>
      </c>
      <c r="AO134" s="118">
        <v>0.70499999999999996</v>
      </c>
      <c r="AP134" s="118">
        <v>61.4</v>
      </c>
      <c r="AQ134" s="118">
        <v>5.24</v>
      </c>
      <c r="AR134" s="118">
        <v>63</v>
      </c>
      <c r="AS134" s="118">
        <v>-86.762205379999997</v>
      </c>
      <c r="AT134" s="118">
        <v>40.782380209999999</v>
      </c>
      <c r="AU134" s="118">
        <v>201.9</v>
      </c>
      <c r="AV134" s="118">
        <v>215.9</v>
      </c>
      <c r="AW134" s="118">
        <v>7.3</v>
      </c>
      <c r="AX134" s="118">
        <v>-40.700000000000003</v>
      </c>
      <c r="AY134" s="118">
        <v>11.9</v>
      </c>
      <c r="AZ134" s="118">
        <v>0</v>
      </c>
      <c r="BA134" s="118">
        <v>23.283000000000001</v>
      </c>
      <c r="BB134" s="118">
        <v>6.37</v>
      </c>
      <c r="BC134" s="118">
        <v>0</v>
      </c>
    </row>
    <row r="135" spans="1:55" x14ac:dyDescent="0.25">
      <c r="A135" s="118" t="s">
        <v>424</v>
      </c>
      <c r="AG135" s="118">
        <v>742.1</v>
      </c>
      <c r="AH135" s="118">
        <v>481.9</v>
      </c>
      <c r="AI135" s="118">
        <v>495.9</v>
      </c>
      <c r="AJ135" s="118">
        <v>322</v>
      </c>
      <c r="AK135" s="118">
        <v>0.24</v>
      </c>
      <c r="AL135" s="118">
        <v>497.3</v>
      </c>
      <c r="AM135" s="118">
        <v>0.46300000000000002</v>
      </c>
      <c r="AN135" s="118">
        <v>0.47699999999999998</v>
      </c>
      <c r="AO135" s="118">
        <v>0.65700000000000003</v>
      </c>
      <c r="AP135" s="118">
        <v>60.6</v>
      </c>
      <c r="AQ135" s="118">
        <v>5.14</v>
      </c>
      <c r="AR135" s="118">
        <v>62.1</v>
      </c>
      <c r="AS135" s="118">
        <v>-86.785247049999995</v>
      </c>
      <c r="AT135" s="118">
        <v>40.807313710000003</v>
      </c>
      <c r="AU135" s="118">
        <v>200.6</v>
      </c>
      <c r="AV135" s="118">
        <v>204.9</v>
      </c>
      <c r="AW135" s="118">
        <v>7.27</v>
      </c>
      <c r="AX135" s="118">
        <v>-39</v>
      </c>
      <c r="AY135" s="118">
        <v>11.9</v>
      </c>
      <c r="AZ135" s="118">
        <v>0</v>
      </c>
      <c r="BA135" s="118">
        <v>23.515000000000001</v>
      </c>
      <c r="BB135" s="118">
        <v>6.69</v>
      </c>
      <c r="BC135" s="118">
        <v>0</v>
      </c>
    </row>
    <row r="136" spans="1:55" x14ac:dyDescent="0.25">
      <c r="A136" s="118" t="s">
        <v>425</v>
      </c>
      <c r="AG136" s="118">
        <v>741.7</v>
      </c>
      <c r="AH136" s="118">
        <v>470.7</v>
      </c>
      <c r="AI136" s="118">
        <v>486.1</v>
      </c>
      <c r="AJ136" s="118">
        <v>316</v>
      </c>
      <c r="AK136" s="118">
        <v>0.23</v>
      </c>
      <c r="AL136" s="118">
        <v>487.6</v>
      </c>
      <c r="AM136" s="118">
        <v>0.63900000000000001</v>
      </c>
      <c r="AN136" s="118">
        <v>0.54300000000000004</v>
      </c>
      <c r="AO136" s="118">
        <v>0.90600000000000003</v>
      </c>
      <c r="AP136" s="118">
        <v>60.6</v>
      </c>
      <c r="AQ136" s="118">
        <v>5.16</v>
      </c>
      <c r="AR136" s="118">
        <v>62.1</v>
      </c>
      <c r="AS136" s="118">
        <v>-86.777779629999998</v>
      </c>
      <c r="AT136" s="118">
        <v>40.799243930000003</v>
      </c>
      <c r="AU136" s="118">
        <v>202.1</v>
      </c>
      <c r="AV136" s="118">
        <v>212.5</v>
      </c>
      <c r="AW136" s="118">
        <v>7.28</v>
      </c>
      <c r="AX136" s="118">
        <v>-39.5</v>
      </c>
      <c r="AY136" s="118">
        <v>11.9</v>
      </c>
      <c r="AZ136" s="118">
        <v>0</v>
      </c>
      <c r="BA136" s="118">
        <v>23.346</v>
      </c>
      <c r="BB136" s="118">
        <v>7.36</v>
      </c>
      <c r="BC136" s="118">
        <v>0</v>
      </c>
    </row>
    <row r="137" spans="1:55" x14ac:dyDescent="0.25">
      <c r="A137" s="63" t="s">
        <v>426</v>
      </c>
      <c r="AG137" s="118">
        <v>745.3</v>
      </c>
      <c r="AH137" s="118">
        <v>460.8</v>
      </c>
      <c r="AI137" s="118">
        <v>445.5</v>
      </c>
      <c r="AJ137" s="118">
        <v>290</v>
      </c>
      <c r="AK137" s="118">
        <v>0.21</v>
      </c>
      <c r="AL137" s="118">
        <v>443.9</v>
      </c>
      <c r="AM137" s="118">
        <v>0.55700000000000005</v>
      </c>
      <c r="AN137" s="118">
        <v>0.55800000000000005</v>
      </c>
      <c r="AO137" s="118">
        <v>0.79</v>
      </c>
      <c r="AP137" s="118">
        <v>111.2</v>
      </c>
      <c r="AQ137" s="118">
        <v>8.8800000000000008</v>
      </c>
      <c r="AR137" s="118">
        <v>113.1</v>
      </c>
      <c r="AS137" s="118">
        <v>-85.888852740000004</v>
      </c>
      <c r="AT137" s="118">
        <v>40.681745419999999</v>
      </c>
      <c r="AU137" s="118">
        <v>227.9</v>
      </c>
      <c r="AV137" s="118">
        <v>198.8</v>
      </c>
      <c r="AW137" s="118">
        <v>8.36</v>
      </c>
      <c r="AX137" s="118">
        <v>-104</v>
      </c>
      <c r="AY137" s="118">
        <v>11.9</v>
      </c>
      <c r="AZ137" s="118">
        <v>0</v>
      </c>
      <c r="BA137" s="118">
        <v>26.797000000000001</v>
      </c>
      <c r="BB137" s="118">
        <v>3.38</v>
      </c>
      <c r="BC137" s="118">
        <v>0</v>
      </c>
    </row>
    <row r="138" spans="1:55" x14ac:dyDescent="0.25">
      <c r="A138" s="118" t="s">
        <v>427</v>
      </c>
      <c r="AG138" s="118">
        <v>745.3</v>
      </c>
      <c r="AH138" s="118">
        <v>464.8</v>
      </c>
      <c r="AI138" s="118">
        <v>447.2</v>
      </c>
      <c r="AJ138" s="118">
        <v>291</v>
      </c>
      <c r="AK138" s="118">
        <v>0.21</v>
      </c>
      <c r="AL138" s="118">
        <v>445.4</v>
      </c>
      <c r="AM138" s="118">
        <v>0.53700000000000003</v>
      </c>
      <c r="AN138" s="118">
        <v>0.55400000000000005</v>
      </c>
      <c r="AO138" s="118">
        <v>0.76100000000000001</v>
      </c>
      <c r="AP138" s="118">
        <v>116</v>
      </c>
      <c r="AQ138" s="118">
        <v>9.2200000000000006</v>
      </c>
      <c r="AR138" s="118">
        <v>118</v>
      </c>
      <c r="AS138" s="118">
        <v>-85.876989399999999</v>
      </c>
      <c r="AT138" s="118">
        <v>40.676753269999999</v>
      </c>
      <c r="AU138" s="118">
        <v>227.1</v>
      </c>
      <c r="AV138" s="118">
        <v>188.7</v>
      </c>
      <c r="AW138" s="118">
        <v>8.3800000000000008</v>
      </c>
      <c r="AX138" s="118">
        <v>-105</v>
      </c>
      <c r="AY138" s="118">
        <v>12</v>
      </c>
      <c r="AZ138" s="118">
        <v>0</v>
      </c>
      <c r="BA138" s="118">
        <v>27.058</v>
      </c>
      <c r="BB138" s="118">
        <v>3</v>
      </c>
      <c r="BC138" s="118">
        <v>0</v>
      </c>
    </row>
    <row r="139" spans="1:55" x14ac:dyDescent="0.25">
      <c r="A139" s="118" t="s">
        <v>428</v>
      </c>
      <c r="AG139" s="118">
        <v>745.2</v>
      </c>
      <c r="AH139" s="118">
        <v>469.4</v>
      </c>
      <c r="AI139" s="118">
        <v>454.3</v>
      </c>
      <c r="AJ139" s="118">
        <v>295</v>
      </c>
      <c r="AK139" s="118">
        <v>0.22</v>
      </c>
      <c r="AL139" s="118">
        <v>452.7</v>
      </c>
      <c r="AM139" s="118">
        <v>0.54300000000000004</v>
      </c>
      <c r="AN139" s="118">
        <v>0.55400000000000005</v>
      </c>
      <c r="AO139" s="118">
        <v>0.77</v>
      </c>
      <c r="AP139" s="118">
        <v>128.30000000000001</v>
      </c>
      <c r="AQ139" s="118">
        <v>10.26</v>
      </c>
      <c r="AR139" s="118">
        <v>130.6</v>
      </c>
      <c r="AS139" s="118">
        <v>-85.870380830000002</v>
      </c>
      <c r="AT139" s="118">
        <v>40.670653649999998</v>
      </c>
      <c r="AU139" s="118">
        <v>225.9</v>
      </c>
      <c r="AV139" s="118">
        <v>204.1</v>
      </c>
      <c r="AW139" s="118">
        <v>8.3699999999999992</v>
      </c>
      <c r="AX139" s="118">
        <v>-104.6</v>
      </c>
      <c r="AY139" s="118">
        <v>11.9</v>
      </c>
      <c r="AZ139" s="118">
        <v>0</v>
      </c>
      <c r="BA139" s="118">
        <v>26.742000000000001</v>
      </c>
      <c r="BB139" s="118">
        <v>4.01</v>
      </c>
      <c r="BC139" s="118">
        <v>0</v>
      </c>
    </row>
    <row r="140" spans="1:55" x14ac:dyDescent="0.25">
      <c r="A140" s="118" t="s">
        <v>429</v>
      </c>
      <c r="AG140" s="118">
        <v>745.2</v>
      </c>
      <c r="AH140" s="118">
        <v>463.1</v>
      </c>
      <c r="AI140" s="118">
        <v>446.3</v>
      </c>
      <c r="AJ140" s="118">
        <v>290</v>
      </c>
      <c r="AK140" s="118">
        <v>0.21</v>
      </c>
      <c r="AL140" s="118">
        <v>444.6</v>
      </c>
      <c r="AM140" s="118">
        <v>0.52800000000000002</v>
      </c>
      <c r="AN140" s="118">
        <v>0.54100000000000004</v>
      </c>
      <c r="AO140" s="118">
        <v>0.749</v>
      </c>
      <c r="AP140" s="118">
        <v>156.30000000000001</v>
      </c>
      <c r="AQ140" s="118">
        <v>12.45</v>
      </c>
      <c r="AR140" s="118">
        <v>159.1</v>
      </c>
      <c r="AS140" s="118">
        <v>-85.866606840000003</v>
      </c>
      <c r="AT140" s="118">
        <v>40.6628623</v>
      </c>
      <c r="AU140" s="118">
        <v>224.4</v>
      </c>
      <c r="AV140" s="118">
        <v>235.2</v>
      </c>
      <c r="AW140" s="118">
        <v>8.56</v>
      </c>
      <c r="AX140" s="118">
        <v>-116</v>
      </c>
      <c r="AY140" s="118">
        <v>11.9</v>
      </c>
      <c r="AZ140" s="118">
        <v>0</v>
      </c>
      <c r="BA140" s="118">
        <v>26.960999999999999</v>
      </c>
      <c r="BB140" s="118">
        <v>4.57</v>
      </c>
      <c r="BC140" s="118">
        <v>0</v>
      </c>
    </row>
    <row r="141" spans="1:55" x14ac:dyDescent="0.25">
      <c r="A141" s="118" t="s">
        <v>430</v>
      </c>
      <c r="AG141" s="118">
        <v>745</v>
      </c>
      <c r="AH141" s="118">
        <v>482</v>
      </c>
      <c r="AI141" s="118">
        <v>459.6</v>
      </c>
      <c r="AJ141" s="118">
        <v>299</v>
      </c>
      <c r="AK141" s="118">
        <v>0.22</v>
      </c>
      <c r="AL141" s="118">
        <v>457.2</v>
      </c>
      <c r="AM141" s="118">
        <v>0.54300000000000004</v>
      </c>
      <c r="AN141" s="118">
        <v>0.53700000000000003</v>
      </c>
      <c r="AO141" s="118">
        <v>0.76900000000000002</v>
      </c>
      <c r="AP141" s="118">
        <v>150.5</v>
      </c>
      <c r="AQ141" s="118">
        <v>11.86</v>
      </c>
      <c r="AR141" s="118">
        <v>153.19999999999999</v>
      </c>
      <c r="AS141" s="118">
        <v>-85.847995119999993</v>
      </c>
      <c r="AT141" s="118">
        <v>40.668849680000001</v>
      </c>
      <c r="AU141" s="118">
        <v>224.4</v>
      </c>
      <c r="AV141" s="118">
        <v>182.8</v>
      </c>
      <c r="AW141" s="118">
        <v>8.5299999999999994</v>
      </c>
      <c r="AX141" s="118">
        <v>-114</v>
      </c>
      <c r="AY141" s="118">
        <v>11.9</v>
      </c>
      <c r="AZ141" s="118">
        <v>0</v>
      </c>
      <c r="BA141" s="118">
        <v>27.55</v>
      </c>
      <c r="BB141" s="118">
        <v>4.71</v>
      </c>
      <c r="BC141" s="118">
        <v>0</v>
      </c>
    </row>
    <row r="142" spans="1:55" x14ac:dyDescent="0.25">
      <c r="A142" s="118" t="s">
        <v>431</v>
      </c>
      <c r="AG142" s="118">
        <v>745</v>
      </c>
      <c r="AH142" s="118">
        <v>483.2</v>
      </c>
      <c r="AI142" s="118">
        <v>461.6</v>
      </c>
      <c r="AJ142" s="118">
        <v>300</v>
      </c>
      <c r="AK142" s="118">
        <v>0.22</v>
      </c>
      <c r="AL142" s="118">
        <v>459.3</v>
      </c>
      <c r="AM142" s="118">
        <v>0.51800000000000002</v>
      </c>
      <c r="AN142" s="118">
        <v>0.52200000000000002</v>
      </c>
      <c r="AO142" s="118">
        <v>0.73499999999999999</v>
      </c>
      <c r="AP142" s="118">
        <v>139.4</v>
      </c>
      <c r="AQ142" s="118">
        <v>11</v>
      </c>
      <c r="AR142" s="118">
        <v>141.80000000000001</v>
      </c>
      <c r="AS142" s="118">
        <v>-85.831824920000003</v>
      </c>
      <c r="AT142" s="118">
        <v>40.673640759999998</v>
      </c>
      <c r="AU142" s="118">
        <v>225.7</v>
      </c>
      <c r="AV142" s="118">
        <v>221.2</v>
      </c>
      <c r="AW142" s="118">
        <v>8.44</v>
      </c>
      <c r="AX142" s="118">
        <v>-109.1</v>
      </c>
      <c r="AY142" s="118">
        <v>11.9</v>
      </c>
      <c r="AZ142" s="118">
        <v>0</v>
      </c>
      <c r="BA142" s="118">
        <v>27.452000000000002</v>
      </c>
      <c r="BB142" s="118">
        <v>7.55</v>
      </c>
      <c r="BC142" s="118">
        <v>0</v>
      </c>
    </row>
    <row r="143" spans="1:55" x14ac:dyDescent="0.25">
      <c r="A143" s="118" t="s">
        <v>432</v>
      </c>
      <c r="AG143" s="118">
        <v>745.1</v>
      </c>
      <c r="AH143" s="118">
        <v>455.2</v>
      </c>
      <c r="AI143" s="118">
        <v>443.1</v>
      </c>
      <c r="AJ143" s="118">
        <v>288</v>
      </c>
      <c r="AK143" s="118">
        <v>0.21</v>
      </c>
      <c r="AL143" s="118">
        <v>441.8</v>
      </c>
      <c r="AM143" s="118">
        <v>0.55900000000000005</v>
      </c>
      <c r="AN143" s="118">
        <v>0.56799999999999995</v>
      </c>
      <c r="AO143" s="118">
        <v>0.79200000000000004</v>
      </c>
      <c r="AP143" s="118">
        <v>99.2</v>
      </c>
      <c r="AQ143" s="118">
        <v>7.98</v>
      </c>
      <c r="AR143" s="118">
        <v>101</v>
      </c>
      <c r="AS143" s="118">
        <v>-85.897023200000007</v>
      </c>
      <c r="AT143" s="118">
        <v>40.687465150000001</v>
      </c>
      <c r="AU143" s="118">
        <v>0</v>
      </c>
      <c r="AV143" s="118">
        <v>241.2</v>
      </c>
      <c r="AW143" s="118">
        <v>8.15</v>
      </c>
      <c r="AX143" s="118">
        <v>-91</v>
      </c>
      <c r="AY143" s="118">
        <v>11.9</v>
      </c>
      <c r="AZ143" s="118">
        <v>0</v>
      </c>
      <c r="BA143" s="118">
        <v>26.436</v>
      </c>
      <c r="BB143" s="118">
        <v>3.51</v>
      </c>
      <c r="BC143" s="118">
        <v>0</v>
      </c>
    </row>
    <row r="144" spans="1:55" x14ac:dyDescent="0.25">
      <c r="A144" s="118" t="s">
        <v>433</v>
      </c>
      <c r="AG144" s="118">
        <v>745.1</v>
      </c>
      <c r="AH144" s="118">
        <v>455.5</v>
      </c>
      <c r="AI144" s="118">
        <v>445.1</v>
      </c>
      <c r="AJ144" s="118">
        <v>289</v>
      </c>
      <c r="AK144" s="118">
        <v>0.21</v>
      </c>
      <c r="AL144" s="118">
        <v>444</v>
      </c>
      <c r="AM144" s="118">
        <v>0.51700000000000002</v>
      </c>
      <c r="AN144" s="118">
        <v>0.51</v>
      </c>
      <c r="AO144" s="118">
        <v>0.73299999999999998</v>
      </c>
      <c r="AP144" s="118">
        <v>92.3</v>
      </c>
      <c r="AQ144" s="118">
        <v>7.45</v>
      </c>
      <c r="AR144" s="118">
        <v>94</v>
      </c>
      <c r="AS144" s="118">
        <v>-85.908408600000001</v>
      </c>
      <c r="AT144" s="118">
        <v>40.691498060000001</v>
      </c>
      <c r="AU144" s="118">
        <v>226.6</v>
      </c>
      <c r="AV144" s="118">
        <v>259</v>
      </c>
      <c r="AW144" s="118">
        <v>8.15</v>
      </c>
      <c r="AX144" s="118">
        <v>-91.1</v>
      </c>
      <c r="AY144" s="118">
        <v>11.9</v>
      </c>
      <c r="AZ144" s="118">
        <v>0</v>
      </c>
      <c r="BA144" s="118">
        <v>26.227</v>
      </c>
      <c r="BB144" s="118">
        <v>3.3</v>
      </c>
      <c r="BC144" s="118">
        <v>0</v>
      </c>
    </row>
    <row r="145" spans="1:55" x14ac:dyDescent="0.25">
      <c r="A145" s="118" t="s">
        <v>434</v>
      </c>
      <c r="AG145" s="118">
        <v>745</v>
      </c>
      <c r="AH145" s="118">
        <v>451.8</v>
      </c>
      <c r="AI145" s="118">
        <v>444.3</v>
      </c>
      <c r="AJ145" s="118">
        <v>289</v>
      </c>
      <c r="AK145" s="118">
        <v>0.21</v>
      </c>
      <c r="AL145" s="118">
        <v>443.5</v>
      </c>
      <c r="AM145" s="118">
        <v>0.57399999999999995</v>
      </c>
      <c r="AN145" s="118">
        <v>0.52400000000000002</v>
      </c>
      <c r="AO145" s="118">
        <v>0.81399999999999995</v>
      </c>
      <c r="AP145" s="118">
        <v>87.1</v>
      </c>
      <c r="AQ145" s="118">
        <v>7.07</v>
      </c>
      <c r="AR145" s="118">
        <v>88.6</v>
      </c>
      <c r="AS145" s="118">
        <v>-85.929832070000003</v>
      </c>
      <c r="AT145" s="118">
        <v>40.703734709999999</v>
      </c>
      <c r="AU145" s="118">
        <v>222.3</v>
      </c>
      <c r="AV145" s="118">
        <v>214.6</v>
      </c>
      <c r="AW145" s="118">
        <v>8.07</v>
      </c>
      <c r="AX145" s="118">
        <v>-86.4</v>
      </c>
      <c r="AY145" s="118">
        <v>11.9</v>
      </c>
      <c r="AZ145" s="118">
        <v>0</v>
      </c>
      <c r="BA145" s="118">
        <v>25.885000000000002</v>
      </c>
      <c r="BB145" s="118">
        <v>3.18</v>
      </c>
      <c r="BC145" s="118">
        <v>0</v>
      </c>
    </row>
    <row r="146" spans="1:55" x14ac:dyDescent="0.25">
      <c r="A146" s="118" t="s">
        <v>435</v>
      </c>
      <c r="AG146" s="118">
        <v>745.2</v>
      </c>
      <c r="AH146" s="118">
        <v>458.2</v>
      </c>
      <c r="AI146" s="118">
        <v>447.7</v>
      </c>
      <c r="AJ146" s="118">
        <v>291</v>
      </c>
      <c r="AK146" s="118">
        <v>0.21</v>
      </c>
      <c r="AL146" s="118">
        <v>446.6</v>
      </c>
      <c r="AM146" s="118">
        <v>0.51400000000000001</v>
      </c>
      <c r="AN146" s="118">
        <v>0.51</v>
      </c>
      <c r="AO146" s="118">
        <v>0.72799999999999998</v>
      </c>
      <c r="AP146" s="118">
        <v>86.2</v>
      </c>
      <c r="AQ146" s="118">
        <v>6.96</v>
      </c>
      <c r="AR146" s="118">
        <v>87.7</v>
      </c>
      <c r="AS146" s="118">
        <v>-85.920316959999994</v>
      </c>
      <c r="AT146" s="118">
        <v>40.693239810000001</v>
      </c>
      <c r="AU146" s="118">
        <v>225.3</v>
      </c>
      <c r="AV146" s="118">
        <v>211.9</v>
      </c>
      <c r="AW146" s="118">
        <v>8.1</v>
      </c>
      <c r="AX146" s="118">
        <v>-88.3</v>
      </c>
      <c r="AY146" s="118">
        <v>12</v>
      </c>
      <c r="AZ146" s="118">
        <v>0</v>
      </c>
      <c r="BA146" s="118">
        <v>26.225000000000001</v>
      </c>
      <c r="BB146" s="118">
        <v>3.11</v>
      </c>
      <c r="BC146" s="118">
        <v>0</v>
      </c>
    </row>
    <row r="147" spans="1:55" x14ac:dyDescent="0.25">
      <c r="A147" s="118" t="s">
        <v>436</v>
      </c>
      <c r="AG147" s="118">
        <v>745.3</v>
      </c>
      <c r="AH147" s="118">
        <v>452</v>
      </c>
      <c r="AI147" s="118">
        <v>446</v>
      </c>
      <c r="AJ147" s="118">
        <v>290</v>
      </c>
      <c r="AK147" s="118">
        <v>0.21</v>
      </c>
      <c r="AL147" s="118">
        <v>445.4</v>
      </c>
      <c r="AM147" s="118">
        <v>0.51600000000000001</v>
      </c>
      <c r="AN147" s="118">
        <v>0.51900000000000002</v>
      </c>
      <c r="AO147" s="118">
        <v>0.73199999999999998</v>
      </c>
      <c r="AP147" s="118">
        <v>77.8</v>
      </c>
      <c r="AQ147" s="118">
        <v>6.34</v>
      </c>
      <c r="AR147" s="118">
        <v>79.2</v>
      </c>
      <c r="AS147" s="118">
        <v>-85.938840010000007</v>
      </c>
      <c r="AT147" s="118">
        <v>40.711004029999998</v>
      </c>
      <c r="AU147" s="118">
        <v>224.6</v>
      </c>
      <c r="AV147" s="118">
        <v>155.30000000000001</v>
      </c>
      <c r="AW147" s="118">
        <v>8.0399999999999991</v>
      </c>
      <c r="AX147" s="118">
        <v>-84.4</v>
      </c>
      <c r="AY147" s="118">
        <v>11.9</v>
      </c>
      <c r="AZ147" s="118">
        <v>0</v>
      </c>
      <c r="BA147" s="118">
        <v>25.704000000000001</v>
      </c>
      <c r="BB147" s="118">
        <v>2.61</v>
      </c>
      <c r="BC147" s="118">
        <v>0</v>
      </c>
    </row>
    <row r="148" spans="1:55" x14ac:dyDescent="0.25">
      <c r="A148" s="118" t="s">
        <v>437</v>
      </c>
      <c r="AG148" s="118">
        <v>745.3</v>
      </c>
      <c r="AH148" s="118">
        <v>449.2</v>
      </c>
      <c r="AI148" s="118">
        <v>445.3</v>
      </c>
      <c r="AJ148" s="118">
        <v>289</v>
      </c>
      <c r="AK148" s="118">
        <v>0.21</v>
      </c>
      <c r="AL148" s="118">
        <v>445</v>
      </c>
      <c r="AM148" s="118">
        <v>0.54600000000000004</v>
      </c>
      <c r="AN148" s="118">
        <v>0.54400000000000004</v>
      </c>
      <c r="AO148" s="118">
        <v>0.77400000000000002</v>
      </c>
      <c r="AP148" s="118">
        <v>69</v>
      </c>
      <c r="AQ148" s="118">
        <v>5.65</v>
      </c>
      <c r="AR148" s="118">
        <v>70.2</v>
      </c>
      <c r="AS148" s="118">
        <v>-85.951248250000006</v>
      </c>
      <c r="AT148" s="118">
        <v>40.711554790000001</v>
      </c>
      <c r="AU148" s="118">
        <v>227.4</v>
      </c>
      <c r="AV148" s="118">
        <v>204.6</v>
      </c>
      <c r="AW148" s="118">
        <v>7.91</v>
      </c>
      <c r="AX148" s="118">
        <v>-76.3</v>
      </c>
      <c r="AY148" s="118">
        <v>11.9</v>
      </c>
      <c r="AZ148" s="118">
        <v>0</v>
      </c>
      <c r="BA148" s="118">
        <v>25.448</v>
      </c>
      <c r="BB148" s="118">
        <v>2.9</v>
      </c>
      <c r="BC148" s="118">
        <v>0</v>
      </c>
    </row>
    <row r="149" spans="1:55" x14ac:dyDescent="0.25">
      <c r="A149" s="118" t="s">
        <v>438</v>
      </c>
      <c r="AG149" s="118">
        <v>745</v>
      </c>
      <c r="AH149" s="118">
        <v>479.1</v>
      </c>
      <c r="AI149" s="118">
        <v>458.4</v>
      </c>
      <c r="AJ149" s="118">
        <v>298</v>
      </c>
      <c r="AK149" s="118">
        <v>0.22</v>
      </c>
      <c r="AL149" s="118">
        <v>456.2</v>
      </c>
      <c r="AM149" s="118">
        <v>0.56899999999999995</v>
      </c>
      <c r="AN149" s="118">
        <v>0.56499999999999995</v>
      </c>
      <c r="AO149" s="118">
        <v>0.80600000000000005</v>
      </c>
      <c r="AP149" s="118">
        <v>147.1</v>
      </c>
      <c r="AQ149" s="118">
        <v>11.63</v>
      </c>
      <c r="AR149" s="118">
        <v>149.69999999999999</v>
      </c>
      <c r="AS149" s="118">
        <v>-85.841581189999999</v>
      </c>
      <c r="AT149" s="118">
        <v>40.672486220000003</v>
      </c>
      <c r="AU149" s="118">
        <v>223</v>
      </c>
      <c r="AV149" s="118">
        <v>205.3</v>
      </c>
      <c r="AW149" s="118">
        <v>8.5</v>
      </c>
      <c r="AX149" s="118">
        <v>-112.4</v>
      </c>
      <c r="AY149" s="118">
        <v>11.9</v>
      </c>
      <c r="AZ149" s="118">
        <v>0</v>
      </c>
      <c r="BA149" s="118">
        <v>27.364999999999998</v>
      </c>
      <c r="BB149" s="118">
        <v>5.45</v>
      </c>
      <c r="BC149" s="118">
        <v>0</v>
      </c>
    </row>
    <row r="150" spans="1:55" x14ac:dyDescent="0.25">
      <c r="A150" s="118" t="s">
        <v>439</v>
      </c>
      <c r="AG150" s="190">
        <v>744.3</v>
      </c>
      <c r="AH150" s="190">
        <v>634.79999999999995</v>
      </c>
      <c r="AI150" s="190">
        <v>627.1</v>
      </c>
      <c r="AJ150" s="190">
        <v>408</v>
      </c>
      <c r="AK150" s="190">
        <v>0.3</v>
      </c>
      <c r="AL150" s="190">
        <v>626.29999999999995</v>
      </c>
      <c r="AM150" s="190">
        <v>0.52300000000000002</v>
      </c>
      <c r="AN150" s="190">
        <v>0.51700000000000002</v>
      </c>
      <c r="AO150" s="190">
        <v>0.74199999999999999</v>
      </c>
      <c r="AP150" s="190">
        <v>231.1</v>
      </c>
      <c r="AQ150" s="190">
        <v>18.84</v>
      </c>
      <c r="AR150" s="190">
        <v>235.9</v>
      </c>
      <c r="AS150" s="190">
        <v>-86.807147639999997</v>
      </c>
      <c r="AT150" s="190">
        <v>40.835024840000003</v>
      </c>
      <c r="AU150" s="190">
        <v>200.1</v>
      </c>
      <c r="AV150" s="190">
        <v>177.1</v>
      </c>
      <c r="AW150" s="190">
        <v>8.33</v>
      </c>
      <c r="AX150" s="190">
        <v>-101.4</v>
      </c>
      <c r="AY150" s="190">
        <v>11.9</v>
      </c>
      <c r="AZ150" s="190">
        <v>0</v>
      </c>
      <c r="BA150" s="190">
        <v>25.643999999999998</v>
      </c>
      <c r="BB150" s="190">
        <v>5.27</v>
      </c>
      <c r="BC150" s="190">
        <v>0</v>
      </c>
    </row>
    <row r="151" spans="1:55" x14ac:dyDescent="0.25">
      <c r="A151" s="118" t="s">
        <v>440</v>
      </c>
      <c r="AG151" s="118">
        <v>744.6</v>
      </c>
      <c r="AH151" s="118">
        <v>575.79999999999995</v>
      </c>
      <c r="AI151" s="118">
        <v>567.79999999999995</v>
      </c>
      <c r="AJ151" s="118">
        <v>369</v>
      </c>
      <c r="AK151" s="118">
        <v>0.27</v>
      </c>
      <c r="AL151" s="118">
        <v>567</v>
      </c>
      <c r="AM151" s="118">
        <v>0.55600000000000005</v>
      </c>
      <c r="AN151" s="118">
        <v>0.55900000000000005</v>
      </c>
      <c r="AO151" s="118">
        <v>0.78900000000000003</v>
      </c>
      <c r="AP151" s="118">
        <v>237.2</v>
      </c>
      <c r="AQ151" s="118">
        <v>19.309999999999999</v>
      </c>
      <c r="AR151" s="118">
        <v>242.1</v>
      </c>
      <c r="AS151" s="118">
        <v>-86.795836289999997</v>
      </c>
      <c r="AT151" s="118">
        <v>40.823874850000003</v>
      </c>
      <c r="AU151" s="118">
        <v>199.1</v>
      </c>
      <c r="AV151" s="118">
        <v>190.7</v>
      </c>
      <c r="AW151" s="118">
        <v>8.4</v>
      </c>
      <c r="AX151" s="118">
        <v>-105.8</v>
      </c>
      <c r="AY151" s="118">
        <v>11.9</v>
      </c>
      <c r="AZ151" s="118">
        <v>0</v>
      </c>
      <c r="BA151" s="118">
        <v>25.739000000000001</v>
      </c>
      <c r="BB151" s="118">
        <v>4.18</v>
      </c>
      <c r="BC151" s="118">
        <v>0</v>
      </c>
    </row>
    <row r="152" spans="1:55" x14ac:dyDescent="0.25">
      <c r="A152" s="118" t="s">
        <v>441</v>
      </c>
      <c r="AG152" s="118">
        <v>744.1</v>
      </c>
      <c r="AH152" s="118">
        <v>539.1</v>
      </c>
      <c r="AI152" s="118">
        <v>570.6</v>
      </c>
      <c r="AJ152" s="118">
        <v>371</v>
      </c>
      <c r="AK152" s="118">
        <v>0.28000000000000003</v>
      </c>
      <c r="AL152" s="118">
        <v>573.6</v>
      </c>
      <c r="AM152" s="118">
        <v>0.48299999999999998</v>
      </c>
      <c r="AN152" s="118">
        <v>0.49099999999999999</v>
      </c>
      <c r="AO152" s="118">
        <v>0.68500000000000005</v>
      </c>
      <c r="AP152" s="118">
        <v>80.3</v>
      </c>
      <c r="AQ152" s="118">
        <v>7</v>
      </c>
      <c r="AR152" s="118">
        <v>82</v>
      </c>
      <c r="AS152" s="118">
        <v>-86.781764559999999</v>
      </c>
      <c r="AT152" s="118">
        <v>40.834882550000003</v>
      </c>
      <c r="AU152" s="118">
        <v>201.3</v>
      </c>
      <c r="AV152" s="118">
        <v>173.6</v>
      </c>
      <c r="AW152" s="118">
        <v>7.61</v>
      </c>
      <c r="AX152" s="118">
        <v>-58</v>
      </c>
      <c r="AY152" s="118">
        <v>11.9</v>
      </c>
      <c r="AZ152" s="118">
        <v>0</v>
      </c>
      <c r="BA152" s="118">
        <v>22.113</v>
      </c>
      <c r="BB152" s="118">
        <v>6.45</v>
      </c>
      <c r="BC152" s="118">
        <v>0</v>
      </c>
    </row>
    <row r="153" spans="1:55" x14ac:dyDescent="0.25">
      <c r="A153" s="118" t="s">
        <v>442</v>
      </c>
      <c r="AG153" s="118">
        <v>744.7</v>
      </c>
      <c r="AH153" s="118">
        <v>536.79999999999995</v>
      </c>
      <c r="AI153" s="118">
        <v>567.70000000000005</v>
      </c>
      <c r="AJ153" s="118">
        <v>369</v>
      </c>
      <c r="AK153" s="118">
        <v>0.27</v>
      </c>
      <c r="AL153" s="118">
        <v>570.70000000000005</v>
      </c>
      <c r="AM153" s="118">
        <v>0.50900000000000001</v>
      </c>
      <c r="AN153" s="118">
        <v>0.50600000000000001</v>
      </c>
      <c r="AO153" s="118">
        <v>0.72199999999999998</v>
      </c>
      <c r="AP153" s="118">
        <v>85.7</v>
      </c>
      <c r="AQ153" s="118">
        <v>7.46</v>
      </c>
      <c r="AR153" s="118">
        <v>87.5</v>
      </c>
      <c r="AS153" s="118">
        <v>-86.794299730000006</v>
      </c>
      <c r="AT153" s="118">
        <v>40.81108966</v>
      </c>
      <c r="AU153" s="118">
        <v>200.7</v>
      </c>
      <c r="AV153" s="118">
        <v>118.8</v>
      </c>
      <c r="AW153" s="118">
        <v>7.66</v>
      </c>
      <c r="AX153" s="118">
        <v>-60.6</v>
      </c>
      <c r="AY153" s="118">
        <v>11.9</v>
      </c>
      <c r="AZ153" s="118">
        <v>0</v>
      </c>
      <c r="BA153" s="118">
        <v>22.146000000000001</v>
      </c>
      <c r="BB153" s="118">
        <v>4.59</v>
      </c>
      <c r="BC153" s="118">
        <v>0</v>
      </c>
    </row>
    <row r="154" spans="1:55" x14ac:dyDescent="0.25">
      <c r="A154" s="118" t="s">
        <v>443</v>
      </c>
      <c r="AG154" s="118">
        <v>744.9</v>
      </c>
      <c r="AH154" s="118">
        <v>536.5</v>
      </c>
      <c r="AI154" s="118">
        <v>562.5</v>
      </c>
      <c r="AJ154" s="118">
        <v>366</v>
      </c>
      <c r="AK154" s="118">
        <v>0.27</v>
      </c>
      <c r="AL154" s="118">
        <v>565.1</v>
      </c>
      <c r="AM154" s="118">
        <v>0.53100000000000003</v>
      </c>
      <c r="AN154" s="118">
        <v>0.52500000000000002</v>
      </c>
      <c r="AO154" s="118">
        <v>0.754</v>
      </c>
      <c r="AP154" s="118">
        <v>84.9</v>
      </c>
      <c r="AQ154" s="118">
        <v>7.33</v>
      </c>
      <c r="AR154" s="118">
        <v>86.6</v>
      </c>
      <c r="AS154" s="118">
        <v>-86.774830640000005</v>
      </c>
      <c r="AT154" s="118">
        <v>40.804242270000003</v>
      </c>
      <c r="AU154" s="118">
        <v>196.6</v>
      </c>
      <c r="AV154" s="118">
        <v>142.6</v>
      </c>
      <c r="AW154" s="118">
        <v>7.63</v>
      </c>
      <c r="AX154" s="118">
        <v>-58.9</v>
      </c>
      <c r="AY154" s="118">
        <v>11.9</v>
      </c>
      <c r="AZ154" s="118">
        <v>0</v>
      </c>
      <c r="BA154" s="118">
        <v>22.577000000000002</v>
      </c>
      <c r="BB154" s="118">
        <v>3.64</v>
      </c>
      <c r="BC154" s="118">
        <v>0</v>
      </c>
    </row>
    <row r="155" spans="1:55" x14ac:dyDescent="0.25">
      <c r="A155" s="118" t="s">
        <v>444</v>
      </c>
      <c r="AG155" s="118">
        <v>744.7</v>
      </c>
      <c r="AH155" s="118">
        <v>529.79999999999995</v>
      </c>
      <c r="AI155" s="118">
        <v>556.20000000000005</v>
      </c>
      <c r="AJ155" s="118">
        <v>362</v>
      </c>
      <c r="AK155" s="118">
        <v>0.27</v>
      </c>
      <c r="AL155" s="118">
        <v>558.79999999999995</v>
      </c>
      <c r="AM155" s="118">
        <v>0.56000000000000005</v>
      </c>
      <c r="AN155" s="118">
        <v>0.55500000000000005</v>
      </c>
      <c r="AO155" s="118">
        <v>0.79500000000000004</v>
      </c>
      <c r="AP155" s="118">
        <v>84.7</v>
      </c>
      <c r="AQ155" s="118">
        <v>7.32</v>
      </c>
      <c r="AR155" s="118">
        <v>86.5</v>
      </c>
      <c r="AS155" s="118">
        <v>-86.774344880000001</v>
      </c>
      <c r="AT155" s="118">
        <v>40.794689409999997</v>
      </c>
      <c r="AU155" s="118">
        <v>202.8</v>
      </c>
      <c r="AV155" s="118">
        <v>181.4</v>
      </c>
      <c r="AW155" s="118">
        <v>7.64</v>
      </c>
      <c r="AX155" s="118">
        <v>-59.7</v>
      </c>
      <c r="AY155" s="118">
        <v>11.9</v>
      </c>
      <c r="AZ155" s="118">
        <v>0</v>
      </c>
      <c r="BA155" s="118">
        <v>22.51</v>
      </c>
      <c r="BB155" s="118">
        <v>3.89</v>
      </c>
      <c r="BC155" s="118">
        <v>0</v>
      </c>
    </row>
    <row r="156" spans="1:55" x14ac:dyDescent="0.25">
      <c r="A156" s="118" t="s">
        <v>445</v>
      </c>
      <c r="AG156" s="118">
        <v>744.6</v>
      </c>
      <c r="AH156" s="118">
        <v>596.70000000000005</v>
      </c>
      <c r="AI156" s="118">
        <v>617.4</v>
      </c>
      <c r="AJ156" s="118">
        <v>401</v>
      </c>
      <c r="AK156" s="118">
        <v>0.3</v>
      </c>
      <c r="AL156" s="118">
        <v>619.5</v>
      </c>
      <c r="AM156" s="118">
        <v>0.53200000000000003</v>
      </c>
      <c r="AN156" s="118">
        <v>0.54200000000000004</v>
      </c>
      <c r="AO156" s="118">
        <v>0.755</v>
      </c>
      <c r="AP156" s="118">
        <v>116.6</v>
      </c>
      <c r="AQ156" s="118">
        <v>9.94</v>
      </c>
      <c r="AR156" s="118">
        <v>119</v>
      </c>
      <c r="AS156" s="118">
        <v>-86.772130180000005</v>
      </c>
      <c r="AT156" s="118">
        <v>40.78862204</v>
      </c>
      <c r="AU156" s="118">
        <v>200.6</v>
      </c>
      <c r="AV156" s="118">
        <v>208.7</v>
      </c>
      <c r="AW156" s="118">
        <v>7.89</v>
      </c>
      <c r="AX156" s="118">
        <v>-74.599999999999994</v>
      </c>
      <c r="AY156" s="118">
        <v>11.9</v>
      </c>
      <c r="AZ156" s="118">
        <v>0</v>
      </c>
      <c r="BA156" s="118">
        <v>23.24</v>
      </c>
      <c r="BB156" s="118">
        <v>4.29</v>
      </c>
      <c r="BC156" s="118">
        <v>0</v>
      </c>
    </row>
    <row r="157" spans="1:55" x14ac:dyDescent="0.25">
      <c r="A157" s="118" t="s">
        <v>446</v>
      </c>
      <c r="AG157" s="118">
        <v>744.7</v>
      </c>
      <c r="AH157" s="118">
        <v>533.79999999999995</v>
      </c>
      <c r="AI157" s="118">
        <v>559.9</v>
      </c>
      <c r="AJ157" s="118">
        <v>364</v>
      </c>
      <c r="AK157" s="118">
        <v>0.27</v>
      </c>
      <c r="AL157" s="118">
        <v>562.5</v>
      </c>
      <c r="AM157" s="118">
        <v>0.51900000000000002</v>
      </c>
      <c r="AN157" s="118">
        <v>0.52400000000000002</v>
      </c>
      <c r="AO157" s="118">
        <v>0.73599999999999999</v>
      </c>
      <c r="AP157" s="118">
        <v>84.5</v>
      </c>
      <c r="AQ157" s="118">
        <v>7.3</v>
      </c>
      <c r="AR157" s="118">
        <v>86.3</v>
      </c>
      <c r="AS157" s="118">
        <v>-86.762205379999997</v>
      </c>
      <c r="AT157" s="118">
        <v>40.782380209999999</v>
      </c>
      <c r="AU157" s="118">
        <v>201.9</v>
      </c>
      <c r="AV157" s="118">
        <v>216.2</v>
      </c>
      <c r="AW157" s="118">
        <v>7.64</v>
      </c>
      <c r="AX157" s="118">
        <v>-59.5</v>
      </c>
      <c r="AY157" s="118">
        <v>11.9</v>
      </c>
      <c r="AZ157" s="118">
        <v>0</v>
      </c>
      <c r="BA157" s="118">
        <v>22.553999999999998</v>
      </c>
      <c r="BB157" s="118">
        <v>4.09</v>
      </c>
      <c r="BC157" s="118">
        <v>0</v>
      </c>
    </row>
    <row r="158" spans="1:55" x14ac:dyDescent="0.25">
      <c r="A158" s="118" t="s">
        <v>447</v>
      </c>
      <c r="AG158" s="118">
        <v>744.7</v>
      </c>
      <c r="AH158" s="118">
        <v>538</v>
      </c>
      <c r="AI158" s="118">
        <v>569.70000000000005</v>
      </c>
      <c r="AJ158" s="118">
        <v>370</v>
      </c>
      <c r="AK158" s="118">
        <v>0.28000000000000003</v>
      </c>
      <c r="AL158" s="118">
        <v>572.79999999999995</v>
      </c>
      <c r="AM158" s="118">
        <v>0.49199999999999999</v>
      </c>
      <c r="AN158" s="118">
        <v>0.51700000000000002</v>
      </c>
      <c r="AO158" s="118">
        <v>0.69799999999999995</v>
      </c>
      <c r="AP158" s="118">
        <v>84.3</v>
      </c>
      <c r="AQ158" s="118">
        <v>7.35</v>
      </c>
      <c r="AR158" s="118">
        <v>86</v>
      </c>
      <c r="AS158" s="118">
        <v>-86.785247049999995</v>
      </c>
      <c r="AT158" s="118">
        <v>40.807313710000003</v>
      </c>
      <c r="AU158" s="118">
        <v>198.9</v>
      </c>
      <c r="AV158" s="118">
        <v>183.3</v>
      </c>
      <c r="AW158" s="118">
        <v>7.68</v>
      </c>
      <c r="AX158" s="118">
        <v>-61.8</v>
      </c>
      <c r="AY158" s="118">
        <v>11.9</v>
      </c>
      <c r="AZ158" s="118">
        <v>0</v>
      </c>
      <c r="BA158" s="118">
        <v>22.088999999999999</v>
      </c>
      <c r="BB158" s="118">
        <v>4.03</v>
      </c>
      <c r="BC158" s="118">
        <v>0</v>
      </c>
    </row>
    <row r="159" spans="1:55" x14ac:dyDescent="0.25">
      <c r="A159" s="118" t="s">
        <v>448</v>
      </c>
      <c r="AG159" s="118">
        <v>744.8</v>
      </c>
      <c r="AH159" s="118">
        <v>537.29999999999995</v>
      </c>
      <c r="AI159" s="118">
        <v>561.5</v>
      </c>
      <c r="AJ159" s="118">
        <v>365</v>
      </c>
      <c r="AK159" s="118">
        <v>0.27</v>
      </c>
      <c r="AL159" s="118">
        <v>563.9</v>
      </c>
      <c r="AM159" s="118">
        <v>0.55500000000000005</v>
      </c>
      <c r="AN159" s="118">
        <v>0.55600000000000005</v>
      </c>
      <c r="AO159" s="118">
        <v>0.78700000000000003</v>
      </c>
      <c r="AP159" s="118">
        <v>84.1</v>
      </c>
      <c r="AQ159" s="118">
        <v>7.24</v>
      </c>
      <c r="AR159" s="118">
        <v>85.8</v>
      </c>
      <c r="AS159" s="118">
        <v>-86.777779629999998</v>
      </c>
      <c r="AT159" s="118">
        <v>40.799243930000003</v>
      </c>
      <c r="AU159" s="118">
        <v>196.7</v>
      </c>
      <c r="AV159" s="118">
        <v>148.5</v>
      </c>
      <c r="AW159" s="118">
        <v>7.64</v>
      </c>
      <c r="AX159" s="118">
        <v>-59.6</v>
      </c>
      <c r="AY159" s="118">
        <v>11.9</v>
      </c>
      <c r="AZ159" s="118">
        <v>0</v>
      </c>
      <c r="BA159" s="118">
        <v>22.744</v>
      </c>
      <c r="BB159" s="118">
        <v>3.3</v>
      </c>
      <c r="BC159" s="118">
        <v>0</v>
      </c>
    </row>
    <row r="160" spans="1:55" x14ac:dyDescent="0.25">
      <c r="A160" s="118" t="s">
        <v>449</v>
      </c>
      <c r="AG160" s="118">
        <v>742.3</v>
      </c>
      <c r="AH160" s="118">
        <v>343.2</v>
      </c>
      <c r="AI160" s="118">
        <v>327.3</v>
      </c>
      <c r="AJ160" s="118">
        <v>213</v>
      </c>
      <c r="AK160" s="118">
        <v>0.15</v>
      </c>
      <c r="AL160" s="118">
        <v>325.60000000000002</v>
      </c>
      <c r="AM160" s="118">
        <v>0.53</v>
      </c>
      <c r="AN160" s="118">
        <v>0.53300000000000003</v>
      </c>
      <c r="AO160" s="118">
        <v>0.751</v>
      </c>
      <c r="AP160" s="118">
        <v>177.3</v>
      </c>
      <c r="AQ160" s="118">
        <v>13.98</v>
      </c>
      <c r="AR160" s="118">
        <v>181</v>
      </c>
      <c r="AS160" s="118">
        <v>-85.645051519999996</v>
      </c>
      <c r="AT160" s="118">
        <v>40.772296269999998</v>
      </c>
      <c r="AU160" s="118">
        <v>231.1</v>
      </c>
      <c r="AV160" s="118">
        <v>232.3</v>
      </c>
      <c r="AW160" s="118">
        <v>8.8000000000000007</v>
      </c>
      <c r="AX160" s="118">
        <v>-128</v>
      </c>
      <c r="AY160" s="118">
        <v>11.9</v>
      </c>
      <c r="AZ160" s="118">
        <v>0</v>
      </c>
      <c r="BA160" s="118">
        <v>27.541</v>
      </c>
      <c r="BB160" s="118">
        <v>4.41</v>
      </c>
      <c r="BC160" s="118">
        <v>0</v>
      </c>
    </row>
    <row r="161" spans="1:55" x14ac:dyDescent="0.25">
      <c r="A161" s="118" t="s">
        <v>450</v>
      </c>
      <c r="AG161" s="118">
        <v>742.2</v>
      </c>
      <c r="AH161" s="118">
        <v>341.2</v>
      </c>
      <c r="AI161" s="118">
        <v>327</v>
      </c>
      <c r="AJ161" s="118">
        <v>213</v>
      </c>
      <c r="AK161" s="118">
        <v>0.15</v>
      </c>
      <c r="AL161" s="118">
        <v>325.39999999999998</v>
      </c>
      <c r="AM161" s="118">
        <v>0.62</v>
      </c>
      <c r="AN161" s="118">
        <v>0.64900000000000002</v>
      </c>
      <c r="AO161" s="118">
        <v>0.879</v>
      </c>
      <c r="AP161" s="118">
        <v>167.7</v>
      </c>
      <c r="AQ161" s="118">
        <v>13.28</v>
      </c>
      <c r="AR161" s="118">
        <v>171.2</v>
      </c>
      <c r="AS161" s="118">
        <v>-85.647150420000003</v>
      </c>
      <c r="AT161" s="118">
        <v>40.770774430000003</v>
      </c>
      <c r="AU161" s="118">
        <v>234.3</v>
      </c>
      <c r="AV161" s="118">
        <v>228.7</v>
      </c>
      <c r="AW161" s="118">
        <v>8.7799999999999994</v>
      </c>
      <c r="AX161" s="118">
        <v>-126.3</v>
      </c>
      <c r="AY161" s="118">
        <v>11.9</v>
      </c>
      <c r="AZ161" s="118">
        <v>0</v>
      </c>
      <c r="BA161" s="118">
        <v>27.285</v>
      </c>
      <c r="BB161" s="118">
        <v>5.5</v>
      </c>
      <c r="BC161" s="118">
        <v>0</v>
      </c>
    </row>
    <row r="162" spans="1:55" x14ac:dyDescent="0.25">
      <c r="A162" s="118" t="s">
        <v>451</v>
      </c>
      <c r="AG162" s="118">
        <v>742.2</v>
      </c>
      <c r="AH162" s="118">
        <v>372.1</v>
      </c>
      <c r="AI162" s="118">
        <v>355.8</v>
      </c>
      <c r="AJ162" s="118">
        <v>231</v>
      </c>
      <c r="AK162" s="118">
        <v>0.17</v>
      </c>
      <c r="AL162" s="118">
        <v>354.1</v>
      </c>
      <c r="AM162" s="118">
        <v>0.48599999999999999</v>
      </c>
      <c r="AN162" s="118">
        <v>0.498</v>
      </c>
      <c r="AO162" s="118">
        <v>0.68799999999999994</v>
      </c>
      <c r="AP162" s="118">
        <v>154</v>
      </c>
      <c r="AQ162" s="118">
        <v>12.18</v>
      </c>
      <c r="AR162" s="118">
        <v>157.30000000000001</v>
      </c>
      <c r="AS162" s="118">
        <v>-85.646588960000003</v>
      </c>
      <c r="AT162" s="118">
        <v>40.781075420000001</v>
      </c>
      <c r="AU162" s="118">
        <v>231.3</v>
      </c>
      <c r="AV162" s="118">
        <v>120.3</v>
      </c>
      <c r="AW162" s="118">
        <v>8.75</v>
      </c>
      <c r="AX162" s="118">
        <v>-124.8</v>
      </c>
      <c r="AY162" s="118">
        <v>11.9</v>
      </c>
      <c r="AZ162" s="118">
        <v>0</v>
      </c>
      <c r="BA162" s="118">
        <v>27.391999999999999</v>
      </c>
      <c r="BB162" s="118">
        <v>4.62</v>
      </c>
      <c r="BC162" s="118">
        <v>0</v>
      </c>
    </row>
    <row r="163" spans="1:55" x14ac:dyDescent="0.25">
      <c r="A163" s="118" t="s">
        <v>452</v>
      </c>
      <c r="AG163" s="118">
        <v>742.4</v>
      </c>
      <c r="AH163" s="118">
        <v>387.1</v>
      </c>
      <c r="AI163" s="118">
        <v>369.3</v>
      </c>
      <c r="AJ163" s="118">
        <v>240</v>
      </c>
      <c r="AK163" s="118">
        <v>0.17</v>
      </c>
      <c r="AL163" s="118">
        <v>367.4</v>
      </c>
      <c r="AM163" s="118">
        <v>0.52100000000000002</v>
      </c>
      <c r="AN163" s="118">
        <v>0.56699999999999995</v>
      </c>
      <c r="AO163" s="118">
        <v>0.73799999999999999</v>
      </c>
      <c r="AP163" s="118">
        <v>149.80000000000001</v>
      </c>
      <c r="AQ163" s="118">
        <v>11.82</v>
      </c>
      <c r="AR163" s="118">
        <v>153</v>
      </c>
      <c r="AS163" s="118">
        <v>-85.638733939999995</v>
      </c>
      <c r="AT163" s="118">
        <v>40.783930470000001</v>
      </c>
      <c r="AU163" s="118">
        <v>233.9</v>
      </c>
      <c r="AV163" s="118">
        <v>193.2</v>
      </c>
      <c r="AW163" s="118">
        <v>8.7200000000000006</v>
      </c>
      <c r="AX163" s="118">
        <v>-123.3</v>
      </c>
      <c r="AY163" s="118">
        <v>12</v>
      </c>
      <c r="AZ163" s="118">
        <v>0</v>
      </c>
      <c r="BA163" s="118">
        <v>27.527999999999999</v>
      </c>
      <c r="BB163" s="118">
        <v>5.0199999999999996</v>
      </c>
      <c r="BC163" s="118">
        <v>0</v>
      </c>
    </row>
    <row r="164" spans="1:55" x14ac:dyDescent="0.25">
      <c r="A164" s="118" t="s">
        <v>453</v>
      </c>
      <c r="AG164" s="118">
        <v>742.1</v>
      </c>
      <c r="AH164" s="118">
        <v>395.2</v>
      </c>
      <c r="AI164" s="118">
        <v>373.6</v>
      </c>
      <c r="AJ164" s="118">
        <v>243</v>
      </c>
      <c r="AK164" s="118">
        <v>0.18</v>
      </c>
      <c r="AL164" s="118">
        <v>371.3</v>
      </c>
      <c r="AM164" s="118">
        <v>0.436</v>
      </c>
      <c r="AN164" s="118">
        <v>0.44700000000000001</v>
      </c>
      <c r="AO164" s="118">
        <v>0.61799999999999999</v>
      </c>
      <c r="AP164" s="118">
        <v>156.6</v>
      </c>
      <c r="AQ164" s="118">
        <v>12.24</v>
      </c>
      <c r="AR164" s="118">
        <v>159.9</v>
      </c>
      <c r="AS164" s="118">
        <v>-85.624036320000002</v>
      </c>
      <c r="AT164" s="118">
        <v>40.774560219999998</v>
      </c>
      <c r="AU164" s="118">
        <v>235.9</v>
      </c>
      <c r="AV164" s="118">
        <v>128.5</v>
      </c>
      <c r="AW164" s="118">
        <v>8.74</v>
      </c>
      <c r="AX164" s="118">
        <v>-124.4</v>
      </c>
      <c r="AY164" s="118">
        <v>11.9</v>
      </c>
      <c r="AZ164" s="118">
        <v>0</v>
      </c>
      <c r="BA164" s="118">
        <v>28.027999999999999</v>
      </c>
      <c r="BB164" s="118">
        <v>6.01</v>
      </c>
      <c r="BC164" s="118">
        <v>0</v>
      </c>
    </row>
    <row r="165" spans="1:55" x14ac:dyDescent="0.25">
      <c r="A165" s="118" t="s">
        <v>454</v>
      </c>
      <c r="AG165" s="118">
        <v>742.1</v>
      </c>
      <c r="AH165" s="118">
        <v>396</v>
      </c>
      <c r="AI165" s="118">
        <v>380.8</v>
      </c>
      <c r="AJ165" s="118">
        <v>248</v>
      </c>
      <c r="AK165" s="118">
        <v>0.18</v>
      </c>
      <c r="AL165" s="118">
        <v>379.2</v>
      </c>
      <c r="AM165" s="118">
        <v>0.49299999999999999</v>
      </c>
      <c r="AN165" s="118">
        <v>0.48499999999999999</v>
      </c>
      <c r="AO165" s="118">
        <v>0.69899999999999995</v>
      </c>
      <c r="AP165" s="118">
        <v>140.1</v>
      </c>
      <c r="AQ165" s="118">
        <v>11.14</v>
      </c>
      <c r="AR165" s="118">
        <v>143.1</v>
      </c>
      <c r="AS165" s="118">
        <v>-85.606134130000001</v>
      </c>
      <c r="AT165" s="118">
        <v>40.77494488</v>
      </c>
      <c r="AU165" s="118">
        <v>233</v>
      </c>
      <c r="AV165" s="118">
        <v>148.6</v>
      </c>
      <c r="AW165" s="118">
        <v>8.65</v>
      </c>
      <c r="AX165" s="118">
        <v>-118.4</v>
      </c>
      <c r="AY165" s="118">
        <v>11.9</v>
      </c>
      <c r="AZ165" s="118">
        <v>0</v>
      </c>
      <c r="BA165" s="118">
        <v>27.082000000000001</v>
      </c>
      <c r="BB165" s="118">
        <v>4.95</v>
      </c>
      <c r="BC165" s="118">
        <v>0</v>
      </c>
    </row>
    <row r="166" spans="1:55" x14ac:dyDescent="0.25">
      <c r="A166" s="118" t="s">
        <v>455</v>
      </c>
      <c r="AG166" s="118">
        <v>742</v>
      </c>
      <c r="AH166" s="118">
        <v>381.7</v>
      </c>
      <c r="AI166" s="118">
        <v>355.5</v>
      </c>
      <c r="AJ166" s="118">
        <v>231</v>
      </c>
      <c r="AK166" s="118">
        <v>0.17</v>
      </c>
      <c r="AL166" s="118">
        <v>352.6</v>
      </c>
      <c r="AM166" s="118">
        <v>0.39200000000000002</v>
      </c>
      <c r="AN166" s="118">
        <v>0.38500000000000001</v>
      </c>
      <c r="AO166" s="118">
        <v>0.55600000000000005</v>
      </c>
      <c r="AP166" s="118">
        <v>206.1</v>
      </c>
      <c r="AQ166" s="118">
        <v>15.88</v>
      </c>
      <c r="AR166" s="118">
        <v>210.5</v>
      </c>
      <c r="AS166" s="118">
        <v>-85.580525960000003</v>
      </c>
      <c r="AT166" s="118">
        <v>40.775568530000001</v>
      </c>
      <c r="AU166" s="118">
        <v>234.6</v>
      </c>
      <c r="AV166" s="118">
        <v>149.6</v>
      </c>
      <c r="AW166" s="118">
        <v>8.89</v>
      </c>
      <c r="AX166" s="118">
        <v>-134</v>
      </c>
      <c r="AY166" s="118">
        <v>11.9</v>
      </c>
      <c r="AZ166" s="118">
        <v>0</v>
      </c>
      <c r="BA166" s="118">
        <v>28.867999999999999</v>
      </c>
      <c r="BB166" s="118">
        <v>5.27</v>
      </c>
      <c r="BC166" s="118">
        <v>0</v>
      </c>
    </row>
    <row r="167" spans="1:55" x14ac:dyDescent="0.25">
      <c r="A167" s="118" t="s">
        <v>456</v>
      </c>
      <c r="AG167" s="118">
        <v>742</v>
      </c>
      <c r="AH167" s="118">
        <v>386.5</v>
      </c>
      <c r="AI167" s="118">
        <v>366.1</v>
      </c>
      <c r="AJ167" s="118">
        <v>238</v>
      </c>
      <c r="AK167" s="118">
        <v>0.17</v>
      </c>
      <c r="AL167" s="118">
        <v>363.9</v>
      </c>
      <c r="AM167" s="118">
        <v>0.438</v>
      </c>
      <c r="AN167" s="118">
        <v>0.45200000000000001</v>
      </c>
      <c r="AO167" s="118">
        <v>0.62</v>
      </c>
      <c r="AP167" s="118">
        <v>197.4</v>
      </c>
      <c r="AQ167" s="118">
        <v>15.45</v>
      </c>
      <c r="AR167" s="118">
        <v>201.5</v>
      </c>
      <c r="AS167" s="118">
        <v>-85.596868459999996</v>
      </c>
      <c r="AT167" s="118">
        <v>40.766858499999998</v>
      </c>
      <c r="AU167" s="118">
        <v>235.7</v>
      </c>
      <c r="AV167" s="118">
        <v>141.5</v>
      </c>
      <c r="AW167" s="118">
        <v>8.84</v>
      </c>
      <c r="AX167" s="118">
        <v>-130.5</v>
      </c>
      <c r="AY167" s="118">
        <v>11.9</v>
      </c>
      <c r="AZ167" s="118">
        <v>0</v>
      </c>
      <c r="BA167" s="118">
        <v>27.928000000000001</v>
      </c>
      <c r="BB167" s="118">
        <v>5.49</v>
      </c>
      <c r="BC167" s="118">
        <v>0</v>
      </c>
    </row>
    <row r="168" spans="1:55" x14ac:dyDescent="0.25">
      <c r="A168" s="118" t="s">
        <v>457</v>
      </c>
      <c r="AG168" s="118">
        <v>741.8</v>
      </c>
      <c r="AH168" s="118">
        <v>388.9</v>
      </c>
      <c r="AI168" s="118">
        <v>368.3</v>
      </c>
      <c r="AJ168" s="118">
        <v>239</v>
      </c>
      <c r="AK168" s="118">
        <v>0.17</v>
      </c>
      <c r="AL168" s="118">
        <v>366</v>
      </c>
      <c r="AM168" s="118">
        <v>0.29499999999999998</v>
      </c>
      <c r="AN168" s="118">
        <v>0.30199999999999999</v>
      </c>
      <c r="AO168" s="118">
        <v>0.41799999999999998</v>
      </c>
      <c r="AP168" s="118">
        <v>214.6</v>
      </c>
      <c r="AQ168" s="118">
        <v>16.8</v>
      </c>
      <c r="AR168" s="118">
        <v>219.1</v>
      </c>
      <c r="AS168" s="118">
        <v>-85.594853409999999</v>
      </c>
      <c r="AT168" s="118">
        <v>40.757165809999996</v>
      </c>
      <c r="AU168" s="118">
        <v>226.9</v>
      </c>
      <c r="AV168" s="118">
        <v>167.4</v>
      </c>
      <c r="AW168" s="118">
        <v>8.8800000000000008</v>
      </c>
      <c r="AX168" s="118">
        <v>-133.1</v>
      </c>
      <c r="AY168" s="118">
        <v>11.9</v>
      </c>
      <c r="AZ168" s="118">
        <v>0</v>
      </c>
      <c r="BA168" s="118">
        <v>27.931000000000001</v>
      </c>
      <c r="BB168" s="118">
        <v>8.91</v>
      </c>
      <c r="BC168" s="118">
        <v>0</v>
      </c>
    </row>
    <row r="169" spans="1:55" x14ac:dyDescent="0.25">
      <c r="A169" s="118" t="s">
        <v>458</v>
      </c>
      <c r="AG169" s="118">
        <v>741.8</v>
      </c>
      <c r="AH169" s="118">
        <v>390.8</v>
      </c>
      <c r="AI169" s="118">
        <v>366.5</v>
      </c>
      <c r="AJ169" s="118">
        <v>238</v>
      </c>
      <c r="AK169" s="118">
        <v>0.17</v>
      </c>
      <c r="AL169" s="118">
        <v>363.9</v>
      </c>
      <c r="AM169" s="118">
        <v>0.61199999999999999</v>
      </c>
      <c r="AN169" s="118">
        <v>1.0720000000000001</v>
      </c>
      <c r="AO169" s="118">
        <v>0.86699999999999999</v>
      </c>
      <c r="AP169" s="118">
        <v>214.8</v>
      </c>
      <c r="AQ169" s="118">
        <v>16.649999999999999</v>
      </c>
      <c r="AR169" s="118">
        <v>219.4</v>
      </c>
      <c r="AS169" s="118">
        <v>-85.582874129999993</v>
      </c>
      <c r="AT169" s="118">
        <v>40.755891669999997</v>
      </c>
      <c r="AU169" s="118">
        <v>232.2</v>
      </c>
      <c r="AV169" s="118">
        <v>167.4</v>
      </c>
      <c r="AW169" s="118">
        <v>8.94</v>
      </c>
      <c r="AX169" s="118">
        <v>-136.80000000000001</v>
      </c>
      <c r="AY169" s="118">
        <v>11.9</v>
      </c>
      <c r="AZ169" s="118">
        <v>0</v>
      </c>
      <c r="BA169" s="118">
        <v>28.465</v>
      </c>
      <c r="BB169" s="118">
        <v>6.24</v>
      </c>
      <c r="BC169" s="118">
        <v>0</v>
      </c>
    </row>
    <row r="170" spans="1:55" x14ac:dyDescent="0.25">
      <c r="A170" s="118" t="s">
        <v>459</v>
      </c>
      <c r="AG170" s="118">
        <v>742.2</v>
      </c>
      <c r="AH170" s="118">
        <v>388.3</v>
      </c>
      <c r="AI170" s="118">
        <v>370.2</v>
      </c>
      <c r="AJ170" s="118">
        <v>241</v>
      </c>
      <c r="AK170" s="118">
        <v>0.18</v>
      </c>
      <c r="AL170" s="118">
        <v>368.3</v>
      </c>
      <c r="AM170" s="118">
        <v>0.53100000000000003</v>
      </c>
      <c r="AN170" s="118">
        <v>0.53900000000000003</v>
      </c>
      <c r="AO170" s="118">
        <v>0.752</v>
      </c>
      <c r="AP170" s="118">
        <v>144.69999999999999</v>
      </c>
      <c r="AQ170" s="118">
        <v>11.4</v>
      </c>
      <c r="AR170" s="118">
        <v>147.69999999999999</v>
      </c>
      <c r="AS170" s="118">
        <v>-85.637500149999994</v>
      </c>
      <c r="AT170" s="118">
        <v>40.781062970000001</v>
      </c>
      <c r="AU170" s="118">
        <v>236.1</v>
      </c>
      <c r="AV170" s="118">
        <v>166.8</v>
      </c>
      <c r="AW170" s="118">
        <v>8.73</v>
      </c>
      <c r="AX170" s="118">
        <v>-123.3</v>
      </c>
      <c r="AY170" s="118">
        <v>11.9</v>
      </c>
      <c r="AZ170" s="118">
        <v>0</v>
      </c>
      <c r="BA170" s="118">
        <v>27.558</v>
      </c>
      <c r="BB170" s="118">
        <v>4.8499999999999996</v>
      </c>
      <c r="BC170" s="118">
        <v>0</v>
      </c>
    </row>
    <row r="171" spans="1:55" x14ac:dyDescent="0.25">
      <c r="A171" s="118" t="s">
        <v>460</v>
      </c>
      <c r="AG171" s="118">
        <v>741.7</v>
      </c>
      <c r="AH171" s="118">
        <v>396.4</v>
      </c>
      <c r="AI171" s="118">
        <v>371.4</v>
      </c>
      <c r="AJ171" s="118">
        <v>241</v>
      </c>
      <c r="AK171" s="118">
        <v>0.18</v>
      </c>
      <c r="AL171" s="118">
        <v>368.7</v>
      </c>
      <c r="AM171" s="118">
        <v>0.438</v>
      </c>
      <c r="AN171" s="118">
        <v>0.44900000000000001</v>
      </c>
      <c r="AO171" s="118">
        <v>0.621</v>
      </c>
      <c r="AP171" s="118">
        <v>139.4</v>
      </c>
      <c r="AQ171" s="118">
        <v>10.8</v>
      </c>
      <c r="AR171" s="118">
        <v>142.30000000000001</v>
      </c>
      <c r="AS171" s="118">
        <v>-85.667890909999997</v>
      </c>
      <c r="AT171" s="118">
        <v>40.8002343</v>
      </c>
      <c r="AU171" s="118">
        <v>234.1</v>
      </c>
      <c r="AV171" s="118">
        <v>150.80000000000001</v>
      </c>
      <c r="AW171" s="118">
        <v>8.7100000000000009</v>
      </c>
      <c r="AX171" s="118">
        <v>-122.8</v>
      </c>
      <c r="AY171" s="118">
        <v>11.9</v>
      </c>
      <c r="AZ171" s="118">
        <v>0</v>
      </c>
      <c r="BA171" s="118">
        <v>28.526</v>
      </c>
      <c r="BB171" s="118">
        <v>4.07</v>
      </c>
      <c r="BC171" s="118">
        <v>0</v>
      </c>
    </row>
    <row r="172" spans="1:55" x14ac:dyDescent="0.25">
      <c r="A172" s="118" t="s">
        <v>643</v>
      </c>
    </row>
    <row r="173" spans="1:55" x14ac:dyDescent="0.25">
      <c r="A173" s="118" t="s">
        <v>606</v>
      </c>
      <c r="AG173" s="118">
        <v>740.9</v>
      </c>
      <c r="AH173" s="118">
        <v>622.1</v>
      </c>
      <c r="AI173" s="118">
        <v>603.9</v>
      </c>
      <c r="AJ173" s="118">
        <v>393</v>
      </c>
      <c r="AK173" s="118">
        <v>0.28999999999999998</v>
      </c>
      <c r="AL173" s="118">
        <v>601.9</v>
      </c>
      <c r="AM173" s="118">
        <v>0.497</v>
      </c>
      <c r="AN173" s="118">
        <v>0.51600000000000001</v>
      </c>
      <c r="AO173" s="118">
        <v>0.70499999999999996</v>
      </c>
      <c r="AP173" s="118">
        <v>161.5</v>
      </c>
      <c r="AQ173" s="118">
        <v>12.94</v>
      </c>
      <c r="AR173" s="118">
        <v>165.7</v>
      </c>
      <c r="AS173" s="118">
        <v>-86.807147639999997</v>
      </c>
      <c r="AT173" s="118">
        <v>40.835024840000003</v>
      </c>
      <c r="AU173" s="118">
        <v>198.2</v>
      </c>
      <c r="AV173" s="118">
        <v>212.6</v>
      </c>
      <c r="AW173" s="118">
        <v>7.92</v>
      </c>
      <c r="AX173" s="118">
        <v>-78.8</v>
      </c>
      <c r="AY173" s="118">
        <v>11.9</v>
      </c>
      <c r="AZ173" s="118">
        <v>0</v>
      </c>
      <c r="BA173" s="118">
        <v>26.58</v>
      </c>
      <c r="BB173" s="118">
        <v>3.94</v>
      </c>
      <c r="BC173" s="118">
        <v>0</v>
      </c>
    </row>
    <row r="174" spans="1:55" x14ac:dyDescent="0.25">
      <c r="A174" s="118" t="s">
        <v>607</v>
      </c>
      <c r="AG174" s="118">
        <v>740.6</v>
      </c>
      <c r="AH174" s="118">
        <v>633.9</v>
      </c>
      <c r="AI174" s="118">
        <v>610</v>
      </c>
      <c r="AJ174" s="118">
        <v>396</v>
      </c>
      <c r="AK174" s="118">
        <v>0.28999999999999998</v>
      </c>
      <c r="AL174" s="118">
        <v>607.4</v>
      </c>
      <c r="AM174" s="118">
        <v>0.39300000000000002</v>
      </c>
      <c r="AN174" s="118">
        <v>0.4</v>
      </c>
      <c r="AO174" s="118">
        <v>0.55600000000000005</v>
      </c>
      <c r="AP174" s="118">
        <v>187.6</v>
      </c>
      <c r="AQ174" s="118">
        <v>14.91</v>
      </c>
      <c r="AR174" s="118">
        <v>192.6</v>
      </c>
      <c r="AS174" s="118">
        <v>-86.805258600000002</v>
      </c>
      <c r="AT174" s="118">
        <v>40.840702100000001</v>
      </c>
      <c r="AU174" s="118">
        <v>196.5</v>
      </c>
      <c r="AV174" s="118">
        <v>221.6</v>
      </c>
      <c r="AW174" s="118">
        <v>7.95</v>
      </c>
      <c r="AX174" s="118">
        <v>-80.599999999999994</v>
      </c>
      <c r="AY174" s="118">
        <v>11.9</v>
      </c>
      <c r="AZ174" s="118">
        <v>0</v>
      </c>
      <c r="BA174" s="118">
        <v>27.058</v>
      </c>
      <c r="BB174" s="118">
        <v>6.38</v>
      </c>
      <c r="BC174" s="118">
        <v>0</v>
      </c>
    </row>
    <row r="175" spans="1:55" x14ac:dyDescent="0.25">
      <c r="A175" s="118" t="s">
        <v>608</v>
      </c>
      <c r="AG175" s="118">
        <v>740.8</v>
      </c>
      <c r="AH175" s="118">
        <v>598.1</v>
      </c>
      <c r="AI175" s="118">
        <v>586.6</v>
      </c>
      <c r="AJ175" s="118">
        <v>381</v>
      </c>
      <c r="AK175" s="118">
        <v>0.28000000000000003</v>
      </c>
      <c r="AL175" s="118">
        <v>585.4</v>
      </c>
      <c r="AM175" s="118">
        <v>0.38500000000000001</v>
      </c>
      <c r="AN175" s="118">
        <v>0.38800000000000001</v>
      </c>
      <c r="AO175" s="118">
        <v>0.54600000000000004</v>
      </c>
      <c r="AP175" s="118">
        <v>143.1</v>
      </c>
      <c r="AQ175" s="118">
        <v>11.59</v>
      </c>
      <c r="AR175" s="118">
        <v>146.9</v>
      </c>
      <c r="AS175" s="118">
        <v>-86.795836289999997</v>
      </c>
      <c r="AT175" s="118">
        <v>40.823874850000003</v>
      </c>
      <c r="AU175" s="118">
        <v>191.7</v>
      </c>
      <c r="AV175" s="118">
        <v>234.1</v>
      </c>
      <c r="AW175" s="118">
        <v>8.01</v>
      </c>
      <c r="AX175" s="118">
        <v>-83.9</v>
      </c>
      <c r="AY175" s="118">
        <v>11.9</v>
      </c>
      <c r="AZ175" s="118">
        <v>0</v>
      </c>
      <c r="BA175" s="118">
        <v>26.021999999999998</v>
      </c>
      <c r="BB175" s="118">
        <v>2.38</v>
      </c>
      <c r="BC175" s="118">
        <v>0</v>
      </c>
    </row>
    <row r="176" spans="1:55" x14ac:dyDescent="0.25">
      <c r="A176" s="118" t="s">
        <v>609</v>
      </c>
      <c r="AG176" s="118">
        <v>740.3</v>
      </c>
      <c r="AH176" s="118">
        <v>619.20000000000005</v>
      </c>
      <c r="AI176" s="118">
        <v>632.29999999999995</v>
      </c>
      <c r="AJ176" s="118">
        <v>411</v>
      </c>
      <c r="AK176" s="118">
        <v>0.31</v>
      </c>
      <c r="AL176" s="118">
        <v>633.6</v>
      </c>
      <c r="AM176" s="118">
        <v>0.438</v>
      </c>
      <c r="AN176" s="118">
        <v>0.45300000000000001</v>
      </c>
      <c r="AO176" s="118">
        <v>0.622</v>
      </c>
      <c r="AP176" s="118">
        <v>86.5</v>
      </c>
      <c r="AQ176" s="118">
        <v>7.28</v>
      </c>
      <c r="AR176" s="118">
        <v>88.7</v>
      </c>
      <c r="AS176" s="118">
        <v>-86.781764559999999</v>
      </c>
      <c r="AT176" s="118">
        <v>40.834882550000003</v>
      </c>
      <c r="AU176" s="118">
        <v>195.9</v>
      </c>
      <c r="AV176" s="118">
        <v>184.8</v>
      </c>
      <c r="AW176" s="118">
        <v>7.85</v>
      </c>
      <c r="AX176" s="118">
        <v>-73.900000000000006</v>
      </c>
      <c r="AY176" s="118">
        <v>11.9</v>
      </c>
      <c r="AZ176" s="118">
        <v>0</v>
      </c>
      <c r="BA176" s="118">
        <v>23.914000000000001</v>
      </c>
      <c r="BB176" s="118">
        <v>2.41</v>
      </c>
      <c r="BC176" s="118">
        <v>0</v>
      </c>
    </row>
    <row r="177" spans="1:55" x14ac:dyDescent="0.25">
      <c r="A177" s="118" t="s">
        <v>610</v>
      </c>
      <c r="AG177" s="118">
        <v>740.8</v>
      </c>
      <c r="AH177" s="118">
        <v>619</v>
      </c>
      <c r="AI177" s="118">
        <v>626.6</v>
      </c>
      <c r="AJ177" s="118">
        <v>407</v>
      </c>
      <c r="AK177" s="118">
        <v>0.3</v>
      </c>
      <c r="AL177" s="118">
        <v>627.4</v>
      </c>
      <c r="AM177" s="118">
        <v>0.38500000000000001</v>
      </c>
      <c r="AN177" s="118">
        <v>0.45100000000000001</v>
      </c>
      <c r="AO177" s="118">
        <v>0.54600000000000004</v>
      </c>
      <c r="AP177" s="118">
        <v>90.7</v>
      </c>
      <c r="AQ177" s="118">
        <v>7.57</v>
      </c>
      <c r="AR177" s="118">
        <v>93.1</v>
      </c>
      <c r="AS177" s="118">
        <v>-86.794299730000006</v>
      </c>
      <c r="AT177" s="118">
        <v>40.81108966</v>
      </c>
      <c r="AU177" s="118">
        <v>194.1</v>
      </c>
      <c r="AV177" s="118">
        <v>230.3</v>
      </c>
      <c r="AW177" s="118">
        <v>7.84</v>
      </c>
      <c r="AX177" s="118">
        <v>-73.8</v>
      </c>
      <c r="AY177" s="118">
        <v>11.9</v>
      </c>
      <c r="AZ177" s="118">
        <v>0</v>
      </c>
      <c r="BA177" s="118">
        <v>24.369</v>
      </c>
      <c r="BB177" s="118">
        <v>1.82</v>
      </c>
      <c r="BC177" s="118">
        <v>0</v>
      </c>
    </row>
    <row r="178" spans="1:55" x14ac:dyDescent="0.25">
      <c r="A178" s="118" t="s">
        <v>611</v>
      </c>
      <c r="AG178" s="118">
        <v>740.7</v>
      </c>
      <c r="AH178" s="118">
        <v>613.5</v>
      </c>
      <c r="AI178" s="118">
        <v>621.29999999999995</v>
      </c>
      <c r="AJ178" s="118">
        <v>404</v>
      </c>
      <c r="AK178" s="118">
        <v>0.3</v>
      </c>
      <c r="AL178" s="118">
        <v>622.1</v>
      </c>
      <c r="AM178" s="118">
        <v>0.44</v>
      </c>
      <c r="AN178" s="118">
        <v>0.436</v>
      </c>
      <c r="AO178" s="118">
        <v>0.624</v>
      </c>
      <c r="AP178" s="118">
        <v>103.7</v>
      </c>
      <c r="AQ178" s="118">
        <v>8.67</v>
      </c>
      <c r="AR178" s="118">
        <v>106.5</v>
      </c>
      <c r="AS178" s="118">
        <v>-86.774830640000005</v>
      </c>
      <c r="AT178" s="118">
        <v>40.804242270000003</v>
      </c>
      <c r="AU178" s="118">
        <v>199.5</v>
      </c>
      <c r="AV178" s="118">
        <v>229.6</v>
      </c>
      <c r="AW178" s="118">
        <v>7.89</v>
      </c>
      <c r="AX178" s="118">
        <v>-76.7</v>
      </c>
      <c r="AY178" s="118">
        <v>11.9</v>
      </c>
      <c r="AZ178" s="118">
        <v>0</v>
      </c>
      <c r="BA178" s="118">
        <v>24.343</v>
      </c>
      <c r="BB178" s="118">
        <v>2.31</v>
      </c>
      <c r="BC178" s="118">
        <v>0</v>
      </c>
    </row>
    <row r="179" spans="1:55" x14ac:dyDescent="0.25">
      <c r="A179" s="118" t="s">
        <v>612</v>
      </c>
      <c r="AG179" s="118">
        <v>740.7</v>
      </c>
      <c r="AH179" s="118">
        <v>615.4</v>
      </c>
      <c r="AI179" s="118">
        <v>620</v>
      </c>
      <c r="AJ179" s="118">
        <v>403</v>
      </c>
      <c r="AK179" s="118">
        <v>0.3</v>
      </c>
      <c r="AL179" s="118">
        <v>620.5</v>
      </c>
      <c r="AM179" s="118">
        <v>0.36399999999999999</v>
      </c>
      <c r="AN179" s="118">
        <v>0.379</v>
      </c>
      <c r="AO179" s="118">
        <v>0.51700000000000002</v>
      </c>
      <c r="AP179" s="118">
        <v>117.7</v>
      </c>
      <c r="AQ179" s="118">
        <v>9.7799999999999994</v>
      </c>
      <c r="AR179" s="118">
        <v>120.8</v>
      </c>
      <c r="AS179" s="118">
        <v>-86.774344880000001</v>
      </c>
      <c r="AT179" s="118">
        <v>40.794689409999997</v>
      </c>
      <c r="AU179" s="118">
        <v>200.2</v>
      </c>
      <c r="AV179" s="118">
        <v>226.6</v>
      </c>
      <c r="AW179" s="118">
        <v>8.0500000000000007</v>
      </c>
      <c r="AX179" s="118">
        <v>-86.1</v>
      </c>
      <c r="AY179" s="118">
        <v>12</v>
      </c>
      <c r="AZ179" s="118">
        <v>0</v>
      </c>
      <c r="BA179" s="118">
        <v>24.609000000000002</v>
      </c>
      <c r="BB179" s="118">
        <v>2.06</v>
      </c>
      <c r="BC179" s="118">
        <v>0</v>
      </c>
    </row>
    <row r="180" spans="1:55" x14ac:dyDescent="0.25">
      <c r="A180" s="118" t="s">
        <v>613</v>
      </c>
      <c r="AG180" s="118">
        <v>740.5</v>
      </c>
      <c r="AH180" s="118">
        <v>610.79999999999995</v>
      </c>
      <c r="AI180" s="118">
        <v>612.5</v>
      </c>
      <c r="AJ180" s="118">
        <v>398</v>
      </c>
      <c r="AK180" s="118">
        <v>0.3</v>
      </c>
      <c r="AL180" s="118">
        <v>612.70000000000005</v>
      </c>
      <c r="AM180" s="118">
        <v>0.57599999999999996</v>
      </c>
      <c r="AN180" s="118">
        <v>0.57099999999999995</v>
      </c>
      <c r="AO180" s="118">
        <v>0.81699999999999995</v>
      </c>
      <c r="AP180" s="118">
        <v>128.4</v>
      </c>
      <c r="AQ180" s="118">
        <v>10.62</v>
      </c>
      <c r="AR180" s="118">
        <v>131.69999999999999</v>
      </c>
      <c r="AS180" s="118">
        <v>-86.772130180000005</v>
      </c>
      <c r="AT180" s="118">
        <v>40.78862204</v>
      </c>
      <c r="AU180" s="118">
        <v>198.1</v>
      </c>
      <c r="AV180" s="118">
        <v>207.5</v>
      </c>
      <c r="AW180" s="118">
        <v>8.07</v>
      </c>
      <c r="AX180" s="118">
        <v>-87.4</v>
      </c>
      <c r="AY180" s="118">
        <v>11.9</v>
      </c>
      <c r="AZ180" s="118">
        <v>0</v>
      </c>
      <c r="BA180" s="118">
        <v>24.858000000000001</v>
      </c>
      <c r="BB180" s="118">
        <v>2.3199999999999998</v>
      </c>
      <c r="BC180" s="118">
        <v>0</v>
      </c>
    </row>
    <row r="181" spans="1:55" x14ac:dyDescent="0.25">
      <c r="A181" s="118" t="s">
        <v>614</v>
      </c>
      <c r="AG181" s="118">
        <v>740.6</v>
      </c>
      <c r="AH181" s="118">
        <v>612.79999999999995</v>
      </c>
      <c r="AI181" s="118">
        <v>613.70000000000005</v>
      </c>
      <c r="AJ181" s="118">
        <v>399</v>
      </c>
      <c r="AK181" s="118">
        <v>0.3</v>
      </c>
      <c r="AL181" s="118">
        <v>613.70000000000005</v>
      </c>
      <c r="AM181" s="118">
        <v>0.54800000000000004</v>
      </c>
      <c r="AN181" s="118">
        <v>0.63300000000000001</v>
      </c>
      <c r="AO181" s="118">
        <v>0.77800000000000002</v>
      </c>
      <c r="AP181" s="118">
        <v>133.1</v>
      </c>
      <c r="AQ181" s="118">
        <v>11</v>
      </c>
      <c r="AR181" s="118">
        <v>136.6</v>
      </c>
      <c r="AS181" s="118">
        <v>-86.762205379999997</v>
      </c>
      <c r="AT181" s="118">
        <v>40.782380209999999</v>
      </c>
      <c r="AU181" s="118">
        <v>194</v>
      </c>
      <c r="AV181" s="118">
        <v>152.6</v>
      </c>
      <c r="AW181" s="118">
        <v>8.18</v>
      </c>
      <c r="AX181" s="118">
        <v>-93.7</v>
      </c>
      <c r="AY181" s="118">
        <v>11.9</v>
      </c>
      <c r="AZ181" s="118">
        <v>0</v>
      </c>
      <c r="BA181" s="118">
        <v>24.925999999999998</v>
      </c>
      <c r="BB181" s="118">
        <v>1.69</v>
      </c>
      <c r="BC181" s="118">
        <v>0</v>
      </c>
    </row>
    <row r="182" spans="1:55" x14ac:dyDescent="0.25">
      <c r="A182" s="118" t="s">
        <v>615</v>
      </c>
      <c r="AG182" s="118">
        <v>740.8</v>
      </c>
      <c r="AH182" s="118">
        <v>618.79999999999995</v>
      </c>
      <c r="AI182" s="118">
        <v>628.29999999999995</v>
      </c>
      <c r="AJ182" s="118">
        <v>408</v>
      </c>
      <c r="AK182" s="118">
        <v>0.3</v>
      </c>
      <c r="AL182" s="118">
        <v>629.29999999999995</v>
      </c>
      <c r="AM182" s="118">
        <v>0.41599999999999998</v>
      </c>
      <c r="AN182" s="118">
        <v>0.43099999999999999</v>
      </c>
      <c r="AO182" s="118">
        <v>0.59099999999999997</v>
      </c>
      <c r="AP182" s="118">
        <v>91.9</v>
      </c>
      <c r="AQ182" s="118">
        <v>7.69</v>
      </c>
      <c r="AR182" s="118">
        <v>94.3</v>
      </c>
      <c r="AS182" s="118">
        <v>-86.785247049999995</v>
      </c>
      <c r="AT182" s="118">
        <v>40.807313710000003</v>
      </c>
      <c r="AU182" s="118">
        <v>195.6</v>
      </c>
      <c r="AV182" s="118">
        <v>110.5</v>
      </c>
      <c r="AW182" s="118">
        <v>7.88</v>
      </c>
      <c r="AX182" s="118">
        <v>-75.7</v>
      </c>
      <c r="AY182" s="118">
        <v>11.9</v>
      </c>
      <c r="AZ182" s="118">
        <v>0</v>
      </c>
      <c r="BA182" s="118">
        <v>24.206</v>
      </c>
      <c r="BB182" s="118">
        <v>1.91</v>
      </c>
      <c r="BC182" s="118">
        <v>0</v>
      </c>
    </row>
    <row r="183" spans="1:55" x14ac:dyDescent="0.25">
      <c r="A183" s="118" t="s">
        <v>616</v>
      </c>
      <c r="AG183" s="118">
        <v>740.65000000000009</v>
      </c>
      <c r="AH183" s="118">
        <v>613.04999999999995</v>
      </c>
      <c r="AI183" s="118">
        <v>624</v>
      </c>
      <c r="AJ183" s="118">
        <v>406</v>
      </c>
      <c r="AK183" s="118">
        <v>0.3</v>
      </c>
      <c r="AL183" s="118">
        <v>625.09999999999991</v>
      </c>
      <c r="AM183" s="118">
        <v>0.40899999999999997</v>
      </c>
      <c r="AN183" s="118">
        <v>0.4345</v>
      </c>
      <c r="AO183" s="118">
        <v>0.58099999999999996</v>
      </c>
      <c r="AP183" s="118">
        <v>102.75</v>
      </c>
      <c r="AQ183" s="118">
        <v>8.620000000000001</v>
      </c>
      <c r="AR183" s="118">
        <v>105.44999999999999</v>
      </c>
      <c r="AS183" s="118">
        <v>-86.777779629999998</v>
      </c>
      <c r="AT183" s="118">
        <v>40.799243930000003</v>
      </c>
      <c r="AU183" s="118">
        <v>194.5</v>
      </c>
      <c r="AV183" s="118">
        <v>194.2</v>
      </c>
      <c r="AW183" s="118">
        <v>7.93</v>
      </c>
      <c r="AX183" s="118">
        <v>-78.75</v>
      </c>
      <c r="AY183" s="118">
        <v>11.9</v>
      </c>
      <c r="AZ183" s="118">
        <v>0</v>
      </c>
      <c r="BA183" s="118">
        <v>24.0825</v>
      </c>
      <c r="BB183" s="118">
        <v>2.46</v>
      </c>
      <c r="BC183" s="118">
        <v>0</v>
      </c>
    </row>
    <row r="184" spans="1:55" x14ac:dyDescent="0.25">
      <c r="A184" s="118" t="s">
        <v>593</v>
      </c>
      <c r="AG184" s="118">
        <v>741.7</v>
      </c>
      <c r="AH184" s="118">
        <v>426.7</v>
      </c>
      <c r="AI184" s="118">
        <v>404.9</v>
      </c>
      <c r="AJ184" s="118">
        <v>263</v>
      </c>
      <c r="AK184" s="118">
        <v>0.19</v>
      </c>
      <c r="AL184" s="118">
        <v>402.5</v>
      </c>
      <c r="AM184" s="118">
        <v>0.505</v>
      </c>
      <c r="AN184" s="118">
        <v>0.51700000000000002</v>
      </c>
      <c r="AO184" s="118">
        <v>0.71499999999999997</v>
      </c>
      <c r="AP184" s="118">
        <v>146.5</v>
      </c>
      <c r="AQ184" s="118">
        <v>11.49</v>
      </c>
      <c r="AR184" s="118">
        <v>150.1</v>
      </c>
      <c r="AS184" s="118">
        <v>-85.888437839999995</v>
      </c>
      <c r="AT184" s="118">
        <v>40.681490879999998</v>
      </c>
      <c r="AU184" s="118">
        <v>227.3</v>
      </c>
      <c r="AV184" s="118">
        <v>181.9</v>
      </c>
      <c r="AW184" s="118">
        <v>8.64</v>
      </c>
      <c r="AX184" s="118">
        <v>-117.9</v>
      </c>
      <c r="AY184" s="118">
        <v>11.9</v>
      </c>
      <c r="AZ184" s="118">
        <v>0</v>
      </c>
      <c r="BA184" s="118">
        <v>27.827999999999999</v>
      </c>
      <c r="BB184" s="118">
        <v>4.7300000000000004</v>
      </c>
      <c r="BC184" s="118">
        <v>0</v>
      </c>
    </row>
    <row r="185" spans="1:55" x14ac:dyDescent="0.25">
      <c r="A185" s="118" t="s">
        <v>594</v>
      </c>
      <c r="AG185" s="118">
        <v>742</v>
      </c>
      <c r="AH185" s="118">
        <v>428.4</v>
      </c>
      <c r="AI185" s="118">
        <v>407.6</v>
      </c>
      <c r="AJ185" s="118">
        <v>265</v>
      </c>
      <c r="AK185" s="118">
        <v>0.19</v>
      </c>
      <c r="AL185" s="118">
        <v>405.4</v>
      </c>
      <c r="AM185" s="118">
        <v>0.54400000000000004</v>
      </c>
      <c r="AN185" s="118">
        <v>0.53700000000000003</v>
      </c>
      <c r="AO185" s="118">
        <v>0.77100000000000002</v>
      </c>
      <c r="AP185" s="118">
        <v>136.80000000000001</v>
      </c>
      <c r="AQ185" s="118">
        <v>10.76</v>
      </c>
      <c r="AR185" s="118">
        <v>140.19999999999999</v>
      </c>
      <c r="AS185" s="118">
        <v>-85.876832719999996</v>
      </c>
      <c r="AT185" s="118">
        <v>40.676903039999999</v>
      </c>
      <c r="AU185" s="118">
        <v>225.7</v>
      </c>
      <c r="AV185" s="118">
        <v>175.1</v>
      </c>
      <c r="AW185" s="118">
        <v>8.56</v>
      </c>
      <c r="AX185" s="118">
        <v>-113.5</v>
      </c>
      <c r="AY185" s="118">
        <v>11.9</v>
      </c>
      <c r="AZ185" s="118">
        <v>0</v>
      </c>
      <c r="BA185" s="118">
        <v>27.677</v>
      </c>
      <c r="BB185" s="118">
        <v>4.5999999999999996</v>
      </c>
      <c r="BC185" s="118">
        <v>0</v>
      </c>
    </row>
    <row r="186" spans="1:55" x14ac:dyDescent="0.25">
      <c r="A186" s="118" t="s">
        <v>595</v>
      </c>
      <c r="AG186" s="118">
        <v>742</v>
      </c>
      <c r="AH186" s="118">
        <v>428.3</v>
      </c>
      <c r="AI186" s="118">
        <v>408.3</v>
      </c>
      <c r="AJ186" s="118">
        <v>265</v>
      </c>
      <c r="AK186" s="118">
        <v>0.19</v>
      </c>
      <c r="AL186" s="118">
        <v>406.2</v>
      </c>
      <c r="AM186" s="118">
        <v>0.48499999999999999</v>
      </c>
      <c r="AN186" s="118">
        <v>0.42599999999999999</v>
      </c>
      <c r="AO186" s="118">
        <v>0.68700000000000006</v>
      </c>
      <c r="AP186" s="118">
        <v>141.30000000000001</v>
      </c>
      <c r="AQ186" s="118">
        <v>11.14</v>
      </c>
      <c r="AR186" s="118">
        <v>144.80000000000001</v>
      </c>
      <c r="AS186" s="118">
        <v>-85.870116289999999</v>
      </c>
      <c r="AT186" s="118">
        <v>40.67062026</v>
      </c>
      <c r="AU186" s="118">
        <v>225.2</v>
      </c>
      <c r="AV186" s="118">
        <v>197</v>
      </c>
      <c r="AW186" s="118">
        <v>8.56</v>
      </c>
      <c r="AX186" s="118">
        <v>-113.3</v>
      </c>
      <c r="AY186" s="118">
        <v>11.9</v>
      </c>
      <c r="AZ186" s="118">
        <v>0</v>
      </c>
      <c r="BA186" s="118">
        <v>27.565000000000001</v>
      </c>
      <c r="BB186" s="118">
        <v>4.12</v>
      </c>
      <c r="BC186" s="118">
        <v>0</v>
      </c>
    </row>
    <row r="187" spans="1:55" x14ac:dyDescent="0.25">
      <c r="A187" s="118" t="s">
        <v>596</v>
      </c>
      <c r="AG187" s="118">
        <v>741.8</v>
      </c>
      <c r="AH187" s="118">
        <v>433.6</v>
      </c>
      <c r="AI187" s="118">
        <v>414.9</v>
      </c>
      <c r="AJ187" s="118">
        <v>270</v>
      </c>
      <c r="AK187" s="118">
        <v>0.2</v>
      </c>
      <c r="AL187" s="118">
        <v>412.9</v>
      </c>
      <c r="AM187" s="118">
        <v>0.52500000000000002</v>
      </c>
      <c r="AN187" s="118">
        <v>0.497</v>
      </c>
      <c r="AO187" s="118">
        <v>0.74399999999999999</v>
      </c>
      <c r="AP187" s="118">
        <v>139.9</v>
      </c>
      <c r="AQ187" s="118">
        <v>11.06</v>
      </c>
      <c r="AR187" s="118">
        <v>143.30000000000001</v>
      </c>
      <c r="AS187" s="118">
        <v>-85.866443680000003</v>
      </c>
      <c r="AT187" s="118">
        <v>40.663147299999999</v>
      </c>
      <c r="AU187" s="118">
        <v>223.3</v>
      </c>
      <c r="AV187" s="118">
        <v>200.2</v>
      </c>
      <c r="AW187" s="118">
        <v>8.5500000000000007</v>
      </c>
      <c r="AX187" s="118">
        <v>-112.9</v>
      </c>
      <c r="AY187" s="118">
        <v>11.9</v>
      </c>
      <c r="AZ187" s="118">
        <v>0</v>
      </c>
      <c r="BA187" s="118">
        <v>27.361000000000001</v>
      </c>
      <c r="BB187" s="118">
        <v>4.41</v>
      </c>
      <c r="BC187" s="118">
        <v>0</v>
      </c>
    </row>
    <row r="188" spans="1:55" x14ac:dyDescent="0.25">
      <c r="A188" s="118" t="s">
        <v>597</v>
      </c>
      <c r="AG188" s="118">
        <v>741.6</v>
      </c>
      <c r="AH188" s="118">
        <v>444.8</v>
      </c>
      <c r="AI188" s="118">
        <v>424.4</v>
      </c>
      <c r="AJ188" s="118">
        <v>276</v>
      </c>
      <c r="AK188" s="118">
        <v>0.2</v>
      </c>
      <c r="AL188" s="118">
        <v>422.2</v>
      </c>
      <c r="AM188" s="118">
        <v>0.53800000000000003</v>
      </c>
      <c r="AN188" s="118">
        <v>0.55100000000000005</v>
      </c>
      <c r="AO188" s="118">
        <v>0.76200000000000001</v>
      </c>
      <c r="AP188" s="118">
        <v>137</v>
      </c>
      <c r="AQ188" s="118">
        <v>10.8</v>
      </c>
      <c r="AR188" s="118">
        <v>140.4</v>
      </c>
      <c r="AS188" s="118">
        <v>-85.847722300000001</v>
      </c>
      <c r="AT188" s="118">
        <v>40.668686630000003</v>
      </c>
      <c r="AU188" s="118">
        <v>226.1</v>
      </c>
      <c r="AV188" s="118">
        <v>103.4</v>
      </c>
      <c r="AW188" s="118">
        <v>8.5</v>
      </c>
      <c r="AX188" s="118">
        <v>-109.9</v>
      </c>
      <c r="AY188" s="118">
        <v>11.9</v>
      </c>
      <c r="AZ188" s="118">
        <v>0</v>
      </c>
      <c r="BA188" s="118">
        <v>27.527999999999999</v>
      </c>
      <c r="BB188" s="118">
        <v>5.54</v>
      </c>
      <c r="BC188" s="118">
        <v>0</v>
      </c>
    </row>
    <row r="189" spans="1:55" x14ac:dyDescent="0.25">
      <c r="A189" s="118" t="s">
        <v>598</v>
      </c>
      <c r="AG189" s="118">
        <v>740.6</v>
      </c>
      <c r="AH189" s="118">
        <v>445.7</v>
      </c>
      <c r="AI189" s="118">
        <v>423.1</v>
      </c>
      <c r="AJ189" s="118">
        <v>275</v>
      </c>
      <c r="AK189" s="118">
        <v>0.2</v>
      </c>
      <c r="AL189" s="118">
        <v>420.7</v>
      </c>
      <c r="AM189" s="118">
        <v>0.5</v>
      </c>
      <c r="AN189" s="118">
        <v>0.5</v>
      </c>
      <c r="AO189" s="118">
        <v>0.70799999999999996</v>
      </c>
      <c r="AP189" s="118">
        <v>147.4</v>
      </c>
      <c r="AQ189" s="118">
        <v>11.57</v>
      </c>
      <c r="AR189" s="118">
        <v>151</v>
      </c>
      <c r="AS189" s="118">
        <v>-85.831848600000001</v>
      </c>
      <c r="AT189" s="118">
        <v>40.673695629999997</v>
      </c>
      <c r="AU189" s="118">
        <v>225.9</v>
      </c>
      <c r="AV189" s="118">
        <v>172.7</v>
      </c>
      <c r="AW189" s="118">
        <v>8.57</v>
      </c>
      <c r="AX189" s="118">
        <v>-114.1</v>
      </c>
      <c r="AY189" s="118">
        <v>11.9</v>
      </c>
      <c r="AZ189" s="118">
        <v>0</v>
      </c>
      <c r="BA189" s="118">
        <v>27.795999999999999</v>
      </c>
      <c r="BB189" s="118">
        <v>5.81</v>
      </c>
      <c r="BC189" s="118">
        <v>0</v>
      </c>
    </row>
    <row r="190" spans="1:55" x14ac:dyDescent="0.25">
      <c r="A190" s="118" t="s">
        <v>599</v>
      </c>
      <c r="AG190" s="118">
        <v>740.3</v>
      </c>
      <c r="AH190" s="118">
        <v>427.5</v>
      </c>
      <c r="AI190" s="118">
        <v>409</v>
      </c>
      <c r="AJ190" s="118">
        <v>266</v>
      </c>
      <c r="AK190" s="118">
        <v>0.19</v>
      </c>
      <c r="AL190" s="118">
        <v>407</v>
      </c>
      <c r="AM190" s="118">
        <v>0.5</v>
      </c>
      <c r="AN190" s="118">
        <v>0.49299999999999999</v>
      </c>
      <c r="AO190" s="118">
        <v>0.70799999999999996</v>
      </c>
      <c r="AP190" s="118">
        <v>131</v>
      </c>
      <c r="AQ190" s="118">
        <v>10.36</v>
      </c>
      <c r="AR190" s="118">
        <v>134.19999999999999</v>
      </c>
      <c r="AS190" s="118">
        <v>-85.896255859999997</v>
      </c>
      <c r="AT190" s="118">
        <v>40.688228729999999</v>
      </c>
      <c r="AU190" s="118">
        <v>222</v>
      </c>
      <c r="AV190" s="118">
        <v>193.1</v>
      </c>
      <c r="AW190" s="118">
        <v>8.4700000000000006</v>
      </c>
      <c r="AX190" s="118">
        <v>-107.7</v>
      </c>
      <c r="AY190" s="118">
        <v>11.9</v>
      </c>
      <c r="AZ190" s="118">
        <v>0</v>
      </c>
      <c r="BA190" s="118">
        <v>27.375</v>
      </c>
      <c r="BB190" s="118">
        <v>4.07</v>
      </c>
      <c r="BC190" s="118">
        <v>0</v>
      </c>
    </row>
    <row r="191" spans="1:55" x14ac:dyDescent="0.25">
      <c r="A191" s="118" t="s">
        <v>600</v>
      </c>
      <c r="AG191" s="118">
        <v>740.2</v>
      </c>
      <c r="AH191" s="118">
        <v>424.7</v>
      </c>
      <c r="AI191" s="118">
        <v>406.9</v>
      </c>
      <c r="AJ191" s="118">
        <v>264</v>
      </c>
      <c r="AK191" s="118">
        <v>0.19</v>
      </c>
      <c r="AL191" s="118">
        <v>405</v>
      </c>
      <c r="AM191" s="118">
        <v>0.53400000000000003</v>
      </c>
      <c r="AN191" s="118">
        <v>0.53400000000000003</v>
      </c>
      <c r="AO191" s="118">
        <v>0.75600000000000001</v>
      </c>
      <c r="AP191" s="118">
        <v>129.80000000000001</v>
      </c>
      <c r="AQ191" s="118">
        <v>10.28</v>
      </c>
      <c r="AR191" s="118">
        <v>133</v>
      </c>
      <c r="AS191" s="118">
        <v>-85.908045490000006</v>
      </c>
      <c r="AT191" s="118">
        <v>40.691769909999998</v>
      </c>
      <c r="AU191" s="118">
        <v>222.9</v>
      </c>
      <c r="AV191" s="118">
        <v>149.80000000000001</v>
      </c>
      <c r="AW191" s="118">
        <v>8.4700000000000006</v>
      </c>
      <c r="AX191" s="118">
        <v>-108</v>
      </c>
      <c r="AY191" s="118">
        <v>11.9</v>
      </c>
      <c r="AZ191" s="118">
        <v>0</v>
      </c>
      <c r="BA191" s="118">
        <v>27.294</v>
      </c>
      <c r="BB191" s="118">
        <v>3.76</v>
      </c>
      <c r="BC191" s="118">
        <v>0</v>
      </c>
    </row>
    <row r="192" spans="1:55" x14ac:dyDescent="0.25">
      <c r="A192" s="118" t="s">
        <v>601</v>
      </c>
      <c r="AG192" s="118">
        <v>740.5</v>
      </c>
      <c r="AH192" s="118">
        <v>423.6</v>
      </c>
      <c r="AI192" s="118">
        <v>403</v>
      </c>
      <c r="AJ192" s="118">
        <v>262</v>
      </c>
      <c r="AK192" s="118">
        <v>0.19</v>
      </c>
      <c r="AL192" s="118">
        <v>400.8</v>
      </c>
      <c r="AM192" s="118">
        <v>0.51700000000000002</v>
      </c>
      <c r="AN192" s="118">
        <v>0.53100000000000003</v>
      </c>
      <c r="AO192" s="118">
        <v>0.73299999999999998</v>
      </c>
      <c r="AP192" s="118">
        <v>135.5</v>
      </c>
      <c r="AQ192" s="118">
        <v>10.65</v>
      </c>
      <c r="AR192" s="118">
        <v>138.80000000000001</v>
      </c>
      <c r="AS192" s="118">
        <v>-85.929936429999998</v>
      </c>
      <c r="AT192" s="118">
        <v>40.704245139999998</v>
      </c>
      <c r="AU192" s="118">
        <v>225.4</v>
      </c>
      <c r="AV192" s="118">
        <v>170.8</v>
      </c>
      <c r="AW192" s="118">
        <v>8.52</v>
      </c>
      <c r="AX192" s="118">
        <v>-111</v>
      </c>
      <c r="AY192" s="118">
        <v>12</v>
      </c>
      <c r="AZ192" s="118">
        <v>0</v>
      </c>
      <c r="BA192" s="118">
        <v>27.678000000000001</v>
      </c>
      <c r="BB192" s="118">
        <v>4.4800000000000004</v>
      </c>
      <c r="BC192" s="118">
        <v>0</v>
      </c>
    </row>
    <row r="193" spans="1:55" x14ac:dyDescent="0.25">
      <c r="A193" s="118" t="s">
        <v>602</v>
      </c>
      <c r="AG193" s="118">
        <v>740.4</v>
      </c>
      <c r="AH193" s="118">
        <v>425.9</v>
      </c>
      <c r="AI193" s="118">
        <v>407.4</v>
      </c>
      <c r="AJ193" s="118">
        <v>265</v>
      </c>
      <c r="AK193" s="118">
        <v>0.19</v>
      </c>
      <c r="AL193" s="118">
        <v>405.4</v>
      </c>
      <c r="AM193" s="118" t="s">
        <v>660</v>
      </c>
      <c r="AN193" s="118">
        <v>0.505</v>
      </c>
      <c r="AO193" s="118">
        <v>0.72299999999999998</v>
      </c>
      <c r="AP193" s="118">
        <v>132.80000000000001</v>
      </c>
      <c r="AQ193" s="118">
        <v>10.5</v>
      </c>
      <c r="AR193" s="118">
        <v>136</v>
      </c>
      <c r="AS193" s="118">
        <v>-85.920207149999996</v>
      </c>
      <c r="AT193" s="118">
        <v>40.693404710000003</v>
      </c>
      <c r="AU193" s="118">
        <v>227.6</v>
      </c>
      <c r="AV193" s="118">
        <v>168</v>
      </c>
      <c r="AW193" s="118">
        <v>8.5</v>
      </c>
      <c r="AX193" s="118">
        <v>-109.7</v>
      </c>
      <c r="AY193" s="118">
        <v>11.9</v>
      </c>
      <c r="AZ193" s="118">
        <v>0</v>
      </c>
      <c r="BA193" s="118">
        <v>27.381</v>
      </c>
      <c r="BB193" s="118">
        <v>3.82</v>
      </c>
      <c r="BC193" s="118">
        <v>0</v>
      </c>
    </row>
    <row r="194" spans="1:55" x14ac:dyDescent="0.25">
      <c r="A194" s="118" t="s">
        <v>603</v>
      </c>
      <c r="AG194" s="118">
        <v>740.6</v>
      </c>
      <c r="AH194" s="118">
        <v>423.6</v>
      </c>
      <c r="AI194" s="118">
        <v>404.9</v>
      </c>
      <c r="AJ194" s="118">
        <v>263</v>
      </c>
      <c r="AK194" s="118">
        <v>0.19</v>
      </c>
      <c r="AL194" s="118">
        <v>402.9</v>
      </c>
      <c r="AM194" s="118">
        <v>0.5</v>
      </c>
      <c r="AN194" s="118">
        <v>0.47899999999999998</v>
      </c>
      <c r="AO194" s="118">
        <v>0.70899999999999996</v>
      </c>
      <c r="AP194" s="118">
        <v>130</v>
      </c>
      <c r="AQ194" s="118">
        <v>10.27</v>
      </c>
      <c r="AR194" s="118">
        <v>133.19999999999999</v>
      </c>
      <c r="AS194" s="118">
        <v>-85.938439169999995</v>
      </c>
      <c r="AT194" s="118">
        <v>40.710934469999998</v>
      </c>
      <c r="AU194" s="118">
        <v>224.5</v>
      </c>
      <c r="AV194" s="118">
        <v>194</v>
      </c>
      <c r="AW194" s="118">
        <v>8.49</v>
      </c>
      <c r="AX194" s="118">
        <v>-108.8</v>
      </c>
      <c r="AY194" s="118">
        <v>12</v>
      </c>
      <c r="AZ194" s="118">
        <v>0</v>
      </c>
      <c r="BA194" s="118">
        <v>27.407</v>
      </c>
      <c r="BB194" s="118">
        <v>4.0599999999999996</v>
      </c>
      <c r="BC194" s="118">
        <v>0</v>
      </c>
    </row>
    <row r="195" spans="1:55" x14ac:dyDescent="0.25">
      <c r="A195" s="118" t="s">
        <v>604</v>
      </c>
      <c r="AG195" s="118">
        <v>741.1</v>
      </c>
      <c r="AH195" s="118">
        <v>447.3</v>
      </c>
      <c r="AI195" s="118">
        <v>426.4</v>
      </c>
      <c r="AJ195" s="118">
        <v>277</v>
      </c>
      <c r="AK195" s="118">
        <v>0.2</v>
      </c>
      <c r="AL195" s="118">
        <v>424.1</v>
      </c>
      <c r="AM195" s="118">
        <v>0.49199999999999999</v>
      </c>
      <c r="AN195" s="118">
        <v>0.48099999999999998</v>
      </c>
      <c r="AO195" s="118">
        <v>0.69699999999999995</v>
      </c>
      <c r="AP195" s="118">
        <v>138.6</v>
      </c>
      <c r="AQ195" s="118">
        <v>10.92</v>
      </c>
      <c r="AR195" s="118">
        <v>142</v>
      </c>
      <c r="AS195" s="118">
        <v>-85.841071389999996</v>
      </c>
      <c r="AT195" s="118">
        <v>40.672590999999997</v>
      </c>
      <c r="AU195" s="118">
        <v>226.9</v>
      </c>
      <c r="AV195" s="118">
        <v>179.3</v>
      </c>
      <c r="AW195" s="118">
        <v>8.52</v>
      </c>
      <c r="AX195" s="118">
        <v>-111</v>
      </c>
      <c r="AY195" s="118">
        <v>11.9</v>
      </c>
      <c r="AZ195" s="118">
        <v>0</v>
      </c>
      <c r="BA195" s="118">
        <v>27.574999999999999</v>
      </c>
      <c r="BB195" s="118">
        <v>6.09</v>
      </c>
      <c r="BC195" s="118">
        <v>0</v>
      </c>
    </row>
    <row r="196" spans="1:55" x14ac:dyDescent="0.25">
      <c r="A196" s="118" t="s">
        <v>605</v>
      </c>
      <c r="AG196" s="118">
        <v>741.1</v>
      </c>
      <c r="AH196" s="118">
        <v>447.3</v>
      </c>
      <c r="AI196" s="118">
        <v>426.4</v>
      </c>
      <c r="AJ196" s="118">
        <v>277</v>
      </c>
      <c r="AK196" s="118">
        <v>0.2</v>
      </c>
      <c r="AL196" s="118">
        <v>424.1</v>
      </c>
      <c r="AM196" s="118">
        <v>0.49199999999999999</v>
      </c>
      <c r="AN196" s="118">
        <v>0.48099999999999998</v>
      </c>
      <c r="AO196" s="118">
        <v>0.69699999999999995</v>
      </c>
      <c r="AP196" s="118">
        <v>138.6</v>
      </c>
      <c r="AQ196" s="118">
        <v>10.92</v>
      </c>
      <c r="AR196" s="118">
        <v>142</v>
      </c>
      <c r="AS196" s="118">
        <v>-85.841521130000004</v>
      </c>
      <c r="AT196" s="118">
        <v>40.672565839999997</v>
      </c>
      <c r="AU196" s="118">
        <v>226.9</v>
      </c>
      <c r="AV196" s="118">
        <v>179.3</v>
      </c>
      <c r="AW196" s="118">
        <v>8.52</v>
      </c>
      <c r="AX196" s="118">
        <v>-111</v>
      </c>
      <c r="AY196" s="118">
        <v>11.9</v>
      </c>
      <c r="AZ196" s="118">
        <v>0</v>
      </c>
      <c r="BA196" s="118">
        <v>27.574999999999999</v>
      </c>
      <c r="BB196" s="118">
        <v>6.09</v>
      </c>
      <c r="BC196" s="118">
        <v>0</v>
      </c>
    </row>
    <row r="197" spans="1:55" x14ac:dyDescent="0.25">
      <c r="A197" s="118" t="s">
        <v>617</v>
      </c>
      <c r="AG197" s="118">
        <v>742.3</v>
      </c>
      <c r="AH197" s="118">
        <v>355.2</v>
      </c>
      <c r="AI197" s="118">
        <v>338</v>
      </c>
      <c r="AJ197" s="118">
        <v>220</v>
      </c>
      <c r="AK197" s="118">
        <v>0.16</v>
      </c>
      <c r="AL197" s="118">
        <v>336.1</v>
      </c>
      <c r="AM197" s="118">
        <v>0.49</v>
      </c>
      <c r="AN197" s="118">
        <v>0.48899999999999999</v>
      </c>
      <c r="AO197" s="118">
        <v>0.69399999999999995</v>
      </c>
      <c r="AP197" s="118">
        <v>155.1</v>
      </c>
      <c r="AQ197" s="118">
        <v>12.2</v>
      </c>
      <c r="AR197" s="118">
        <v>158.30000000000001</v>
      </c>
      <c r="AS197" s="118">
        <v>-85.645051519999996</v>
      </c>
      <c r="AT197" s="118">
        <v>40.772296269999998</v>
      </c>
      <c r="AU197" s="118">
        <v>226.1</v>
      </c>
      <c r="AV197" s="118">
        <v>223.8</v>
      </c>
      <c r="AW197" s="118">
        <v>8.56</v>
      </c>
      <c r="AX197" s="118">
        <v>-117.7</v>
      </c>
      <c r="AY197" s="118">
        <v>11.9</v>
      </c>
      <c r="AZ197" s="118">
        <v>0</v>
      </c>
      <c r="BA197" s="118">
        <v>27.663</v>
      </c>
      <c r="BB197" s="118">
        <v>4.78</v>
      </c>
      <c r="BC197" s="118">
        <v>0</v>
      </c>
    </row>
    <row r="198" spans="1:55" x14ac:dyDescent="0.25">
      <c r="A198" s="118" t="s">
        <v>618</v>
      </c>
      <c r="AG198" s="118">
        <v>743.2</v>
      </c>
      <c r="AH198" s="118">
        <v>356.3</v>
      </c>
      <c r="AI198" s="118">
        <v>340</v>
      </c>
      <c r="AJ198" s="118">
        <v>221</v>
      </c>
      <c r="AK198" s="118">
        <v>0.16</v>
      </c>
      <c r="AL198" s="118">
        <v>338.3</v>
      </c>
      <c r="AM198" s="118">
        <v>0.52</v>
      </c>
      <c r="AN198" s="118">
        <v>0.51300000000000001</v>
      </c>
      <c r="AO198" s="118">
        <v>0.73699999999999999</v>
      </c>
      <c r="AP198" s="118">
        <v>149.69999999999999</v>
      </c>
      <c r="AQ198" s="118">
        <v>11.81</v>
      </c>
      <c r="AR198" s="118">
        <v>152.80000000000001</v>
      </c>
      <c r="AS198" s="118">
        <v>-85.647150420000003</v>
      </c>
      <c r="AT198" s="118">
        <v>40.770774430000003</v>
      </c>
      <c r="AU198" s="118">
        <v>220.9</v>
      </c>
      <c r="AV198" s="118">
        <v>192.1</v>
      </c>
      <c r="AW198" s="118">
        <v>8.64</v>
      </c>
      <c r="AX198" s="118">
        <v>-122.3</v>
      </c>
      <c r="AY198" s="118">
        <v>11.9</v>
      </c>
      <c r="AZ198" s="118">
        <v>0</v>
      </c>
      <c r="BA198" s="118">
        <v>27.509</v>
      </c>
      <c r="BB198" s="118">
        <v>5.72</v>
      </c>
      <c r="BC198" s="118">
        <v>0</v>
      </c>
    </row>
    <row r="199" spans="1:55" x14ac:dyDescent="0.25">
      <c r="A199" s="118" t="s">
        <v>619</v>
      </c>
      <c r="AG199" s="118">
        <v>742.9</v>
      </c>
      <c r="AH199" s="118">
        <v>368.6</v>
      </c>
      <c r="AI199" s="118">
        <v>351.6</v>
      </c>
      <c r="AJ199" s="118">
        <v>229</v>
      </c>
      <c r="AK199" s="118">
        <v>0.17</v>
      </c>
      <c r="AL199" s="118">
        <v>349.7</v>
      </c>
      <c r="AM199" s="118">
        <v>0.53500000000000003</v>
      </c>
      <c r="AN199" s="118">
        <v>0.59699999999999998</v>
      </c>
      <c r="AO199" s="118">
        <v>0.75800000000000001</v>
      </c>
      <c r="AP199" s="118">
        <v>130.30000000000001</v>
      </c>
      <c r="AQ199" s="118">
        <v>10.28</v>
      </c>
      <c r="AR199" s="118">
        <v>133.1</v>
      </c>
      <c r="AS199" s="118">
        <v>-85.646588960000003</v>
      </c>
      <c r="AT199" s="118">
        <v>40.781075420000001</v>
      </c>
      <c r="AU199" s="118">
        <v>222.5</v>
      </c>
      <c r="AV199" s="118">
        <v>151.5</v>
      </c>
      <c r="AW199" s="118">
        <v>8.64</v>
      </c>
      <c r="AX199" s="118">
        <v>-122.1</v>
      </c>
      <c r="AY199" s="118">
        <v>11.9</v>
      </c>
      <c r="AZ199" s="118">
        <v>0</v>
      </c>
      <c r="BA199" s="118">
        <v>27.545000000000002</v>
      </c>
      <c r="BB199" s="118">
        <v>4.0999999999999996</v>
      </c>
      <c r="BC199" s="118">
        <v>0</v>
      </c>
    </row>
    <row r="200" spans="1:55" x14ac:dyDescent="0.25">
      <c r="A200" s="118" t="s">
        <v>620</v>
      </c>
      <c r="AG200" s="118">
        <v>742.6</v>
      </c>
      <c r="AH200" s="118">
        <v>368.8</v>
      </c>
      <c r="AI200" s="118">
        <v>351.8</v>
      </c>
      <c r="AJ200" s="118">
        <v>229</v>
      </c>
      <c r="AK200" s="118">
        <v>0.17</v>
      </c>
      <c r="AL200" s="118">
        <v>349.9</v>
      </c>
      <c r="AM200" s="118">
        <v>0.502</v>
      </c>
      <c r="AN200" s="118">
        <v>0.498</v>
      </c>
      <c r="AO200" s="118">
        <v>0.71199999999999997</v>
      </c>
      <c r="AP200" s="118">
        <v>130.4</v>
      </c>
      <c r="AQ200" s="118">
        <v>10.28</v>
      </c>
      <c r="AR200" s="118">
        <v>133.1</v>
      </c>
      <c r="AS200" s="118">
        <v>-85.638733939999995</v>
      </c>
      <c r="AT200" s="118">
        <v>40.783930470000001</v>
      </c>
      <c r="AU200" s="118">
        <v>226.2</v>
      </c>
      <c r="AV200" s="118">
        <v>168.6</v>
      </c>
      <c r="AW200" s="118">
        <v>8.64</v>
      </c>
      <c r="AX200" s="118">
        <v>-122.5</v>
      </c>
      <c r="AY200" s="118">
        <v>11.9</v>
      </c>
      <c r="AZ200" s="118">
        <v>0</v>
      </c>
      <c r="BA200" s="118">
        <v>27.533000000000001</v>
      </c>
      <c r="BB200" s="118">
        <v>4.18</v>
      </c>
      <c r="BC200" s="118">
        <v>0</v>
      </c>
    </row>
    <row r="201" spans="1:55" x14ac:dyDescent="0.25">
      <c r="A201" s="118" t="s">
        <v>621</v>
      </c>
      <c r="AG201" s="118">
        <v>741.4</v>
      </c>
      <c r="AH201" s="118">
        <v>371.1</v>
      </c>
      <c r="AI201" s="118">
        <v>354.2</v>
      </c>
      <c r="AJ201" s="118">
        <v>230</v>
      </c>
      <c r="AK201" s="118">
        <v>0.17</v>
      </c>
      <c r="AL201" s="118">
        <v>352.4</v>
      </c>
      <c r="AM201" s="118">
        <v>0.60199999999999998</v>
      </c>
      <c r="AN201" s="118">
        <v>0.59</v>
      </c>
      <c r="AO201" s="118">
        <v>0.85399999999999998</v>
      </c>
      <c r="AP201" s="118">
        <v>130.19999999999999</v>
      </c>
      <c r="AQ201" s="118">
        <v>10.28</v>
      </c>
      <c r="AR201" s="118">
        <v>132.9</v>
      </c>
      <c r="AS201" s="118">
        <v>-85.624036320000002</v>
      </c>
      <c r="AT201" s="118">
        <v>40.774560219999998</v>
      </c>
      <c r="AU201" s="118">
        <v>228.6</v>
      </c>
      <c r="AV201" s="118">
        <v>177.7</v>
      </c>
      <c r="AW201" s="118">
        <v>8.65</v>
      </c>
      <c r="AX201" s="118">
        <v>-122.8</v>
      </c>
      <c r="AY201" s="118">
        <v>11.9</v>
      </c>
      <c r="AZ201" s="118">
        <v>0</v>
      </c>
      <c r="BA201" s="118">
        <v>27.494</v>
      </c>
      <c r="BB201" s="118">
        <v>4.45</v>
      </c>
      <c r="BC201" s="118">
        <v>0</v>
      </c>
    </row>
    <row r="202" spans="1:55" x14ac:dyDescent="0.25">
      <c r="A202" s="118" t="s">
        <v>622</v>
      </c>
      <c r="AG202" s="118">
        <v>741.1</v>
      </c>
      <c r="AH202" s="118">
        <v>372.1</v>
      </c>
      <c r="AI202" s="118">
        <v>356.2</v>
      </c>
      <c r="AJ202" s="118">
        <v>232</v>
      </c>
      <c r="AK202" s="118">
        <v>0.17</v>
      </c>
      <c r="AL202" s="118">
        <v>354.5</v>
      </c>
      <c r="AM202" s="118">
        <v>0.65</v>
      </c>
      <c r="AN202" s="118">
        <v>0.61599999999999999</v>
      </c>
      <c r="AO202" s="118">
        <v>0.92100000000000004</v>
      </c>
      <c r="AP202" s="118">
        <v>124.7</v>
      </c>
      <c r="AQ202" s="118">
        <v>9.8699999999999992</v>
      </c>
      <c r="AR202" s="118">
        <v>127.3</v>
      </c>
      <c r="AS202" s="118">
        <v>-85.606134130000001</v>
      </c>
      <c r="AT202" s="118">
        <v>40.77494488</v>
      </c>
      <c r="AU202" s="118">
        <v>227.8</v>
      </c>
      <c r="AV202" s="118">
        <v>167.7</v>
      </c>
      <c r="AW202" s="118">
        <v>8.6300000000000008</v>
      </c>
      <c r="AX202" s="118">
        <v>-121.4</v>
      </c>
      <c r="AY202" s="118">
        <v>11.9</v>
      </c>
      <c r="AZ202" s="118">
        <v>0</v>
      </c>
      <c r="BA202" s="118">
        <v>27.34</v>
      </c>
      <c r="BB202" s="118">
        <v>3.55</v>
      </c>
      <c r="BC202" s="118">
        <v>0</v>
      </c>
    </row>
    <row r="203" spans="1:55" x14ac:dyDescent="0.25">
      <c r="A203" s="118" t="s">
        <v>623</v>
      </c>
      <c r="AG203" s="118">
        <v>741</v>
      </c>
      <c r="AH203" s="118">
        <v>360</v>
      </c>
      <c r="AI203" s="118">
        <v>341.6</v>
      </c>
      <c r="AJ203" s="118">
        <v>222</v>
      </c>
      <c r="AK203" s="118">
        <v>0.16</v>
      </c>
      <c r="AL203" s="118">
        <v>339.6</v>
      </c>
      <c r="AM203" s="118">
        <v>0.54500000000000004</v>
      </c>
      <c r="AN203" s="118">
        <v>0.60799999999999998</v>
      </c>
      <c r="AO203" s="118">
        <v>0.77200000000000002</v>
      </c>
      <c r="AP203" s="118">
        <v>146.6</v>
      </c>
      <c r="AQ203" s="118">
        <v>11.5</v>
      </c>
      <c r="AR203" s="118">
        <v>149.69999999999999</v>
      </c>
      <c r="AS203" s="118">
        <v>-85.580525960000003</v>
      </c>
      <c r="AT203" s="118">
        <v>40.775568530000001</v>
      </c>
      <c r="AU203" s="118">
        <v>230.7</v>
      </c>
      <c r="AV203" s="118">
        <v>165.5</v>
      </c>
      <c r="AW203" s="118">
        <v>8.77</v>
      </c>
      <c r="AX203" s="118">
        <v>-129.9</v>
      </c>
      <c r="AY203" s="118">
        <v>11.9</v>
      </c>
      <c r="AZ203" s="118">
        <v>0</v>
      </c>
      <c r="BA203" s="118">
        <v>27.829000000000001</v>
      </c>
      <c r="BB203" s="118">
        <v>4.42</v>
      </c>
      <c r="BC203" s="118">
        <v>0</v>
      </c>
    </row>
    <row r="204" spans="1:55" x14ac:dyDescent="0.25">
      <c r="A204" s="118" t="s">
        <v>624</v>
      </c>
      <c r="AG204" s="118">
        <v>741.4</v>
      </c>
      <c r="AH204" s="118">
        <v>367</v>
      </c>
      <c r="AI204" s="118">
        <v>349.5</v>
      </c>
      <c r="AJ204" s="118">
        <v>227</v>
      </c>
      <c r="AK204" s="118">
        <v>0.17</v>
      </c>
      <c r="AL204" s="118">
        <v>347.7</v>
      </c>
      <c r="AM204" s="118">
        <v>0.61099999999999999</v>
      </c>
      <c r="AN204" s="118">
        <v>0.60299999999999998</v>
      </c>
      <c r="AO204" s="118">
        <v>0.86599999999999999</v>
      </c>
      <c r="AP204" s="118">
        <v>145.30000000000001</v>
      </c>
      <c r="AQ204" s="118">
        <v>11.44</v>
      </c>
      <c r="AR204" s="118">
        <v>148.30000000000001</v>
      </c>
      <c r="AS204" s="118">
        <v>-85.596868459999996</v>
      </c>
      <c r="AT204" s="118">
        <v>40.766858499999998</v>
      </c>
      <c r="AU204" s="118">
        <v>227.9</v>
      </c>
      <c r="AV204" s="118">
        <v>158.19999999999999</v>
      </c>
      <c r="AW204" s="118">
        <v>8.7799999999999994</v>
      </c>
      <c r="AX204" s="118">
        <v>-130.6</v>
      </c>
      <c r="AY204" s="118">
        <v>11.9</v>
      </c>
      <c r="AZ204" s="118">
        <v>0</v>
      </c>
      <c r="BA204" s="118">
        <v>27.62</v>
      </c>
      <c r="BB204" s="118">
        <v>3.9</v>
      </c>
      <c r="BC204" s="118">
        <v>0</v>
      </c>
    </row>
    <row r="205" spans="1:55" x14ac:dyDescent="0.25">
      <c r="A205" s="118" t="s">
        <v>625</v>
      </c>
      <c r="AG205" s="118">
        <v>741.4</v>
      </c>
      <c r="AH205" s="118">
        <v>371.9</v>
      </c>
      <c r="AI205" s="118">
        <v>354</v>
      </c>
      <c r="AJ205" s="118">
        <v>230</v>
      </c>
      <c r="AK205" s="118">
        <v>0.17</v>
      </c>
      <c r="AL205" s="118">
        <v>352</v>
      </c>
      <c r="AM205" s="118">
        <v>0.65600000000000003</v>
      </c>
      <c r="AN205" s="118">
        <v>0.67600000000000005</v>
      </c>
      <c r="AO205" s="118">
        <v>0.92900000000000005</v>
      </c>
      <c r="AP205" s="118">
        <v>135.80000000000001</v>
      </c>
      <c r="AQ205" s="118">
        <v>10.69</v>
      </c>
      <c r="AR205" s="118">
        <v>138.6</v>
      </c>
      <c r="AS205" s="118">
        <v>-85.594853409999999</v>
      </c>
      <c r="AT205" s="118">
        <v>40.757165809999996</v>
      </c>
      <c r="AU205" s="118">
        <v>227.7</v>
      </c>
      <c r="AV205" s="118">
        <v>159.30000000000001</v>
      </c>
      <c r="AW205" s="118">
        <v>8.64</v>
      </c>
      <c r="AX205" s="118">
        <v>-122.3</v>
      </c>
      <c r="AY205" s="118">
        <v>11.9</v>
      </c>
      <c r="AZ205" s="118">
        <v>0</v>
      </c>
      <c r="BA205" s="118">
        <v>27.661999999999999</v>
      </c>
      <c r="BB205" s="118">
        <v>6.26</v>
      </c>
      <c r="BC205" s="118">
        <v>0</v>
      </c>
    </row>
    <row r="206" spans="1:55" x14ac:dyDescent="0.25">
      <c r="A206" s="118" t="s">
        <v>626</v>
      </c>
      <c r="AG206" s="118">
        <v>741.3</v>
      </c>
      <c r="AH206" s="118">
        <v>372.9</v>
      </c>
      <c r="AI206" s="118">
        <v>352.6</v>
      </c>
      <c r="AJ206" s="118">
        <v>229</v>
      </c>
      <c r="AK206" s="118">
        <v>0.17</v>
      </c>
      <c r="AL206" s="118">
        <v>350.4</v>
      </c>
      <c r="AM206" s="118">
        <v>0.622</v>
      </c>
      <c r="AN206" s="118">
        <v>0.63800000000000001</v>
      </c>
      <c r="AO206" s="118">
        <v>0.88100000000000001</v>
      </c>
      <c r="AP206" s="118">
        <v>147.19999999999999</v>
      </c>
      <c r="AQ206" s="118">
        <v>11.51</v>
      </c>
      <c r="AR206" s="118">
        <v>150.30000000000001</v>
      </c>
      <c r="AS206" s="118">
        <v>-85.582874129999993</v>
      </c>
      <c r="AT206" s="118">
        <v>40.755891669999997</v>
      </c>
      <c r="AU206" s="118">
        <v>228.4</v>
      </c>
      <c r="AV206" s="118">
        <v>164.2</v>
      </c>
      <c r="AW206" s="118">
        <v>8.76</v>
      </c>
      <c r="AX206" s="118">
        <v>-129.30000000000001</v>
      </c>
      <c r="AY206" s="118">
        <v>11.9</v>
      </c>
      <c r="AZ206" s="118">
        <v>0</v>
      </c>
      <c r="BA206" s="118">
        <v>28.010999999999999</v>
      </c>
      <c r="BB206" s="118">
        <v>5.14</v>
      </c>
      <c r="BC206" s="118">
        <v>0</v>
      </c>
    </row>
    <row r="207" spans="1:55" x14ac:dyDescent="0.25">
      <c r="A207" s="118" t="s">
        <v>627</v>
      </c>
      <c r="AG207" s="118">
        <v>742</v>
      </c>
      <c r="AH207" s="118">
        <v>371.6</v>
      </c>
      <c r="AI207" s="118">
        <v>354</v>
      </c>
      <c r="AJ207" s="118">
        <v>230</v>
      </c>
      <c r="AK207" s="118">
        <v>0.17</v>
      </c>
      <c r="AL207" s="118">
        <v>352.1</v>
      </c>
      <c r="AM207" s="118">
        <v>0.56000000000000005</v>
      </c>
      <c r="AN207" s="118">
        <v>0.57499999999999996</v>
      </c>
      <c r="AO207" s="118">
        <v>0.79400000000000004</v>
      </c>
      <c r="AP207" s="118">
        <v>128</v>
      </c>
      <c r="AQ207" s="118">
        <v>10.08</v>
      </c>
      <c r="AR207" s="118">
        <v>130.6</v>
      </c>
      <c r="AS207" s="118">
        <v>-85.637500149999994</v>
      </c>
      <c r="AT207" s="118">
        <v>40.781062970000001</v>
      </c>
      <c r="AU207" s="118">
        <v>230.6</v>
      </c>
      <c r="AV207" s="118">
        <v>175.2</v>
      </c>
      <c r="AW207" s="118">
        <v>8.65</v>
      </c>
      <c r="AX207" s="118">
        <v>-122.8</v>
      </c>
      <c r="AY207" s="118">
        <v>11.9</v>
      </c>
      <c r="AZ207" s="118">
        <v>0</v>
      </c>
      <c r="BA207" s="118">
        <v>27.6</v>
      </c>
      <c r="BB207" s="118">
        <v>3.95</v>
      </c>
      <c r="BC207" s="118">
        <v>0</v>
      </c>
    </row>
    <row r="208" spans="1:55" x14ac:dyDescent="0.25">
      <c r="A208" s="118" t="s">
        <v>628</v>
      </c>
      <c r="AG208" s="118">
        <v>740.5</v>
      </c>
      <c r="AH208" s="118">
        <v>375.2</v>
      </c>
      <c r="AI208" s="118">
        <v>357</v>
      </c>
      <c r="AJ208" s="118">
        <v>232</v>
      </c>
      <c r="AK208" s="118">
        <v>0.17</v>
      </c>
      <c r="AL208" s="118">
        <v>355</v>
      </c>
      <c r="AM208" s="118">
        <v>0.621</v>
      </c>
      <c r="AN208" s="118">
        <v>0.64800000000000002</v>
      </c>
      <c r="AO208" s="118">
        <v>0.88100000000000001</v>
      </c>
      <c r="AP208" s="118">
        <v>132.80000000000001</v>
      </c>
      <c r="AQ208" s="118">
        <v>10.45</v>
      </c>
      <c r="AR208" s="118">
        <v>135.6</v>
      </c>
      <c r="AS208" s="118">
        <v>-85.667890909999997</v>
      </c>
      <c r="AT208" s="118">
        <v>40.8002343</v>
      </c>
      <c r="AU208" s="118">
        <v>229.9</v>
      </c>
      <c r="AV208" s="118">
        <v>150.80000000000001</v>
      </c>
      <c r="AW208" s="118">
        <v>8.68</v>
      </c>
      <c r="AX208" s="118">
        <v>-124.5</v>
      </c>
      <c r="AY208" s="118">
        <v>11.9</v>
      </c>
      <c r="AZ208" s="118">
        <v>0</v>
      </c>
      <c r="BA208" s="118">
        <v>27.670999999999999</v>
      </c>
      <c r="BB208" s="118">
        <v>4.42</v>
      </c>
      <c r="BC208" s="118">
        <v>0</v>
      </c>
    </row>
    <row r="209" spans="1:55" x14ac:dyDescent="0.25">
      <c r="A209" s="118" t="s">
        <v>632</v>
      </c>
      <c r="AG209" s="118">
        <v>747.8</v>
      </c>
      <c r="AH209" s="118">
        <v>555.79999999999995</v>
      </c>
      <c r="AI209" s="118">
        <v>551.20000000000005</v>
      </c>
      <c r="AJ209" s="118">
        <v>358</v>
      </c>
      <c r="AK209" s="118">
        <v>0.27</v>
      </c>
      <c r="AL209" s="118">
        <v>550.70000000000005</v>
      </c>
      <c r="AM209" s="118">
        <v>0.45200000000000001</v>
      </c>
      <c r="AN209" s="118">
        <v>0.45800000000000002</v>
      </c>
      <c r="AO209" s="118">
        <v>0.64</v>
      </c>
      <c r="AP209" s="118">
        <v>182.2</v>
      </c>
      <c r="AQ209" s="118">
        <v>14.91</v>
      </c>
      <c r="AR209" s="118">
        <v>185.3</v>
      </c>
      <c r="AS209" s="118">
        <v>-86.807147639999997</v>
      </c>
      <c r="AT209" s="118">
        <v>40.835024840000003</v>
      </c>
      <c r="AU209" s="118">
        <v>196.9</v>
      </c>
      <c r="AV209" s="118">
        <v>187</v>
      </c>
      <c r="AW209" s="118">
        <v>8.1</v>
      </c>
      <c r="AX209" s="118">
        <v>-94.3</v>
      </c>
      <c r="AY209" s="118">
        <v>11.9</v>
      </c>
      <c r="AZ209" s="118">
        <v>0</v>
      </c>
      <c r="BA209" s="118">
        <v>25.439</v>
      </c>
      <c r="BB209" s="118">
        <v>6.96</v>
      </c>
      <c r="BC209" s="118">
        <v>0</v>
      </c>
    </row>
    <row r="210" spans="1:55" x14ac:dyDescent="0.25">
      <c r="A210" s="118" t="s">
        <v>633</v>
      </c>
      <c r="AG210" s="118">
        <v>747.9</v>
      </c>
      <c r="AH210" s="118">
        <v>535.79999999999995</v>
      </c>
      <c r="AI210" s="118">
        <v>534.70000000000005</v>
      </c>
      <c r="AJ210" s="118">
        <v>348</v>
      </c>
      <c r="AK210" s="118">
        <v>0.26</v>
      </c>
      <c r="AL210" s="118">
        <v>534.5</v>
      </c>
      <c r="AM210" s="118">
        <v>0.38</v>
      </c>
      <c r="AN210" s="118">
        <v>0.36699999999999999</v>
      </c>
      <c r="AO210" s="118">
        <v>0.53900000000000003</v>
      </c>
      <c r="AP210" s="118">
        <v>220.4</v>
      </c>
      <c r="AQ210" s="118">
        <v>18.149999999999999</v>
      </c>
      <c r="AR210" s="118">
        <v>224.1</v>
      </c>
      <c r="AS210" s="118">
        <v>-86.795836289999997</v>
      </c>
      <c r="AT210" s="118">
        <v>40.823874850000003</v>
      </c>
      <c r="AU210" s="118">
        <v>198.3</v>
      </c>
      <c r="AV210" s="118">
        <v>214.4</v>
      </c>
      <c r="AW210" s="118">
        <v>8.2100000000000009</v>
      </c>
      <c r="AX210" s="118">
        <v>-100.9</v>
      </c>
      <c r="AY210" s="118">
        <v>11.9</v>
      </c>
      <c r="AZ210" s="118">
        <v>0</v>
      </c>
      <c r="BA210" s="118">
        <v>25.114000000000001</v>
      </c>
      <c r="BB210" s="118">
        <v>4.6100000000000003</v>
      </c>
      <c r="BC210" s="118">
        <v>0</v>
      </c>
    </row>
    <row r="211" spans="1:55" x14ac:dyDescent="0.25">
      <c r="A211" s="118" t="s">
        <v>634</v>
      </c>
      <c r="AG211" s="118">
        <v>747.7</v>
      </c>
      <c r="AH211" s="118">
        <v>626</v>
      </c>
      <c r="AI211" s="118">
        <v>646.4</v>
      </c>
      <c r="AJ211" s="118">
        <v>420</v>
      </c>
      <c r="AK211" s="118">
        <v>0.31</v>
      </c>
      <c r="AL211" s="118">
        <v>648.5</v>
      </c>
      <c r="AM211" s="118">
        <v>0.45600000000000002</v>
      </c>
      <c r="AN211" s="118">
        <v>0.45</v>
      </c>
      <c r="AO211" s="118">
        <v>0.64800000000000002</v>
      </c>
      <c r="AP211" s="118">
        <v>103.4</v>
      </c>
      <c r="AQ211" s="118">
        <v>8.7899999999999991</v>
      </c>
      <c r="AR211" s="118">
        <v>105.2</v>
      </c>
      <c r="AS211" s="118">
        <v>-86.781764559999999</v>
      </c>
      <c r="AT211" s="118">
        <v>40.834882550000003</v>
      </c>
      <c r="AU211" s="118">
        <v>196.4</v>
      </c>
      <c r="AV211" s="118">
        <v>181.9</v>
      </c>
      <c r="AW211" s="118">
        <v>7.98</v>
      </c>
      <c r="AX211" s="118">
        <v>-87.1</v>
      </c>
      <c r="AY211" s="118">
        <v>11.9</v>
      </c>
      <c r="AZ211" s="118">
        <v>0</v>
      </c>
      <c r="BA211" s="118">
        <v>23.346</v>
      </c>
      <c r="BB211" s="118">
        <v>2.57</v>
      </c>
      <c r="BC211" s="118">
        <v>0</v>
      </c>
    </row>
    <row r="212" spans="1:55" x14ac:dyDescent="0.25">
      <c r="A212" s="118" t="s">
        <v>635</v>
      </c>
      <c r="AG212" s="118">
        <v>747.8</v>
      </c>
      <c r="AH212" s="118">
        <v>620.20000000000005</v>
      </c>
      <c r="AI212" s="118">
        <v>633</v>
      </c>
      <c r="AJ212" s="118">
        <v>411</v>
      </c>
      <c r="AK212" s="118">
        <v>0.31</v>
      </c>
      <c r="AL212" s="118">
        <v>634.29999999999995</v>
      </c>
      <c r="AM212" s="118">
        <v>0.32500000000000001</v>
      </c>
      <c r="AN212" s="118">
        <v>0.32600000000000001</v>
      </c>
      <c r="AO212" s="118">
        <v>0.46200000000000002</v>
      </c>
      <c r="AP212" s="118">
        <v>127</v>
      </c>
      <c r="AQ212" s="118">
        <v>10.69</v>
      </c>
      <c r="AR212" s="118">
        <v>129.19999999999999</v>
      </c>
      <c r="AS212" s="118">
        <v>-86.794299730000006</v>
      </c>
      <c r="AT212" s="118">
        <v>40.81108966</v>
      </c>
      <c r="AU212" s="118">
        <v>201.4</v>
      </c>
      <c r="AV212" s="118">
        <v>216.2</v>
      </c>
      <c r="AW212" s="118">
        <v>8.08</v>
      </c>
      <c r="AX212" s="118">
        <v>-92.9</v>
      </c>
      <c r="AY212" s="118">
        <v>12</v>
      </c>
      <c r="AZ212" s="118">
        <v>0</v>
      </c>
      <c r="BA212" s="118">
        <v>23.939</v>
      </c>
      <c r="BB212" s="118">
        <v>3.54</v>
      </c>
      <c r="BC212" s="118">
        <v>0</v>
      </c>
    </row>
    <row r="213" spans="1:55" x14ac:dyDescent="0.25">
      <c r="A213" s="118" t="s">
        <v>636</v>
      </c>
      <c r="AG213" s="118">
        <v>747.7</v>
      </c>
      <c r="AH213" s="118">
        <v>570.9</v>
      </c>
      <c r="AI213" s="118">
        <v>570.70000000000005</v>
      </c>
      <c r="AJ213" s="118">
        <v>371</v>
      </c>
      <c r="AK213" s="118">
        <v>0.28000000000000003</v>
      </c>
      <c r="AL213" s="118">
        <v>570.70000000000005</v>
      </c>
      <c r="AM213" s="118">
        <v>0.45200000000000001</v>
      </c>
      <c r="AN213" s="118">
        <v>0.45500000000000002</v>
      </c>
      <c r="AO213" s="118">
        <v>0.64200000000000002</v>
      </c>
      <c r="AP213" s="118">
        <v>215.3</v>
      </c>
      <c r="AQ213" s="118">
        <v>17.760000000000002</v>
      </c>
      <c r="AR213" s="118">
        <v>218.9</v>
      </c>
      <c r="AS213" s="118">
        <v>-86.774830640000005</v>
      </c>
      <c r="AT213" s="118">
        <v>40.804242270000003</v>
      </c>
      <c r="AU213" s="118">
        <v>194.8</v>
      </c>
      <c r="AV213" s="118">
        <v>192.1</v>
      </c>
      <c r="AW213" s="118">
        <v>8.1300000000000008</v>
      </c>
      <c r="AX213" s="118">
        <v>-96.3</v>
      </c>
      <c r="AY213" s="118">
        <v>11.9</v>
      </c>
      <c r="AZ213" s="118">
        <v>0</v>
      </c>
      <c r="BA213" s="118">
        <v>25.016999999999999</v>
      </c>
      <c r="BB213" s="118">
        <v>3.95</v>
      </c>
      <c r="BC213" s="118">
        <v>0</v>
      </c>
    </row>
    <row r="214" spans="1:55" x14ac:dyDescent="0.25">
      <c r="A214" s="118" t="s">
        <v>637</v>
      </c>
      <c r="AG214" s="118">
        <v>747.8</v>
      </c>
      <c r="AH214" s="118">
        <v>581.70000000000005</v>
      </c>
      <c r="AI214" s="118">
        <v>582.79999999999995</v>
      </c>
      <c r="AJ214" s="118">
        <v>379</v>
      </c>
      <c r="AK214" s="118">
        <v>0.28000000000000003</v>
      </c>
      <c r="AL214" s="118">
        <v>582.9</v>
      </c>
      <c r="AM214" s="118">
        <v>0.32600000000000001</v>
      </c>
      <c r="AN214" s="118">
        <v>0.316</v>
      </c>
      <c r="AO214" s="118">
        <v>0.46200000000000002</v>
      </c>
      <c r="AP214" s="118">
        <v>201.7</v>
      </c>
      <c r="AQ214" s="118">
        <v>16.670000000000002</v>
      </c>
      <c r="AR214" s="118">
        <v>205.1</v>
      </c>
      <c r="AS214" s="118">
        <v>-86.774344880000001</v>
      </c>
      <c r="AT214" s="118">
        <v>40.794689409999997</v>
      </c>
      <c r="AU214" s="118">
        <v>196.2</v>
      </c>
      <c r="AV214" s="118">
        <v>237.7</v>
      </c>
      <c r="AW214" s="118">
        <v>8.1199999999999992</v>
      </c>
      <c r="AX214" s="118">
        <v>-95.5</v>
      </c>
      <c r="AY214" s="118">
        <v>11.9</v>
      </c>
      <c r="AZ214" s="118">
        <v>0</v>
      </c>
      <c r="BA214" s="118">
        <v>24.902999999999999</v>
      </c>
      <c r="BB214" s="118">
        <v>3.31</v>
      </c>
      <c r="BC214" s="118">
        <v>0</v>
      </c>
    </row>
    <row r="215" spans="1:55" x14ac:dyDescent="0.25">
      <c r="A215" s="118" t="s">
        <v>638</v>
      </c>
      <c r="AG215" s="118">
        <v>747.7</v>
      </c>
      <c r="AH215" s="118">
        <v>563.79999999999995</v>
      </c>
      <c r="AI215" s="118">
        <v>568.4</v>
      </c>
      <c r="AJ215" s="118">
        <v>369</v>
      </c>
      <c r="AK215" s="118">
        <v>0.27</v>
      </c>
      <c r="AL215" s="118">
        <v>568.9</v>
      </c>
      <c r="AM215" s="118">
        <v>0.379</v>
      </c>
      <c r="AN215" s="118">
        <v>0.376</v>
      </c>
      <c r="AO215" s="118">
        <v>0.53800000000000003</v>
      </c>
      <c r="AP215" s="118">
        <v>193.2</v>
      </c>
      <c r="AQ215" s="118">
        <v>16.059999999999999</v>
      </c>
      <c r="AR215" s="118">
        <v>196.4</v>
      </c>
      <c r="AS215" s="118">
        <v>-86.772130180000005</v>
      </c>
      <c r="AT215" s="118">
        <v>40.78862204</v>
      </c>
      <c r="AU215" s="118">
        <v>201.6</v>
      </c>
      <c r="AV215" s="118">
        <v>209.6</v>
      </c>
      <c r="AW215" s="118">
        <v>7.99</v>
      </c>
      <c r="AX215" s="118">
        <v>-87.8</v>
      </c>
      <c r="AY215" s="118">
        <v>11.9</v>
      </c>
      <c r="AZ215" s="118">
        <v>0</v>
      </c>
      <c r="BA215" s="118">
        <v>24.574999999999999</v>
      </c>
      <c r="BB215" s="118">
        <v>3.94</v>
      </c>
      <c r="BC215" s="118">
        <v>0</v>
      </c>
    </row>
    <row r="216" spans="1:55" x14ac:dyDescent="0.25">
      <c r="A216" s="118" t="s">
        <v>639</v>
      </c>
      <c r="AG216" s="118">
        <v>747.8</v>
      </c>
      <c r="AH216" s="118">
        <v>574.1</v>
      </c>
      <c r="AI216" s="118">
        <v>581.79999999999995</v>
      </c>
      <c r="AJ216" s="118">
        <v>378</v>
      </c>
      <c r="AK216" s="118">
        <v>0.28000000000000003</v>
      </c>
      <c r="AL216" s="118">
        <v>582.6</v>
      </c>
      <c r="AM216" s="118">
        <v>0.30199999999999999</v>
      </c>
      <c r="AN216" s="118">
        <v>0.31</v>
      </c>
      <c r="AO216" s="118">
        <v>0.42899999999999999</v>
      </c>
      <c r="AP216" s="118">
        <v>189.3</v>
      </c>
      <c r="AQ216" s="118">
        <v>15.82</v>
      </c>
      <c r="AR216" s="118">
        <v>192.5</v>
      </c>
      <c r="AS216" s="118">
        <v>-86.762205379999997</v>
      </c>
      <c r="AT216" s="118">
        <v>40.782380209999999</v>
      </c>
      <c r="AU216" s="118">
        <v>197.3</v>
      </c>
      <c r="AV216" s="118">
        <v>230</v>
      </c>
      <c r="AW216" s="118">
        <v>8.1199999999999992</v>
      </c>
      <c r="AX216" s="118">
        <v>-95.3</v>
      </c>
      <c r="AY216" s="118">
        <v>11.9</v>
      </c>
      <c r="AZ216" s="118">
        <v>0</v>
      </c>
      <c r="BA216" s="118">
        <v>24.305</v>
      </c>
      <c r="BB216" s="118">
        <v>3.53</v>
      </c>
      <c r="BC216" s="118">
        <v>0</v>
      </c>
    </row>
    <row r="217" spans="1:55" x14ac:dyDescent="0.25">
      <c r="A217" s="118" t="s">
        <v>640</v>
      </c>
      <c r="AG217" s="118">
        <v>748</v>
      </c>
      <c r="AH217" s="118">
        <v>618.70000000000005</v>
      </c>
      <c r="AI217" s="118">
        <v>626.5</v>
      </c>
      <c r="AJ217" s="118">
        <v>407</v>
      </c>
      <c r="AK217" s="118">
        <v>0.3</v>
      </c>
      <c r="AL217" s="118">
        <v>627.29999999999995</v>
      </c>
      <c r="AM217" s="118">
        <v>0.379</v>
      </c>
      <c r="AN217" s="118">
        <v>0.38100000000000001</v>
      </c>
      <c r="AO217" s="118">
        <v>0.53800000000000003</v>
      </c>
      <c r="AP217" s="118">
        <v>144.4</v>
      </c>
      <c r="AQ217" s="118">
        <v>12.05</v>
      </c>
      <c r="AR217" s="118">
        <v>146.80000000000001</v>
      </c>
      <c r="AS217" s="118">
        <v>-86.785247049999995</v>
      </c>
      <c r="AT217" s="118">
        <v>40.807313710000003</v>
      </c>
      <c r="AU217" s="118">
        <v>195.3</v>
      </c>
      <c r="AV217" s="118">
        <v>196.6</v>
      </c>
      <c r="AW217" s="118">
        <v>8.1999999999999993</v>
      </c>
      <c r="AX217" s="118">
        <v>-100</v>
      </c>
      <c r="AY217" s="118">
        <v>11.9</v>
      </c>
      <c r="AZ217" s="118">
        <v>0</v>
      </c>
      <c r="BA217" s="118">
        <v>24.344000000000001</v>
      </c>
      <c r="BB217" s="118">
        <v>3.28</v>
      </c>
      <c r="BC217" s="118">
        <v>0</v>
      </c>
    </row>
    <row r="218" spans="1:55" x14ac:dyDescent="0.25">
      <c r="A218" s="118" t="s">
        <v>641</v>
      </c>
      <c r="AG218" s="118">
        <v>747.8</v>
      </c>
      <c r="AH218" s="118">
        <v>580.5</v>
      </c>
      <c r="AI218" s="118">
        <v>582.6</v>
      </c>
      <c r="AJ218" s="118">
        <v>379</v>
      </c>
      <c r="AK218" s="118">
        <v>0.28000000000000003</v>
      </c>
      <c r="AL218" s="118">
        <v>582.79999999999995</v>
      </c>
      <c r="AM218" s="118">
        <v>0.377</v>
      </c>
      <c r="AN218" s="118">
        <v>0.36799999999999999</v>
      </c>
      <c r="AO218" s="118">
        <v>0.53500000000000003</v>
      </c>
      <c r="AP218" s="118">
        <v>198</v>
      </c>
      <c r="AQ218" s="118">
        <v>16.39</v>
      </c>
      <c r="AR218" s="118">
        <v>201.3</v>
      </c>
      <c r="AS218" s="118">
        <v>-86.777779629999998</v>
      </c>
      <c r="AT218" s="118">
        <v>40.799243930000003</v>
      </c>
      <c r="AU218" s="118">
        <v>196</v>
      </c>
      <c r="AV218" s="118">
        <v>205.4</v>
      </c>
      <c r="AW218" s="118">
        <v>8.16</v>
      </c>
      <c r="AX218" s="118">
        <v>-97.7</v>
      </c>
      <c r="AY218" s="118">
        <v>11.9</v>
      </c>
      <c r="AZ218" s="118">
        <v>0</v>
      </c>
      <c r="BA218" s="118">
        <v>24.814</v>
      </c>
      <c r="BB218" s="118">
        <v>3.76</v>
      </c>
      <c r="BC218" s="118">
        <v>0</v>
      </c>
    </row>
    <row r="219" spans="1:55" x14ac:dyDescent="0.25">
      <c r="A219" s="118" t="s">
        <v>672</v>
      </c>
      <c r="AG219" s="118">
        <v>743.2</v>
      </c>
      <c r="AH219" s="118">
        <v>420.7</v>
      </c>
      <c r="AI219" s="118">
        <v>425.5</v>
      </c>
      <c r="AJ219" s="118">
        <v>277</v>
      </c>
      <c r="AK219" s="118">
        <v>0.2</v>
      </c>
      <c r="AL219" s="118">
        <v>425.9</v>
      </c>
      <c r="AM219" s="118">
        <v>0.47499999999999998</v>
      </c>
      <c r="AN219" s="118">
        <v>0.45600000000000002</v>
      </c>
      <c r="AO219" s="118">
        <v>0.67400000000000004</v>
      </c>
      <c r="AP219" s="118">
        <v>108.2</v>
      </c>
      <c r="AQ219" s="118">
        <v>9.0299999999999994</v>
      </c>
      <c r="AR219" s="118">
        <v>110.4</v>
      </c>
      <c r="AS219" s="118">
        <v>-85.888892580000004</v>
      </c>
      <c r="AT219" s="118">
        <v>40.681489630000002</v>
      </c>
      <c r="AU219" s="118">
        <v>226.3</v>
      </c>
      <c r="AV219" s="118">
        <v>28.5</v>
      </c>
      <c r="AW219" s="118">
        <v>8.31</v>
      </c>
      <c r="AX219" s="118">
        <v>-101.3</v>
      </c>
      <c r="AY219" s="118">
        <v>12.1</v>
      </c>
      <c r="AZ219" s="118">
        <v>0</v>
      </c>
      <c r="BA219" s="118">
        <v>24.42</v>
      </c>
      <c r="BB219" s="118">
        <v>4.78</v>
      </c>
      <c r="BC219" s="118">
        <v>0</v>
      </c>
    </row>
    <row r="220" spans="1:55" x14ac:dyDescent="0.25">
      <c r="A220" s="28" t="s">
        <v>674</v>
      </c>
      <c r="AG220" s="118">
        <v>742.9</v>
      </c>
      <c r="AH220" s="118">
        <v>415.7</v>
      </c>
      <c r="AI220" s="118">
        <v>419.3</v>
      </c>
      <c r="AJ220" s="118">
        <v>273</v>
      </c>
      <c r="AK220" s="118">
        <v>0.2</v>
      </c>
      <c r="AL220" s="118">
        <v>419.7</v>
      </c>
      <c r="AM220" s="118">
        <v>0.66</v>
      </c>
      <c r="AN220" s="118">
        <v>0.68</v>
      </c>
      <c r="AO220" s="118">
        <v>0.93600000000000005</v>
      </c>
      <c r="AP220" s="118">
        <v>151.30000000000001</v>
      </c>
      <c r="AQ220" s="118">
        <v>12.59</v>
      </c>
      <c r="AR220" s="118">
        <v>154.30000000000001</v>
      </c>
      <c r="AS220" s="118">
        <v>-85.877191120000006</v>
      </c>
      <c r="AT220" s="118">
        <v>40.676843499999997</v>
      </c>
      <c r="AU220" s="118">
        <v>222.8</v>
      </c>
      <c r="AV220" s="118">
        <v>44.5</v>
      </c>
      <c r="AW220" s="118">
        <v>8.65</v>
      </c>
      <c r="AX220" s="118">
        <v>-120.8</v>
      </c>
      <c r="AY220" s="118">
        <v>12.1</v>
      </c>
      <c r="AZ220" s="118">
        <v>0</v>
      </c>
      <c r="BA220" s="118">
        <v>24.550999999999998</v>
      </c>
      <c r="BB220" s="118">
        <v>3.44</v>
      </c>
      <c r="BC220" s="118">
        <v>0</v>
      </c>
    </row>
    <row r="221" spans="1:55" x14ac:dyDescent="0.25">
      <c r="A221" s="118" t="s">
        <v>662</v>
      </c>
      <c r="AG221" s="118">
        <v>742.9</v>
      </c>
      <c r="AH221" s="118">
        <v>422.8</v>
      </c>
      <c r="AI221" s="118">
        <v>422.3</v>
      </c>
      <c r="AJ221" s="118">
        <v>274</v>
      </c>
      <c r="AK221" s="118">
        <v>0.2</v>
      </c>
      <c r="AL221" s="118">
        <v>422.2</v>
      </c>
      <c r="AM221" s="118">
        <v>0.436</v>
      </c>
      <c r="AN221" s="118">
        <v>0.56499999999999995</v>
      </c>
      <c r="AO221" s="118">
        <v>0.61799999999999999</v>
      </c>
      <c r="AP221" s="118">
        <v>140</v>
      </c>
      <c r="AQ221" s="118">
        <v>11.54</v>
      </c>
      <c r="AR221" s="118">
        <v>142.80000000000001</v>
      </c>
      <c r="AS221" s="118">
        <v>-85.870482910000007</v>
      </c>
      <c r="AT221" s="118">
        <v>40.670789169999999</v>
      </c>
      <c r="AU221" s="118">
        <v>224</v>
      </c>
      <c r="AV221" s="118">
        <v>35.9</v>
      </c>
      <c r="AW221" s="118">
        <v>8.6</v>
      </c>
      <c r="AX221" s="118">
        <v>-118.2</v>
      </c>
      <c r="AY221" s="118">
        <v>12.1</v>
      </c>
      <c r="AZ221" s="118">
        <v>0</v>
      </c>
      <c r="BA221" s="118">
        <v>25.061</v>
      </c>
      <c r="BB221" s="118">
        <v>3.66</v>
      </c>
      <c r="BC221" s="118">
        <v>0</v>
      </c>
    </row>
    <row r="222" spans="1:55" x14ac:dyDescent="0.25">
      <c r="A222" s="118" t="s">
        <v>669</v>
      </c>
      <c r="AG222" s="118">
        <v>742.5</v>
      </c>
      <c r="AH222" s="118">
        <v>428.8</v>
      </c>
      <c r="AI222" s="118">
        <v>430.7</v>
      </c>
      <c r="AJ222" s="118">
        <v>280</v>
      </c>
      <c r="AK222" s="118">
        <v>0.21</v>
      </c>
      <c r="AL222" s="118">
        <v>430.9</v>
      </c>
      <c r="AM222" s="118">
        <v>0.49399999999999999</v>
      </c>
      <c r="AN222" s="118">
        <v>0.497</v>
      </c>
      <c r="AO222" s="118">
        <v>0.70099999999999996</v>
      </c>
      <c r="AP222" s="118">
        <v>160.4</v>
      </c>
      <c r="AQ222" s="118">
        <v>13.3</v>
      </c>
      <c r="AR222" s="118">
        <v>163.6</v>
      </c>
      <c r="AS222" s="118">
        <v>-85.866744699999998</v>
      </c>
      <c r="AT222" s="118">
        <v>40.663222869999998</v>
      </c>
      <c r="AU222" s="118">
        <v>223.1</v>
      </c>
      <c r="AV222" s="118">
        <v>33.6</v>
      </c>
      <c r="AW222" s="118">
        <v>8.73</v>
      </c>
      <c r="AX222" s="118">
        <v>-125.8</v>
      </c>
      <c r="AY222" s="118">
        <v>12.1</v>
      </c>
      <c r="AZ222" s="118">
        <v>0</v>
      </c>
      <c r="BA222" s="118">
        <v>24.771999999999998</v>
      </c>
      <c r="BB222" s="118">
        <v>3.86</v>
      </c>
      <c r="BC222" s="118">
        <v>0</v>
      </c>
    </row>
    <row r="223" spans="1:55" x14ac:dyDescent="0.25">
      <c r="A223" s="118" t="s">
        <v>666</v>
      </c>
      <c r="AG223" s="118">
        <v>742.4</v>
      </c>
      <c r="AH223" s="118">
        <v>441.6</v>
      </c>
      <c r="AI223" s="118">
        <v>442.1</v>
      </c>
      <c r="AJ223" s="118">
        <v>287</v>
      </c>
      <c r="AK223" s="118">
        <v>0.21</v>
      </c>
      <c r="AL223" s="118">
        <v>442.1</v>
      </c>
      <c r="AM223" s="118">
        <v>0.501</v>
      </c>
      <c r="AN223" s="118">
        <v>0.52800000000000002</v>
      </c>
      <c r="AO223" s="118">
        <v>0.71099999999999997</v>
      </c>
      <c r="AP223" s="118">
        <v>172.5</v>
      </c>
      <c r="AQ223" s="118">
        <v>14.25</v>
      </c>
      <c r="AR223" s="118">
        <v>175.9</v>
      </c>
      <c r="AS223" s="118">
        <v>-85.847719589999997</v>
      </c>
      <c r="AT223" s="118">
        <v>40.668682189999998</v>
      </c>
      <c r="AU223" s="118">
        <v>223.6</v>
      </c>
      <c r="AV223" s="118">
        <v>31.6</v>
      </c>
      <c r="AW223" s="118">
        <v>8.8000000000000007</v>
      </c>
      <c r="AX223" s="118">
        <v>-130.1</v>
      </c>
      <c r="AY223" s="118">
        <v>12.1</v>
      </c>
      <c r="AZ223" s="118">
        <v>0</v>
      </c>
      <c r="BA223" s="118">
        <v>24.945</v>
      </c>
      <c r="BB223" s="118">
        <v>4.87</v>
      </c>
      <c r="BC223" s="118">
        <v>0</v>
      </c>
    </row>
    <row r="224" spans="1:55" x14ac:dyDescent="0.25">
      <c r="A224" s="118" t="s">
        <v>668</v>
      </c>
      <c r="AG224" s="118" t="s">
        <v>1779</v>
      </c>
      <c r="AH224" s="118" t="s">
        <v>1779</v>
      </c>
      <c r="AI224" s="118" t="s">
        <v>1779</v>
      </c>
      <c r="AJ224" s="118" t="s">
        <v>1779</v>
      </c>
      <c r="AK224" s="118" t="s">
        <v>1779</v>
      </c>
      <c r="AL224" s="118" t="s">
        <v>1779</v>
      </c>
      <c r="AM224" s="118" t="s">
        <v>1779</v>
      </c>
      <c r="AN224" s="118" t="s">
        <v>1779</v>
      </c>
      <c r="AO224" s="118" t="s">
        <v>1779</v>
      </c>
      <c r="AP224" s="118" t="s">
        <v>1779</v>
      </c>
      <c r="AQ224" s="118" t="s">
        <v>1779</v>
      </c>
      <c r="AR224" s="118" t="s">
        <v>1779</v>
      </c>
      <c r="AS224" s="118">
        <v>-85.831979649999994</v>
      </c>
      <c r="AT224" s="118">
        <v>40.673674419999998</v>
      </c>
      <c r="AU224" s="118" t="s">
        <v>1779</v>
      </c>
      <c r="AV224" s="118" t="s">
        <v>1779</v>
      </c>
      <c r="AW224" s="118" t="s">
        <v>1779</v>
      </c>
      <c r="AX224" s="118" t="s">
        <v>1779</v>
      </c>
      <c r="AY224" s="118" t="s">
        <v>1779</v>
      </c>
      <c r="AZ224" s="118" t="s">
        <v>1779</v>
      </c>
      <c r="BA224" s="118" t="s">
        <v>1779</v>
      </c>
      <c r="BB224" s="118" t="s">
        <v>1779</v>
      </c>
      <c r="BC224" s="118" t="s">
        <v>1779</v>
      </c>
    </row>
    <row r="225" spans="1:55" x14ac:dyDescent="0.25">
      <c r="A225" s="118" t="s">
        <v>665</v>
      </c>
      <c r="AG225" s="118">
        <v>744.4</v>
      </c>
      <c r="AH225" s="118">
        <v>415.3</v>
      </c>
      <c r="AI225" s="118">
        <v>429.3</v>
      </c>
      <c r="AJ225" s="118">
        <v>279</v>
      </c>
      <c r="AK225" s="118">
        <v>0.21</v>
      </c>
      <c r="AL225" s="118">
        <v>430.7</v>
      </c>
      <c r="AM225" s="118">
        <v>0.39900000000000002</v>
      </c>
      <c r="AN225" s="118">
        <v>0.30299999999999999</v>
      </c>
      <c r="AO225" s="118">
        <v>0.56599999999999995</v>
      </c>
      <c r="AP225" s="118">
        <v>67.2</v>
      </c>
      <c r="AQ225" s="118">
        <v>5.73</v>
      </c>
      <c r="AR225" s="118">
        <v>68.5</v>
      </c>
      <c r="AS225" s="118">
        <v>-85.896565350000003</v>
      </c>
      <c r="AT225" s="118">
        <v>40.687834090000003</v>
      </c>
      <c r="AU225" s="118">
        <v>221.4</v>
      </c>
      <c r="AV225" s="118">
        <v>81.3</v>
      </c>
      <c r="AW225" s="118">
        <v>7.75</v>
      </c>
      <c r="AX225" s="118">
        <v>-68.099999999999994</v>
      </c>
      <c r="AY225" s="118">
        <v>12.1</v>
      </c>
      <c r="AZ225" s="118">
        <v>0</v>
      </c>
      <c r="BA225" s="118">
        <v>23.291</v>
      </c>
      <c r="BB225" s="118">
        <v>3.55</v>
      </c>
      <c r="BC225" s="118">
        <v>0</v>
      </c>
    </row>
    <row r="226" spans="1:55" x14ac:dyDescent="0.25">
      <c r="A226" s="118" t="s">
        <v>670</v>
      </c>
      <c r="AG226" s="118">
        <v>744.3</v>
      </c>
      <c r="AH226" s="118">
        <v>414.5</v>
      </c>
      <c r="AI226" s="118">
        <v>424.5</v>
      </c>
      <c r="AJ226" s="118">
        <v>276</v>
      </c>
      <c r="AK226" s="118">
        <v>0.2</v>
      </c>
      <c r="AL226" s="118">
        <v>425.5</v>
      </c>
      <c r="AM226" s="118">
        <v>0.42899999999999999</v>
      </c>
      <c r="AN226" s="118">
        <v>0.32</v>
      </c>
      <c r="AO226" s="118">
        <v>0.60799999999999998</v>
      </c>
      <c r="AP226" s="118">
        <v>95.2</v>
      </c>
      <c r="AQ226" s="118">
        <v>8.0399999999999991</v>
      </c>
      <c r="AR226" s="118">
        <v>97.1</v>
      </c>
      <c r="AS226" s="118">
        <v>-85.908397890000003</v>
      </c>
      <c r="AT226" s="118">
        <v>40.691622180000003</v>
      </c>
      <c r="AU226" s="118">
        <v>222.4</v>
      </c>
      <c r="AV226" s="118">
        <v>46.9</v>
      </c>
      <c r="AW226" s="118">
        <v>8.16</v>
      </c>
      <c r="AX226" s="118">
        <v>-91.9</v>
      </c>
      <c r="AY226" s="118">
        <v>12.1</v>
      </c>
      <c r="AZ226" s="118">
        <v>0</v>
      </c>
      <c r="BA226" s="118">
        <v>23.774999999999999</v>
      </c>
      <c r="BB226" s="118">
        <v>2.2200000000000002</v>
      </c>
      <c r="BC226" s="118">
        <v>0</v>
      </c>
    </row>
    <row r="227" spans="1:55" x14ac:dyDescent="0.25">
      <c r="A227" s="118" t="s">
        <v>663</v>
      </c>
      <c r="AG227" s="118">
        <v>743.7</v>
      </c>
      <c r="AH227" s="118">
        <v>415.1</v>
      </c>
      <c r="AI227" s="118">
        <v>416.2</v>
      </c>
      <c r="AJ227" s="118">
        <v>271</v>
      </c>
      <c r="AK227" s="118">
        <v>0.2</v>
      </c>
      <c r="AL227" s="118">
        <v>416.3</v>
      </c>
      <c r="AM227" s="118">
        <v>0.34799999999999998</v>
      </c>
      <c r="AN227" s="118">
        <v>0.55100000000000005</v>
      </c>
      <c r="AO227" s="118">
        <v>0.49399999999999999</v>
      </c>
      <c r="AP227" s="118">
        <v>138.5</v>
      </c>
      <c r="AQ227" s="118">
        <v>11.46</v>
      </c>
      <c r="AR227" s="118">
        <v>141.19999999999999</v>
      </c>
      <c r="AS227" s="118">
        <v>-85.930163379999996</v>
      </c>
      <c r="AT227" s="118">
        <v>40.704155909999997</v>
      </c>
      <c r="AU227" s="118">
        <v>218.6</v>
      </c>
      <c r="AV227" s="118">
        <v>14.1</v>
      </c>
      <c r="AW227" s="118">
        <v>8.58</v>
      </c>
      <c r="AX227" s="118">
        <v>-116.8</v>
      </c>
      <c r="AY227" s="118">
        <v>12.1</v>
      </c>
      <c r="AZ227" s="118">
        <v>0</v>
      </c>
      <c r="BA227" s="118">
        <v>24.861999999999998</v>
      </c>
      <c r="BB227" s="118">
        <v>3.4</v>
      </c>
      <c r="BC227" s="118">
        <v>0</v>
      </c>
    </row>
    <row r="228" spans="1:55" x14ac:dyDescent="0.25">
      <c r="A228" s="118" t="s">
        <v>667</v>
      </c>
      <c r="AG228" s="118">
        <v>744.3</v>
      </c>
      <c r="AH228" s="118">
        <v>415.1</v>
      </c>
      <c r="AI228" s="118">
        <v>424.1</v>
      </c>
      <c r="AJ228" s="118">
        <v>276</v>
      </c>
      <c r="AK228" s="118">
        <v>0.2</v>
      </c>
      <c r="AL228" s="118">
        <v>425</v>
      </c>
      <c r="AM228" s="118">
        <v>0.501</v>
      </c>
      <c r="AN228" s="118">
        <v>0.57699999999999996</v>
      </c>
      <c r="AO228" s="118">
        <v>0.71099999999999997</v>
      </c>
      <c r="AP228" s="118">
        <v>96.6</v>
      </c>
      <c r="AQ228" s="118">
        <v>8.14</v>
      </c>
      <c r="AR228" s="118">
        <v>98.5</v>
      </c>
      <c r="AS228" s="118">
        <v>-85.920288220000003</v>
      </c>
      <c r="AT228" s="118">
        <v>40.69342194</v>
      </c>
      <c r="AU228" s="118">
        <v>220.4</v>
      </c>
      <c r="AV228" s="118">
        <v>41.2</v>
      </c>
      <c r="AW228" s="118">
        <v>8.15</v>
      </c>
      <c r="AX228" s="118">
        <v>-91.7</v>
      </c>
      <c r="AY228" s="118">
        <v>12.1</v>
      </c>
      <c r="AZ228" s="118">
        <v>0</v>
      </c>
      <c r="BA228" s="118">
        <v>23.885000000000002</v>
      </c>
      <c r="BB228" s="118">
        <v>2.66</v>
      </c>
      <c r="BC228" s="118">
        <v>0</v>
      </c>
    </row>
    <row r="229" spans="1:55" x14ac:dyDescent="0.25">
      <c r="A229" s="118" t="s">
        <v>661</v>
      </c>
      <c r="AG229" s="118">
        <v>743.9</v>
      </c>
      <c r="AH229" s="118">
        <v>407.9</v>
      </c>
      <c r="AI229" s="118">
        <v>409.6</v>
      </c>
      <c r="AJ229" s="118">
        <v>266</v>
      </c>
      <c r="AK229" s="118">
        <v>0.2</v>
      </c>
      <c r="AL229" s="118">
        <v>409.8</v>
      </c>
      <c r="AM229" s="118">
        <v>0.51700000000000002</v>
      </c>
      <c r="AN229" s="118">
        <v>0.81599999999999995</v>
      </c>
      <c r="AO229" s="118">
        <v>0.73299999999999998</v>
      </c>
      <c r="AP229" s="118">
        <v>154.1</v>
      </c>
      <c r="AQ229" s="118">
        <v>12.76</v>
      </c>
      <c r="AR229" s="118">
        <v>157.1</v>
      </c>
      <c r="AS229" s="118">
        <v>-85.938684039999998</v>
      </c>
      <c r="AT229" s="118">
        <v>40.710971909999998</v>
      </c>
      <c r="AU229" s="118">
        <v>221.8</v>
      </c>
      <c r="AV229" s="118">
        <v>35.4</v>
      </c>
      <c r="AW229" s="118">
        <v>8.6199999999999992</v>
      </c>
      <c r="AX229" s="118">
        <v>-119.6</v>
      </c>
      <c r="AY229" s="118">
        <v>12.1</v>
      </c>
      <c r="AZ229" s="118">
        <v>0</v>
      </c>
      <c r="BA229" s="118">
        <v>24.774999999999999</v>
      </c>
      <c r="BB229" s="118">
        <v>3.67</v>
      </c>
      <c r="BC229" s="118">
        <v>0</v>
      </c>
    </row>
    <row r="230" spans="1:55" x14ac:dyDescent="0.25">
      <c r="A230" s="118" t="s">
        <v>671</v>
      </c>
      <c r="AG230" s="118">
        <v>744.1</v>
      </c>
      <c r="AH230" s="118">
        <v>408</v>
      </c>
      <c r="AI230" s="118">
        <v>412.9</v>
      </c>
      <c r="AJ230" s="118">
        <v>268</v>
      </c>
      <c r="AK230" s="118">
        <v>0.2</v>
      </c>
      <c r="AL230" s="118">
        <v>413.4</v>
      </c>
      <c r="AM230" s="118">
        <v>0.60199999999999998</v>
      </c>
      <c r="AN230" s="118">
        <v>0.60499999999999998</v>
      </c>
      <c r="AO230" s="118">
        <v>0.85399999999999998</v>
      </c>
      <c r="AP230" s="118">
        <v>158.80000000000001</v>
      </c>
      <c r="AQ230" s="118">
        <v>13.26</v>
      </c>
      <c r="AR230" s="118">
        <v>161.9</v>
      </c>
      <c r="AS230" s="118">
        <v>-85.951000649999997</v>
      </c>
      <c r="AT230" s="118">
        <v>40.711607979999997</v>
      </c>
      <c r="AU230" s="118">
        <v>227.9</v>
      </c>
      <c r="AV230" s="118">
        <v>30.5</v>
      </c>
      <c r="AW230" s="118">
        <v>8.64</v>
      </c>
      <c r="AX230" s="118">
        <v>-120.7</v>
      </c>
      <c r="AY230" s="118">
        <v>12.1</v>
      </c>
      <c r="AZ230" s="118">
        <v>0</v>
      </c>
      <c r="BA230" s="118">
        <v>24.372</v>
      </c>
      <c r="BB230" s="118">
        <v>2.91</v>
      </c>
      <c r="BC230" s="118">
        <v>0</v>
      </c>
    </row>
    <row r="231" spans="1:55" x14ac:dyDescent="0.25">
      <c r="A231" s="118" t="s">
        <v>664</v>
      </c>
      <c r="AG231" s="118" t="s">
        <v>1779</v>
      </c>
      <c r="AH231" s="118" t="s">
        <v>1779</v>
      </c>
      <c r="AI231" s="118" t="s">
        <v>1779</v>
      </c>
      <c r="AJ231" s="118" t="s">
        <v>1779</v>
      </c>
      <c r="AK231" s="118" t="s">
        <v>1779</v>
      </c>
      <c r="AL231" s="118" t="s">
        <v>1779</v>
      </c>
      <c r="AM231" s="118" t="s">
        <v>1779</v>
      </c>
      <c r="AN231" s="118" t="s">
        <v>1779</v>
      </c>
      <c r="AO231" s="118" t="s">
        <v>1779</v>
      </c>
      <c r="AP231" s="118" t="s">
        <v>1779</v>
      </c>
      <c r="AQ231" s="118" t="s">
        <v>1779</v>
      </c>
      <c r="AR231" s="118" t="s">
        <v>1779</v>
      </c>
      <c r="AS231" s="118">
        <v>-85.84154934</v>
      </c>
      <c r="AT231" s="118">
        <v>40.672506980000001</v>
      </c>
      <c r="AU231" s="118" t="s">
        <v>1779</v>
      </c>
      <c r="AV231" s="118" t="s">
        <v>1779</v>
      </c>
      <c r="AW231" s="118" t="s">
        <v>1779</v>
      </c>
      <c r="AX231" s="118" t="s">
        <v>1779</v>
      </c>
      <c r="AY231" s="118" t="s">
        <v>1779</v>
      </c>
      <c r="AZ231" s="118" t="s">
        <v>1779</v>
      </c>
      <c r="BA231" s="118" t="s">
        <v>1779</v>
      </c>
      <c r="BB231" s="118" t="s">
        <v>1779</v>
      </c>
      <c r="BC231" s="118" t="s">
        <v>1779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F628D-3859-4692-A817-898BB5446DBD}">
  <dimension ref="A1:AE146"/>
  <sheetViews>
    <sheetView zoomScale="85" zoomScaleNormal="85" workbookViewId="0">
      <selection activeCell="N139" sqref="N139"/>
    </sheetView>
  </sheetViews>
  <sheetFormatPr defaultRowHeight="15" x14ac:dyDescent="0.25"/>
  <cols>
    <col min="1" max="1" width="13.42578125" bestFit="1" customWidth="1"/>
    <col min="2" max="2" width="15.7109375" bestFit="1" customWidth="1"/>
    <col min="28" max="28" width="14.85546875" bestFit="1" customWidth="1"/>
  </cols>
  <sheetData>
    <row r="1" spans="1:31" x14ac:dyDescent="0.25">
      <c r="A1" s="29" t="s">
        <v>1684</v>
      </c>
      <c r="B1" s="29" t="s">
        <v>1685</v>
      </c>
      <c r="C1" s="29" t="s">
        <v>1686</v>
      </c>
      <c r="D1" s="29" t="s">
        <v>1687</v>
      </c>
      <c r="E1" s="29" t="s">
        <v>1688</v>
      </c>
      <c r="F1" s="29" t="s">
        <v>1689</v>
      </c>
      <c r="G1" s="29" t="s">
        <v>1690</v>
      </c>
      <c r="H1" s="29" t="s">
        <v>1691</v>
      </c>
      <c r="I1" s="29" t="s">
        <v>1692</v>
      </c>
      <c r="J1" s="29" t="s">
        <v>1693</v>
      </c>
      <c r="K1" s="29" t="s">
        <v>1694</v>
      </c>
      <c r="L1" s="29" t="s">
        <v>1695</v>
      </c>
      <c r="M1" s="29" t="s">
        <v>1696</v>
      </c>
      <c r="N1" s="29" t="s">
        <v>1697</v>
      </c>
      <c r="O1" s="29" t="s">
        <v>1698</v>
      </c>
      <c r="P1" s="29" t="s">
        <v>1699</v>
      </c>
      <c r="Q1" s="29" t="s">
        <v>1700</v>
      </c>
      <c r="R1" s="29" t="s">
        <v>1701</v>
      </c>
      <c r="S1" s="29" t="s">
        <v>1702</v>
      </c>
      <c r="T1" s="29" t="s">
        <v>1703</v>
      </c>
      <c r="U1" s="29" t="s">
        <v>1704</v>
      </c>
      <c r="V1" s="29" t="s">
        <v>1705</v>
      </c>
      <c r="W1" s="29" t="s">
        <v>1706</v>
      </c>
      <c r="X1" s="29" t="s">
        <v>1707</v>
      </c>
      <c r="Y1" s="29" t="s">
        <v>1708</v>
      </c>
      <c r="Z1" s="29" t="s">
        <v>1709</v>
      </c>
      <c r="AA1" s="29" t="s">
        <v>1710</v>
      </c>
      <c r="AB1" s="29" t="s">
        <v>1755</v>
      </c>
      <c r="AC1" s="29" t="s">
        <v>1711</v>
      </c>
    </row>
    <row r="2" spans="1:31" x14ac:dyDescent="0.25">
      <c r="A2" s="195">
        <v>0.49334490740740738</v>
      </c>
      <c r="B2" s="196">
        <v>45787</v>
      </c>
      <c r="C2" s="29">
        <v>250510</v>
      </c>
      <c r="D2" s="29">
        <v>0</v>
      </c>
      <c r="E2" s="29">
        <v>745.8</v>
      </c>
      <c r="F2" s="29">
        <v>436.5</v>
      </c>
      <c r="G2" s="29">
        <v>493.4</v>
      </c>
      <c r="H2" s="29">
        <v>321</v>
      </c>
      <c r="I2" s="29">
        <v>0.24</v>
      </c>
      <c r="J2" s="29">
        <v>498.5</v>
      </c>
      <c r="K2" s="29">
        <v>0.74099999999999999</v>
      </c>
      <c r="L2" s="29">
        <v>0.754</v>
      </c>
      <c r="M2" s="29">
        <v>1.052</v>
      </c>
      <c r="N2" s="29">
        <v>115.5</v>
      </c>
      <c r="O2" s="29">
        <v>10.7</v>
      </c>
      <c r="P2" s="29">
        <v>117.1</v>
      </c>
      <c r="Q2" s="29">
        <v>40.681759999999997</v>
      </c>
      <c r="R2" s="29">
        <v>-85.888440000000003</v>
      </c>
      <c r="S2" s="29">
        <v>222.8</v>
      </c>
      <c r="T2" s="29">
        <v>196.3</v>
      </c>
      <c r="U2" s="29">
        <v>8.25</v>
      </c>
      <c r="V2" s="29">
        <v>-109.3</v>
      </c>
      <c r="W2" s="29">
        <v>12.1</v>
      </c>
      <c r="X2" s="29">
        <v>0</v>
      </c>
      <c r="Y2" s="29">
        <v>18.965</v>
      </c>
      <c r="Z2" s="29">
        <v>10.210000000000001</v>
      </c>
      <c r="AA2" s="29">
        <v>0</v>
      </c>
      <c r="AB2" s="138">
        <v>45787.493344907409</v>
      </c>
      <c r="AC2" s="29" t="s">
        <v>1717</v>
      </c>
      <c r="AD2" t="str">
        <f t="shared" ref="AD2:AD10" si="0">RIGHT(AC2,1)</f>
        <v>1</v>
      </c>
      <c r="AE2" s="131" t="s">
        <v>685</v>
      </c>
    </row>
    <row r="3" spans="1:31" x14ac:dyDescent="0.25">
      <c r="A3" s="195">
        <v>0.50399305555555551</v>
      </c>
      <c r="B3" s="196">
        <v>45787</v>
      </c>
      <c r="C3" s="29">
        <v>250510</v>
      </c>
      <c r="D3" s="29">
        <v>0</v>
      </c>
      <c r="E3" s="29">
        <v>745.6</v>
      </c>
      <c r="F3" s="29">
        <v>503</v>
      </c>
      <c r="G3" s="29">
        <v>576.1</v>
      </c>
      <c r="H3" s="29">
        <v>374</v>
      </c>
      <c r="I3" s="29">
        <v>0.28000000000000003</v>
      </c>
      <c r="J3" s="29">
        <v>582.6</v>
      </c>
      <c r="K3" s="29">
        <v>0.40500000000000003</v>
      </c>
      <c r="L3" s="29">
        <v>0.42499999999999999</v>
      </c>
      <c r="M3" s="29">
        <v>0.57499999999999996</v>
      </c>
      <c r="N3" s="29">
        <v>117.3</v>
      </c>
      <c r="O3" s="29">
        <v>11</v>
      </c>
      <c r="P3" s="29">
        <v>119</v>
      </c>
      <c r="Q3" s="29">
        <v>40.676839999999999</v>
      </c>
      <c r="R3" s="29">
        <v>-85.876919999999998</v>
      </c>
      <c r="S3" s="29">
        <v>222.5</v>
      </c>
      <c r="T3" s="29">
        <v>175.6</v>
      </c>
      <c r="U3" s="29">
        <v>8.2799999999999994</v>
      </c>
      <c r="V3" s="29">
        <v>-110.9</v>
      </c>
      <c r="W3" s="29">
        <v>12.1</v>
      </c>
      <c r="X3" s="29">
        <v>0</v>
      </c>
      <c r="Y3" s="29">
        <v>18.353999999999999</v>
      </c>
      <c r="Z3" s="29">
        <v>4.17</v>
      </c>
      <c r="AA3" s="29">
        <v>0</v>
      </c>
      <c r="AB3" s="138">
        <v>45787.503993055558</v>
      </c>
      <c r="AC3" s="29" t="s">
        <v>1716</v>
      </c>
      <c r="AD3" s="118" t="str">
        <f t="shared" si="0"/>
        <v>2</v>
      </c>
      <c r="AE3" s="119" t="s">
        <v>686</v>
      </c>
    </row>
    <row r="4" spans="1:31" x14ac:dyDescent="0.25">
      <c r="A4" s="195">
        <v>0.52861111111111114</v>
      </c>
      <c r="B4" s="196">
        <v>45787</v>
      </c>
      <c r="C4" s="29">
        <v>250510</v>
      </c>
      <c r="D4" s="29">
        <v>0</v>
      </c>
      <c r="E4" s="29">
        <v>745.3</v>
      </c>
      <c r="F4" s="29">
        <v>517.20000000000005</v>
      </c>
      <c r="G4" s="29">
        <v>585.79999999999995</v>
      </c>
      <c r="H4" s="29">
        <v>381</v>
      </c>
      <c r="I4" s="29">
        <v>0.28000000000000003</v>
      </c>
      <c r="J4" s="29">
        <v>592</v>
      </c>
      <c r="K4" s="29">
        <v>0.54600000000000004</v>
      </c>
      <c r="L4" s="29">
        <v>0.53100000000000003</v>
      </c>
      <c r="M4" s="29">
        <v>0.77500000000000002</v>
      </c>
      <c r="N4" s="29">
        <v>126.2</v>
      </c>
      <c r="O4" s="29">
        <v>11.72</v>
      </c>
      <c r="P4" s="29">
        <v>128.1</v>
      </c>
      <c r="Q4" s="29">
        <v>40.670589999999997</v>
      </c>
      <c r="R4" s="29">
        <v>-85.870369999999994</v>
      </c>
      <c r="S4" s="29">
        <v>219.1</v>
      </c>
      <c r="T4" s="29">
        <v>178.7</v>
      </c>
      <c r="U4" s="29">
        <v>8.2799999999999994</v>
      </c>
      <c r="V4" s="29">
        <v>-110.6</v>
      </c>
      <c r="W4" s="29">
        <v>12.1</v>
      </c>
      <c r="X4" s="29">
        <v>0</v>
      </c>
      <c r="Y4" s="29">
        <v>18.870999999999999</v>
      </c>
      <c r="Z4" s="29">
        <v>4.34</v>
      </c>
      <c r="AA4" s="29">
        <v>0</v>
      </c>
      <c r="AB4" s="138">
        <v>45787.528611111113</v>
      </c>
      <c r="AC4" s="29" t="s">
        <v>1715</v>
      </c>
      <c r="AD4" s="118" t="str">
        <f t="shared" si="0"/>
        <v>3</v>
      </c>
      <c r="AE4" s="119" t="s">
        <v>687</v>
      </c>
    </row>
    <row r="5" spans="1:31" x14ac:dyDescent="0.25">
      <c r="A5" s="195">
        <v>0.53523148148148147</v>
      </c>
      <c r="B5" s="196">
        <v>45787</v>
      </c>
      <c r="C5" s="29">
        <v>250510</v>
      </c>
      <c r="D5" s="29">
        <v>0</v>
      </c>
      <c r="E5" s="29">
        <v>745.3</v>
      </c>
      <c r="F5" s="29">
        <v>526</v>
      </c>
      <c r="G5" s="29">
        <v>591.79999999999995</v>
      </c>
      <c r="H5" s="29">
        <v>385</v>
      </c>
      <c r="I5" s="29">
        <v>0.28999999999999998</v>
      </c>
      <c r="J5" s="29">
        <v>597.79999999999995</v>
      </c>
      <c r="K5" s="29">
        <v>0.46100000000000002</v>
      </c>
      <c r="L5" s="29">
        <v>0.45</v>
      </c>
      <c r="M5" s="29">
        <v>0.65500000000000003</v>
      </c>
      <c r="N5" s="29">
        <v>141.6</v>
      </c>
      <c r="O5" s="29">
        <v>13.06</v>
      </c>
      <c r="P5" s="29">
        <v>143.6</v>
      </c>
      <c r="Q5" s="29">
        <v>40.663020000000003</v>
      </c>
      <c r="R5" s="29">
        <v>-85.866429999999994</v>
      </c>
      <c r="S5" s="29">
        <v>219.8</v>
      </c>
      <c r="T5" s="29">
        <v>184.9</v>
      </c>
      <c r="U5" s="29">
        <v>8.44</v>
      </c>
      <c r="V5" s="29">
        <v>-120.1</v>
      </c>
      <c r="W5" s="29">
        <v>12.1</v>
      </c>
      <c r="X5" s="29">
        <v>0</v>
      </c>
      <c r="Y5" s="29">
        <v>19.175999999999998</v>
      </c>
      <c r="Z5" s="29">
        <v>5.9</v>
      </c>
      <c r="AA5" s="29">
        <v>0</v>
      </c>
      <c r="AB5" s="138">
        <v>45787.535231481481</v>
      </c>
      <c r="AC5" s="29" t="s">
        <v>1714</v>
      </c>
      <c r="AD5" s="118" t="str">
        <f t="shared" si="0"/>
        <v>4</v>
      </c>
      <c r="AE5" s="119" t="s">
        <v>688</v>
      </c>
    </row>
    <row r="6" spans="1:31" x14ac:dyDescent="0.25">
      <c r="A6" s="195">
        <v>0.54645833333333338</v>
      </c>
      <c r="B6" s="196">
        <v>45787</v>
      </c>
      <c r="C6" s="29">
        <v>250510</v>
      </c>
      <c r="D6" s="29">
        <v>0</v>
      </c>
      <c r="E6" s="29">
        <v>745.1</v>
      </c>
      <c r="F6" s="29">
        <v>532</v>
      </c>
      <c r="G6" s="29">
        <v>596.1</v>
      </c>
      <c r="H6" s="29">
        <v>387</v>
      </c>
      <c r="I6" s="29">
        <v>0.28999999999999998</v>
      </c>
      <c r="J6" s="29">
        <v>602</v>
      </c>
      <c r="K6" s="29">
        <v>0.378</v>
      </c>
      <c r="L6" s="29">
        <v>0.376</v>
      </c>
      <c r="M6" s="29">
        <v>0.53600000000000003</v>
      </c>
      <c r="N6" s="29">
        <v>141.1</v>
      </c>
      <c r="O6" s="29">
        <v>12.97</v>
      </c>
      <c r="P6" s="29">
        <v>143.1</v>
      </c>
      <c r="Q6" s="29">
        <v>40.668840000000003</v>
      </c>
      <c r="R6" s="29">
        <v>-85.847499999999997</v>
      </c>
      <c r="S6" s="29">
        <v>220.8</v>
      </c>
      <c r="T6" s="29">
        <v>192.7</v>
      </c>
      <c r="U6" s="29">
        <v>8.48</v>
      </c>
      <c r="V6" s="29">
        <v>-122.4</v>
      </c>
      <c r="W6" s="29">
        <v>12.1</v>
      </c>
      <c r="X6" s="29">
        <v>0</v>
      </c>
      <c r="Y6" s="29">
        <v>19.37</v>
      </c>
      <c r="Z6" s="29">
        <v>6.81</v>
      </c>
      <c r="AA6" s="29">
        <v>0</v>
      </c>
      <c r="AB6" s="138">
        <v>45787.546458333331</v>
      </c>
      <c r="AC6" s="29" t="s">
        <v>1713</v>
      </c>
      <c r="AD6" s="118" t="str">
        <f t="shared" si="0"/>
        <v>5</v>
      </c>
      <c r="AE6" s="119" t="s">
        <v>689</v>
      </c>
    </row>
    <row r="7" spans="1:31" x14ac:dyDescent="0.25">
      <c r="A7" s="195">
        <v>0.5647106481481482</v>
      </c>
      <c r="B7" s="196">
        <v>45787</v>
      </c>
      <c r="C7" s="29">
        <v>250510</v>
      </c>
      <c r="D7" s="29">
        <v>0</v>
      </c>
      <c r="E7" s="29">
        <v>745</v>
      </c>
      <c r="F7" s="29">
        <v>533.70000000000005</v>
      </c>
      <c r="G7" s="29">
        <v>599</v>
      </c>
      <c r="H7" s="29">
        <v>389</v>
      </c>
      <c r="I7" s="29">
        <v>0.28999999999999998</v>
      </c>
      <c r="J7" s="29">
        <v>605</v>
      </c>
      <c r="K7" s="29">
        <v>0.36699999999999999</v>
      </c>
      <c r="L7" s="29">
        <v>0.35599999999999998</v>
      </c>
      <c r="M7" s="29">
        <v>0.52200000000000002</v>
      </c>
      <c r="N7" s="29">
        <v>114.7</v>
      </c>
      <c r="O7" s="29">
        <v>10.56</v>
      </c>
      <c r="P7" s="29">
        <v>116.3</v>
      </c>
      <c r="Q7" s="29">
        <v>40.673729999999999</v>
      </c>
      <c r="R7" s="29">
        <v>-85.831779999999995</v>
      </c>
      <c r="S7" s="29">
        <v>221.3</v>
      </c>
      <c r="T7" s="29">
        <v>174.4</v>
      </c>
      <c r="U7" s="29">
        <v>8.15</v>
      </c>
      <c r="V7" s="29">
        <v>-103.2</v>
      </c>
      <c r="W7" s="29">
        <v>12.1</v>
      </c>
      <c r="X7" s="29">
        <v>0</v>
      </c>
      <c r="Y7" s="29">
        <v>19.283999999999999</v>
      </c>
      <c r="Z7" s="29">
        <v>9.34</v>
      </c>
      <c r="AA7" s="29">
        <v>0</v>
      </c>
      <c r="AB7" s="138">
        <v>45787.564710648148</v>
      </c>
      <c r="AC7" s="29" t="s">
        <v>1712</v>
      </c>
      <c r="AD7" s="118" t="str">
        <f t="shared" si="0"/>
        <v>6</v>
      </c>
      <c r="AE7" s="119" t="s">
        <v>690</v>
      </c>
    </row>
    <row r="8" spans="1:31" x14ac:dyDescent="0.25">
      <c r="A8" s="195">
        <v>0.48379629629629628</v>
      </c>
      <c r="B8" s="196">
        <v>45787</v>
      </c>
      <c r="C8" s="29">
        <v>250510</v>
      </c>
      <c r="D8" s="29">
        <v>0</v>
      </c>
      <c r="E8" s="29">
        <v>745.8</v>
      </c>
      <c r="F8" s="29">
        <v>402.8</v>
      </c>
      <c r="G8" s="29">
        <v>461.6</v>
      </c>
      <c r="H8" s="29">
        <v>300</v>
      </c>
      <c r="I8" s="29">
        <v>0.22</v>
      </c>
      <c r="J8" s="29">
        <v>466.8</v>
      </c>
      <c r="K8" s="29">
        <v>0.77600000000000002</v>
      </c>
      <c r="L8" s="29">
        <v>0.77600000000000002</v>
      </c>
      <c r="M8" s="29">
        <v>1.103</v>
      </c>
      <c r="N8" s="29">
        <v>106.7</v>
      </c>
      <c r="O8" s="29">
        <v>10.029999999999999</v>
      </c>
      <c r="P8" s="29">
        <v>108.3</v>
      </c>
      <c r="Q8" s="29">
        <v>40.687840000000001</v>
      </c>
      <c r="R8" s="29">
        <v>-85.896339999999995</v>
      </c>
      <c r="S8" s="29">
        <v>226.5</v>
      </c>
      <c r="T8" s="29">
        <v>176.5</v>
      </c>
      <c r="U8" s="29">
        <v>8.16</v>
      </c>
      <c r="V8" s="29">
        <v>-103.6</v>
      </c>
      <c r="W8" s="29">
        <v>12.1</v>
      </c>
      <c r="X8" s="29">
        <v>0</v>
      </c>
      <c r="Y8" s="29">
        <v>18.329000000000001</v>
      </c>
      <c r="Z8" s="29">
        <v>13.25</v>
      </c>
      <c r="AA8" s="29">
        <v>0</v>
      </c>
      <c r="AB8" s="138">
        <v>45787.483796296299</v>
      </c>
      <c r="AC8" s="29" t="s">
        <v>1724</v>
      </c>
      <c r="AD8" s="118" t="str">
        <f t="shared" si="0"/>
        <v>7</v>
      </c>
      <c r="AE8" s="119" t="s">
        <v>691</v>
      </c>
    </row>
    <row r="9" spans="1:31" x14ac:dyDescent="0.25">
      <c r="A9" s="195">
        <v>0.47240740740740739</v>
      </c>
      <c r="B9" s="196">
        <v>45787</v>
      </c>
      <c r="C9" s="29">
        <v>250510</v>
      </c>
      <c r="D9" s="29">
        <v>0</v>
      </c>
      <c r="E9" s="29">
        <v>745.9</v>
      </c>
      <c r="F9" s="29">
        <v>363.8</v>
      </c>
      <c r="G9" s="29">
        <v>417.6</v>
      </c>
      <c r="H9" s="29">
        <v>271</v>
      </c>
      <c r="I9" s="29">
        <v>0.2</v>
      </c>
      <c r="J9" s="29">
        <v>422.4</v>
      </c>
      <c r="K9" s="29">
        <v>0.69799999999999995</v>
      </c>
      <c r="L9" s="29">
        <v>0.71</v>
      </c>
      <c r="M9" s="29">
        <v>0.99099999999999999</v>
      </c>
      <c r="N9" s="29">
        <v>103.4</v>
      </c>
      <c r="O9" s="29">
        <v>9.73</v>
      </c>
      <c r="P9" s="29">
        <v>104.9</v>
      </c>
      <c r="Q9" s="29">
        <v>40.691690000000001</v>
      </c>
      <c r="R9" s="29">
        <v>-85.908100000000005</v>
      </c>
      <c r="S9" s="29">
        <v>219.5</v>
      </c>
      <c r="T9" s="29">
        <v>168.3</v>
      </c>
      <c r="U9" s="29">
        <v>8.0299999999999994</v>
      </c>
      <c r="V9" s="29">
        <v>-96</v>
      </c>
      <c r="W9" s="29">
        <v>12.1</v>
      </c>
      <c r="X9" s="29">
        <v>0</v>
      </c>
      <c r="Y9" s="29">
        <v>18.251000000000001</v>
      </c>
      <c r="Z9" s="29">
        <v>20.149999999999999</v>
      </c>
      <c r="AA9" s="29">
        <v>0</v>
      </c>
      <c r="AB9" s="138">
        <v>45787.472407407404</v>
      </c>
      <c r="AC9" s="29" t="s">
        <v>1722</v>
      </c>
      <c r="AD9" s="118" t="str">
        <f t="shared" si="0"/>
        <v>8</v>
      </c>
      <c r="AE9" s="119" t="s">
        <v>692</v>
      </c>
    </row>
    <row r="10" spans="1:31" x14ac:dyDescent="0.25">
      <c r="A10" s="195">
        <v>0.44878472222222221</v>
      </c>
      <c r="B10" s="196">
        <v>45787</v>
      </c>
      <c r="C10" s="29">
        <v>250510</v>
      </c>
      <c r="D10" s="29">
        <v>0</v>
      </c>
      <c r="E10" s="29">
        <v>746</v>
      </c>
      <c r="F10" s="29">
        <v>321.5</v>
      </c>
      <c r="G10" s="29">
        <v>370.4</v>
      </c>
      <c r="H10" s="29">
        <v>241</v>
      </c>
      <c r="I10" s="29">
        <v>0.18</v>
      </c>
      <c r="J10" s="29">
        <v>374.8</v>
      </c>
      <c r="K10" s="29">
        <v>0.59099999999999997</v>
      </c>
      <c r="L10" s="29">
        <v>0.57399999999999995</v>
      </c>
      <c r="M10" s="29">
        <v>0.83899999999999997</v>
      </c>
      <c r="N10" s="29">
        <v>97.4</v>
      </c>
      <c r="O10" s="29">
        <v>9.1999999999999993</v>
      </c>
      <c r="P10" s="29">
        <v>98.8</v>
      </c>
      <c r="Q10" s="29">
        <v>40.704099999999997</v>
      </c>
      <c r="R10" s="29">
        <v>-85.929789999999997</v>
      </c>
      <c r="S10" s="29">
        <v>220.3</v>
      </c>
      <c r="T10" s="29">
        <v>180.3</v>
      </c>
      <c r="U10" s="29">
        <v>7.84</v>
      </c>
      <c r="V10" s="29">
        <v>-85.4</v>
      </c>
      <c r="W10" s="29">
        <v>12.1</v>
      </c>
      <c r="X10" s="29">
        <v>0</v>
      </c>
      <c r="Y10" s="29">
        <v>18.077999999999999</v>
      </c>
      <c r="Z10" s="29">
        <v>28.39</v>
      </c>
      <c r="AA10" s="29">
        <v>0</v>
      </c>
      <c r="AB10" s="138">
        <v>45787.448784722219</v>
      </c>
      <c r="AC10" s="29" t="s">
        <v>1718</v>
      </c>
      <c r="AD10" s="118" t="str">
        <f t="shared" si="0"/>
        <v>9</v>
      </c>
      <c r="AE10" s="119" t="s">
        <v>693</v>
      </c>
    </row>
    <row r="11" spans="1:31" x14ac:dyDescent="0.25">
      <c r="A11" s="195">
        <v>0.45917824074074076</v>
      </c>
      <c r="B11" s="196">
        <v>45787</v>
      </c>
      <c r="C11" s="29">
        <v>250510</v>
      </c>
      <c r="D11" s="29">
        <v>0</v>
      </c>
      <c r="E11" s="29">
        <v>746.1</v>
      </c>
      <c r="F11" s="29">
        <v>331.3</v>
      </c>
      <c r="G11" s="29">
        <v>387</v>
      </c>
      <c r="H11" s="29">
        <v>252</v>
      </c>
      <c r="I11" s="29">
        <v>0.19</v>
      </c>
      <c r="J11" s="29">
        <v>391.8</v>
      </c>
      <c r="K11" s="29">
        <v>0.79200000000000004</v>
      </c>
      <c r="L11" s="29">
        <v>0.80600000000000005</v>
      </c>
      <c r="M11" s="29">
        <v>1.125</v>
      </c>
      <c r="N11" s="29">
        <v>95.4</v>
      </c>
      <c r="O11" s="29">
        <v>9.1199999999999992</v>
      </c>
      <c r="P11" s="29">
        <v>96.8</v>
      </c>
      <c r="Q11" s="29">
        <v>40.693080000000002</v>
      </c>
      <c r="R11" s="29">
        <v>-85.919939999999997</v>
      </c>
      <c r="S11" s="29">
        <v>218.2</v>
      </c>
      <c r="T11" s="29">
        <v>202.8</v>
      </c>
      <c r="U11" s="29">
        <v>7.89</v>
      </c>
      <c r="V11" s="29">
        <v>-87.8</v>
      </c>
      <c r="W11" s="29">
        <v>12.1</v>
      </c>
      <c r="X11" s="29">
        <v>0</v>
      </c>
      <c r="Y11" s="29">
        <v>17.47</v>
      </c>
      <c r="Z11" s="29">
        <v>26.12</v>
      </c>
      <c r="AA11" s="29">
        <v>0</v>
      </c>
      <c r="AB11" s="138">
        <v>45787.459178240744</v>
      </c>
      <c r="AC11" s="29" t="s">
        <v>1725</v>
      </c>
      <c r="AD11" s="118">
        <v>10</v>
      </c>
      <c r="AE11" s="119" t="s">
        <v>694</v>
      </c>
    </row>
    <row r="12" spans="1:31" x14ac:dyDescent="0.25">
      <c r="A12" s="195">
        <v>0.43712962962962965</v>
      </c>
      <c r="B12" s="196">
        <v>45787</v>
      </c>
      <c r="C12" s="29">
        <v>250510</v>
      </c>
      <c r="D12" s="29">
        <v>0</v>
      </c>
      <c r="E12" s="29">
        <v>745.9</v>
      </c>
      <c r="F12" s="29">
        <v>318</v>
      </c>
      <c r="G12" s="29">
        <v>365.3</v>
      </c>
      <c r="H12" s="29">
        <v>237</v>
      </c>
      <c r="I12" s="29">
        <v>0.18</v>
      </c>
      <c r="J12" s="29">
        <v>369.5</v>
      </c>
      <c r="K12" s="29">
        <v>0.54700000000000004</v>
      </c>
      <c r="L12" s="29">
        <v>0.55400000000000005</v>
      </c>
      <c r="M12" s="29">
        <v>0.77700000000000002</v>
      </c>
      <c r="N12" s="29">
        <v>92</v>
      </c>
      <c r="O12" s="29">
        <v>8.67</v>
      </c>
      <c r="P12" s="29">
        <v>93.4</v>
      </c>
      <c r="Q12" s="29">
        <v>40.710990000000002</v>
      </c>
      <c r="R12" s="29">
        <v>-85.938450000000003</v>
      </c>
      <c r="S12" s="29">
        <v>219.4</v>
      </c>
      <c r="T12" s="29">
        <v>165.8</v>
      </c>
      <c r="U12" s="29">
        <v>7.79</v>
      </c>
      <c r="V12" s="29">
        <v>-82.4</v>
      </c>
      <c r="W12" s="29">
        <v>12.1</v>
      </c>
      <c r="X12" s="29">
        <v>0</v>
      </c>
      <c r="Y12" s="29">
        <v>18.216000000000001</v>
      </c>
      <c r="Z12" s="29">
        <v>29.7</v>
      </c>
      <c r="AA12" s="29">
        <v>0</v>
      </c>
      <c r="AB12" s="138">
        <v>45787.43712962963</v>
      </c>
      <c r="AC12" s="29" t="s">
        <v>1719</v>
      </c>
      <c r="AD12" s="118">
        <v>11</v>
      </c>
      <c r="AE12" s="119" t="s">
        <v>695</v>
      </c>
    </row>
    <row r="13" spans="1:31" x14ac:dyDescent="0.25">
      <c r="A13" s="195">
        <v>0.42231481481481481</v>
      </c>
      <c r="B13" s="196">
        <v>45787</v>
      </c>
      <c r="C13" s="29">
        <v>250510</v>
      </c>
      <c r="D13" s="29">
        <v>0</v>
      </c>
      <c r="E13" s="29">
        <v>745.9</v>
      </c>
      <c r="F13" s="29">
        <v>314</v>
      </c>
      <c r="G13" s="29">
        <v>362.7</v>
      </c>
      <c r="H13" s="29">
        <v>236</v>
      </c>
      <c r="I13" s="29">
        <v>0.17</v>
      </c>
      <c r="J13" s="29">
        <v>367</v>
      </c>
      <c r="K13" s="29">
        <v>0.64800000000000002</v>
      </c>
      <c r="L13" s="29">
        <v>0.64200000000000002</v>
      </c>
      <c r="M13" s="29">
        <v>0.92</v>
      </c>
      <c r="N13" s="29">
        <v>93.6</v>
      </c>
      <c r="O13" s="29">
        <v>8.85</v>
      </c>
      <c r="P13" s="29">
        <v>94.9</v>
      </c>
      <c r="Q13" s="29">
        <v>40.711509999999997</v>
      </c>
      <c r="R13" s="29">
        <v>-85.950850000000003</v>
      </c>
      <c r="S13" s="29">
        <v>216.9</v>
      </c>
      <c r="T13" s="29">
        <v>165.2</v>
      </c>
      <c r="U13" s="29">
        <v>7.79</v>
      </c>
      <c r="V13" s="29">
        <v>-82.1</v>
      </c>
      <c r="W13" s="29">
        <v>12.1</v>
      </c>
      <c r="X13" s="29">
        <v>0</v>
      </c>
      <c r="Y13" s="29">
        <v>17.971</v>
      </c>
      <c r="Z13" s="29">
        <v>32.17</v>
      </c>
      <c r="AA13" s="29">
        <v>0</v>
      </c>
      <c r="AB13" s="138">
        <v>45787.422314814816</v>
      </c>
      <c r="AC13" s="29" t="s">
        <v>1720</v>
      </c>
      <c r="AD13" s="118">
        <v>12</v>
      </c>
      <c r="AE13" s="119" t="s">
        <v>696</v>
      </c>
    </row>
    <row r="14" spans="1:31" x14ac:dyDescent="0.25">
      <c r="A14" s="195">
        <v>0.55508101851851854</v>
      </c>
      <c r="B14" s="196">
        <v>45787</v>
      </c>
      <c r="C14" s="29">
        <v>250510</v>
      </c>
      <c r="D14" s="29">
        <v>0</v>
      </c>
      <c r="E14" s="29">
        <v>745</v>
      </c>
      <c r="F14" s="29">
        <v>534.4</v>
      </c>
      <c r="G14" s="29">
        <v>600.29999999999995</v>
      </c>
      <c r="H14" s="29">
        <v>390</v>
      </c>
      <c r="I14" s="29">
        <v>0.28999999999999998</v>
      </c>
      <c r="J14" s="29">
        <v>606.29999999999995</v>
      </c>
      <c r="K14" s="29">
        <v>0.435</v>
      </c>
      <c r="L14" s="29">
        <v>0.437</v>
      </c>
      <c r="M14" s="29">
        <v>0.61799999999999999</v>
      </c>
      <c r="N14" s="29">
        <v>128.1</v>
      </c>
      <c r="O14" s="29">
        <v>11.81</v>
      </c>
      <c r="P14" s="29">
        <v>130</v>
      </c>
      <c r="Q14" s="29">
        <v>40.672640000000001</v>
      </c>
      <c r="R14" s="29">
        <v>-85.841290000000001</v>
      </c>
      <c r="S14" s="29">
        <v>219.8</v>
      </c>
      <c r="T14" s="29">
        <v>187.7</v>
      </c>
      <c r="U14" s="29">
        <v>8.35</v>
      </c>
      <c r="V14" s="29">
        <v>-114.8</v>
      </c>
      <c r="W14" s="29">
        <v>12.1</v>
      </c>
      <c r="X14" s="29">
        <v>0</v>
      </c>
      <c r="Y14" s="29">
        <v>19.259</v>
      </c>
      <c r="Z14" s="29">
        <v>7.5</v>
      </c>
      <c r="AA14" s="29">
        <v>0</v>
      </c>
      <c r="AB14" s="138">
        <v>45787.555081018516</v>
      </c>
      <c r="AC14" s="29" t="s">
        <v>1721</v>
      </c>
      <c r="AD14" s="118">
        <v>13</v>
      </c>
      <c r="AE14" s="119" t="s">
        <v>697</v>
      </c>
    </row>
    <row r="15" spans="1:31" x14ac:dyDescent="0.25">
      <c r="A15" s="193">
        <v>0.50163194444444448</v>
      </c>
      <c r="B15" s="194">
        <v>45819</v>
      </c>
      <c r="C15" s="105">
        <v>250611</v>
      </c>
      <c r="D15" s="105">
        <v>0</v>
      </c>
      <c r="E15" s="105">
        <v>743.5</v>
      </c>
      <c r="F15" s="105">
        <v>475.9</v>
      </c>
      <c r="G15" s="105">
        <v>495.2</v>
      </c>
      <c r="H15" s="105">
        <v>322</v>
      </c>
      <c r="I15" s="105">
        <v>0.24</v>
      </c>
      <c r="J15" s="105">
        <v>497.1</v>
      </c>
      <c r="K15" s="105">
        <v>0.81899999999999995</v>
      </c>
      <c r="L15" s="105">
        <v>0.84899999999999998</v>
      </c>
      <c r="M15" s="105">
        <v>1.1619999999999999</v>
      </c>
      <c r="N15" s="105">
        <v>109.9</v>
      </c>
      <c r="O15" s="105">
        <v>9.42</v>
      </c>
      <c r="P15" s="105">
        <v>111.9</v>
      </c>
      <c r="Q15" s="105">
        <v>40.681809999999999</v>
      </c>
      <c r="R15" s="105">
        <v>-85.888800000000003</v>
      </c>
      <c r="S15" s="105">
        <v>225</v>
      </c>
      <c r="T15" s="105">
        <v>105.5</v>
      </c>
      <c r="U15" s="105">
        <v>8.15</v>
      </c>
      <c r="V15" s="105">
        <v>-102.3</v>
      </c>
      <c r="W15" s="105">
        <v>11.9</v>
      </c>
      <c r="X15" s="105">
        <v>0</v>
      </c>
      <c r="Y15" s="105">
        <v>22.959</v>
      </c>
      <c r="Z15" s="105">
        <v>10.18</v>
      </c>
      <c r="AA15" s="105">
        <v>0</v>
      </c>
      <c r="AB15" s="139">
        <v>45819.501631944448</v>
      </c>
      <c r="AC15" s="105" t="s">
        <v>1717</v>
      </c>
      <c r="AD15" s="118" t="str">
        <f t="shared" ref="AD15:AD23" si="1">RIGHT(AC15,1)</f>
        <v>1</v>
      </c>
    </row>
    <row r="16" spans="1:31" x14ac:dyDescent="0.25">
      <c r="A16" s="193">
        <v>0.51165509259259256</v>
      </c>
      <c r="B16" s="194">
        <v>45819</v>
      </c>
      <c r="C16" s="105">
        <v>250611</v>
      </c>
      <c r="D16" s="105">
        <v>0</v>
      </c>
      <c r="E16" s="105">
        <v>743.5</v>
      </c>
      <c r="F16" s="105">
        <v>409.7</v>
      </c>
      <c r="G16" s="105">
        <v>438.1</v>
      </c>
      <c r="H16" s="105">
        <v>285</v>
      </c>
      <c r="I16" s="105">
        <v>0.21</v>
      </c>
      <c r="J16" s="105">
        <v>440.9</v>
      </c>
      <c r="K16" s="105">
        <v>0.51400000000000001</v>
      </c>
      <c r="L16" s="105">
        <v>0.503</v>
      </c>
      <c r="M16" s="105">
        <v>0.73</v>
      </c>
      <c r="N16" s="105">
        <v>76.5</v>
      </c>
      <c r="O16" s="105">
        <v>6.73</v>
      </c>
      <c r="P16" s="105">
        <v>77.900000000000006</v>
      </c>
      <c r="Q16" s="105">
        <v>40.676960000000001</v>
      </c>
      <c r="R16" s="105">
        <v>-85.876819999999995</v>
      </c>
      <c r="S16" s="105">
        <v>222.5</v>
      </c>
      <c r="T16" s="105">
        <v>182.4</v>
      </c>
      <c r="U16" s="105">
        <v>7.67</v>
      </c>
      <c r="V16" s="105">
        <v>-73.400000000000006</v>
      </c>
      <c r="W16" s="105">
        <v>11.9</v>
      </c>
      <c r="X16" s="105">
        <v>0</v>
      </c>
      <c r="Y16" s="105">
        <v>21.606999999999999</v>
      </c>
      <c r="Z16" s="105">
        <v>38.79</v>
      </c>
      <c r="AA16" s="105">
        <v>0</v>
      </c>
      <c r="AB16" s="139">
        <v>45819.511655092596</v>
      </c>
      <c r="AC16" s="105" t="s">
        <v>1716</v>
      </c>
      <c r="AD16" s="118" t="str">
        <f t="shared" si="1"/>
        <v>2</v>
      </c>
    </row>
    <row r="17" spans="1:30" x14ac:dyDescent="0.25">
      <c r="A17" s="193">
        <v>0.52130787037037041</v>
      </c>
      <c r="B17" s="194">
        <v>45819</v>
      </c>
      <c r="C17" s="105">
        <v>250611</v>
      </c>
      <c r="D17" s="105">
        <v>0</v>
      </c>
      <c r="E17" s="105">
        <v>743.5</v>
      </c>
      <c r="F17" s="105">
        <v>384.1</v>
      </c>
      <c r="G17" s="105">
        <v>411.6</v>
      </c>
      <c r="H17" s="105">
        <v>268</v>
      </c>
      <c r="I17" s="105">
        <v>0.2</v>
      </c>
      <c r="J17" s="105">
        <v>414.3</v>
      </c>
      <c r="K17" s="105">
        <v>0.44800000000000001</v>
      </c>
      <c r="L17" s="105">
        <v>0.40300000000000002</v>
      </c>
      <c r="M17" s="105">
        <v>0.63600000000000001</v>
      </c>
      <c r="N17" s="105">
        <v>79.5</v>
      </c>
      <c r="O17" s="105">
        <v>7.01</v>
      </c>
      <c r="P17" s="105">
        <v>80.900000000000006</v>
      </c>
      <c r="Q17" s="105">
        <v>40.670830000000002</v>
      </c>
      <c r="R17" s="105">
        <v>-85.870189999999994</v>
      </c>
      <c r="S17" s="105">
        <v>224.5</v>
      </c>
      <c r="T17" s="105">
        <v>176.3</v>
      </c>
      <c r="U17" s="105">
        <v>7.79</v>
      </c>
      <c r="V17" s="105">
        <v>-80.599999999999994</v>
      </c>
      <c r="W17" s="105">
        <v>12</v>
      </c>
      <c r="X17" s="105">
        <v>0</v>
      </c>
      <c r="Y17" s="105">
        <v>21.498000000000001</v>
      </c>
      <c r="Z17" s="105">
        <v>51.54</v>
      </c>
      <c r="AA17" s="105">
        <v>0</v>
      </c>
      <c r="AB17" s="139">
        <v>45819.521307870367</v>
      </c>
      <c r="AC17" s="105" t="s">
        <v>1715</v>
      </c>
      <c r="AD17" s="118" t="str">
        <f t="shared" si="1"/>
        <v>3</v>
      </c>
    </row>
    <row r="18" spans="1:30" x14ac:dyDescent="0.25">
      <c r="A18" s="193">
        <v>0.52913194444444445</v>
      </c>
      <c r="B18" s="194">
        <v>45819</v>
      </c>
      <c r="C18" s="105">
        <v>250611</v>
      </c>
      <c r="D18" s="105">
        <v>0</v>
      </c>
      <c r="E18" s="105">
        <v>743.5</v>
      </c>
      <c r="F18" s="105">
        <v>385.3</v>
      </c>
      <c r="G18" s="105">
        <v>413.2</v>
      </c>
      <c r="H18" s="105">
        <v>269</v>
      </c>
      <c r="I18" s="105">
        <v>0.2</v>
      </c>
      <c r="J18" s="105">
        <v>415.8</v>
      </c>
      <c r="K18" s="105">
        <v>0.36899999999999999</v>
      </c>
      <c r="L18" s="105">
        <v>0.38300000000000001</v>
      </c>
      <c r="M18" s="105">
        <v>0.52400000000000002</v>
      </c>
      <c r="N18" s="105">
        <v>80.400000000000006</v>
      </c>
      <c r="O18" s="105">
        <v>7.1</v>
      </c>
      <c r="P18" s="105">
        <v>81.900000000000006</v>
      </c>
      <c r="Q18" s="105">
        <v>40.663200000000003</v>
      </c>
      <c r="R18" s="105">
        <v>-85.866259999999997</v>
      </c>
      <c r="S18" s="105">
        <v>222.7</v>
      </c>
      <c r="T18" s="105">
        <v>173.7</v>
      </c>
      <c r="U18" s="105">
        <v>7.66</v>
      </c>
      <c r="V18" s="105">
        <v>-72.7</v>
      </c>
      <c r="W18" s="105">
        <v>12</v>
      </c>
      <c r="X18" s="105">
        <v>0</v>
      </c>
      <c r="Y18" s="105">
        <v>21.474</v>
      </c>
      <c r="Z18" s="105">
        <v>53.25</v>
      </c>
      <c r="AA18" s="105">
        <v>0</v>
      </c>
      <c r="AB18" s="139">
        <v>45819.529131944444</v>
      </c>
      <c r="AC18" s="105" t="s">
        <v>1714</v>
      </c>
      <c r="AD18" s="118" t="str">
        <f t="shared" si="1"/>
        <v>4</v>
      </c>
    </row>
    <row r="19" spans="1:30" x14ac:dyDescent="0.25">
      <c r="A19" s="193">
        <v>0.53839120370370375</v>
      </c>
      <c r="B19" s="194">
        <v>45819</v>
      </c>
      <c r="C19" s="105">
        <v>250611</v>
      </c>
      <c r="D19" s="105">
        <v>0</v>
      </c>
      <c r="E19" s="105">
        <v>743.4</v>
      </c>
      <c r="F19" s="105">
        <v>375.2</v>
      </c>
      <c r="G19" s="105">
        <v>404.2</v>
      </c>
      <c r="H19" s="105">
        <v>263</v>
      </c>
      <c r="I19" s="105">
        <v>0.19</v>
      </c>
      <c r="J19" s="105">
        <v>407</v>
      </c>
      <c r="K19" s="105">
        <v>0.32900000000000001</v>
      </c>
      <c r="L19" s="105">
        <v>0.35</v>
      </c>
      <c r="M19" s="105">
        <v>0.46700000000000003</v>
      </c>
      <c r="N19" s="105">
        <v>75.900000000000006</v>
      </c>
      <c r="O19" s="105">
        <v>6.73</v>
      </c>
      <c r="P19" s="105">
        <v>77.3</v>
      </c>
      <c r="Q19" s="105">
        <v>40.668640000000003</v>
      </c>
      <c r="R19" s="105">
        <v>-85.847729999999999</v>
      </c>
      <c r="S19" s="105">
        <v>222.3</v>
      </c>
      <c r="T19" s="105">
        <v>156.5</v>
      </c>
      <c r="U19" s="105">
        <v>7.5</v>
      </c>
      <c r="V19" s="105">
        <v>-63.1</v>
      </c>
      <c r="W19" s="105">
        <v>12</v>
      </c>
      <c r="X19" s="105">
        <v>0</v>
      </c>
      <c r="Y19" s="105">
        <v>21.241</v>
      </c>
      <c r="Z19" s="105">
        <v>62.03</v>
      </c>
      <c r="AA19" s="105">
        <v>0</v>
      </c>
      <c r="AB19" s="139">
        <v>45819.538391203707</v>
      </c>
      <c r="AC19" s="105" t="s">
        <v>1713</v>
      </c>
      <c r="AD19" s="118" t="str">
        <f t="shared" si="1"/>
        <v>5</v>
      </c>
    </row>
    <row r="20" spans="1:30" x14ac:dyDescent="0.25">
      <c r="A20" s="193">
        <v>0.5544675925925926</v>
      </c>
      <c r="B20" s="194">
        <v>45819</v>
      </c>
      <c r="C20" s="105">
        <v>250611</v>
      </c>
      <c r="D20" s="105">
        <v>0</v>
      </c>
      <c r="E20" s="105">
        <v>743.2</v>
      </c>
      <c r="F20" s="105">
        <v>379.9</v>
      </c>
      <c r="G20" s="105">
        <v>405.9</v>
      </c>
      <c r="H20" s="105">
        <v>264</v>
      </c>
      <c r="I20" s="105">
        <v>0.19</v>
      </c>
      <c r="J20" s="105">
        <v>408.4</v>
      </c>
      <c r="K20" s="105">
        <v>0.41699999999999998</v>
      </c>
      <c r="L20" s="105">
        <v>0.41399999999999998</v>
      </c>
      <c r="M20" s="105">
        <v>0.59199999999999997</v>
      </c>
      <c r="N20" s="105">
        <v>76.2</v>
      </c>
      <c r="O20" s="105">
        <v>6.71</v>
      </c>
      <c r="P20" s="105">
        <v>77.599999999999994</v>
      </c>
      <c r="Q20" s="105">
        <v>40.673699999999997</v>
      </c>
      <c r="R20" s="105">
        <v>-85.831729999999993</v>
      </c>
      <c r="S20" s="105">
        <v>222</v>
      </c>
      <c r="T20" s="105">
        <v>175.2</v>
      </c>
      <c r="U20" s="105">
        <v>7.5</v>
      </c>
      <c r="V20" s="105">
        <v>-63.6</v>
      </c>
      <c r="W20" s="105">
        <v>11.9</v>
      </c>
      <c r="X20" s="105">
        <v>0</v>
      </c>
      <c r="Y20" s="105">
        <v>21.645</v>
      </c>
      <c r="Z20" s="105">
        <v>64.78</v>
      </c>
      <c r="AA20" s="105">
        <v>0</v>
      </c>
      <c r="AB20" s="139">
        <v>45819.554467592592</v>
      </c>
      <c r="AC20" s="105" t="s">
        <v>1712</v>
      </c>
      <c r="AD20" s="118" t="str">
        <f t="shared" si="1"/>
        <v>6</v>
      </c>
    </row>
    <row r="21" spans="1:30" x14ac:dyDescent="0.25">
      <c r="A21" s="193">
        <v>0.39447916666666666</v>
      </c>
      <c r="B21" s="194">
        <v>45819</v>
      </c>
      <c r="C21" s="105">
        <v>250611</v>
      </c>
      <c r="D21" s="105">
        <v>0</v>
      </c>
      <c r="E21" s="105">
        <v>743.8</v>
      </c>
      <c r="F21" s="105">
        <v>492.5</v>
      </c>
      <c r="G21" s="105">
        <v>518.9</v>
      </c>
      <c r="H21" s="105">
        <v>337</v>
      </c>
      <c r="I21" s="105">
        <v>0.25</v>
      </c>
      <c r="J21" s="105">
        <v>521.5</v>
      </c>
      <c r="K21" s="105">
        <v>0.35699999999999998</v>
      </c>
      <c r="L21" s="105">
        <v>0.35699999999999998</v>
      </c>
      <c r="M21" s="105">
        <v>0.50700000000000001</v>
      </c>
      <c r="N21" s="105">
        <v>96.5</v>
      </c>
      <c r="O21" s="105">
        <v>8.3699999999999992</v>
      </c>
      <c r="P21" s="105">
        <v>98.3</v>
      </c>
      <c r="Q21" s="105">
        <v>40.688299999999998</v>
      </c>
      <c r="R21" s="105">
        <v>-85.895660000000007</v>
      </c>
      <c r="S21" s="105">
        <v>222.2</v>
      </c>
      <c r="T21" s="105">
        <v>119.5</v>
      </c>
      <c r="U21" s="105">
        <v>8.06</v>
      </c>
      <c r="V21" s="105">
        <v>-96.8</v>
      </c>
      <c r="W21" s="105">
        <v>11.9</v>
      </c>
      <c r="X21" s="105">
        <v>0</v>
      </c>
      <c r="Y21" s="105">
        <v>22.341999999999999</v>
      </c>
      <c r="Z21" s="105">
        <v>10.16</v>
      </c>
      <c r="AA21" s="105">
        <v>0</v>
      </c>
      <c r="AB21" s="139">
        <v>45819.394479166665</v>
      </c>
      <c r="AC21" s="105" t="s">
        <v>1724</v>
      </c>
      <c r="AD21" s="118" t="str">
        <f t="shared" si="1"/>
        <v>7</v>
      </c>
    </row>
    <row r="22" spans="1:30" x14ac:dyDescent="0.25">
      <c r="A22" s="193">
        <v>0.40812500000000002</v>
      </c>
      <c r="B22" s="194">
        <v>45819</v>
      </c>
      <c r="C22" s="105">
        <v>250611</v>
      </c>
      <c r="D22" s="105">
        <v>0</v>
      </c>
      <c r="E22" s="105">
        <v>743.7</v>
      </c>
      <c r="F22" s="105">
        <v>499.9</v>
      </c>
      <c r="G22" s="105">
        <v>525.9</v>
      </c>
      <c r="H22" s="105">
        <v>342</v>
      </c>
      <c r="I22" s="105">
        <v>0.25</v>
      </c>
      <c r="J22" s="105">
        <v>528.4</v>
      </c>
      <c r="K22" s="105">
        <v>0.71199999999999997</v>
      </c>
      <c r="L22" s="105">
        <v>0.72199999999999998</v>
      </c>
      <c r="M22" s="105">
        <v>1.0109999999999999</v>
      </c>
      <c r="N22" s="105">
        <v>96.6</v>
      </c>
      <c r="O22" s="105">
        <v>8.3699999999999992</v>
      </c>
      <c r="P22" s="105">
        <v>98.3</v>
      </c>
      <c r="Q22" s="105">
        <v>40.691600000000001</v>
      </c>
      <c r="R22" s="105">
        <v>-85.908249999999995</v>
      </c>
      <c r="S22" s="105">
        <v>220.9</v>
      </c>
      <c r="T22" s="105">
        <v>120.7</v>
      </c>
      <c r="U22" s="105">
        <v>8.1300000000000008</v>
      </c>
      <c r="V22" s="105">
        <v>-100.7</v>
      </c>
      <c r="W22" s="105">
        <v>12</v>
      </c>
      <c r="X22" s="105">
        <v>0</v>
      </c>
      <c r="Y22" s="105">
        <v>22.413</v>
      </c>
      <c r="Z22" s="105">
        <v>6.8</v>
      </c>
      <c r="AA22" s="105">
        <v>0</v>
      </c>
      <c r="AB22" s="139">
        <v>45819.408125000002</v>
      </c>
      <c r="AC22" s="105" t="s">
        <v>1722</v>
      </c>
      <c r="AD22" s="118" t="str">
        <f t="shared" si="1"/>
        <v>8</v>
      </c>
    </row>
    <row r="23" spans="1:30" x14ac:dyDescent="0.25">
      <c r="A23" s="193">
        <v>0.43192129629629628</v>
      </c>
      <c r="B23" s="194">
        <v>45819</v>
      </c>
      <c r="C23" s="105">
        <v>250611</v>
      </c>
      <c r="D23" s="105">
        <v>0</v>
      </c>
      <c r="E23" s="105">
        <v>743.8</v>
      </c>
      <c r="F23" s="105">
        <v>488.9</v>
      </c>
      <c r="G23" s="105">
        <v>513.1</v>
      </c>
      <c r="H23" s="105">
        <v>334</v>
      </c>
      <c r="I23" s="105">
        <v>0.25</v>
      </c>
      <c r="J23" s="105">
        <v>515.5</v>
      </c>
      <c r="K23" s="105">
        <v>0.77200000000000002</v>
      </c>
      <c r="L23" s="105">
        <v>0.77900000000000003</v>
      </c>
      <c r="M23" s="105">
        <v>1.0960000000000001</v>
      </c>
      <c r="N23" s="105">
        <v>100.5</v>
      </c>
      <c r="O23" s="105">
        <v>8.69</v>
      </c>
      <c r="P23" s="105">
        <v>102.4</v>
      </c>
      <c r="Q23" s="105">
        <v>40.704270000000001</v>
      </c>
      <c r="R23" s="105">
        <v>-85.929820000000007</v>
      </c>
      <c r="S23" s="105">
        <v>222.3</v>
      </c>
      <c r="T23" s="105">
        <v>118.8</v>
      </c>
      <c r="U23" s="105">
        <v>8.2200000000000006</v>
      </c>
      <c r="V23" s="105">
        <v>-106</v>
      </c>
      <c r="W23" s="105">
        <v>12</v>
      </c>
      <c r="X23" s="105">
        <v>0</v>
      </c>
      <c r="Y23" s="105">
        <v>22.536000000000001</v>
      </c>
      <c r="Z23" s="105">
        <v>4.79</v>
      </c>
      <c r="AA23" s="105">
        <v>0</v>
      </c>
      <c r="AB23" s="139">
        <v>45819.431921296295</v>
      </c>
      <c r="AC23" s="105" t="s">
        <v>1718</v>
      </c>
      <c r="AD23" s="118" t="str">
        <f t="shared" si="1"/>
        <v>9</v>
      </c>
    </row>
    <row r="24" spans="1:30" x14ac:dyDescent="0.25">
      <c r="A24" s="193">
        <v>0.41981481481481481</v>
      </c>
      <c r="B24" s="194">
        <v>45819</v>
      </c>
      <c r="C24" s="105">
        <v>250611</v>
      </c>
      <c r="D24" s="105">
        <v>0</v>
      </c>
      <c r="E24" s="105">
        <v>743.5</v>
      </c>
      <c r="F24" s="105">
        <v>499.4</v>
      </c>
      <c r="G24" s="105">
        <v>524.1</v>
      </c>
      <c r="H24" s="105">
        <v>341</v>
      </c>
      <c r="I24" s="105">
        <v>0.25</v>
      </c>
      <c r="J24" s="105">
        <v>526.6</v>
      </c>
      <c r="K24" s="105">
        <v>0.443</v>
      </c>
      <c r="L24" s="105">
        <v>0.42899999999999999</v>
      </c>
      <c r="M24" s="105">
        <v>0.629</v>
      </c>
      <c r="N24" s="105">
        <v>100.8</v>
      </c>
      <c r="O24" s="105">
        <v>8.7200000000000006</v>
      </c>
      <c r="P24" s="105">
        <v>102.7</v>
      </c>
      <c r="Q24" s="105">
        <v>40.693600000000004</v>
      </c>
      <c r="R24" s="105">
        <v>-85.919619999999995</v>
      </c>
      <c r="S24" s="105">
        <v>224</v>
      </c>
      <c r="T24" s="105">
        <v>146.19999999999999</v>
      </c>
      <c r="U24" s="105">
        <v>8.19</v>
      </c>
      <c r="V24" s="105">
        <v>-104.4</v>
      </c>
      <c r="W24" s="105">
        <v>12</v>
      </c>
      <c r="X24" s="105">
        <v>0</v>
      </c>
      <c r="Y24" s="105">
        <v>22.529</v>
      </c>
      <c r="Z24" s="105">
        <v>6.01</v>
      </c>
      <c r="AA24" s="105">
        <v>0</v>
      </c>
      <c r="AB24" s="139">
        <v>45819.419814814813</v>
      </c>
      <c r="AC24" s="105" t="s">
        <v>1725</v>
      </c>
      <c r="AD24" s="118">
        <v>10</v>
      </c>
    </row>
    <row r="25" spans="1:30" x14ac:dyDescent="0.25">
      <c r="A25" s="193">
        <v>0.4420486111111111</v>
      </c>
      <c r="B25" s="194">
        <v>45819</v>
      </c>
      <c r="C25" s="105">
        <v>250611</v>
      </c>
      <c r="D25" s="105">
        <v>0</v>
      </c>
      <c r="E25" s="105">
        <v>743.6</v>
      </c>
      <c r="F25" s="105">
        <v>473.7</v>
      </c>
      <c r="G25" s="105">
        <v>498.4</v>
      </c>
      <c r="H25" s="105">
        <v>324</v>
      </c>
      <c r="I25" s="105">
        <v>0.24</v>
      </c>
      <c r="J25" s="105">
        <v>500.9</v>
      </c>
      <c r="K25" s="105">
        <v>0.34799999999999998</v>
      </c>
      <c r="L25" s="105">
        <v>0.34200000000000003</v>
      </c>
      <c r="M25" s="105">
        <v>0.49399999999999999</v>
      </c>
      <c r="N25" s="105">
        <v>101.9</v>
      </c>
      <c r="O25" s="105">
        <v>8.83</v>
      </c>
      <c r="P25" s="105">
        <v>103.8</v>
      </c>
      <c r="Q25" s="105">
        <v>40.711239999999997</v>
      </c>
      <c r="R25" s="105">
        <v>-85.938540000000003</v>
      </c>
      <c r="S25" s="105">
        <v>221.6</v>
      </c>
      <c r="T25" s="105">
        <v>111.7</v>
      </c>
      <c r="U25" s="105">
        <v>8.31</v>
      </c>
      <c r="V25" s="105">
        <v>-111.5</v>
      </c>
      <c r="W25" s="105">
        <v>12</v>
      </c>
      <c r="X25" s="105">
        <v>0</v>
      </c>
      <c r="Y25" s="105">
        <v>22.399000000000001</v>
      </c>
      <c r="Z25" s="105">
        <v>3.84</v>
      </c>
      <c r="AA25" s="105">
        <v>0</v>
      </c>
      <c r="AB25" s="139">
        <v>45819.442048611112</v>
      </c>
      <c r="AC25" s="105" t="s">
        <v>1719</v>
      </c>
      <c r="AD25" s="118">
        <v>11</v>
      </c>
    </row>
    <row r="26" spans="1:30" x14ac:dyDescent="0.25">
      <c r="A26" s="193">
        <v>0.46902777777777777</v>
      </c>
      <c r="B26" s="194">
        <v>45819</v>
      </c>
      <c r="C26" s="105">
        <v>250611</v>
      </c>
      <c r="D26" s="105">
        <v>0</v>
      </c>
      <c r="E26" s="105">
        <v>743.6</v>
      </c>
      <c r="F26" s="105">
        <v>5.3</v>
      </c>
      <c r="G26" s="105">
        <v>5.8</v>
      </c>
      <c r="H26" s="105">
        <v>4</v>
      </c>
      <c r="I26" s="105">
        <v>0</v>
      </c>
      <c r="J26" s="105">
        <v>5.9</v>
      </c>
      <c r="K26" s="105">
        <v>8.8999999999999996E-2</v>
      </c>
      <c r="L26" s="105">
        <v>8.3000000000000004E-2</v>
      </c>
      <c r="M26" s="105">
        <v>0.126</v>
      </c>
      <c r="N26" s="105">
        <v>97.4</v>
      </c>
      <c r="O26" s="105">
        <v>8.75</v>
      </c>
      <c r="P26" s="105">
        <v>99.2</v>
      </c>
      <c r="Q26" s="105">
        <v>40.713279999999997</v>
      </c>
      <c r="R26" s="105">
        <v>-85.948920000000001</v>
      </c>
      <c r="S26" s="105">
        <v>224.2</v>
      </c>
      <c r="T26" s="105">
        <v>119.7</v>
      </c>
      <c r="U26" s="105">
        <v>6.78</v>
      </c>
      <c r="V26" s="105">
        <v>-20.5</v>
      </c>
      <c r="W26" s="105">
        <v>11.9</v>
      </c>
      <c r="X26" s="105">
        <v>0</v>
      </c>
      <c r="Y26" s="105">
        <v>20.571999999999999</v>
      </c>
      <c r="Z26" s="105">
        <v>13.42</v>
      </c>
      <c r="AA26" s="105">
        <v>0</v>
      </c>
      <c r="AB26" s="139">
        <v>45819.469027777777</v>
      </c>
      <c r="AC26" s="105" t="s">
        <v>1720</v>
      </c>
      <c r="AD26" s="118">
        <v>12</v>
      </c>
    </row>
    <row r="27" spans="1:30" x14ac:dyDescent="0.25">
      <c r="A27" s="193">
        <v>0.54686342592592596</v>
      </c>
      <c r="B27" s="194">
        <v>45819</v>
      </c>
      <c r="C27" s="105">
        <v>250611</v>
      </c>
      <c r="D27" s="105">
        <v>0</v>
      </c>
      <c r="E27" s="105">
        <v>743.2</v>
      </c>
      <c r="F27" s="105">
        <v>379.3</v>
      </c>
      <c r="G27" s="105">
        <v>408.6</v>
      </c>
      <c r="H27" s="105">
        <v>266</v>
      </c>
      <c r="I27" s="105">
        <v>0.2</v>
      </c>
      <c r="J27" s="105">
        <v>411.4</v>
      </c>
      <c r="K27" s="105">
        <v>0.35399999999999998</v>
      </c>
      <c r="L27" s="105">
        <v>0.33600000000000002</v>
      </c>
      <c r="M27" s="105">
        <v>0.502</v>
      </c>
      <c r="N27" s="105">
        <v>75.599999999999994</v>
      </c>
      <c r="O27" s="105">
        <v>6.7</v>
      </c>
      <c r="P27" s="105">
        <v>77</v>
      </c>
      <c r="Q27" s="105">
        <v>40.67266</v>
      </c>
      <c r="R27" s="105">
        <v>-85.841419999999999</v>
      </c>
      <c r="S27" s="105">
        <v>221.5</v>
      </c>
      <c r="T27" s="105">
        <v>171.6</v>
      </c>
      <c r="U27" s="105">
        <v>7.49</v>
      </c>
      <c r="V27" s="105">
        <v>-62.8</v>
      </c>
      <c r="W27" s="105">
        <v>12</v>
      </c>
      <c r="X27" s="105">
        <v>0</v>
      </c>
      <c r="Y27" s="105">
        <v>21.254000000000001</v>
      </c>
      <c r="Z27" s="105">
        <v>63.34</v>
      </c>
      <c r="AA27" s="105">
        <v>0</v>
      </c>
      <c r="AB27" s="139">
        <v>45819.546863425923</v>
      </c>
      <c r="AC27" s="105" t="s">
        <v>1721</v>
      </c>
      <c r="AD27" s="118">
        <v>13</v>
      </c>
    </row>
    <row r="28" spans="1:30" x14ac:dyDescent="0.25">
      <c r="A28" s="191">
        <v>0.40760416666666666</v>
      </c>
      <c r="B28" s="192">
        <v>45835</v>
      </c>
      <c r="C28" s="26">
        <v>250627</v>
      </c>
      <c r="D28" s="26">
        <v>0</v>
      </c>
      <c r="E28" s="26">
        <v>740.8</v>
      </c>
      <c r="F28" s="26">
        <v>436.5</v>
      </c>
      <c r="G28" s="26">
        <v>396.3</v>
      </c>
      <c r="H28" s="26">
        <v>258</v>
      </c>
      <c r="I28" s="26">
        <v>0.19</v>
      </c>
      <c r="J28" s="26">
        <v>391.8</v>
      </c>
      <c r="K28" s="26">
        <v>0.35599999999999998</v>
      </c>
      <c r="L28" s="26">
        <v>0.38100000000000001</v>
      </c>
      <c r="M28" s="26">
        <v>0.504</v>
      </c>
      <c r="N28" s="26">
        <v>192.3</v>
      </c>
      <c r="O28" s="26">
        <v>14.44</v>
      </c>
      <c r="P28" s="26">
        <v>196.6</v>
      </c>
      <c r="Q28" s="26">
        <v>40.681800000000003</v>
      </c>
      <c r="R28" s="26">
        <v>-85.888980000000004</v>
      </c>
      <c r="S28" s="26">
        <v>221.6</v>
      </c>
      <c r="T28" s="26">
        <v>149.69999999999999</v>
      </c>
      <c r="U28" s="26">
        <v>8.86</v>
      </c>
      <c r="V28" s="26">
        <v>-147</v>
      </c>
      <c r="W28" s="26">
        <v>12</v>
      </c>
      <c r="X28" s="26">
        <v>0</v>
      </c>
      <c r="Y28" s="26">
        <v>30.306999999999999</v>
      </c>
      <c r="Z28" s="26">
        <v>11.29</v>
      </c>
      <c r="AA28" s="26">
        <v>0</v>
      </c>
      <c r="AB28" s="136">
        <v>45835.407604166663</v>
      </c>
      <c r="AC28" s="26" t="s">
        <v>1717</v>
      </c>
      <c r="AD28" s="118" t="str">
        <f t="shared" ref="AD28:AD36" si="2">RIGHT(AC28,1)</f>
        <v>1</v>
      </c>
    </row>
    <row r="29" spans="1:30" x14ac:dyDescent="0.25">
      <c r="A29" s="191">
        <v>0.3989699074074074</v>
      </c>
      <c r="B29" s="192">
        <v>45835</v>
      </c>
      <c r="C29" s="26">
        <v>250627</v>
      </c>
      <c r="D29" s="26">
        <v>0</v>
      </c>
      <c r="E29" s="26">
        <v>740.9</v>
      </c>
      <c r="F29" s="26">
        <v>443.2</v>
      </c>
      <c r="G29" s="26">
        <v>404.7</v>
      </c>
      <c r="H29" s="26">
        <v>263</v>
      </c>
      <c r="I29" s="26">
        <v>0.19</v>
      </c>
      <c r="J29" s="26">
        <v>400.4</v>
      </c>
      <c r="K29" s="26">
        <v>0.46500000000000002</v>
      </c>
      <c r="L29" s="26">
        <v>0.46100000000000002</v>
      </c>
      <c r="M29" s="26">
        <v>0.65900000000000003</v>
      </c>
      <c r="N29" s="26">
        <v>186.3</v>
      </c>
      <c r="O29" s="26">
        <v>14.08</v>
      </c>
      <c r="P29" s="26">
        <v>190.5</v>
      </c>
      <c r="Q29" s="26">
        <v>40.67698</v>
      </c>
      <c r="R29" s="26">
        <v>-85.876990000000006</v>
      </c>
      <c r="S29" s="26">
        <v>222.2</v>
      </c>
      <c r="T29" s="26">
        <v>145.6</v>
      </c>
      <c r="U29" s="26">
        <v>8.8699999999999992</v>
      </c>
      <c r="V29" s="26">
        <v>-147.69999999999999</v>
      </c>
      <c r="W29" s="26">
        <v>12</v>
      </c>
      <c r="X29" s="26">
        <v>0</v>
      </c>
      <c r="Y29" s="26">
        <v>29.984000000000002</v>
      </c>
      <c r="Z29" s="26">
        <v>11.48</v>
      </c>
      <c r="AA29" s="26">
        <v>0</v>
      </c>
      <c r="AB29" s="136">
        <v>45835.398969907408</v>
      </c>
      <c r="AC29" s="26" t="s">
        <v>1716</v>
      </c>
      <c r="AD29" s="118" t="str">
        <f t="shared" si="2"/>
        <v>2</v>
      </c>
    </row>
    <row r="30" spans="1:30" x14ac:dyDescent="0.25">
      <c r="A30" s="191">
        <v>0.39270833333333333</v>
      </c>
      <c r="B30" s="192">
        <v>45835</v>
      </c>
      <c r="C30" s="26">
        <v>250627</v>
      </c>
      <c r="D30" s="26">
        <v>0</v>
      </c>
      <c r="E30" s="26">
        <v>740.9</v>
      </c>
      <c r="F30" s="26">
        <v>444.9</v>
      </c>
      <c r="G30" s="26">
        <v>407.6</v>
      </c>
      <c r="H30" s="26">
        <v>265</v>
      </c>
      <c r="I30" s="26">
        <v>0.19</v>
      </c>
      <c r="J30" s="26">
        <v>403.5</v>
      </c>
      <c r="K30" s="26">
        <v>0.56200000000000006</v>
      </c>
      <c r="L30" s="26">
        <v>0.57899999999999996</v>
      </c>
      <c r="M30" s="26">
        <v>0.79600000000000004</v>
      </c>
      <c r="N30" s="26">
        <v>177.5</v>
      </c>
      <c r="O30" s="26">
        <v>13.45</v>
      </c>
      <c r="P30" s="26">
        <v>181.4</v>
      </c>
      <c r="Q30" s="26">
        <v>40.670940000000002</v>
      </c>
      <c r="R30" s="26">
        <v>-85.870339999999999</v>
      </c>
      <c r="S30" s="26">
        <v>221.7</v>
      </c>
      <c r="T30" s="26">
        <v>135.4</v>
      </c>
      <c r="U30" s="26">
        <v>8.83</v>
      </c>
      <c r="V30" s="26">
        <v>-145</v>
      </c>
      <c r="W30" s="26">
        <v>12</v>
      </c>
      <c r="X30" s="26">
        <v>0</v>
      </c>
      <c r="Y30" s="26">
        <v>29.79</v>
      </c>
      <c r="Z30" s="26">
        <v>9.2200000000000006</v>
      </c>
      <c r="AA30" s="26">
        <v>0</v>
      </c>
      <c r="AB30" s="136">
        <v>45835.392708333333</v>
      </c>
      <c r="AC30" s="26" t="s">
        <v>1715</v>
      </c>
      <c r="AD30" s="118" t="str">
        <f t="shared" si="2"/>
        <v>3</v>
      </c>
    </row>
    <row r="31" spans="1:30" x14ac:dyDescent="0.25">
      <c r="A31" s="191">
        <v>0.38521990740740741</v>
      </c>
      <c r="B31" s="192">
        <v>45835</v>
      </c>
      <c r="C31" s="26">
        <v>250627</v>
      </c>
      <c r="D31" s="26">
        <v>0</v>
      </c>
      <c r="E31" s="26">
        <v>740.9</v>
      </c>
      <c r="F31" s="26">
        <v>455.6</v>
      </c>
      <c r="G31" s="26">
        <v>416.8</v>
      </c>
      <c r="H31" s="26">
        <v>271</v>
      </c>
      <c r="I31" s="26">
        <v>0.2</v>
      </c>
      <c r="J31" s="26">
        <v>412.5</v>
      </c>
      <c r="K31" s="26">
        <v>0.46200000000000002</v>
      </c>
      <c r="L31" s="26">
        <v>0.47299999999999998</v>
      </c>
      <c r="M31" s="26">
        <v>0.65400000000000003</v>
      </c>
      <c r="N31" s="26">
        <v>179.8</v>
      </c>
      <c r="O31" s="26">
        <v>13.6</v>
      </c>
      <c r="P31" s="26">
        <v>183.8</v>
      </c>
      <c r="Q31" s="26">
        <v>40.663159999999998</v>
      </c>
      <c r="R31" s="26">
        <v>-85.866460000000004</v>
      </c>
      <c r="S31" s="26">
        <v>223.2</v>
      </c>
      <c r="T31" s="26">
        <v>136.9</v>
      </c>
      <c r="U31" s="26">
        <v>8.83</v>
      </c>
      <c r="V31" s="26">
        <v>-145</v>
      </c>
      <c r="W31" s="26">
        <v>12</v>
      </c>
      <c r="X31" s="26">
        <v>0</v>
      </c>
      <c r="Y31" s="26">
        <v>29.879000000000001</v>
      </c>
      <c r="Z31" s="26">
        <v>8.6300000000000008</v>
      </c>
      <c r="AA31" s="26">
        <v>0</v>
      </c>
      <c r="AB31" s="136">
        <v>45835.38521990741</v>
      </c>
      <c r="AC31" s="26" t="s">
        <v>1714</v>
      </c>
      <c r="AD31" s="118" t="str">
        <f t="shared" si="2"/>
        <v>4</v>
      </c>
    </row>
    <row r="32" spans="1:30" x14ac:dyDescent="0.25">
      <c r="A32" s="191">
        <v>0.37550925925925926</v>
      </c>
      <c r="B32" s="192">
        <v>45835</v>
      </c>
      <c r="C32" s="26">
        <v>250627</v>
      </c>
      <c r="D32" s="26">
        <v>0</v>
      </c>
      <c r="E32" s="26">
        <v>741</v>
      </c>
      <c r="F32" s="26">
        <v>469.2</v>
      </c>
      <c r="G32" s="26">
        <v>429.5</v>
      </c>
      <c r="H32" s="26">
        <v>279</v>
      </c>
      <c r="I32" s="26">
        <v>0.2</v>
      </c>
      <c r="J32" s="26">
        <v>425.1</v>
      </c>
      <c r="K32" s="26">
        <v>0.63500000000000001</v>
      </c>
      <c r="L32" s="26">
        <v>0.66700000000000004</v>
      </c>
      <c r="M32" s="26">
        <v>0.9</v>
      </c>
      <c r="N32" s="26">
        <v>165</v>
      </c>
      <c r="O32" s="26">
        <v>12.49</v>
      </c>
      <c r="P32" s="26">
        <v>168.6</v>
      </c>
      <c r="Q32" s="26">
        <v>40.668610000000001</v>
      </c>
      <c r="R32" s="26">
        <v>-85.847859999999997</v>
      </c>
      <c r="S32" s="26">
        <v>221.3</v>
      </c>
      <c r="T32" s="26">
        <v>116.7</v>
      </c>
      <c r="U32" s="26">
        <v>8.68</v>
      </c>
      <c r="V32" s="26">
        <v>-136.1</v>
      </c>
      <c r="W32" s="26">
        <v>11.9</v>
      </c>
      <c r="X32" s="26">
        <v>0</v>
      </c>
      <c r="Y32" s="26">
        <v>29.837</v>
      </c>
      <c r="Z32" s="26">
        <v>12.21</v>
      </c>
      <c r="AA32" s="26">
        <v>0</v>
      </c>
      <c r="AB32" s="136">
        <v>45835.375509259262</v>
      </c>
      <c r="AC32" s="26" t="s">
        <v>1713</v>
      </c>
      <c r="AD32" s="118" t="str">
        <f t="shared" si="2"/>
        <v>5</v>
      </c>
    </row>
    <row r="33" spans="1:31" x14ac:dyDescent="0.25">
      <c r="A33" s="191">
        <v>0.35130787037037037</v>
      </c>
      <c r="B33" s="192">
        <v>45835</v>
      </c>
      <c r="C33" s="26">
        <v>250627</v>
      </c>
      <c r="D33" s="26">
        <v>0</v>
      </c>
      <c r="E33" s="26">
        <v>741</v>
      </c>
      <c r="F33" s="26">
        <v>506.2</v>
      </c>
      <c r="G33" s="26">
        <v>462.1</v>
      </c>
      <c r="H33" s="26">
        <v>300</v>
      </c>
      <c r="I33" s="26">
        <v>0.22</v>
      </c>
      <c r="J33" s="26">
        <v>457.2</v>
      </c>
      <c r="K33" s="26">
        <v>0.65700000000000003</v>
      </c>
      <c r="L33" s="26">
        <v>0.65900000000000003</v>
      </c>
      <c r="M33" s="26">
        <v>0.93100000000000005</v>
      </c>
      <c r="N33" s="26">
        <v>168.8</v>
      </c>
      <c r="O33" s="26">
        <v>12.74</v>
      </c>
      <c r="P33" s="26">
        <v>172.5</v>
      </c>
      <c r="Q33" s="26">
        <v>40.673839999999998</v>
      </c>
      <c r="R33" s="26">
        <v>-85.831900000000005</v>
      </c>
      <c r="S33" s="26">
        <v>219.6</v>
      </c>
      <c r="T33" s="26">
        <v>136.1</v>
      </c>
      <c r="U33" s="26">
        <v>8.64</v>
      </c>
      <c r="V33" s="26">
        <v>-133.80000000000001</v>
      </c>
      <c r="W33" s="26">
        <v>12</v>
      </c>
      <c r="X33" s="26">
        <v>0</v>
      </c>
      <c r="Y33" s="26">
        <v>29.998000000000001</v>
      </c>
      <c r="Z33" s="26">
        <v>7.97</v>
      </c>
      <c r="AA33" s="26">
        <v>0</v>
      </c>
      <c r="AB33" s="136">
        <v>45835.351307870369</v>
      </c>
      <c r="AC33" s="26" t="s">
        <v>1712</v>
      </c>
      <c r="AD33" s="118" t="str">
        <f t="shared" si="2"/>
        <v>6</v>
      </c>
    </row>
    <row r="34" spans="1:31" x14ac:dyDescent="0.25">
      <c r="A34" s="191">
        <v>0.41803240740740738</v>
      </c>
      <c r="B34" s="192">
        <v>45835</v>
      </c>
      <c r="C34" s="26">
        <v>250627</v>
      </c>
      <c r="D34" s="26">
        <v>0</v>
      </c>
      <c r="E34" s="26">
        <v>740.9</v>
      </c>
      <c r="F34" s="26">
        <v>435.7</v>
      </c>
      <c r="G34" s="26">
        <v>403.1</v>
      </c>
      <c r="H34" s="26">
        <v>262</v>
      </c>
      <c r="I34" s="26">
        <v>0.19</v>
      </c>
      <c r="J34" s="26">
        <v>399.5</v>
      </c>
      <c r="K34" s="26">
        <v>0.501</v>
      </c>
      <c r="L34" s="26">
        <v>0.48299999999999998</v>
      </c>
      <c r="M34" s="26">
        <v>0.71</v>
      </c>
      <c r="N34" s="26">
        <v>162.19999999999999</v>
      </c>
      <c r="O34" s="26">
        <v>12.41</v>
      </c>
      <c r="P34" s="26">
        <v>165.8</v>
      </c>
      <c r="Q34" s="26">
        <v>40.687750000000001</v>
      </c>
      <c r="R34" s="26">
        <v>-85.896550000000005</v>
      </c>
      <c r="S34" s="26">
        <v>220.5</v>
      </c>
      <c r="T34" s="26">
        <v>154</v>
      </c>
      <c r="U34" s="26">
        <v>8.56</v>
      </c>
      <c r="V34" s="26">
        <v>-128.4</v>
      </c>
      <c r="W34" s="26">
        <v>12</v>
      </c>
      <c r="X34" s="26">
        <v>0</v>
      </c>
      <c r="Y34" s="26">
        <v>29.236999999999998</v>
      </c>
      <c r="Z34" s="26">
        <v>8.51</v>
      </c>
      <c r="AA34" s="26">
        <v>0</v>
      </c>
      <c r="AB34" s="136">
        <v>45835.418032407404</v>
      </c>
      <c r="AC34" s="26" t="s">
        <v>1724</v>
      </c>
      <c r="AD34" s="118" t="str">
        <f t="shared" si="2"/>
        <v>7</v>
      </c>
    </row>
    <row r="35" spans="1:31" x14ac:dyDescent="0.25">
      <c r="A35" s="191">
        <v>0.42905092592592592</v>
      </c>
      <c r="B35" s="192">
        <v>45835</v>
      </c>
      <c r="C35" s="26">
        <v>250627</v>
      </c>
      <c r="D35" s="26">
        <v>0</v>
      </c>
      <c r="E35" s="26">
        <v>740.8</v>
      </c>
      <c r="F35" s="26">
        <v>428.4</v>
      </c>
      <c r="G35" s="26">
        <v>394</v>
      </c>
      <c r="H35" s="26">
        <v>256</v>
      </c>
      <c r="I35" s="26">
        <v>0.19</v>
      </c>
      <c r="J35" s="26">
        <v>390.2</v>
      </c>
      <c r="K35" s="26">
        <v>0.34200000000000003</v>
      </c>
      <c r="L35" s="26">
        <v>0.33300000000000002</v>
      </c>
      <c r="M35" s="26">
        <v>0.48499999999999999</v>
      </c>
      <c r="N35" s="26">
        <v>176.8</v>
      </c>
      <c r="O35" s="26">
        <v>13.45</v>
      </c>
      <c r="P35" s="26">
        <v>180.7</v>
      </c>
      <c r="Q35" s="26">
        <v>40.691540000000003</v>
      </c>
      <c r="R35" s="26">
        <v>-85.90813</v>
      </c>
      <c r="S35" s="26">
        <v>221.5</v>
      </c>
      <c r="T35" s="26">
        <v>151.1</v>
      </c>
      <c r="U35" s="26">
        <v>8.67</v>
      </c>
      <c r="V35" s="26">
        <v>-135.5</v>
      </c>
      <c r="W35" s="26">
        <v>11.9</v>
      </c>
      <c r="X35" s="26">
        <v>0</v>
      </c>
      <c r="Y35" s="26">
        <v>29.561</v>
      </c>
      <c r="Z35" s="26">
        <v>11.12</v>
      </c>
      <c r="AA35" s="26">
        <v>0</v>
      </c>
      <c r="AB35" s="136">
        <v>45835.429050925923</v>
      </c>
      <c r="AC35" s="26" t="s">
        <v>1722</v>
      </c>
      <c r="AD35" s="118" t="str">
        <f t="shared" si="2"/>
        <v>8</v>
      </c>
    </row>
    <row r="36" spans="1:31" x14ac:dyDescent="0.25">
      <c r="A36" s="191">
        <v>0.45296296296296296</v>
      </c>
      <c r="B36" s="192">
        <v>45835</v>
      </c>
      <c r="C36" s="26">
        <v>250627</v>
      </c>
      <c r="D36" s="26">
        <v>0</v>
      </c>
      <c r="E36" s="26">
        <v>740.8</v>
      </c>
      <c r="F36" s="26">
        <v>434.6</v>
      </c>
      <c r="G36" s="26">
        <v>402.2</v>
      </c>
      <c r="H36" s="26">
        <v>261</v>
      </c>
      <c r="I36" s="26">
        <v>0.19</v>
      </c>
      <c r="J36" s="26">
        <v>398.7</v>
      </c>
      <c r="K36" s="26">
        <v>0.27800000000000002</v>
      </c>
      <c r="L36" s="26">
        <v>0.28999999999999998</v>
      </c>
      <c r="M36" s="26">
        <v>0.39400000000000002</v>
      </c>
      <c r="N36" s="26">
        <v>176.2</v>
      </c>
      <c r="O36" s="26">
        <v>13.49</v>
      </c>
      <c r="P36" s="26">
        <v>180.1</v>
      </c>
      <c r="Q36" s="26">
        <v>40.704189999999997</v>
      </c>
      <c r="R36" s="26">
        <v>-85.929820000000007</v>
      </c>
      <c r="S36" s="26">
        <v>222.7</v>
      </c>
      <c r="T36" s="26">
        <v>146.69999999999999</v>
      </c>
      <c r="U36" s="26">
        <v>8.65</v>
      </c>
      <c r="V36" s="26">
        <v>-133.9</v>
      </c>
      <c r="W36" s="26">
        <v>12</v>
      </c>
      <c r="X36" s="26">
        <v>0</v>
      </c>
      <c r="Y36" s="26">
        <v>29.213000000000001</v>
      </c>
      <c r="Z36" s="26">
        <v>11.77</v>
      </c>
      <c r="AA36" s="26">
        <v>0</v>
      </c>
      <c r="AB36" s="136">
        <v>45835.452962962961</v>
      </c>
      <c r="AC36" s="26" t="s">
        <v>1718</v>
      </c>
      <c r="AD36" s="118" t="str">
        <f t="shared" si="2"/>
        <v>9</v>
      </c>
    </row>
    <row r="37" spans="1:31" x14ac:dyDescent="0.25">
      <c r="A37" s="191">
        <v>0.43930555555555556</v>
      </c>
      <c r="B37" s="192">
        <v>45835</v>
      </c>
      <c r="C37" s="26">
        <v>250627</v>
      </c>
      <c r="D37" s="26">
        <v>0</v>
      </c>
      <c r="E37" s="26">
        <v>740.8</v>
      </c>
      <c r="F37" s="26">
        <v>431.5</v>
      </c>
      <c r="G37" s="26">
        <v>396.4</v>
      </c>
      <c r="H37" s="26">
        <v>258</v>
      </c>
      <c r="I37" s="26">
        <v>0.19</v>
      </c>
      <c r="J37" s="26">
        <v>392.5</v>
      </c>
      <c r="K37" s="26">
        <v>0.32100000000000001</v>
      </c>
      <c r="L37" s="26">
        <v>0.33900000000000002</v>
      </c>
      <c r="M37" s="26">
        <v>0.45400000000000001</v>
      </c>
      <c r="N37" s="26">
        <v>184.9</v>
      </c>
      <c r="O37" s="26">
        <v>14.05</v>
      </c>
      <c r="P37" s="26">
        <v>189</v>
      </c>
      <c r="Q37" s="26">
        <v>40.693330000000003</v>
      </c>
      <c r="R37" s="26">
        <v>-85.920590000000004</v>
      </c>
      <c r="S37" s="26">
        <v>217.7</v>
      </c>
      <c r="T37" s="26">
        <v>141.69999999999999</v>
      </c>
      <c r="U37" s="26">
        <v>8.68</v>
      </c>
      <c r="V37" s="26">
        <v>-135.80000000000001</v>
      </c>
      <c r="W37" s="26">
        <v>12</v>
      </c>
      <c r="X37" s="26">
        <v>0</v>
      </c>
      <c r="Y37" s="26">
        <v>29.635000000000002</v>
      </c>
      <c r="Z37" s="26">
        <v>10.76</v>
      </c>
      <c r="AA37" s="26">
        <v>0</v>
      </c>
      <c r="AB37" s="136">
        <v>45835.439305555556</v>
      </c>
      <c r="AC37" s="26" t="s">
        <v>1725</v>
      </c>
      <c r="AD37" s="118">
        <v>10</v>
      </c>
    </row>
    <row r="38" spans="1:31" x14ac:dyDescent="0.25">
      <c r="A38" s="191">
        <v>0.47706018518518517</v>
      </c>
      <c r="B38" s="192">
        <v>45835</v>
      </c>
      <c r="C38" s="26">
        <v>250627</v>
      </c>
      <c r="D38" s="26">
        <v>0</v>
      </c>
      <c r="E38" s="26">
        <v>740.7</v>
      </c>
      <c r="F38" s="26">
        <v>442.4</v>
      </c>
      <c r="G38" s="26">
        <v>409.6</v>
      </c>
      <c r="H38" s="26">
        <v>266</v>
      </c>
      <c r="I38" s="26">
        <v>0.19</v>
      </c>
      <c r="J38" s="26">
        <v>406</v>
      </c>
      <c r="K38" s="26">
        <v>0.35799999999999998</v>
      </c>
      <c r="L38" s="26">
        <v>0.39200000000000002</v>
      </c>
      <c r="M38" s="26">
        <v>0.50700000000000001</v>
      </c>
      <c r="N38" s="26">
        <v>171.2</v>
      </c>
      <c r="O38" s="26">
        <v>13.11</v>
      </c>
      <c r="P38" s="26">
        <v>175</v>
      </c>
      <c r="Q38" s="26">
        <v>40.710970000000003</v>
      </c>
      <c r="R38" s="26">
        <v>-85.938550000000006</v>
      </c>
      <c r="S38" s="26">
        <v>220.5</v>
      </c>
      <c r="T38" s="26">
        <v>149.5</v>
      </c>
      <c r="U38" s="26">
        <v>8.69</v>
      </c>
      <c r="V38" s="26">
        <v>-136.5</v>
      </c>
      <c r="W38" s="26">
        <v>12</v>
      </c>
      <c r="X38" s="26">
        <v>0</v>
      </c>
      <c r="Y38" s="26">
        <v>29.193999999999999</v>
      </c>
      <c r="Z38" s="26">
        <v>9.36</v>
      </c>
      <c r="AA38" s="26">
        <v>0</v>
      </c>
      <c r="AB38" s="136">
        <v>45835.477060185185</v>
      </c>
      <c r="AC38" s="26" t="s">
        <v>1719</v>
      </c>
      <c r="AD38" s="118">
        <v>11</v>
      </c>
    </row>
    <row r="39" spans="1:31" x14ac:dyDescent="0.25">
      <c r="A39" s="191">
        <v>0.46228009259259262</v>
      </c>
      <c r="B39" s="192">
        <v>45835</v>
      </c>
      <c r="C39" s="26">
        <v>250627</v>
      </c>
      <c r="D39" s="26">
        <v>0</v>
      </c>
      <c r="E39" s="26">
        <v>740.8</v>
      </c>
      <c r="F39" s="26">
        <v>440.4</v>
      </c>
      <c r="G39" s="26">
        <v>406</v>
      </c>
      <c r="H39" s="26">
        <v>264</v>
      </c>
      <c r="I39" s="26">
        <v>0.19</v>
      </c>
      <c r="J39" s="26">
        <v>402.2</v>
      </c>
      <c r="K39" s="26">
        <v>0.48199999999999998</v>
      </c>
      <c r="L39" s="26">
        <v>0.55500000000000005</v>
      </c>
      <c r="M39" s="26">
        <v>0.68300000000000005</v>
      </c>
      <c r="N39" s="26">
        <v>190.5</v>
      </c>
      <c r="O39" s="26">
        <v>14.52</v>
      </c>
      <c r="P39" s="26">
        <v>194.7</v>
      </c>
      <c r="Q39" s="26">
        <v>40.711799999999997</v>
      </c>
      <c r="R39" s="26">
        <v>-85.951329999999999</v>
      </c>
      <c r="S39" s="26">
        <v>220.8</v>
      </c>
      <c r="T39" s="26">
        <v>126.3</v>
      </c>
      <c r="U39" s="26">
        <v>8.8000000000000007</v>
      </c>
      <c r="V39" s="26">
        <v>-142.9</v>
      </c>
      <c r="W39" s="26">
        <v>12</v>
      </c>
      <c r="X39" s="26">
        <v>0</v>
      </c>
      <c r="Y39" s="26">
        <v>29.437999999999999</v>
      </c>
      <c r="Z39" s="26">
        <v>10.63</v>
      </c>
      <c r="AA39" s="26">
        <v>0</v>
      </c>
      <c r="AB39" s="136">
        <v>45835.462280092594</v>
      </c>
      <c r="AC39" s="26" t="s">
        <v>1720</v>
      </c>
      <c r="AD39" s="118">
        <v>12</v>
      </c>
    </row>
    <row r="40" spans="1:31" x14ac:dyDescent="0.25">
      <c r="A40" s="191">
        <v>0.36055555555555557</v>
      </c>
      <c r="B40" s="192">
        <v>45835</v>
      </c>
      <c r="C40" s="26">
        <v>250627</v>
      </c>
      <c r="D40" s="26">
        <v>0</v>
      </c>
      <c r="E40" s="26">
        <v>741.1</v>
      </c>
      <c r="F40" s="26">
        <v>485.1</v>
      </c>
      <c r="G40" s="26">
        <v>443.1</v>
      </c>
      <c r="H40" s="26">
        <v>288</v>
      </c>
      <c r="I40" s="26">
        <v>0.21</v>
      </c>
      <c r="J40" s="26">
        <v>438.5</v>
      </c>
      <c r="K40" s="26">
        <v>0.33500000000000002</v>
      </c>
      <c r="L40" s="26">
        <v>0.34899999999999998</v>
      </c>
      <c r="M40" s="26">
        <v>0.47499999999999998</v>
      </c>
      <c r="N40" s="26">
        <v>161.6</v>
      </c>
      <c r="O40" s="26">
        <v>12.21</v>
      </c>
      <c r="P40" s="26">
        <v>165.2</v>
      </c>
      <c r="Q40" s="26">
        <v>40.672669999999997</v>
      </c>
      <c r="R40" s="26">
        <v>-85.841539999999995</v>
      </c>
      <c r="S40" s="26">
        <v>218.9</v>
      </c>
      <c r="T40" s="26">
        <v>121.6</v>
      </c>
      <c r="U40" s="26">
        <v>8.6199999999999992</v>
      </c>
      <c r="V40" s="26">
        <v>-132.30000000000001</v>
      </c>
      <c r="W40" s="26">
        <v>12</v>
      </c>
      <c r="X40" s="26">
        <v>0</v>
      </c>
      <c r="Y40" s="26">
        <v>29.957999999999998</v>
      </c>
      <c r="Z40" s="26">
        <v>8.91</v>
      </c>
      <c r="AA40" s="26">
        <v>0</v>
      </c>
      <c r="AB40" s="136">
        <v>45835.360555555555</v>
      </c>
      <c r="AC40" s="26" t="s">
        <v>1721</v>
      </c>
      <c r="AD40" s="118">
        <v>13</v>
      </c>
    </row>
    <row r="41" spans="1:31" x14ac:dyDescent="0.25">
      <c r="A41" s="213">
        <v>0.37725694444444446</v>
      </c>
      <c r="B41" s="214">
        <v>45846</v>
      </c>
      <c r="C41" s="212">
        <v>250708</v>
      </c>
      <c r="D41" s="212">
        <v>0</v>
      </c>
      <c r="E41" s="212">
        <v>745.9</v>
      </c>
      <c r="F41" s="212">
        <v>418.8</v>
      </c>
      <c r="G41" s="212">
        <v>386.6</v>
      </c>
      <c r="H41" s="212">
        <v>251</v>
      </c>
      <c r="I41" s="212">
        <v>0.18</v>
      </c>
      <c r="J41" s="212">
        <v>383</v>
      </c>
      <c r="K41" s="212">
        <v>0.33</v>
      </c>
      <c r="L41" s="212">
        <v>0.32700000000000001</v>
      </c>
      <c r="M41" s="212">
        <v>0.46700000000000003</v>
      </c>
      <c r="N41" s="212">
        <v>95.4</v>
      </c>
      <c r="O41" s="212">
        <v>7.29</v>
      </c>
      <c r="P41" s="212">
        <v>97.2</v>
      </c>
      <c r="Q41" s="212">
        <v>39.748959999999997</v>
      </c>
      <c r="R41" s="212">
        <v>-87.073740000000001</v>
      </c>
      <c r="S41" s="212">
        <v>199.1</v>
      </c>
      <c r="T41" s="212">
        <v>219.3</v>
      </c>
      <c r="U41" s="212">
        <v>7.8</v>
      </c>
      <c r="V41" s="212">
        <v>-82.9</v>
      </c>
      <c r="W41" s="212">
        <v>12</v>
      </c>
      <c r="X41" s="212">
        <v>0</v>
      </c>
      <c r="Y41" s="212">
        <v>29.36</v>
      </c>
      <c r="Z41" s="212">
        <v>2.98</v>
      </c>
      <c r="AA41" s="212">
        <v>0</v>
      </c>
      <c r="AB41" s="215">
        <v>45846.377256944441</v>
      </c>
      <c r="AC41" s="212" t="s">
        <v>1729</v>
      </c>
      <c r="AD41" s="118" t="str">
        <f t="shared" ref="AD41:AD50" si="3">RIGHT(AC41,1)</f>
        <v>1</v>
      </c>
      <c r="AE41" s="120" t="s">
        <v>698</v>
      </c>
    </row>
    <row r="42" spans="1:31" x14ac:dyDescent="0.25">
      <c r="A42" s="213">
        <v>0.39475694444444442</v>
      </c>
      <c r="B42" s="214">
        <v>45846</v>
      </c>
      <c r="C42" s="212">
        <v>250708</v>
      </c>
      <c r="D42" s="212">
        <v>0</v>
      </c>
      <c r="E42" s="212">
        <v>745.8</v>
      </c>
      <c r="F42" s="212">
        <v>424.4</v>
      </c>
      <c r="G42" s="212">
        <v>390.5</v>
      </c>
      <c r="H42" s="212">
        <v>254</v>
      </c>
      <c r="I42" s="212">
        <v>0.18</v>
      </c>
      <c r="J42" s="212">
        <v>386.7</v>
      </c>
      <c r="K42" s="212">
        <v>0.28699999999999998</v>
      </c>
      <c r="L42" s="212">
        <v>0.29799999999999999</v>
      </c>
      <c r="M42" s="212">
        <v>0.40699999999999997</v>
      </c>
      <c r="N42" s="212">
        <v>93</v>
      </c>
      <c r="O42" s="212">
        <v>7.08</v>
      </c>
      <c r="P42" s="212">
        <v>94.8</v>
      </c>
      <c r="Q42" s="212">
        <v>39.755240000000001</v>
      </c>
      <c r="R42" s="212">
        <v>-87.056730000000002</v>
      </c>
      <c r="S42" s="212">
        <v>206.1</v>
      </c>
      <c r="T42" s="212">
        <v>184</v>
      </c>
      <c r="U42" s="212">
        <v>7.76</v>
      </c>
      <c r="V42" s="212">
        <v>-80.400000000000006</v>
      </c>
      <c r="W42" s="212">
        <v>11.9</v>
      </c>
      <c r="X42" s="212">
        <v>0</v>
      </c>
      <c r="Y42" s="212">
        <v>29.55</v>
      </c>
      <c r="Z42" s="212">
        <v>3.76</v>
      </c>
      <c r="AA42" s="212">
        <v>0</v>
      </c>
      <c r="AB42" s="215">
        <v>45846.394756944443</v>
      </c>
      <c r="AC42" s="212" t="s">
        <v>1730</v>
      </c>
      <c r="AD42" s="118" t="str">
        <f t="shared" si="3"/>
        <v>2</v>
      </c>
      <c r="AE42" s="120" t="s">
        <v>699</v>
      </c>
    </row>
    <row r="43" spans="1:31" x14ac:dyDescent="0.25">
      <c r="A43" s="213">
        <v>0.41921296296296295</v>
      </c>
      <c r="B43" s="214">
        <v>45846</v>
      </c>
      <c r="C43" s="212">
        <v>250708</v>
      </c>
      <c r="D43" s="212">
        <v>0</v>
      </c>
      <c r="E43" s="212">
        <v>745.9</v>
      </c>
      <c r="F43" s="212">
        <v>376.5</v>
      </c>
      <c r="G43" s="212">
        <v>345.5</v>
      </c>
      <c r="H43" s="212">
        <v>225</v>
      </c>
      <c r="I43" s="212">
        <v>0.16</v>
      </c>
      <c r="J43" s="212">
        <v>342.1</v>
      </c>
      <c r="K43" s="212">
        <v>0.44600000000000001</v>
      </c>
      <c r="L43" s="212">
        <v>0.439</v>
      </c>
      <c r="M43" s="212">
        <v>0.63200000000000001</v>
      </c>
      <c r="N43" s="212">
        <v>113.2</v>
      </c>
      <c r="O43" s="212">
        <v>8.59</v>
      </c>
      <c r="P43" s="212">
        <v>115.4</v>
      </c>
      <c r="Q43" s="212">
        <v>39.720759999999999</v>
      </c>
      <c r="R43" s="212">
        <v>-87.070670000000007</v>
      </c>
      <c r="S43" s="212">
        <v>203.6</v>
      </c>
      <c r="T43" s="212">
        <v>175.5</v>
      </c>
      <c r="U43" s="212">
        <v>8.2899999999999991</v>
      </c>
      <c r="V43" s="212">
        <v>-112.3</v>
      </c>
      <c r="W43" s="212">
        <v>11.9</v>
      </c>
      <c r="X43" s="212">
        <v>0</v>
      </c>
      <c r="Y43" s="212">
        <v>29.699000000000002</v>
      </c>
      <c r="Z43" s="212">
        <v>2.41</v>
      </c>
      <c r="AA43" s="212">
        <v>0</v>
      </c>
      <c r="AB43" s="215">
        <v>45846.419212962966</v>
      </c>
      <c r="AC43" s="212" t="s">
        <v>1731</v>
      </c>
      <c r="AD43" s="118" t="str">
        <f t="shared" si="3"/>
        <v>3</v>
      </c>
      <c r="AE43" s="120" t="s">
        <v>700</v>
      </c>
    </row>
    <row r="44" spans="1:31" x14ac:dyDescent="0.25">
      <c r="A44" s="213">
        <v>0.44942129629629629</v>
      </c>
      <c r="B44" s="214">
        <v>45846</v>
      </c>
      <c r="C44" s="212">
        <v>250708</v>
      </c>
      <c r="D44" s="212">
        <v>0</v>
      </c>
      <c r="E44" s="212">
        <v>745.9</v>
      </c>
      <c r="F44" s="212">
        <v>368.6</v>
      </c>
      <c r="G44" s="212">
        <v>337.3</v>
      </c>
      <c r="H44" s="212">
        <v>219</v>
      </c>
      <c r="I44" s="212">
        <v>0.16</v>
      </c>
      <c r="J44" s="212">
        <v>333.8</v>
      </c>
      <c r="K44" s="212">
        <v>0.443</v>
      </c>
      <c r="L44" s="212">
        <v>0.44900000000000001</v>
      </c>
      <c r="M44" s="212">
        <v>0.628</v>
      </c>
      <c r="N44" s="212">
        <v>120.5</v>
      </c>
      <c r="O44" s="212">
        <v>9.1199999999999992</v>
      </c>
      <c r="P44" s="212">
        <v>122.8</v>
      </c>
      <c r="Q44" s="212">
        <v>39.737720000000003</v>
      </c>
      <c r="R44" s="212">
        <v>-87.083460000000002</v>
      </c>
      <c r="S44" s="212">
        <v>201.9</v>
      </c>
      <c r="T44" s="212">
        <v>186.6</v>
      </c>
      <c r="U44" s="212">
        <v>8.35</v>
      </c>
      <c r="V44" s="212">
        <v>-116.1</v>
      </c>
      <c r="W44" s="212">
        <v>11.9</v>
      </c>
      <c r="X44" s="212">
        <v>0</v>
      </c>
      <c r="Y44" s="212">
        <v>29.855</v>
      </c>
      <c r="Z44" s="212">
        <v>2.57</v>
      </c>
      <c r="AA44" s="212">
        <v>0</v>
      </c>
      <c r="AB44" s="215">
        <v>45846.449421296296</v>
      </c>
      <c r="AC44" s="212" t="s">
        <v>1732</v>
      </c>
      <c r="AD44" s="118" t="str">
        <f t="shared" si="3"/>
        <v>4</v>
      </c>
      <c r="AE44" s="120" t="s">
        <v>701</v>
      </c>
    </row>
    <row r="45" spans="1:31" x14ac:dyDescent="0.25">
      <c r="A45" s="213">
        <v>0.4699652777777778</v>
      </c>
      <c r="B45" s="214">
        <v>45846</v>
      </c>
      <c r="C45" s="212">
        <v>250708</v>
      </c>
      <c r="D45" s="212">
        <v>0</v>
      </c>
      <c r="E45" s="212">
        <v>745.8</v>
      </c>
      <c r="F45" s="212">
        <v>403.2</v>
      </c>
      <c r="G45" s="212">
        <v>368.1</v>
      </c>
      <c r="H45" s="212">
        <v>239</v>
      </c>
      <c r="I45" s="212">
        <v>0.17</v>
      </c>
      <c r="J45" s="212">
        <v>364.2</v>
      </c>
      <c r="K45" s="212">
        <v>0.38200000000000001</v>
      </c>
      <c r="L45" s="212">
        <v>0.39400000000000002</v>
      </c>
      <c r="M45" s="212">
        <v>0.54100000000000004</v>
      </c>
      <c r="N45" s="212">
        <v>113.5</v>
      </c>
      <c r="O45" s="212">
        <v>8.57</v>
      </c>
      <c r="P45" s="212">
        <v>115.7</v>
      </c>
      <c r="Q45" s="212">
        <v>39.732570000000003</v>
      </c>
      <c r="R45" s="212">
        <v>-87.065860000000001</v>
      </c>
      <c r="S45" s="212">
        <v>202.2</v>
      </c>
      <c r="T45" s="212">
        <v>172.8</v>
      </c>
      <c r="U45" s="212">
        <v>8.18</v>
      </c>
      <c r="V45" s="212">
        <v>-105.8</v>
      </c>
      <c r="W45" s="212">
        <v>11.9</v>
      </c>
      <c r="X45" s="212">
        <v>0</v>
      </c>
      <c r="Y45" s="212">
        <v>29.986999999999998</v>
      </c>
      <c r="Z45" s="212">
        <v>2.2799999999999998</v>
      </c>
      <c r="AA45" s="212">
        <v>0</v>
      </c>
      <c r="AB45" s="215">
        <v>45846.469965277778</v>
      </c>
      <c r="AC45" s="212" t="s">
        <v>1733</v>
      </c>
      <c r="AD45" s="118" t="str">
        <f t="shared" si="3"/>
        <v>5</v>
      </c>
      <c r="AE45" s="120" t="s">
        <v>702</v>
      </c>
    </row>
    <row r="46" spans="1:31" x14ac:dyDescent="0.25">
      <c r="A46" s="213">
        <v>0.49365740740740743</v>
      </c>
      <c r="B46" s="214">
        <v>45846</v>
      </c>
      <c r="C46" s="212">
        <v>250708</v>
      </c>
      <c r="D46" s="212">
        <v>0</v>
      </c>
      <c r="E46" s="212">
        <v>745.8</v>
      </c>
      <c r="F46" s="212">
        <v>420.7</v>
      </c>
      <c r="G46" s="212">
        <v>384</v>
      </c>
      <c r="H46" s="212">
        <v>250</v>
      </c>
      <c r="I46" s="212">
        <v>0.18</v>
      </c>
      <c r="J46" s="212">
        <v>379.9</v>
      </c>
      <c r="K46" s="212">
        <v>0.28899999999999998</v>
      </c>
      <c r="L46" s="212">
        <v>0.28999999999999998</v>
      </c>
      <c r="M46" s="212">
        <v>0.40899999999999997</v>
      </c>
      <c r="N46" s="212">
        <v>115.8</v>
      </c>
      <c r="O46" s="212">
        <v>8.74</v>
      </c>
      <c r="P46" s="212">
        <v>118</v>
      </c>
      <c r="Q46" s="212">
        <v>39.745519999999999</v>
      </c>
      <c r="R46" s="212">
        <v>-87.067070000000001</v>
      </c>
      <c r="S46" s="212">
        <v>201</v>
      </c>
      <c r="T46" s="212">
        <v>175.9</v>
      </c>
      <c r="U46" s="212">
        <v>8.1199999999999992</v>
      </c>
      <c r="V46" s="212">
        <v>-101.9</v>
      </c>
      <c r="W46" s="212">
        <v>11.9</v>
      </c>
      <c r="X46" s="212">
        <v>0</v>
      </c>
      <c r="Y46" s="212">
        <v>30.010999999999999</v>
      </c>
      <c r="Z46" s="212">
        <v>3.21</v>
      </c>
      <c r="AA46" s="212">
        <v>0</v>
      </c>
      <c r="AB46" s="215">
        <v>45846.493657407409</v>
      </c>
      <c r="AC46" s="212" t="s">
        <v>1734</v>
      </c>
      <c r="AD46" s="118" t="str">
        <f t="shared" si="3"/>
        <v>6</v>
      </c>
      <c r="AE46" s="120" t="s">
        <v>703</v>
      </c>
    </row>
    <row r="47" spans="1:31" x14ac:dyDescent="0.25">
      <c r="A47" s="216">
        <v>0.4748263888888889</v>
      </c>
      <c r="B47" s="217">
        <v>45852</v>
      </c>
      <c r="C47" s="110">
        <v>250714</v>
      </c>
      <c r="D47" s="110">
        <v>0</v>
      </c>
      <c r="E47" s="110">
        <v>745.8</v>
      </c>
      <c r="F47" s="110">
        <v>526.9</v>
      </c>
      <c r="G47" s="110">
        <v>484</v>
      </c>
      <c r="H47" s="110">
        <v>315</v>
      </c>
      <c r="I47" s="110">
        <v>0.23</v>
      </c>
      <c r="J47" s="110">
        <v>479.3</v>
      </c>
      <c r="K47" s="110">
        <v>0.39200000000000002</v>
      </c>
      <c r="L47" s="110">
        <v>0.4</v>
      </c>
      <c r="M47" s="110">
        <v>0.55600000000000005</v>
      </c>
      <c r="N47" s="110">
        <v>156.1</v>
      </c>
      <c r="O47" s="110">
        <v>11.86</v>
      </c>
      <c r="P47" s="110">
        <v>159.30000000000001</v>
      </c>
      <c r="Q47" s="110">
        <v>40.823860000000003</v>
      </c>
      <c r="R47" s="110">
        <v>-86.795879999999997</v>
      </c>
      <c r="S47" s="110">
        <v>195.2</v>
      </c>
      <c r="T47" s="110">
        <v>126.7</v>
      </c>
      <c r="U47" s="110">
        <v>8.2799999999999994</v>
      </c>
      <c r="V47" s="110">
        <v>-111.7</v>
      </c>
      <c r="W47" s="110">
        <v>12</v>
      </c>
      <c r="X47" s="110">
        <v>0</v>
      </c>
      <c r="Y47" s="110">
        <v>29.632999999999999</v>
      </c>
      <c r="Z47" s="110">
        <v>5.54</v>
      </c>
      <c r="AA47" s="110">
        <v>0</v>
      </c>
      <c r="AB47" s="218">
        <v>45852.474826388891</v>
      </c>
      <c r="AC47" s="110" t="s">
        <v>1735</v>
      </c>
      <c r="AD47" s="118" t="str">
        <f t="shared" si="3"/>
        <v>5</v>
      </c>
      <c r="AE47" s="121" t="s">
        <v>704</v>
      </c>
    </row>
    <row r="48" spans="1:31" x14ac:dyDescent="0.25">
      <c r="A48" s="216">
        <v>0.45851851851851849</v>
      </c>
      <c r="B48" s="217">
        <v>45852</v>
      </c>
      <c r="C48" s="110">
        <v>250714</v>
      </c>
      <c r="D48" s="110">
        <v>0</v>
      </c>
      <c r="E48" s="110">
        <v>745.7</v>
      </c>
      <c r="F48" s="110">
        <v>544.6</v>
      </c>
      <c r="G48" s="110">
        <v>513.70000000000005</v>
      </c>
      <c r="H48" s="110">
        <v>334</v>
      </c>
      <c r="I48" s="110">
        <v>0.25</v>
      </c>
      <c r="J48" s="110">
        <v>510.3</v>
      </c>
      <c r="K48" s="110">
        <v>0.41</v>
      </c>
      <c r="L48" s="110">
        <v>0.40300000000000002</v>
      </c>
      <c r="M48" s="110">
        <v>0.58099999999999996</v>
      </c>
      <c r="N48" s="110">
        <v>179</v>
      </c>
      <c r="O48" s="110">
        <v>13.96</v>
      </c>
      <c r="P48" s="110">
        <v>182.6</v>
      </c>
      <c r="Q48" s="110">
        <v>40.834989999999998</v>
      </c>
      <c r="R48" s="110">
        <v>-86.781850000000006</v>
      </c>
      <c r="S48" s="110">
        <v>197</v>
      </c>
      <c r="T48" s="110">
        <v>143.6</v>
      </c>
      <c r="U48" s="110">
        <v>8.44</v>
      </c>
      <c r="V48" s="110">
        <v>-121</v>
      </c>
      <c r="W48" s="110">
        <v>11.9</v>
      </c>
      <c r="X48" s="110">
        <v>0</v>
      </c>
      <c r="Y48" s="110">
        <v>28.152000000000001</v>
      </c>
      <c r="Z48" s="110">
        <v>31.16</v>
      </c>
      <c r="AA48" s="110">
        <v>0</v>
      </c>
      <c r="AB48" s="218">
        <v>45852.458518518521</v>
      </c>
      <c r="AC48" s="110" t="s">
        <v>1736</v>
      </c>
      <c r="AD48" s="118" t="str">
        <f t="shared" si="3"/>
        <v>6</v>
      </c>
      <c r="AE48" s="121" t="s">
        <v>705</v>
      </c>
    </row>
    <row r="49" spans="1:31" x14ac:dyDescent="0.25">
      <c r="A49" s="216">
        <v>0.4377314814814815</v>
      </c>
      <c r="B49" s="217">
        <v>45852</v>
      </c>
      <c r="C49" s="110">
        <v>250714</v>
      </c>
      <c r="D49" s="110">
        <v>0</v>
      </c>
      <c r="E49" s="110">
        <v>745.9</v>
      </c>
      <c r="F49" s="110">
        <v>535.6</v>
      </c>
      <c r="G49" s="110">
        <v>498.8</v>
      </c>
      <c r="H49" s="110">
        <v>324</v>
      </c>
      <c r="I49" s="110">
        <v>0.24</v>
      </c>
      <c r="J49" s="110">
        <v>494.7</v>
      </c>
      <c r="K49" s="110">
        <v>0.38400000000000001</v>
      </c>
      <c r="L49" s="110">
        <v>0.36399999999999999</v>
      </c>
      <c r="M49" s="110">
        <v>0.54400000000000004</v>
      </c>
      <c r="N49" s="110">
        <v>162.5</v>
      </c>
      <c r="O49" s="110">
        <v>12.51</v>
      </c>
      <c r="P49" s="110">
        <v>165.8</v>
      </c>
      <c r="Q49" s="110">
        <v>40.811140000000002</v>
      </c>
      <c r="R49" s="110">
        <v>-86.794380000000004</v>
      </c>
      <c r="S49" s="110">
        <v>198.8</v>
      </c>
      <c r="T49" s="110">
        <v>134.4</v>
      </c>
      <c r="U49" s="110">
        <v>8.35</v>
      </c>
      <c r="V49" s="110">
        <v>-115.5</v>
      </c>
      <c r="W49" s="110">
        <v>12</v>
      </c>
      <c r="X49" s="110">
        <v>0</v>
      </c>
      <c r="Y49" s="110">
        <v>28.870999999999999</v>
      </c>
      <c r="Z49" s="110">
        <v>25.75</v>
      </c>
      <c r="AA49" s="110">
        <v>0</v>
      </c>
      <c r="AB49" s="218">
        <v>45852.437731481485</v>
      </c>
      <c r="AC49" s="110" t="s">
        <v>1737</v>
      </c>
      <c r="AD49" s="118" t="str">
        <f t="shared" si="3"/>
        <v>8</v>
      </c>
      <c r="AE49" s="121" t="s">
        <v>706</v>
      </c>
    </row>
    <row r="50" spans="1:31" x14ac:dyDescent="0.25">
      <c r="A50" s="216">
        <v>0.41212962962962962</v>
      </c>
      <c r="B50" s="217">
        <v>45852</v>
      </c>
      <c r="C50" s="110">
        <v>250714</v>
      </c>
      <c r="D50" s="110">
        <v>0</v>
      </c>
      <c r="E50" s="110">
        <v>745.8</v>
      </c>
      <c r="F50" s="110">
        <v>553.20000000000005</v>
      </c>
      <c r="G50" s="110">
        <v>515</v>
      </c>
      <c r="H50" s="110">
        <v>335</v>
      </c>
      <c r="I50" s="110">
        <v>0.25</v>
      </c>
      <c r="J50" s="110">
        <v>510.8</v>
      </c>
      <c r="K50" s="110">
        <v>0.35299999999999998</v>
      </c>
      <c r="L50" s="110">
        <v>0.35099999999999998</v>
      </c>
      <c r="M50" s="110">
        <v>0.5</v>
      </c>
      <c r="N50" s="110">
        <v>129.19999999999999</v>
      </c>
      <c r="O50" s="110">
        <v>9.9499999999999993</v>
      </c>
      <c r="P50" s="110">
        <v>131.80000000000001</v>
      </c>
      <c r="Q50" s="110">
        <v>40.80415</v>
      </c>
      <c r="R50" s="110">
        <v>-86.774829999999994</v>
      </c>
      <c r="S50" s="110">
        <v>198.1</v>
      </c>
      <c r="T50" s="110">
        <v>122.2</v>
      </c>
      <c r="U50" s="110">
        <v>8.07</v>
      </c>
      <c r="V50" s="110">
        <v>-99</v>
      </c>
      <c r="W50" s="110">
        <v>11.9</v>
      </c>
      <c r="X50" s="110">
        <v>0</v>
      </c>
      <c r="Y50" s="110">
        <v>28.888999999999999</v>
      </c>
      <c r="Z50" s="110">
        <v>11.67</v>
      </c>
      <c r="AA50" s="110">
        <v>0</v>
      </c>
      <c r="AB50" s="218">
        <v>45852.412129629629</v>
      </c>
      <c r="AC50" s="110" t="s">
        <v>1739</v>
      </c>
      <c r="AD50" s="118" t="str">
        <f t="shared" si="3"/>
        <v>9</v>
      </c>
      <c r="AE50" s="121" t="s">
        <v>707</v>
      </c>
    </row>
    <row r="51" spans="1:31" x14ac:dyDescent="0.25">
      <c r="A51" s="216">
        <v>0.38542824074074072</v>
      </c>
      <c r="B51" s="217">
        <v>45852</v>
      </c>
      <c r="C51" s="110">
        <v>250714</v>
      </c>
      <c r="D51" s="110">
        <v>0</v>
      </c>
      <c r="E51" s="110">
        <v>745.4</v>
      </c>
      <c r="F51" s="110">
        <v>545.6</v>
      </c>
      <c r="G51" s="110">
        <v>506.5</v>
      </c>
      <c r="H51" s="110">
        <v>329</v>
      </c>
      <c r="I51" s="110">
        <v>0.24</v>
      </c>
      <c r="J51" s="110">
        <v>502.2</v>
      </c>
      <c r="K51" s="110">
        <v>0.20200000000000001</v>
      </c>
      <c r="L51" s="110">
        <v>0.21199999999999999</v>
      </c>
      <c r="M51" s="110">
        <v>0.28699999999999998</v>
      </c>
      <c r="N51" s="110">
        <v>130.4</v>
      </c>
      <c r="O51" s="110">
        <v>10.01</v>
      </c>
      <c r="P51" s="110">
        <v>133.1</v>
      </c>
      <c r="Q51" s="110">
        <v>40.79468</v>
      </c>
      <c r="R51" s="110">
        <v>-86.774439999999998</v>
      </c>
      <c r="S51" s="110">
        <v>196.1</v>
      </c>
      <c r="T51" s="110">
        <v>135.19999999999999</v>
      </c>
      <c r="U51" s="110">
        <v>8.1199999999999992</v>
      </c>
      <c r="V51" s="110">
        <v>-102</v>
      </c>
      <c r="W51" s="110">
        <v>12</v>
      </c>
      <c r="X51" s="110">
        <v>0</v>
      </c>
      <c r="Y51" s="110">
        <v>29.047999999999998</v>
      </c>
      <c r="Z51" s="110">
        <v>13.37</v>
      </c>
      <c r="AA51" s="110">
        <v>0</v>
      </c>
      <c r="AB51" s="218">
        <v>45852.385428240741</v>
      </c>
      <c r="AC51" s="110" t="s">
        <v>1741</v>
      </c>
      <c r="AD51" s="118">
        <v>10</v>
      </c>
      <c r="AE51" s="121" t="s">
        <v>708</v>
      </c>
    </row>
    <row r="52" spans="1:31" x14ac:dyDescent="0.25">
      <c r="A52" s="216">
        <v>0.35517361111111112</v>
      </c>
      <c r="B52" s="217">
        <v>45852</v>
      </c>
      <c r="C52" s="110">
        <v>250714</v>
      </c>
      <c r="D52" s="110">
        <v>0</v>
      </c>
      <c r="E52" s="110">
        <v>745.6</v>
      </c>
      <c r="F52" s="110">
        <v>569.9</v>
      </c>
      <c r="G52" s="110">
        <v>532</v>
      </c>
      <c r="H52" s="110">
        <v>346</v>
      </c>
      <c r="I52" s="110">
        <v>0.25</v>
      </c>
      <c r="J52" s="110">
        <v>527.9</v>
      </c>
      <c r="K52" s="110">
        <v>0.312</v>
      </c>
      <c r="L52" s="110">
        <v>0.32500000000000001</v>
      </c>
      <c r="M52" s="110">
        <v>0.442</v>
      </c>
      <c r="N52" s="110">
        <v>153.19999999999999</v>
      </c>
      <c r="O52" s="110">
        <v>11.83</v>
      </c>
      <c r="P52" s="110">
        <v>156.30000000000001</v>
      </c>
      <c r="Q52" s="110">
        <v>40.78875</v>
      </c>
      <c r="R52" s="110">
        <v>-86.772220000000004</v>
      </c>
      <c r="S52" s="110">
        <v>196.2</v>
      </c>
      <c r="T52" s="110">
        <v>179.3</v>
      </c>
      <c r="U52" s="110">
        <v>8.17</v>
      </c>
      <c r="V52" s="110">
        <v>-104.9</v>
      </c>
      <c r="W52" s="110">
        <v>11.9</v>
      </c>
      <c r="X52" s="110">
        <v>0</v>
      </c>
      <c r="Y52" s="110">
        <v>28.73</v>
      </c>
      <c r="Z52" s="110">
        <v>7.04</v>
      </c>
      <c r="AA52" s="110">
        <v>0</v>
      </c>
      <c r="AB52" s="218">
        <v>45852.355173611111</v>
      </c>
      <c r="AC52" s="110" t="s">
        <v>1742</v>
      </c>
      <c r="AD52" s="118">
        <v>11</v>
      </c>
      <c r="AE52" s="121" t="s">
        <v>709</v>
      </c>
    </row>
    <row r="53" spans="1:31" x14ac:dyDescent="0.25">
      <c r="A53" s="216">
        <v>0.36962962962962964</v>
      </c>
      <c r="B53" s="217">
        <v>45852</v>
      </c>
      <c r="C53" s="110">
        <v>250714</v>
      </c>
      <c r="D53" s="110">
        <v>0</v>
      </c>
      <c r="E53" s="110">
        <v>745.6</v>
      </c>
      <c r="F53" s="110">
        <v>575.1</v>
      </c>
      <c r="G53" s="110">
        <v>536.1</v>
      </c>
      <c r="H53" s="110">
        <v>348</v>
      </c>
      <c r="I53" s="110">
        <v>0.26</v>
      </c>
      <c r="J53" s="110">
        <v>531.79999999999995</v>
      </c>
      <c r="K53" s="110">
        <v>0.32200000000000001</v>
      </c>
      <c r="L53" s="110">
        <v>0.33100000000000002</v>
      </c>
      <c r="M53" s="110">
        <v>0.45600000000000002</v>
      </c>
      <c r="N53" s="110">
        <v>131.5</v>
      </c>
      <c r="O53" s="110">
        <v>10.130000000000001</v>
      </c>
      <c r="P53" s="110">
        <v>134.19999999999999</v>
      </c>
      <c r="Q53" s="110">
        <v>40.782510000000002</v>
      </c>
      <c r="R53" s="110">
        <v>-86.762129999999999</v>
      </c>
      <c r="S53" s="110">
        <v>198</v>
      </c>
      <c r="T53" s="110">
        <v>89.4</v>
      </c>
      <c r="U53" s="110">
        <v>8.11</v>
      </c>
      <c r="V53" s="110">
        <v>-101.2</v>
      </c>
      <c r="W53" s="110">
        <v>11.9</v>
      </c>
      <c r="X53" s="110">
        <v>0</v>
      </c>
      <c r="Y53" s="110">
        <v>28.81</v>
      </c>
      <c r="Z53" s="110">
        <v>5.77</v>
      </c>
      <c r="AA53" s="110">
        <v>0</v>
      </c>
      <c r="AB53" s="218">
        <v>45852.369629629633</v>
      </c>
      <c r="AC53" s="110" t="s">
        <v>1743</v>
      </c>
      <c r="AD53" s="118">
        <v>12</v>
      </c>
      <c r="AE53" s="121" t="s">
        <v>710</v>
      </c>
    </row>
    <row r="54" spans="1:31" x14ac:dyDescent="0.25">
      <c r="A54" s="216">
        <v>0.42702546296296295</v>
      </c>
      <c r="B54" s="217">
        <v>45852</v>
      </c>
      <c r="C54" s="110">
        <v>250714</v>
      </c>
      <c r="D54" s="110">
        <v>0</v>
      </c>
      <c r="E54" s="110">
        <v>745.8</v>
      </c>
      <c r="F54" s="110">
        <v>540.29999999999995</v>
      </c>
      <c r="G54" s="110">
        <v>506.6</v>
      </c>
      <c r="H54" s="110">
        <v>329</v>
      </c>
      <c r="I54" s="110">
        <v>0.24</v>
      </c>
      <c r="J54" s="110">
        <v>502.9</v>
      </c>
      <c r="K54" s="110">
        <v>0.27</v>
      </c>
      <c r="L54" s="110">
        <v>0.28499999999999998</v>
      </c>
      <c r="M54" s="110">
        <v>0.38200000000000001</v>
      </c>
      <c r="N54" s="110">
        <v>108.2</v>
      </c>
      <c r="O54" s="110">
        <v>8.39</v>
      </c>
      <c r="P54" s="110">
        <v>110.4</v>
      </c>
      <c r="Q54" s="110">
        <v>40.807360000000003</v>
      </c>
      <c r="R54" s="110">
        <v>-86.785309999999996</v>
      </c>
      <c r="S54" s="110">
        <v>196.6</v>
      </c>
      <c r="T54" s="110">
        <v>120</v>
      </c>
      <c r="U54" s="110">
        <v>7.93</v>
      </c>
      <c r="V54" s="110">
        <v>-90</v>
      </c>
      <c r="W54" s="110">
        <v>11.9</v>
      </c>
      <c r="X54" s="110">
        <v>0</v>
      </c>
      <c r="Y54" s="110">
        <v>28.478999999999999</v>
      </c>
      <c r="Z54" s="110">
        <v>25.25</v>
      </c>
      <c r="AA54" s="110">
        <v>0</v>
      </c>
      <c r="AB54" s="218">
        <v>45852.427025462966</v>
      </c>
      <c r="AC54" s="110" t="s">
        <v>1738</v>
      </c>
      <c r="AD54" s="118">
        <v>14</v>
      </c>
      <c r="AE54" s="121" t="s">
        <v>711</v>
      </c>
    </row>
    <row r="55" spans="1:31" x14ac:dyDescent="0.25">
      <c r="A55" s="216">
        <v>0.39743055555555556</v>
      </c>
      <c r="B55" s="217">
        <v>45852</v>
      </c>
      <c r="C55" s="110">
        <v>250714</v>
      </c>
      <c r="D55" s="110">
        <v>0</v>
      </c>
      <c r="E55" s="110">
        <v>745.6</v>
      </c>
      <c r="F55" s="110">
        <v>542.9</v>
      </c>
      <c r="G55" s="110">
        <v>506.2</v>
      </c>
      <c r="H55" s="110">
        <v>329</v>
      </c>
      <c r="I55" s="110">
        <v>0.24</v>
      </c>
      <c r="J55" s="110">
        <v>502.2</v>
      </c>
      <c r="K55" s="110">
        <v>0.39900000000000002</v>
      </c>
      <c r="L55" s="110">
        <v>0.38100000000000001</v>
      </c>
      <c r="M55" s="110">
        <v>0.56499999999999995</v>
      </c>
      <c r="N55" s="110">
        <v>122.1</v>
      </c>
      <c r="O55" s="110">
        <v>9.41</v>
      </c>
      <c r="P55" s="110">
        <v>124.5</v>
      </c>
      <c r="Q55" s="110">
        <v>40.799219999999998</v>
      </c>
      <c r="R55" s="110">
        <v>-86.777739999999994</v>
      </c>
      <c r="S55" s="110">
        <v>193.8</v>
      </c>
      <c r="T55" s="110">
        <v>143.9</v>
      </c>
      <c r="U55" s="110">
        <v>8.0500000000000007</v>
      </c>
      <c r="V55" s="110">
        <v>-97.5</v>
      </c>
      <c r="W55" s="110">
        <v>12</v>
      </c>
      <c r="X55" s="110">
        <v>0</v>
      </c>
      <c r="Y55" s="110">
        <v>28.79</v>
      </c>
      <c r="Z55" s="110">
        <v>15.31</v>
      </c>
      <c r="AA55" s="110">
        <v>0</v>
      </c>
      <c r="AB55" s="218">
        <v>45852.397430555553</v>
      </c>
      <c r="AC55" s="110" t="s">
        <v>1740</v>
      </c>
      <c r="AD55" s="118">
        <v>15</v>
      </c>
      <c r="AE55" s="121" t="s">
        <v>712</v>
      </c>
    </row>
    <row r="56" spans="1:31" x14ac:dyDescent="0.25">
      <c r="A56" s="197">
        <v>0.51531249999999995</v>
      </c>
      <c r="B56" s="198">
        <v>45867</v>
      </c>
      <c r="C56" s="63">
        <v>250729</v>
      </c>
      <c r="D56" s="63">
        <v>0</v>
      </c>
      <c r="E56" s="63">
        <v>743.8</v>
      </c>
      <c r="F56" s="63">
        <v>3.1</v>
      </c>
      <c r="G56" s="63">
        <v>2.6</v>
      </c>
      <c r="H56" s="63">
        <v>2</v>
      </c>
      <c r="I56" s="63">
        <v>0</v>
      </c>
      <c r="J56" s="63">
        <v>2.5</v>
      </c>
      <c r="K56" s="63">
        <v>9.6000000000000002E-2</v>
      </c>
      <c r="L56" s="63">
        <v>0.107</v>
      </c>
      <c r="M56" s="63">
        <v>0.13600000000000001</v>
      </c>
      <c r="N56" s="63">
        <v>99.6</v>
      </c>
      <c r="O56" s="63">
        <v>6.88</v>
      </c>
      <c r="P56" s="63">
        <v>101.4</v>
      </c>
      <c r="Q56" s="63">
        <v>40.681489999999997</v>
      </c>
      <c r="R56" s="63">
        <v>-85.888630000000006</v>
      </c>
      <c r="S56" s="63">
        <v>225.2</v>
      </c>
      <c r="T56" s="63">
        <v>68.3</v>
      </c>
      <c r="U56" s="63">
        <v>7.89</v>
      </c>
      <c r="V56" s="63">
        <v>-96</v>
      </c>
      <c r="W56" s="63">
        <v>12</v>
      </c>
      <c r="X56" s="63">
        <v>0</v>
      </c>
      <c r="Y56" s="63">
        <v>35.389000000000003</v>
      </c>
      <c r="Z56" s="63">
        <v>148.21</v>
      </c>
      <c r="AA56" s="63">
        <v>0</v>
      </c>
      <c r="AB56" s="137">
        <v>45867.5153125</v>
      </c>
      <c r="AC56" s="63" t="s">
        <v>1717</v>
      </c>
      <c r="AD56" s="118" t="str">
        <f t="shared" ref="AD56:AD64" si="4">RIGHT(AC56,1)</f>
        <v>1</v>
      </c>
      <c r="AE56" s="119" t="s">
        <v>713</v>
      </c>
    </row>
    <row r="57" spans="1:31" x14ac:dyDescent="0.25">
      <c r="A57" s="197">
        <v>0.52935185185185185</v>
      </c>
      <c r="B57" s="198">
        <v>45867</v>
      </c>
      <c r="C57" s="63">
        <v>250729</v>
      </c>
      <c r="D57" s="63">
        <v>0</v>
      </c>
      <c r="E57" s="63">
        <v>743.8</v>
      </c>
      <c r="F57" s="63">
        <v>391.6</v>
      </c>
      <c r="G57" s="63">
        <v>347</v>
      </c>
      <c r="H57" s="63">
        <v>226</v>
      </c>
      <c r="I57" s="63">
        <v>0.16</v>
      </c>
      <c r="J57" s="63">
        <v>342</v>
      </c>
      <c r="K57" s="63">
        <v>0.223</v>
      </c>
      <c r="L57" s="63">
        <v>0.23499999999999999</v>
      </c>
      <c r="M57" s="63">
        <v>0.316</v>
      </c>
      <c r="N57" s="63">
        <v>260.89999999999998</v>
      </c>
      <c r="O57" s="63">
        <v>19.13</v>
      </c>
      <c r="P57" s="63">
        <v>265.5</v>
      </c>
      <c r="Q57" s="63">
        <v>40.676760000000002</v>
      </c>
      <c r="R57" s="63">
        <v>-85.877080000000007</v>
      </c>
      <c r="S57" s="63">
        <v>223.4</v>
      </c>
      <c r="T57" s="63">
        <v>85.6</v>
      </c>
      <c r="U57" s="63">
        <v>9.06</v>
      </c>
      <c r="V57" s="63">
        <v>-168.8</v>
      </c>
      <c r="W57" s="63">
        <v>12</v>
      </c>
      <c r="X57" s="63">
        <v>0</v>
      </c>
      <c r="Y57" s="63">
        <v>31.73</v>
      </c>
      <c r="Z57" s="63">
        <v>37.090000000000003</v>
      </c>
      <c r="AA57" s="63">
        <v>0</v>
      </c>
      <c r="AB57" s="137">
        <v>45867.529351851852</v>
      </c>
      <c r="AC57" s="63" t="s">
        <v>1716</v>
      </c>
      <c r="AD57" s="118" t="str">
        <f t="shared" si="4"/>
        <v>2</v>
      </c>
      <c r="AE57" s="119" t="s">
        <v>714</v>
      </c>
    </row>
    <row r="58" spans="1:31" x14ac:dyDescent="0.25">
      <c r="A58" s="197">
        <v>0.54212962962962963</v>
      </c>
      <c r="B58" s="198">
        <v>45867</v>
      </c>
      <c r="C58" s="63">
        <v>250729</v>
      </c>
      <c r="D58" s="63">
        <v>0</v>
      </c>
      <c r="E58" s="63">
        <v>743.8</v>
      </c>
      <c r="F58" s="63">
        <v>417.6</v>
      </c>
      <c r="G58" s="63">
        <v>371.7</v>
      </c>
      <c r="H58" s="63">
        <v>242</v>
      </c>
      <c r="I58" s="63">
        <v>0.17</v>
      </c>
      <c r="J58" s="63">
        <v>366.5</v>
      </c>
      <c r="K58" s="63">
        <v>0.28499999999999998</v>
      </c>
      <c r="L58" s="63">
        <v>0.29299999999999998</v>
      </c>
      <c r="M58" s="63">
        <v>0.40400000000000003</v>
      </c>
      <c r="N58" s="63">
        <v>257.89999999999998</v>
      </c>
      <c r="O58" s="63">
        <v>18.989999999999998</v>
      </c>
      <c r="P58" s="63">
        <v>262.5</v>
      </c>
      <c r="Q58" s="63">
        <v>40.670529999999999</v>
      </c>
      <c r="R58" s="63">
        <v>-85.8703</v>
      </c>
      <c r="S58" s="63">
        <v>224.3</v>
      </c>
      <c r="T58" s="63">
        <v>129.9</v>
      </c>
      <c r="U58" s="63">
        <v>8.9600000000000009</v>
      </c>
      <c r="V58" s="63">
        <v>-162.6</v>
      </c>
      <c r="W58" s="63">
        <v>12</v>
      </c>
      <c r="X58" s="63">
        <v>0</v>
      </c>
      <c r="Y58" s="63">
        <v>31.465</v>
      </c>
      <c r="Z58" s="63">
        <v>31.53</v>
      </c>
      <c r="AA58" s="63">
        <v>0</v>
      </c>
      <c r="AB58" s="137">
        <v>45867.542129629626</v>
      </c>
      <c r="AC58" s="63" t="s">
        <v>1715</v>
      </c>
      <c r="AD58" s="118" t="str">
        <f t="shared" si="4"/>
        <v>3</v>
      </c>
      <c r="AE58" s="119" t="s">
        <v>715</v>
      </c>
    </row>
    <row r="59" spans="1:31" x14ac:dyDescent="0.25">
      <c r="A59" s="197">
        <v>0.55318287037037039</v>
      </c>
      <c r="B59" s="198">
        <v>45867</v>
      </c>
      <c r="C59" s="63">
        <v>250729</v>
      </c>
      <c r="D59" s="63">
        <v>0</v>
      </c>
      <c r="E59" s="63">
        <v>743.8</v>
      </c>
      <c r="F59" s="63">
        <v>431.9</v>
      </c>
      <c r="G59" s="63">
        <v>380.9</v>
      </c>
      <c r="H59" s="63">
        <v>248</v>
      </c>
      <c r="I59" s="63">
        <v>0.18</v>
      </c>
      <c r="J59" s="63">
        <v>375.1</v>
      </c>
      <c r="K59" s="63">
        <v>0.248</v>
      </c>
      <c r="L59" s="63">
        <v>0.252</v>
      </c>
      <c r="M59" s="63">
        <v>0.35199999999999998</v>
      </c>
      <c r="N59" s="63">
        <v>324.5</v>
      </c>
      <c r="O59" s="63">
        <v>23.69</v>
      </c>
      <c r="P59" s="63">
        <v>330.2</v>
      </c>
      <c r="Q59" s="63">
        <v>40.662990000000001</v>
      </c>
      <c r="R59" s="63">
        <v>-85.866550000000004</v>
      </c>
      <c r="S59" s="63">
        <v>222.9</v>
      </c>
      <c r="T59" s="63">
        <v>111.9</v>
      </c>
      <c r="U59" s="63">
        <v>9.1</v>
      </c>
      <c r="V59" s="63">
        <v>-171.2</v>
      </c>
      <c r="W59" s="63">
        <v>11.9</v>
      </c>
      <c r="X59" s="63">
        <v>0</v>
      </c>
      <c r="Y59" s="63">
        <v>32.011000000000003</v>
      </c>
      <c r="Z59" s="63">
        <v>44.4</v>
      </c>
      <c r="AA59" s="63">
        <v>0</v>
      </c>
      <c r="AB59" s="137">
        <v>45867.553182870368</v>
      </c>
      <c r="AC59" s="63" t="s">
        <v>1714</v>
      </c>
      <c r="AD59" s="118" t="str">
        <f t="shared" si="4"/>
        <v>4</v>
      </c>
      <c r="AE59" s="119" t="s">
        <v>716</v>
      </c>
    </row>
    <row r="60" spans="1:31" x14ac:dyDescent="0.25">
      <c r="A60" s="197">
        <v>0.57125000000000004</v>
      </c>
      <c r="B60" s="198">
        <v>45867</v>
      </c>
      <c r="C60" s="63">
        <v>250729</v>
      </c>
      <c r="D60" s="63">
        <v>0</v>
      </c>
      <c r="E60" s="63">
        <v>743.8</v>
      </c>
      <c r="F60" s="63">
        <v>422.6</v>
      </c>
      <c r="G60" s="63">
        <v>376.5</v>
      </c>
      <c r="H60" s="63">
        <v>245</v>
      </c>
      <c r="I60" s="63">
        <v>0.18</v>
      </c>
      <c r="J60" s="63">
        <v>371.3</v>
      </c>
      <c r="K60" s="63">
        <v>0.23799999999999999</v>
      </c>
      <c r="L60" s="63">
        <v>0.25</v>
      </c>
      <c r="M60" s="63">
        <v>0.33700000000000002</v>
      </c>
      <c r="N60" s="63">
        <v>301.7</v>
      </c>
      <c r="O60" s="63">
        <v>22.24</v>
      </c>
      <c r="P60" s="63">
        <v>307</v>
      </c>
      <c r="Q60" s="63">
        <v>40.668489999999998</v>
      </c>
      <c r="R60" s="63">
        <v>-85.848150000000004</v>
      </c>
      <c r="S60" s="63">
        <v>225.1</v>
      </c>
      <c r="T60" s="63">
        <v>120.7</v>
      </c>
      <c r="U60" s="63">
        <v>9.08</v>
      </c>
      <c r="V60" s="63">
        <v>-170</v>
      </c>
      <c r="W60" s="63">
        <v>11.9</v>
      </c>
      <c r="X60" s="63">
        <v>0</v>
      </c>
      <c r="Y60" s="63">
        <v>31.411999999999999</v>
      </c>
      <c r="Z60" s="63">
        <v>62.51</v>
      </c>
      <c r="AA60" s="63">
        <v>0</v>
      </c>
      <c r="AB60" s="137">
        <v>45867.571250000001</v>
      </c>
      <c r="AC60" s="63" t="s">
        <v>1713</v>
      </c>
      <c r="AD60" s="118" t="str">
        <f t="shared" si="4"/>
        <v>5</v>
      </c>
      <c r="AE60" s="119" t="s">
        <v>717</v>
      </c>
    </row>
    <row r="61" spans="1:31" x14ac:dyDescent="0.25">
      <c r="A61" s="197">
        <v>0.59843749999999996</v>
      </c>
      <c r="B61" s="198">
        <v>45867</v>
      </c>
      <c r="C61" s="63">
        <v>250729</v>
      </c>
      <c r="D61" s="63">
        <v>0</v>
      </c>
      <c r="E61" s="63">
        <v>743.9</v>
      </c>
      <c r="F61" s="63">
        <v>443.8</v>
      </c>
      <c r="G61" s="63">
        <v>392.5</v>
      </c>
      <c r="H61" s="63">
        <v>255</v>
      </c>
      <c r="I61" s="63">
        <v>0.18</v>
      </c>
      <c r="J61" s="63">
        <v>386.7</v>
      </c>
      <c r="K61" s="63">
        <v>0.20399999999999999</v>
      </c>
      <c r="L61" s="63">
        <v>0.192</v>
      </c>
      <c r="M61" s="63">
        <v>0.28899999999999998</v>
      </c>
      <c r="N61" s="63">
        <v>354.1</v>
      </c>
      <c r="O61" s="63">
        <v>25.92</v>
      </c>
      <c r="P61" s="63">
        <v>360.4</v>
      </c>
      <c r="Q61" s="63">
        <v>40.67371</v>
      </c>
      <c r="R61" s="63">
        <v>-85.831890000000001</v>
      </c>
      <c r="S61" s="63">
        <v>222.1</v>
      </c>
      <c r="T61" s="63">
        <v>98.5</v>
      </c>
      <c r="U61" s="63">
        <v>9.14</v>
      </c>
      <c r="V61" s="63">
        <v>-173.9</v>
      </c>
      <c r="W61" s="63">
        <v>12</v>
      </c>
      <c r="X61" s="63">
        <v>0</v>
      </c>
      <c r="Y61" s="63">
        <v>31.838999999999999</v>
      </c>
      <c r="Z61" s="63">
        <v>70.2</v>
      </c>
      <c r="AA61" s="63">
        <v>0</v>
      </c>
      <c r="AB61" s="137">
        <v>45867.598437499997</v>
      </c>
      <c r="AC61" s="63" t="s">
        <v>1712</v>
      </c>
      <c r="AD61" s="118" t="str">
        <f t="shared" si="4"/>
        <v>6</v>
      </c>
      <c r="AE61" s="119" t="s">
        <v>718</v>
      </c>
    </row>
    <row r="62" spans="1:31" x14ac:dyDescent="0.25">
      <c r="A62" s="197">
        <v>0.38885416666666667</v>
      </c>
      <c r="B62" s="198">
        <v>45867</v>
      </c>
      <c r="C62" s="63">
        <v>250729</v>
      </c>
      <c r="D62" s="63">
        <v>0</v>
      </c>
      <c r="E62" s="63">
        <v>744.3</v>
      </c>
      <c r="F62" s="63">
        <v>382.1</v>
      </c>
      <c r="G62" s="63">
        <v>346.7</v>
      </c>
      <c r="H62" s="63">
        <v>225</v>
      </c>
      <c r="I62" s="63">
        <v>0.16</v>
      </c>
      <c r="J62" s="63">
        <v>342.8</v>
      </c>
      <c r="K62" s="63">
        <v>0.24099999999999999</v>
      </c>
      <c r="L62" s="63">
        <v>0.23400000000000001</v>
      </c>
      <c r="M62" s="63">
        <v>0.34100000000000003</v>
      </c>
      <c r="N62" s="63">
        <v>198.1</v>
      </c>
      <c r="O62" s="63">
        <v>14.87</v>
      </c>
      <c r="P62" s="63">
        <v>201.6</v>
      </c>
      <c r="Q62" s="63">
        <v>40.687800000000003</v>
      </c>
      <c r="R62" s="63">
        <v>-85.896519999999995</v>
      </c>
      <c r="S62" s="63">
        <v>220.6</v>
      </c>
      <c r="T62" s="63">
        <v>222.6</v>
      </c>
      <c r="U62" s="63">
        <v>8.77</v>
      </c>
      <c r="V62" s="63">
        <v>-149.9</v>
      </c>
      <c r="W62" s="63">
        <v>12</v>
      </c>
      <c r="X62" s="63">
        <v>0</v>
      </c>
      <c r="Y62" s="63">
        <v>30.338000000000001</v>
      </c>
      <c r="Z62" s="63">
        <v>26.58</v>
      </c>
      <c r="AA62" s="63">
        <v>0</v>
      </c>
      <c r="AB62" s="137">
        <v>45867.388854166667</v>
      </c>
      <c r="AC62" s="63" t="s">
        <v>1724</v>
      </c>
      <c r="AD62" s="118" t="str">
        <f t="shared" si="4"/>
        <v>7</v>
      </c>
      <c r="AE62" s="119" t="s">
        <v>719</v>
      </c>
    </row>
    <row r="63" spans="1:31" x14ac:dyDescent="0.25">
      <c r="A63" s="197">
        <v>0.40739583333333335</v>
      </c>
      <c r="B63" s="198">
        <v>45867</v>
      </c>
      <c r="C63" s="63">
        <v>250729</v>
      </c>
      <c r="D63" s="63">
        <v>0</v>
      </c>
      <c r="E63" s="63">
        <v>744.1</v>
      </c>
      <c r="F63" s="63">
        <v>380.5</v>
      </c>
      <c r="G63" s="63">
        <v>345.4</v>
      </c>
      <c r="H63" s="63">
        <v>225</v>
      </c>
      <c r="I63" s="63">
        <v>0.16</v>
      </c>
      <c r="J63" s="63">
        <v>341.5</v>
      </c>
      <c r="K63" s="63">
        <v>0.316</v>
      </c>
      <c r="L63" s="63">
        <v>0.32600000000000001</v>
      </c>
      <c r="M63" s="63">
        <v>0.44700000000000001</v>
      </c>
      <c r="N63" s="63">
        <v>174.3</v>
      </c>
      <c r="O63" s="63">
        <v>13.1</v>
      </c>
      <c r="P63" s="63">
        <v>177.4</v>
      </c>
      <c r="Q63" s="63">
        <v>40.69173</v>
      </c>
      <c r="R63" s="63">
        <v>-85.908259999999999</v>
      </c>
      <c r="S63" s="63">
        <v>229.4</v>
      </c>
      <c r="T63" s="63">
        <v>162.1</v>
      </c>
      <c r="U63" s="63">
        <v>8.7799999999999994</v>
      </c>
      <c r="V63" s="63">
        <v>-150.69999999999999</v>
      </c>
      <c r="W63" s="63">
        <v>12</v>
      </c>
      <c r="X63" s="63">
        <v>0</v>
      </c>
      <c r="Y63" s="63">
        <v>30.317</v>
      </c>
      <c r="Z63" s="63">
        <v>18.95</v>
      </c>
      <c r="AA63" s="63">
        <v>0</v>
      </c>
      <c r="AB63" s="137">
        <v>45867.407395833332</v>
      </c>
      <c r="AC63" s="63" t="s">
        <v>1722</v>
      </c>
      <c r="AD63" s="118" t="str">
        <f t="shared" si="4"/>
        <v>8</v>
      </c>
      <c r="AE63" s="119" t="s">
        <v>720</v>
      </c>
    </row>
    <row r="64" spans="1:31" x14ac:dyDescent="0.25">
      <c r="A64" s="197">
        <v>0.43927083333333333</v>
      </c>
      <c r="B64" s="198">
        <v>45867</v>
      </c>
      <c r="C64" s="63">
        <v>250729</v>
      </c>
      <c r="D64" s="63">
        <v>0</v>
      </c>
      <c r="E64" s="63">
        <v>743.2</v>
      </c>
      <c r="F64" s="63">
        <v>372.2</v>
      </c>
      <c r="G64" s="63">
        <v>336.1</v>
      </c>
      <c r="H64" s="63">
        <v>218</v>
      </c>
      <c r="I64" s="63">
        <v>0.16</v>
      </c>
      <c r="J64" s="63">
        <v>332.1</v>
      </c>
      <c r="K64" s="63">
        <v>0.20699999999999999</v>
      </c>
      <c r="L64" s="63">
        <v>0.192</v>
      </c>
      <c r="M64" s="63">
        <v>0.29299999999999998</v>
      </c>
      <c r="N64" s="63">
        <v>169.9</v>
      </c>
      <c r="O64" s="63">
        <v>12.69</v>
      </c>
      <c r="P64" s="63">
        <v>172.9</v>
      </c>
      <c r="Q64" s="63">
        <v>40.704459999999997</v>
      </c>
      <c r="R64" s="63">
        <v>-85.930430000000001</v>
      </c>
      <c r="S64" s="63">
        <v>220.6</v>
      </c>
      <c r="T64" s="63">
        <v>134.19999999999999</v>
      </c>
      <c r="U64" s="63">
        <v>8.8800000000000008</v>
      </c>
      <c r="V64" s="63">
        <v>-156.80000000000001</v>
      </c>
      <c r="W64" s="63">
        <v>11.9</v>
      </c>
      <c r="X64" s="63">
        <v>0</v>
      </c>
      <c r="Y64" s="63">
        <v>30.617999999999999</v>
      </c>
      <c r="Z64" s="63">
        <v>15.56</v>
      </c>
      <c r="AA64" s="63">
        <v>0</v>
      </c>
      <c r="AB64" s="137">
        <v>45867.439270833333</v>
      </c>
      <c r="AC64" s="63" t="s">
        <v>1718</v>
      </c>
      <c r="AD64" s="118" t="str">
        <f t="shared" si="4"/>
        <v>9</v>
      </c>
      <c r="AE64" s="119" t="s">
        <v>721</v>
      </c>
    </row>
    <row r="65" spans="1:31" x14ac:dyDescent="0.25">
      <c r="A65" s="197">
        <v>0.42021990740740739</v>
      </c>
      <c r="B65" s="198">
        <v>45867</v>
      </c>
      <c r="C65" s="63">
        <v>250729</v>
      </c>
      <c r="D65" s="63">
        <v>0</v>
      </c>
      <c r="E65" s="63">
        <v>743.8</v>
      </c>
      <c r="F65" s="63">
        <v>380.4</v>
      </c>
      <c r="G65" s="63">
        <v>346.1</v>
      </c>
      <c r="H65" s="63">
        <v>225</v>
      </c>
      <c r="I65" s="63">
        <v>0.16</v>
      </c>
      <c r="J65" s="63">
        <v>342.3</v>
      </c>
      <c r="K65" s="63">
        <v>0.14299999999999999</v>
      </c>
      <c r="L65" s="63">
        <v>0.13800000000000001</v>
      </c>
      <c r="M65" s="63">
        <v>0.20300000000000001</v>
      </c>
      <c r="N65" s="63">
        <v>167.6</v>
      </c>
      <c r="O65" s="63">
        <v>12.62</v>
      </c>
      <c r="P65" s="63">
        <v>170.6</v>
      </c>
      <c r="Q65" s="63">
        <v>40.693289999999998</v>
      </c>
      <c r="R65" s="63">
        <v>-85.920230000000004</v>
      </c>
      <c r="S65" s="63">
        <v>220.9</v>
      </c>
      <c r="T65" s="63">
        <v>153.19999999999999</v>
      </c>
      <c r="U65" s="63">
        <v>8.77</v>
      </c>
      <c r="V65" s="63">
        <v>-149.80000000000001</v>
      </c>
      <c r="W65" s="63">
        <v>12</v>
      </c>
      <c r="X65" s="63">
        <v>0</v>
      </c>
      <c r="Y65" s="63">
        <v>30.183</v>
      </c>
      <c r="Z65" s="63">
        <v>18.72</v>
      </c>
      <c r="AA65" s="63">
        <v>0</v>
      </c>
      <c r="AB65" s="137">
        <v>45867.420219907406</v>
      </c>
      <c r="AC65" s="63" t="s">
        <v>1725</v>
      </c>
      <c r="AD65" s="118">
        <v>10</v>
      </c>
      <c r="AE65" s="119" t="s">
        <v>722</v>
      </c>
    </row>
    <row r="66" spans="1:31" x14ac:dyDescent="0.25">
      <c r="A66" s="197">
        <v>0.44982638888888887</v>
      </c>
      <c r="B66" s="198">
        <v>45867</v>
      </c>
      <c r="C66" s="63">
        <v>250729</v>
      </c>
      <c r="D66" s="63">
        <v>0</v>
      </c>
      <c r="E66" s="63">
        <v>743.5</v>
      </c>
      <c r="F66" s="63">
        <v>374.7</v>
      </c>
      <c r="G66" s="63">
        <v>339.7</v>
      </c>
      <c r="H66" s="63">
        <v>221</v>
      </c>
      <c r="I66" s="63">
        <v>0.16</v>
      </c>
      <c r="J66" s="63">
        <v>335.8</v>
      </c>
      <c r="K66" s="63">
        <v>0.17499999999999999</v>
      </c>
      <c r="L66" s="63">
        <v>0.158</v>
      </c>
      <c r="M66" s="63">
        <v>0.247</v>
      </c>
      <c r="N66" s="63">
        <v>165.6</v>
      </c>
      <c r="O66" s="63">
        <v>12.42</v>
      </c>
      <c r="P66" s="63">
        <v>168.5</v>
      </c>
      <c r="Q66" s="63">
        <v>40.710889999999999</v>
      </c>
      <c r="R66" s="63">
        <v>-85.938289999999995</v>
      </c>
      <c r="S66" s="63">
        <v>224.3</v>
      </c>
      <c r="T66" s="63">
        <v>136</v>
      </c>
      <c r="U66" s="63">
        <v>8.84</v>
      </c>
      <c r="V66" s="63">
        <v>-154</v>
      </c>
      <c r="W66" s="63">
        <v>12</v>
      </c>
      <c r="X66" s="63">
        <v>0</v>
      </c>
      <c r="Y66" s="63">
        <v>30.39</v>
      </c>
      <c r="Z66" s="63">
        <v>17.260000000000002</v>
      </c>
      <c r="AA66" s="63">
        <v>0</v>
      </c>
      <c r="AB66" s="137">
        <v>45867.449826388889</v>
      </c>
      <c r="AC66" s="63" t="s">
        <v>1719</v>
      </c>
      <c r="AD66" s="118">
        <v>11</v>
      </c>
      <c r="AE66" s="119" t="s">
        <v>723</v>
      </c>
    </row>
    <row r="67" spans="1:31" x14ac:dyDescent="0.25">
      <c r="A67" s="197">
        <v>0.46393518518518517</v>
      </c>
      <c r="B67" s="198">
        <v>45867</v>
      </c>
      <c r="C67" s="63">
        <v>250729</v>
      </c>
      <c r="D67" s="63">
        <v>0</v>
      </c>
      <c r="E67" s="63">
        <v>743.5</v>
      </c>
      <c r="F67" s="63">
        <v>0</v>
      </c>
      <c r="G67" s="63">
        <v>0</v>
      </c>
      <c r="H67" s="63">
        <v>0</v>
      </c>
      <c r="I67" s="63">
        <v>0</v>
      </c>
      <c r="J67" s="63">
        <v>0</v>
      </c>
      <c r="K67" s="63">
        <v>0</v>
      </c>
      <c r="L67" s="63">
        <v>0</v>
      </c>
      <c r="M67" s="63">
        <v>0</v>
      </c>
      <c r="N67" s="63">
        <v>0</v>
      </c>
      <c r="O67" s="63">
        <v>0</v>
      </c>
      <c r="P67" s="63">
        <v>0</v>
      </c>
      <c r="Q67" s="63">
        <v>40.7117</v>
      </c>
      <c r="R67" s="63">
        <v>-85.951210000000003</v>
      </c>
      <c r="S67" s="63">
        <v>223.2</v>
      </c>
      <c r="T67" s="63">
        <v>0</v>
      </c>
      <c r="U67" s="63">
        <v>0</v>
      </c>
      <c r="V67" s="63">
        <v>0</v>
      </c>
      <c r="W67" s="63">
        <v>0</v>
      </c>
      <c r="X67" s="63">
        <v>0</v>
      </c>
      <c r="Y67" s="63">
        <v>0</v>
      </c>
      <c r="Z67" s="63">
        <v>0</v>
      </c>
      <c r="AA67" s="63">
        <v>0</v>
      </c>
      <c r="AB67" s="137">
        <v>45867.463935185187</v>
      </c>
      <c r="AC67" s="63" t="s">
        <v>1720</v>
      </c>
      <c r="AD67" s="118">
        <v>12</v>
      </c>
      <c r="AE67" s="119" t="s">
        <v>724</v>
      </c>
    </row>
    <row r="68" spans="1:31" x14ac:dyDescent="0.25">
      <c r="A68" s="197">
        <v>0.58478009259259256</v>
      </c>
      <c r="B68" s="198">
        <v>45867</v>
      </c>
      <c r="C68" s="63">
        <v>250729</v>
      </c>
      <c r="D68" s="63">
        <v>0</v>
      </c>
      <c r="E68" s="63">
        <v>743.8</v>
      </c>
      <c r="F68" s="63">
        <v>452.2</v>
      </c>
      <c r="G68" s="63">
        <v>403.5</v>
      </c>
      <c r="H68" s="63">
        <v>262</v>
      </c>
      <c r="I68" s="63">
        <v>0.19</v>
      </c>
      <c r="J68" s="63">
        <v>398</v>
      </c>
      <c r="K68" s="63">
        <v>0.26700000000000002</v>
      </c>
      <c r="L68" s="63">
        <v>0.26300000000000001</v>
      </c>
      <c r="M68" s="63">
        <v>0.378</v>
      </c>
      <c r="N68" s="63">
        <v>302.60000000000002</v>
      </c>
      <c r="O68" s="63">
        <v>22.35</v>
      </c>
      <c r="P68" s="63">
        <v>308</v>
      </c>
      <c r="Q68" s="63">
        <v>40.672339999999998</v>
      </c>
      <c r="R68" s="63">
        <v>-85.8416</v>
      </c>
      <c r="S68" s="63">
        <v>228.2</v>
      </c>
      <c r="T68" s="63">
        <v>96</v>
      </c>
      <c r="U68" s="63">
        <v>8.98</v>
      </c>
      <c r="V68" s="63">
        <v>-163.4</v>
      </c>
      <c r="W68" s="63">
        <v>11.9</v>
      </c>
      <c r="X68" s="63">
        <v>0</v>
      </c>
      <c r="Y68" s="63">
        <v>31.33</v>
      </c>
      <c r="Z68" s="63">
        <v>52.23</v>
      </c>
      <c r="AA68" s="63">
        <v>0</v>
      </c>
      <c r="AB68" s="137">
        <v>45867.584780092591</v>
      </c>
      <c r="AC68" s="63" t="s">
        <v>1721</v>
      </c>
      <c r="AD68" s="118">
        <v>13</v>
      </c>
      <c r="AE68" s="119" t="s">
        <v>725</v>
      </c>
    </row>
    <row r="69" spans="1:31" x14ac:dyDescent="0.25">
      <c r="A69" s="220">
        <v>0.52818287037037037</v>
      </c>
      <c r="B69" s="221">
        <v>45874</v>
      </c>
      <c r="C69" s="219">
        <v>250805</v>
      </c>
      <c r="D69" s="219">
        <v>0</v>
      </c>
      <c r="E69" s="219">
        <v>749.2</v>
      </c>
      <c r="F69" s="219">
        <v>541.5</v>
      </c>
      <c r="G69" s="219">
        <v>526.29999999999995</v>
      </c>
      <c r="H69" s="219">
        <v>342</v>
      </c>
      <c r="I69" s="219">
        <v>0.25</v>
      </c>
      <c r="J69" s="219">
        <v>524.70000000000005</v>
      </c>
      <c r="K69" s="219">
        <v>0.33300000000000002</v>
      </c>
      <c r="L69" s="219">
        <v>0.32600000000000001</v>
      </c>
      <c r="M69" s="219">
        <v>0.47299999999999998</v>
      </c>
      <c r="N69" s="219">
        <v>191.5</v>
      </c>
      <c r="O69" s="219">
        <v>15.37</v>
      </c>
      <c r="P69" s="219">
        <v>194.4</v>
      </c>
      <c r="Q69" s="219">
        <v>40.824129999999997</v>
      </c>
      <c r="R69" s="219">
        <v>-86.796130000000005</v>
      </c>
      <c r="S69" s="219">
        <v>195.9</v>
      </c>
      <c r="T69" s="219">
        <v>134.80000000000001</v>
      </c>
      <c r="U69" s="219">
        <v>8.5500000000000007</v>
      </c>
      <c r="V69" s="219">
        <v>-126.9</v>
      </c>
      <c r="W69" s="219">
        <v>11.9</v>
      </c>
      <c r="X69" s="219">
        <v>0</v>
      </c>
      <c r="Y69" s="219">
        <v>26.513000000000002</v>
      </c>
      <c r="Z69" s="219">
        <v>8.2899999999999991</v>
      </c>
      <c r="AA69" s="219">
        <v>0</v>
      </c>
      <c r="AB69" s="222">
        <v>45874.528182870374</v>
      </c>
      <c r="AC69" s="219" t="s">
        <v>1735</v>
      </c>
      <c r="AD69" s="118" t="str">
        <f>RIGHT(AC69,1)</f>
        <v>5</v>
      </c>
      <c r="AE69" s="122" t="s">
        <v>726</v>
      </c>
    </row>
    <row r="70" spans="1:31" x14ac:dyDescent="0.25">
      <c r="A70" s="220">
        <v>0.51245370370370369</v>
      </c>
      <c r="B70" s="221">
        <v>45874</v>
      </c>
      <c r="C70" s="219">
        <v>250805</v>
      </c>
      <c r="D70" s="219">
        <v>0</v>
      </c>
      <c r="E70" s="219">
        <v>749</v>
      </c>
      <c r="F70" s="219">
        <v>634.20000000000005</v>
      </c>
      <c r="G70" s="219">
        <v>631.20000000000005</v>
      </c>
      <c r="H70" s="219">
        <v>410</v>
      </c>
      <c r="I70" s="219">
        <v>0.31</v>
      </c>
      <c r="J70" s="219">
        <v>630.9</v>
      </c>
      <c r="K70" s="219">
        <v>0.46800000000000003</v>
      </c>
      <c r="L70" s="219">
        <v>0.47599999999999998</v>
      </c>
      <c r="M70" s="219">
        <v>0.66400000000000003</v>
      </c>
      <c r="N70" s="219">
        <v>100.1</v>
      </c>
      <c r="O70" s="219">
        <v>8.2200000000000006</v>
      </c>
      <c r="P70" s="219">
        <v>101.7</v>
      </c>
      <c r="Q70" s="219">
        <v>40.835070000000002</v>
      </c>
      <c r="R70" s="219">
        <v>-86.781970000000001</v>
      </c>
      <c r="S70" s="219">
        <v>193.8</v>
      </c>
      <c r="T70" s="219">
        <v>167.9</v>
      </c>
      <c r="U70" s="219">
        <v>8.06</v>
      </c>
      <c r="V70" s="219">
        <v>-97.1</v>
      </c>
      <c r="W70" s="219">
        <v>11.9</v>
      </c>
      <c r="X70" s="219">
        <v>0</v>
      </c>
      <c r="Y70" s="219">
        <v>25.248000000000001</v>
      </c>
      <c r="Z70" s="219">
        <v>2.8</v>
      </c>
      <c r="AA70" s="219">
        <v>0</v>
      </c>
      <c r="AB70" s="222">
        <v>45874.512453703705</v>
      </c>
      <c r="AC70" s="219" t="s">
        <v>1736</v>
      </c>
      <c r="AD70" s="118" t="str">
        <f>RIGHT(AC70,1)</f>
        <v>6</v>
      </c>
      <c r="AE70" s="122" t="s">
        <v>727</v>
      </c>
    </row>
    <row r="71" spans="1:31" x14ac:dyDescent="0.25">
      <c r="A71" s="220">
        <v>0.49406250000000002</v>
      </c>
      <c r="B71" s="221">
        <v>45874</v>
      </c>
      <c r="C71" s="219">
        <v>250805</v>
      </c>
      <c r="D71" s="219">
        <v>0</v>
      </c>
      <c r="E71" s="219">
        <v>749.2</v>
      </c>
      <c r="F71" s="219">
        <v>611.9</v>
      </c>
      <c r="G71" s="219">
        <v>599.9</v>
      </c>
      <c r="H71" s="219">
        <v>390</v>
      </c>
      <c r="I71" s="219">
        <v>0.28999999999999998</v>
      </c>
      <c r="J71" s="219">
        <v>598.70000000000005</v>
      </c>
      <c r="K71" s="219">
        <v>0.29399999999999998</v>
      </c>
      <c r="L71" s="219">
        <v>0.31</v>
      </c>
      <c r="M71" s="219">
        <v>0.41699999999999998</v>
      </c>
      <c r="N71" s="219">
        <v>116.9</v>
      </c>
      <c r="O71" s="219">
        <v>9.4600000000000009</v>
      </c>
      <c r="P71" s="219">
        <v>118.7</v>
      </c>
      <c r="Q71" s="219">
        <v>40.811199999999999</v>
      </c>
      <c r="R71" s="219">
        <v>-86.794460000000001</v>
      </c>
      <c r="S71" s="219">
        <v>199.3</v>
      </c>
      <c r="T71" s="219">
        <v>160.1</v>
      </c>
      <c r="U71" s="219">
        <v>8.07</v>
      </c>
      <c r="V71" s="219">
        <v>-97.8</v>
      </c>
      <c r="W71" s="219">
        <v>11.9</v>
      </c>
      <c r="X71" s="219">
        <v>0</v>
      </c>
      <c r="Y71" s="219">
        <v>26.044</v>
      </c>
      <c r="Z71" s="219">
        <v>5.68</v>
      </c>
      <c r="AA71" s="219">
        <v>0</v>
      </c>
      <c r="AB71" s="222">
        <v>45874.494062500002</v>
      </c>
      <c r="AC71" s="219" t="s">
        <v>1737</v>
      </c>
      <c r="AD71" s="118" t="str">
        <f>RIGHT(AC71,1)</f>
        <v>8</v>
      </c>
      <c r="AE71" s="122" t="s">
        <v>728</v>
      </c>
    </row>
    <row r="72" spans="1:31" x14ac:dyDescent="0.25">
      <c r="A72" s="220">
        <v>0.43707175925925928</v>
      </c>
      <c r="B72" s="221">
        <v>45874</v>
      </c>
      <c r="C72" s="219">
        <v>250805</v>
      </c>
      <c r="D72" s="219">
        <v>0</v>
      </c>
      <c r="E72" s="219">
        <v>749.5</v>
      </c>
      <c r="F72" s="219">
        <v>594.4</v>
      </c>
      <c r="G72" s="219">
        <v>585</v>
      </c>
      <c r="H72" s="219">
        <v>380</v>
      </c>
      <c r="I72" s="219">
        <v>0.28000000000000003</v>
      </c>
      <c r="J72" s="219">
        <v>584.1</v>
      </c>
      <c r="K72" s="219">
        <v>0.39300000000000002</v>
      </c>
      <c r="L72" s="219">
        <v>0.39900000000000002</v>
      </c>
      <c r="M72" s="219">
        <v>0.55800000000000005</v>
      </c>
      <c r="N72" s="219">
        <v>155.30000000000001</v>
      </c>
      <c r="O72" s="219">
        <v>12.62</v>
      </c>
      <c r="P72" s="219">
        <v>157.69999999999999</v>
      </c>
      <c r="Q72" s="219">
        <v>40.804259999999999</v>
      </c>
      <c r="R72" s="219">
        <v>-86.774799999999999</v>
      </c>
      <c r="S72" s="219">
        <v>197</v>
      </c>
      <c r="T72" s="219">
        <v>152.80000000000001</v>
      </c>
      <c r="U72" s="219">
        <v>8.4</v>
      </c>
      <c r="V72" s="219">
        <v>-117.6</v>
      </c>
      <c r="W72" s="219">
        <v>11.9</v>
      </c>
      <c r="X72" s="219">
        <v>0</v>
      </c>
      <c r="Y72" s="219">
        <v>25.837</v>
      </c>
      <c r="Z72" s="219">
        <v>4.99</v>
      </c>
      <c r="AA72" s="219">
        <v>0</v>
      </c>
      <c r="AB72" s="222">
        <v>45874.437071759261</v>
      </c>
      <c r="AC72" s="219" t="s">
        <v>1739</v>
      </c>
      <c r="AD72" s="118" t="str">
        <f>RIGHT(AC72,1)</f>
        <v>9</v>
      </c>
      <c r="AE72" s="122" t="s">
        <v>729</v>
      </c>
    </row>
    <row r="73" spans="1:31" x14ac:dyDescent="0.25">
      <c r="A73" s="220">
        <v>0.40949074074074077</v>
      </c>
      <c r="B73" s="221">
        <v>45874</v>
      </c>
      <c r="C73" s="219">
        <v>250805</v>
      </c>
      <c r="D73" s="219">
        <v>0</v>
      </c>
      <c r="E73" s="219">
        <v>749.4</v>
      </c>
      <c r="F73" s="219">
        <v>601.5</v>
      </c>
      <c r="G73" s="219">
        <v>590.29999999999995</v>
      </c>
      <c r="H73" s="219">
        <v>384</v>
      </c>
      <c r="I73" s="219">
        <v>0.28000000000000003</v>
      </c>
      <c r="J73" s="219">
        <v>589.1</v>
      </c>
      <c r="K73" s="219">
        <v>0.40400000000000003</v>
      </c>
      <c r="L73" s="219">
        <v>0.41799999999999998</v>
      </c>
      <c r="M73" s="219">
        <v>0.57199999999999995</v>
      </c>
      <c r="N73" s="219">
        <v>157.80000000000001</v>
      </c>
      <c r="O73" s="219">
        <v>12.78</v>
      </c>
      <c r="P73" s="219">
        <v>160.19999999999999</v>
      </c>
      <c r="Q73" s="219">
        <v>40.79477</v>
      </c>
      <c r="R73" s="219">
        <v>-86.774969999999996</v>
      </c>
      <c r="S73" s="219">
        <v>198.5</v>
      </c>
      <c r="T73" s="219">
        <v>159.69999999999999</v>
      </c>
      <c r="U73" s="219">
        <v>8.39</v>
      </c>
      <c r="V73" s="219">
        <v>-117.1</v>
      </c>
      <c r="W73" s="219">
        <v>12</v>
      </c>
      <c r="X73" s="219">
        <v>0</v>
      </c>
      <c r="Y73" s="219">
        <v>25.994</v>
      </c>
      <c r="Z73" s="219">
        <v>5.16</v>
      </c>
      <c r="AA73" s="219">
        <v>0</v>
      </c>
      <c r="AB73" s="222">
        <v>45874.409490740742</v>
      </c>
      <c r="AC73" s="219" t="s">
        <v>1741</v>
      </c>
      <c r="AD73" s="118">
        <v>10</v>
      </c>
      <c r="AE73" s="122" t="s">
        <v>730</v>
      </c>
    </row>
    <row r="74" spans="1:31" x14ac:dyDescent="0.25">
      <c r="A74" s="220">
        <v>0.37253472222222223</v>
      </c>
      <c r="B74" s="221">
        <v>45874</v>
      </c>
      <c r="C74" s="219">
        <v>250805</v>
      </c>
      <c r="D74" s="219">
        <v>0</v>
      </c>
      <c r="E74" s="219">
        <v>749.1</v>
      </c>
      <c r="F74" s="219">
        <v>609.6</v>
      </c>
      <c r="G74" s="219">
        <v>599.1</v>
      </c>
      <c r="H74" s="219">
        <v>389</v>
      </c>
      <c r="I74" s="219">
        <v>0.28999999999999998</v>
      </c>
      <c r="J74" s="219">
        <v>598</v>
      </c>
      <c r="K74" s="219">
        <v>0.40400000000000003</v>
      </c>
      <c r="L74" s="219">
        <v>0.4</v>
      </c>
      <c r="M74" s="219">
        <v>0.57299999999999995</v>
      </c>
      <c r="N74" s="219">
        <v>118.2</v>
      </c>
      <c r="O74" s="219">
        <v>9.59</v>
      </c>
      <c r="P74" s="219">
        <v>120</v>
      </c>
      <c r="Q74" s="219">
        <v>40.788620000000002</v>
      </c>
      <c r="R74" s="219">
        <v>-86.772189999999995</v>
      </c>
      <c r="S74" s="219">
        <v>197.1</v>
      </c>
      <c r="T74" s="219">
        <v>222.9</v>
      </c>
      <c r="U74" s="219">
        <v>8.0299999999999994</v>
      </c>
      <c r="V74" s="219">
        <v>-95.2</v>
      </c>
      <c r="W74" s="219">
        <v>11.9</v>
      </c>
      <c r="X74" s="219">
        <v>0</v>
      </c>
      <c r="Y74" s="219">
        <v>25.922000000000001</v>
      </c>
      <c r="Z74" s="219">
        <v>5.44</v>
      </c>
      <c r="AA74" s="219">
        <v>0</v>
      </c>
      <c r="AB74" s="222">
        <v>45874.372534722221</v>
      </c>
      <c r="AC74" s="219" t="s">
        <v>1742</v>
      </c>
      <c r="AD74" s="118">
        <v>11</v>
      </c>
      <c r="AE74" s="122" t="s">
        <v>731</v>
      </c>
    </row>
    <row r="75" spans="1:31" x14ac:dyDescent="0.25">
      <c r="A75" s="220">
        <v>0.39146990740740739</v>
      </c>
      <c r="B75" s="221">
        <v>45874</v>
      </c>
      <c r="C75" s="219">
        <v>250805</v>
      </c>
      <c r="D75" s="219">
        <v>0</v>
      </c>
      <c r="E75" s="219">
        <v>749.2</v>
      </c>
      <c r="F75" s="219">
        <v>610.1</v>
      </c>
      <c r="G75" s="219">
        <v>600.79999999999995</v>
      </c>
      <c r="H75" s="219">
        <v>391</v>
      </c>
      <c r="I75" s="219">
        <v>0.28999999999999998</v>
      </c>
      <c r="J75" s="219">
        <v>599.9</v>
      </c>
      <c r="K75" s="219">
        <v>0.43</v>
      </c>
      <c r="L75" s="219">
        <v>0.41799999999999998</v>
      </c>
      <c r="M75" s="219">
        <v>0.61</v>
      </c>
      <c r="N75" s="219">
        <v>112.2</v>
      </c>
      <c r="O75" s="219">
        <v>9.1199999999999992</v>
      </c>
      <c r="P75" s="219">
        <v>113.9</v>
      </c>
      <c r="Q75" s="219">
        <v>40.782400000000003</v>
      </c>
      <c r="R75" s="219">
        <v>-86.762469999999993</v>
      </c>
      <c r="S75" s="219">
        <v>197</v>
      </c>
      <c r="T75" s="219">
        <v>193.6</v>
      </c>
      <c r="U75" s="219">
        <v>7.96</v>
      </c>
      <c r="V75" s="219">
        <v>-91.3</v>
      </c>
      <c r="W75" s="219">
        <v>11.9</v>
      </c>
      <c r="X75" s="219">
        <v>0</v>
      </c>
      <c r="Y75" s="219">
        <v>25.81</v>
      </c>
      <c r="Z75" s="219">
        <v>4.04</v>
      </c>
      <c r="AA75" s="219">
        <v>0</v>
      </c>
      <c r="AB75" s="222">
        <v>45874.391469907408</v>
      </c>
      <c r="AC75" s="219" t="s">
        <v>1743</v>
      </c>
      <c r="AD75" s="118">
        <v>12</v>
      </c>
      <c r="AE75" s="122" t="s">
        <v>732</v>
      </c>
    </row>
    <row r="76" spans="1:31" x14ac:dyDescent="0.25">
      <c r="A76" s="220">
        <v>0.45210648148148147</v>
      </c>
      <c r="B76" s="221">
        <v>45874</v>
      </c>
      <c r="C76" s="219">
        <v>250805</v>
      </c>
      <c r="D76" s="219">
        <v>0</v>
      </c>
      <c r="E76" s="219">
        <v>749.4</v>
      </c>
      <c r="F76" s="219">
        <v>598.9</v>
      </c>
      <c r="G76" s="219">
        <v>590.70000000000005</v>
      </c>
      <c r="H76" s="219">
        <v>384</v>
      </c>
      <c r="I76" s="219">
        <v>0.28000000000000003</v>
      </c>
      <c r="J76" s="219">
        <v>589.9</v>
      </c>
      <c r="K76" s="219">
        <v>0.33500000000000002</v>
      </c>
      <c r="L76" s="219">
        <v>0.34399999999999997</v>
      </c>
      <c r="M76" s="219">
        <v>0.47399999999999998</v>
      </c>
      <c r="N76" s="219">
        <v>130.5</v>
      </c>
      <c r="O76" s="219">
        <v>10.62</v>
      </c>
      <c r="P76" s="219">
        <v>132.4</v>
      </c>
      <c r="Q76" s="219">
        <v>40.80742</v>
      </c>
      <c r="R76" s="219">
        <v>-86.785690000000002</v>
      </c>
      <c r="S76" s="219">
        <v>196.9</v>
      </c>
      <c r="T76" s="219">
        <v>143.80000000000001</v>
      </c>
      <c r="U76" s="219">
        <v>8.19</v>
      </c>
      <c r="V76" s="219">
        <v>-104.7</v>
      </c>
      <c r="W76" s="219">
        <v>11.9</v>
      </c>
      <c r="X76" s="219">
        <v>0</v>
      </c>
      <c r="Y76" s="219">
        <v>25.725000000000001</v>
      </c>
      <c r="Z76" s="219">
        <v>5.62</v>
      </c>
      <c r="AA76" s="219">
        <v>0</v>
      </c>
      <c r="AB76" s="222">
        <v>45874.452106481483</v>
      </c>
      <c r="AC76" s="219" t="s">
        <v>1738</v>
      </c>
      <c r="AD76" s="118">
        <v>14</v>
      </c>
      <c r="AE76" s="122" t="s">
        <v>733</v>
      </c>
    </row>
    <row r="77" spans="1:31" x14ac:dyDescent="0.25">
      <c r="A77" s="220">
        <v>0.42295138888888889</v>
      </c>
      <c r="B77" s="221">
        <v>45874</v>
      </c>
      <c r="C77" s="219">
        <v>250805</v>
      </c>
      <c r="D77" s="219">
        <v>0</v>
      </c>
      <c r="E77" s="219">
        <v>749.4</v>
      </c>
      <c r="F77" s="219">
        <v>600.70000000000005</v>
      </c>
      <c r="G77" s="219">
        <v>591.70000000000005</v>
      </c>
      <c r="H77" s="219">
        <v>385</v>
      </c>
      <c r="I77" s="219">
        <v>0.28999999999999998</v>
      </c>
      <c r="J77" s="219">
        <v>590.79999999999995</v>
      </c>
      <c r="K77" s="219">
        <v>0.42499999999999999</v>
      </c>
      <c r="L77" s="219">
        <v>0.434</v>
      </c>
      <c r="M77" s="219">
        <v>0.60299999999999998</v>
      </c>
      <c r="N77" s="219">
        <v>138.5</v>
      </c>
      <c r="O77" s="219">
        <v>11.26</v>
      </c>
      <c r="P77" s="219">
        <v>140.6</v>
      </c>
      <c r="Q77" s="219">
        <v>40.799349999999997</v>
      </c>
      <c r="R77" s="219">
        <v>-86.777889999999999</v>
      </c>
      <c r="S77" s="219">
        <v>200.8</v>
      </c>
      <c r="T77" s="219">
        <v>120.5</v>
      </c>
      <c r="U77" s="219">
        <v>8.24</v>
      </c>
      <c r="V77" s="219">
        <v>-108.1</v>
      </c>
      <c r="W77" s="219">
        <v>12</v>
      </c>
      <c r="X77" s="219">
        <v>0</v>
      </c>
      <c r="Y77" s="219">
        <v>25.79</v>
      </c>
      <c r="Z77" s="219">
        <v>7.52</v>
      </c>
      <c r="AA77" s="219">
        <v>0</v>
      </c>
      <c r="AB77" s="222">
        <v>45874.422951388886</v>
      </c>
      <c r="AC77" s="219" t="s">
        <v>1740</v>
      </c>
      <c r="AD77" s="118">
        <v>15</v>
      </c>
      <c r="AE77" s="122" t="s">
        <v>734</v>
      </c>
    </row>
    <row r="78" spans="1:31" x14ac:dyDescent="0.25">
      <c r="A78" s="220">
        <v>0.54710648148148144</v>
      </c>
      <c r="B78" s="221">
        <v>45874</v>
      </c>
      <c r="C78" s="219">
        <v>250805</v>
      </c>
      <c r="D78" s="219">
        <v>0</v>
      </c>
      <c r="E78" s="219">
        <v>749</v>
      </c>
      <c r="F78" s="219">
        <v>616.5</v>
      </c>
      <c r="G78" s="219">
        <v>605.29999999999995</v>
      </c>
      <c r="H78" s="219">
        <v>393</v>
      </c>
      <c r="I78" s="219">
        <v>0.28999999999999998</v>
      </c>
      <c r="J78" s="219">
        <v>604.1</v>
      </c>
      <c r="K78" s="219">
        <v>0.39700000000000002</v>
      </c>
      <c r="L78" s="219">
        <v>0.372</v>
      </c>
      <c r="M78" s="219">
        <v>0.56299999999999994</v>
      </c>
      <c r="N78" s="219">
        <v>114.5</v>
      </c>
      <c r="O78" s="219">
        <v>9.2799999999999994</v>
      </c>
      <c r="P78" s="219">
        <v>116.2</v>
      </c>
      <c r="Q78" s="219">
        <v>40.81841</v>
      </c>
      <c r="R78" s="219">
        <v>-86.791179999999997</v>
      </c>
      <c r="S78" s="219">
        <v>197.6</v>
      </c>
      <c r="T78" s="219">
        <v>96.1</v>
      </c>
      <c r="U78" s="219">
        <v>8.1199999999999992</v>
      </c>
      <c r="V78" s="219">
        <v>-101</v>
      </c>
      <c r="W78" s="219">
        <v>11.9</v>
      </c>
      <c r="X78" s="219">
        <v>0</v>
      </c>
      <c r="Y78" s="219">
        <v>25.971</v>
      </c>
      <c r="Z78" s="219">
        <v>4.0999999999999996</v>
      </c>
      <c r="AA78" s="219">
        <v>0</v>
      </c>
      <c r="AB78" s="222">
        <v>45874.547106481485</v>
      </c>
      <c r="AC78" s="219" t="s">
        <v>1756</v>
      </c>
      <c r="AD78" s="118">
        <v>16</v>
      </c>
      <c r="AE78" s="122" t="s">
        <v>735</v>
      </c>
    </row>
    <row r="79" spans="1:31" x14ac:dyDescent="0.25">
      <c r="A79" s="199">
        <v>0.51550925925925928</v>
      </c>
      <c r="B79" s="200">
        <v>45875</v>
      </c>
      <c r="C79" s="109">
        <v>250806</v>
      </c>
      <c r="D79" s="109">
        <v>0</v>
      </c>
      <c r="E79" s="109">
        <v>747.4</v>
      </c>
      <c r="F79" s="109">
        <v>416.6</v>
      </c>
      <c r="G79" s="109">
        <v>397.7</v>
      </c>
      <c r="H79" s="109">
        <v>259</v>
      </c>
      <c r="I79" s="109">
        <v>0.19</v>
      </c>
      <c r="J79" s="109">
        <v>395.7</v>
      </c>
      <c r="K79" s="109">
        <v>0.33</v>
      </c>
      <c r="L79" s="109">
        <v>0.32100000000000001</v>
      </c>
      <c r="M79" s="109">
        <v>0.46700000000000003</v>
      </c>
      <c r="N79" s="109">
        <v>86.5</v>
      </c>
      <c r="O79" s="109">
        <v>6.82</v>
      </c>
      <c r="P79" s="109">
        <v>87.6</v>
      </c>
      <c r="Q79" s="109">
        <v>40.681690000000003</v>
      </c>
      <c r="R79" s="109">
        <v>-85.888819999999996</v>
      </c>
      <c r="S79" s="109">
        <v>228.2</v>
      </c>
      <c r="T79" s="109">
        <v>67.599999999999994</v>
      </c>
      <c r="U79" s="109">
        <v>8.0500000000000007</v>
      </c>
      <c r="V79" s="109">
        <v>-98.4</v>
      </c>
      <c r="W79" s="109">
        <v>11.9</v>
      </c>
      <c r="X79" s="109">
        <v>0</v>
      </c>
      <c r="Y79" s="109">
        <v>27.489000000000001</v>
      </c>
      <c r="Z79" s="109">
        <v>9.5</v>
      </c>
      <c r="AA79" s="109">
        <v>0</v>
      </c>
      <c r="AB79" s="201">
        <v>45875.515509259261</v>
      </c>
      <c r="AC79" s="109" t="s">
        <v>1717</v>
      </c>
      <c r="AD79" s="118" t="str">
        <f t="shared" ref="AD79:AD87" si="5">RIGHT(AC79,1)</f>
        <v>1</v>
      </c>
      <c r="AE79" s="119" t="s">
        <v>736</v>
      </c>
    </row>
    <row r="80" spans="1:31" x14ac:dyDescent="0.25">
      <c r="A80" s="199">
        <v>0.53166666666666662</v>
      </c>
      <c r="B80" s="200">
        <v>45875</v>
      </c>
      <c r="C80" s="109">
        <v>250806</v>
      </c>
      <c r="D80" s="109">
        <v>0</v>
      </c>
      <c r="E80" s="109">
        <v>747.4</v>
      </c>
      <c r="F80" s="109">
        <v>406.1</v>
      </c>
      <c r="G80" s="109">
        <v>394.8</v>
      </c>
      <c r="H80" s="109">
        <v>257</v>
      </c>
      <c r="I80" s="109">
        <v>0.19</v>
      </c>
      <c r="J80" s="109">
        <v>393.6</v>
      </c>
      <c r="K80" s="109">
        <v>0.73599999999999999</v>
      </c>
      <c r="L80" s="109">
        <v>0.74399999999999999</v>
      </c>
      <c r="M80" s="109">
        <v>1.044</v>
      </c>
      <c r="N80" s="109">
        <v>101.8</v>
      </c>
      <c r="O80" s="109">
        <v>8.17</v>
      </c>
      <c r="P80" s="109">
        <v>103.2</v>
      </c>
      <c r="Q80" s="109">
        <v>40.67689</v>
      </c>
      <c r="R80" s="109">
        <v>-85.877089999999995</v>
      </c>
      <c r="S80" s="109">
        <v>220.3</v>
      </c>
      <c r="T80" s="109">
        <v>118.7</v>
      </c>
      <c r="U80" s="109">
        <v>8.17</v>
      </c>
      <c r="V80" s="109">
        <v>-105.7</v>
      </c>
      <c r="W80" s="109">
        <v>11.9</v>
      </c>
      <c r="X80" s="109">
        <v>0</v>
      </c>
      <c r="Y80" s="109">
        <v>26.501000000000001</v>
      </c>
      <c r="Z80" s="109">
        <v>9.8000000000000007</v>
      </c>
      <c r="AA80" s="109">
        <v>0</v>
      </c>
      <c r="AB80" s="201">
        <v>45875.531666666669</v>
      </c>
      <c r="AC80" s="109" t="s">
        <v>1716</v>
      </c>
      <c r="AD80" s="118" t="str">
        <f t="shared" si="5"/>
        <v>2</v>
      </c>
      <c r="AE80" s="119" t="s">
        <v>737</v>
      </c>
    </row>
    <row r="81" spans="1:31" x14ac:dyDescent="0.25">
      <c r="A81" s="199">
        <v>0.54459490740740746</v>
      </c>
      <c r="B81" s="200">
        <v>45875</v>
      </c>
      <c r="C81" s="109">
        <v>250806</v>
      </c>
      <c r="D81" s="109">
        <v>0</v>
      </c>
      <c r="E81" s="109">
        <v>747.4</v>
      </c>
      <c r="F81" s="109">
        <v>396.7</v>
      </c>
      <c r="G81" s="109">
        <v>374.8</v>
      </c>
      <c r="H81" s="109">
        <v>244</v>
      </c>
      <c r="I81" s="109">
        <v>0.18</v>
      </c>
      <c r="J81" s="109">
        <v>372.5</v>
      </c>
      <c r="K81" s="109">
        <v>0.496</v>
      </c>
      <c r="L81" s="109">
        <v>0.48699999999999999</v>
      </c>
      <c r="M81" s="109">
        <v>0.70299999999999996</v>
      </c>
      <c r="N81" s="109">
        <v>196.9</v>
      </c>
      <c r="O81" s="109">
        <v>15.38</v>
      </c>
      <c r="P81" s="109">
        <v>199.6</v>
      </c>
      <c r="Q81" s="109">
        <v>40.670870000000001</v>
      </c>
      <c r="R81" s="109">
        <v>-85.870350000000002</v>
      </c>
      <c r="S81" s="109">
        <v>220.9</v>
      </c>
      <c r="T81" s="109">
        <v>113.4</v>
      </c>
      <c r="U81" s="109">
        <v>8.89</v>
      </c>
      <c r="V81" s="109">
        <v>-149.6</v>
      </c>
      <c r="W81" s="109">
        <v>12</v>
      </c>
      <c r="X81" s="109">
        <v>0</v>
      </c>
      <c r="Y81" s="109">
        <v>28.06</v>
      </c>
      <c r="Z81" s="109">
        <v>19.440000000000001</v>
      </c>
      <c r="AA81" s="109">
        <v>0</v>
      </c>
      <c r="AB81" s="201">
        <v>45875.544594907406</v>
      </c>
      <c r="AC81" s="109" t="s">
        <v>1715</v>
      </c>
      <c r="AD81" s="118" t="str">
        <f t="shared" si="5"/>
        <v>3</v>
      </c>
      <c r="AE81" s="119" t="s">
        <v>738</v>
      </c>
    </row>
    <row r="82" spans="1:31" x14ac:dyDescent="0.25">
      <c r="A82" s="199">
        <v>0.56322916666666667</v>
      </c>
      <c r="B82" s="200">
        <v>45875</v>
      </c>
      <c r="C82" s="109">
        <v>250806</v>
      </c>
      <c r="D82" s="109">
        <v>0</v>
      </c>
      <c r="E82" s="109">
        <v>747.3</v>
      </c>
      <c r="F82" s="109">
        <v>388.5</v>
      </c>
      <c r="G82" s="109">
        <v>361.3</v>
      </c>
      <c r="H82" s="109">
        <v>235</v>
      </c>
      <c r="I82" s="109">
        <v>0.17</v>
      </c>
      <c r="J82" s="109">
        <v>358.4</v>
      </c>
      <c r="K82" s="109">
        <v>0.47599999999999998</v>
      </c>
      <c r="L82" s="109">
        <v>0.49399999999999999</v>
      </c>
      <c r="M82" s="109">
        <v>0.67500000000000004</v>
      </c>
      <c r="N82" s="109">
        <v>235.7</v>
      </c>
      <c r="O82" s="109">
        <v>18.14</v>
      </c>
      <c r="P82" s="109">
        <v>239</v>
      </c>
      <c r="Q82" s="109">
        <v>40.663409999999999</v>
      </c>
      <c r="R82" s="109">
        <v>-85.866100000000003</v>
      </c>
      <c r="S82" s="109">
        <v>217.4</v>
      </c>
      <c r="T82" s="109">
        <v>108</v>
      </c>
      <c r="U82" s="109">
        <v>9.11</v>
      </c>
      <c r="V82" s="109">
        <v>-162.80000000000001</v>
      </c>
      <c r="W82" s="109">
        <v>12</v>
      </c>
      <c r="X82" s="109">
        <v>0</v>
      </c>
      <c r="Y82" s="109">
        <v>28.934999999999999</v>
      </c>
      <c r="Z82" s="109">
        <v>22.32</v>
      </c>
      <c r="AA82" s="109">
        <v>0</v>
      </c>
      <c r="AB82" s="201">
        <v>45875.56322916667</v>
      </c>
      <c r="AC82" s="109" t="s">
        <v>1714</v>
      </c>
      <c r="AD82" s="118" t="str">
        <f t="shared" si="5"/>
        <v>4</v>
      </c>
      <c r="AE82" s="119" t="s">
        <v>739</v>
      </c>
    </row>
    <row r="83" spans="1:31" x14ac:dyDescent="0.25">
      <c r="A83" s="199">
        <v>0.60628472222222218</v>
      </c>
      <c r="B83" s="200">
        <v>45875</v>
      </c>
      <c r="C83" s="109">
        <v>250806</v>
      </c>
      <c r="D83" s="109">
        <v>0</v>
      </c>
      <c r="E83" s="109">
        <v>746.8</v>
      </c>
      <c r="F83" s="109">
        <v>369.7</v>
      </c>
      <c r="G83" s="109">
        <v>354.9</v>
      </c>
      <c r="H83" s="109">
        <v>231</v>
      </c>
      <c r="I83" s="109">
        <v>0.17</v>
      </c>
      <c r="J83" s="109">
        <v>353.3</v>
      </c>
      <c r="K83" s="109">
        <v>0.48199999999999998</v>
      </c>
      <c r="L83" s="109">
        <v>0.48699999999999999</v>
      </c>
      <c r="M83" s="109">
        <v>0.68300000000000005</v>
      </c>
      <c r="N83" s="109">
        <v>209.3</v>
      </c>
      <c r="O83" s="109">
        <v>16.61</v>
      </c>
      <c r="P83" s="109">
        <v>212.2</v>
      </c>
      <c r="Q83" s="109">
        <v>40.668640000000003</v>
      </c>
      <c r="R83" s="109">
        <v>-85.847740000000002</v>
      </c>
      <c r="S83" s="109">
        <v>222.4</v>
      </c>
      <c r="T83" s="109">
        <v>113.9</v>
      </c>
      <c r="U83" s="109">
        <v>9.0399999999999991</v>
      </c>
      <c r="V83" s="109">
        <v>-158</v>
      </c>
      <c r="W83" s="109">
        <v>11.9</v>
      </c>
      <c r="X83" s="109">
        <v>0</v>
      </c>
      <c r="Y83" s="109">
        <v>27.189</v>
      </c>
      <c r="Z83" s="109">
        <v>26.39</v>
      </c>
      <c r="AA83" s="109">
        <v>0</v>
      </c>
      <c r="AB83" s="201">
        <v>45875.60628472222</v>
      </c>
      <c r="AC83" s="109" t="s">
        <v>1713</v>
      </c>
      <c r="AD83" s="118" t="str">
        <f t="shared" si="5"/>
        <v>5</v>
      </c>
      <c r="AE83" s="119" t="s">
        <v>740</v>
      </c>
    </row>
    <row r="84" spans="1:31" x14ac:dyDescent="0.25">
      <c r="A84" s="199">
        <v>0.64549768518518513</v>
      </c>
      <c r="B84" s="200">
        <v>45875</v>
      </c>
      <c r="C84" s="109">
        <v>250806</v>
      </c>
      <c r="D84" s="109">
        <v>0</v>
      </c>
      <c r="E84" s="109">
        <v>746.4</v>
      </c>
      <c r="F84" s="109">
        <v>359.9</v>
      </c>
      <c r="G84" s="109">
        <v>332</v>
      </c>
      <c r="H84" s="109">
        <v>216</v>
      </c>
      <c r="I84" s="109">
        <v>0.16</v>
      </c>
      <c r="J84" s="109">
        <v>328.9</v>
      </c>
      <c r="K84" s="109">
        <v>0.41499999999999998</v>
      </c>
      <c r="L84" s="109">
        <v>0.40300000000000002</v>
      </c>
      <c r="M84" s="109">
        <v>0.58799999999999997</v>
      </c>
      <c r="N84" s="109">
        <v>315.3</v>
      </c>
      <c r="O84" s="109">
        <v>24.06</v>
      </c>
      <c r="P84" s="109">
        <v>319.60000000000002</v>
      </c>
      <c r="Q84" s="109">
        <v>40.673740000000002</v>
      </c>
      <c r="R84" s="109">
        <v>-85.831599999999995</v>
      </c>
      <c r="S84" s="109">
        <v>226</v>
      </c>
      <c r="T84" s="109">
        <v>73.8</v>
      </c>
      <c r="U84" s="109">
        <v>9.44</v>
      </c>
      <c r="V84" s="109">
        <v>-183.4</v>
      </c>
      <c r="W84" s="109">
        <v>12</v>
      </c>
      <c r="X84" s="109">
        <v>0</v>
      </c>
      <c r="Y84" s="109">
        <v>29.402999999999999</v>
      </c>
      <c r="Z84" s="109">
        <v>39.520000000000003</v>
      </c>
      <c r="AA84" s="109">
        <v>0</v>
      </c>
      <c r="AB84" s="201">
        <v>45875.645497685182</v>
      </c>
      <c r="AC84" s="109" t="s">
        <v>1712</v>
      </c>
      <c r="AD84" s="118" t="str">
        <f t="shared" si="5"/>
        <v>6</v>
      </c>
      <c r="AE84" s="119" t="s">
        <v>741</v>
      </c>
    </row>
    <row r="85" spans="1:31" x14ac:dyDescent="0.25">
      <c r="A85" s="199">
        <v>0.38336805555555553</v>
      </c>
      <c r="B85" s="200">
        <v>45875</v>
      </c>
      <c r="C85" s="109">
        <v>250806</v>
      </c>
      <c r="D85" s="109">
        <v>0</v>
      </c>
      <c r="E85" s="109">
        <v>747.9</v>
      </c>
      <c r="F85" s="109">
        <v>405.8</v>
      </c>
      <c r="G85" s="109">
        <v>394.6</v>
      </c>
      <c r="H85" s="109">
        <v>256</v>
      </c>
      <c r="I85" s="109">
        <v>0.19</v>
      </c>
      <c r="J85" s="109">
        <v>393.4</v>
      </c>
      <c r="K85" s="109">
        <v>0.58699999999999997</v>
      </c>
      <c r="L85" s="109">
        <v>0.59699999999999998</v>
      </c>
      <c r="M85" s="109">
        <v>0.83299999999999996</v>
      </c>
      <c r="N85" s="109">
        <v>89.8</v>
      </c>
      <c r="O85" s="109">
        <v>7.21</v>
      </c>
      <c r="P85" s="109">
        <v>91</v>
      </c>
      <c r="Q85" s="109">
        <v>40.687800000000003</v>
      </c>
      <c r="R85" s="109">
        <v>-85.896730000000005</v>
      </c>
      <c r="S85" s="109">
        <v>220.6</v>
      </c>
      <c r="T85" s="109">
        <v>206.4</v>
      </c>
      <c r="U85" s="109">
        <v>8.07</v>
      </c>
      <c r="V85" s="109">
        <v>-99.3</v>
      </c>
      <c r="W85" s="109">
        <v>12</v>
      </c>
      <c r="X85" s="109">
        <v>0</v>
      </c>
      <c r="Y85" s="109">
        <v>26.492999999999999</v>
      </c>
      <c r="Z85" s="109">
        <v>10.23</v>
      </c>
      <c r="AA85" s="109">
        <v>0</v>
      </c>
      <c r="AB85" s="201">
        <v>45875.383368055554</v>
      </c>
      <c r="AC85" s="109" t="s">
        <v>1724</v>
      </c>
      <c r="AD85" s="118" t="str">
        <f t="shared" si="5"/>
        <v>7</v>
      </c>
      <c r="AE85" s="119" t="s">
        <v>742</v>
      </c>
    </row>
    <row r="86" spans="1:31" x14ac:dyDescent="0.25">
      <c r="A86" s="199">
        <v>0.39868055555555554</v>
      </c>
      <c r="B86" s="200">
        <v>45875</v>
      </c>
      <c r="C86" s="109">
        <v>250806</v>
      </c>
      <c r="D86" s="109">
        <v>0</v>
      </c>
      <c r="E86" s="109">
        <v>747.7</v>
      </c>
      <c r="F86" s="109">
        <v>407.9</v>
      </c>
      <c r="G86" s="109">
        <v>394</v>
      </c>
      <c r="H86" s="109">
        <v>256</v>
      </c>
      <c r="I86" s="109">
        <v>0.19</v>
      </c>
      <c r="J86" s="109">
        <v>392.6</v>
      </c>
      <c r="K86" s="109">
        <v>0.49099999999999999</v>
      </c>
      <c r="L86" s="109">
        <v>0.499</v>
      </c>
      <c r="M86" s="109">
        <v>0.69599999999999995</v>
      </c>
      <c r="N86" s="109">
        <v>109.1</v>
      </c>
      <c r="O86" s="109">
        <v>8.7100000000000009</v>
      </c>
      <c r="P86" s="109">
        <v>110.7</v>
      </c>
      <c r="Q86" s="109">
        <v>40.691760000000002</v>
      </c>
      <c r="R86" s="109">
        <v>-85.908410000000003</v>
      </c>
      <c r="S86" s="109">
        <v>226.3</v>
      </c>
      <c r="T86" s="109">
        <v>117.3</v>
      </c>
      <c r="U86" s="109">
        <v>8.14</v>
      </c>
      <c r="V86" s="109">
        <v>-103.6</v>
      </c>
      <c r="W86" s="109">
        <v>12</v>
      </c>
      <c r="X86" s="109">
        <v>0</v>
      </c>
      <c r="Y86" s="109">
        <v>26.844999999999999</v>
      </c>
      <c r="Z86" s="109">
        <v>10.98</v>
      </c>
      <c r="AA86" s="109">
        <v>0</v>
      </c>
      <c r="AB86" s="201">
        <v>45875.398680555554</v>
      </c>
      <c r="AC86" s="109" t="s">
        <v>1722</v>
      </c>
      <c r="AD86" s="118" t="str">
        <f t="shared" si="5"/>
        <v>8</v>
      </c>
      <c r="AE86" s="119" t="s">
        <v>743</v>
      </c>
    </row>
    <row r="87" spans="1:31" x14ac:dyDescent="0.25">
      <c r="A87" s="199">
        <v>0.42429398148148151</v>
      </c>
      <c r="B87" s="200">
        <v>45875</v>
      </c>
      <c r="C87" s="109">
        <v>250806</v>
      </c>
      <c r="D87" s="109">
        <v>0</v>
      </c>
      <c r="E87" s="109">
        <v>747.6</v>
      </c>
      <c r="F87" s="109">
        <v>396.1</v>
      </c>
      <c r="G87" s="109">
        <v>380</v>
      </c>
      <c r="H87" s="109">
        <v>247</v>
      </c>
      <c r="I87" s="109">
        <v>0.18</v>
      </c>
      <c r="J87" s="109">
        <v>378.3</v>
      </c>
      <c r="K87" s="109">
        <v>0.48099999999999998</v>
      </c>
      <c r="L87" s="109">
        <v>0.497</v>
      </c>
      <c r="M87" s="109">
        <v>0.68200000000000005</v>
      </c>
      <c r="N87" s="109">
        <v>123.4</v>
      </c>
      <c r="O87" s="109">
        <v>9.7799999999999994</v>
      </c>
      <c r="P87" s="109">
        <v>125.1</v>
      </c>
      <c r="Q87" s="109">
        <v>40.7042</v>
      </c>
      <c r="R87" s="109">
        <v>-85.930080000000004</v>
      </c>
      <c r="S87" s="109">
        <v>225.1</v>
      </c>
      <c r="T87" s="109">
        <v>119.2</v>
      </c>
      <c r="U87" s="109">
        <v>8.5299999999999994</v>
      </c>
      <c r="V87" s="109">
        <v>-127.2</v>
      </c>
      <c r="W87" s="109">
        <v>11.9</v>
      </c>
      <c r="X87" s="109">
        <v>0</v>
      </c>
      <c r="Y87" s="109">
        <v>27.216000000000001</v>
      </c>
      <c r="Z87" s="109">
        <v>11.33</v>
      </c>
      <c r="AA87" s="109">
        <v>0</v>
      </c>
      <c r="AB87" s="201">
        <v>45875.424293981479</v>
      </c>
      <c r="AC87" s="109" t="s">
        <v>1718</v>
      </c>
      <c r="AD87" s="118" t="str">
        <f t="shared" si="5"/>
        <v>9</v>
      </c>
      <c r="AE87" s="119" t="s">
        <v>744</v>
      </c>
    </row>
    <row r="88" spans="1:31" x14ac:dyDescent="0.25">
      <c r="A88" s="199">
        <v>0.40899305555555554</v>
      </c>
      <c r="B88" s="200">
        <v>45875</v>
      </c>
      <c r="C88" s="109">
        <v>250806</v>
      </c>
      <c r="D88" s="109">
        <v>0</v>
      </c>
      <c r="E88" s="109">
        <v>747.7</v>
      </c>
      <c r="F88" s="109">
        <v>402.4</v>
      </c>
      <c r="G88" s="109">
        <v>388.3</v>
      </c>
      <c r="H88" s="109">
        <v>252</v>
      </c>
      <c r="I88" s="109">
        <v>0.18</v>
      </c>
      <c r="J88" s="109">
        <v>386.8</v>
      </c>
      <c r="K88" s="109">
        <v>0.52800000000000002</v>
      </c>
      <c r="L88" s="109">
        <v>0.54200000000000004</v>
      </c>
      <c r="M88" s="109">
        <v>0.748</v>
      </c>
      <c r="N88" s="109">
        <v>107.9</v>
      </c>
      <c r="O88" s="109">
        <v>8.6</v>
      </c>
      <c r="P88" s="109">
        <v>109.4</v>
      </c>
      <c r="Q88" s="109">
        <v>40.693359999999998</v>
      </c>
      <c r="R88" s="109">
        <v>-85.920379999999994</v>
      </c>
      <c r="S88" s="109">
        <v>223.1</v>
      </c>
      <c r="T88" s="109">
        <v>119</v>
      </c>
      <c r="U88" s="109">
        <v>8.1999999999999993</v>
      </c>
      <c r="V88" s="109">
        <v>-107.3</v>
      </c>
      <c r="W88" s="109">
        <v>12</v>
      </c>
      <c r="X88" s="109">
        <v>0</v>
      </c>
      <c r="Y88" s="109">
        <v>26.907</v>
      </c>
      <c r="Z88" s="109">
        <v>11.96</v>
      </c>
      <c r="AA88" s="109">
        <v>0</v>
      </c>
      <c r="AB88" s="201">
        <v>45875.408993055556</v>
      </c>
      <c r="AC88" s="109" t="s">
        <v>1725</v>
      </c>
      <c r="AD88" s="118">
        <v>10</v>
      </c>
      <c r="AE88" s="119" t="s">
        <v>745</v>
      </c>
    </row>
    <row r="89" spans="1:31" x14ac:dyDescent="0.25">
      <c r="A89" s="199">
        <v>0.43648148148148147</v>
      </c>
      <c r="B89" s="200">
        <v>45875</v>
      </c>
      <c r="C89" s="109">
        <v>250806</v>
      </c>
      <c r="D89" s="109">
        <v>0</v>
      </c>
      <c r="E89" s="109">
        <v>747.7</v>
      </c>
      <c r="F89" s="109">
        <v>392.7</v>
      </c>
      <c r="G89" s="109">
        <v>376.1</v>
      </c>
      <c r="H89" s="109">
        <v>244</v>
      </c>
      <c r="I89" s="109">
        <v>0.18</v>
      </c>
      <c r="J89" s="109">
        <v>374.3</v>
      </c>
      <c r="K89" s="109">
        <v>0.48099999999999998</v>
      </c>
      <c r="L89" s="109">
        <v>0.501</v>
      </c>
      <c r="M89" s="109">
        <v>0.68200000000000005</v>
      </c>
      <c r="N89" s="109">
        <v>120.8</v>
      </c>
      <c r="O89" s="109">
        <v>9.57</v>
      </c>
      <c r="P89" s="109">
        <v>122.5</v>
      </c>
      <c r="Q89" s="109">
        <v>40.711069999999999</v>
      </c>
      <c r="R89" s="109">
        <v>-85.938760000000002</v>
      </c>
      <c r="S89" s="109">
        <v>219.5</v>
      </c>
      <c r="T89" s="109">
        <v>103</v>
      </c>
      <c r="U89" s="109">
        <v>8.5299999999999994</v>
      </c>
      <c r="V89" s="109">
        <v>-127.4</v>
      </c>
      <c r="W89" s="109">
        <v>12</v>
      </c>
      <c r="X89" s="109">
        <v>0</v>
      </c>
      <c r="Y89" s="109">
        <v>27.311</v>
      </c>
      <c r="Z89" s="109">
        <v>11.6</v>
      </c>
      <c r="AA89" s="109">
        <v>0</v>
      </c>
      <c r="AB89" s="201">
        <v>45875.436481481483</v>
      </c>
      <c r="AC89" s="109" t="s">
        <v>1719</v>
      </c>
      <c r="AD89" s="118">
        <v>11</v>
      </c>
      <c r="AE89" s="119" t="s">
        <v>746</v>
      </c>
    </row>
    <row r="90" spans="1:31" x14ac:dyDescent="0.25">
      <c r="A90" s="199">
        <v>0.46106481481481482</v>
      </c>
      <c r="B90" s="200">
        <v>45875</v>
      </c>
      <c r="C90" s="109">
        <v>250806</v>
      </c>
      <c r="D90" s="109">
        <v>0</v>
      </c>
      <c r="E90" s="109">
        <v>747.7</v>
      </c>
      <c r="F90" s="109">
        <v>26.5</v>
      </c>
      <c r="G90" s="109">
        <v>26.1</v>
      </c>
      <c r="H90" s="109">
        <v>17</v>
      </c>
      <c r="I90" s="109">
        <v>0.01</v>
      </c>
      <c r="J90" s="109">
        <v>26</v>
      </c>
      <c r="K90" s="109">
        <v>0.152</v>
      </c>
      <c r="L90" s="109">
        <v>0.16400000000000001</v>
      </c>
      <c r="M90" s="109">
        <v>0.215</v>
      </c>
      <c r="N90" s="109">
        <v>94.2</v>
      </c>
      <c r="O90" s="109">
        <v>7.68</v>
      </c>
      <c r="P90" s="109">
        <v>95.5</v>
      </c>
      <c r="Q90" s="109">
        <v>40.711709999999997</v>
      </c>
      <c r="R90" s="109">
        <v>-85.951179999999994</v>
      </c>
      <c r="S90" s="109">
        <v>226.4</v>
      </c>
      <c r="T90" s="109">
        <v>135.4</v>
      </c>
      <c r="U90" s="109">
        <v>8.64</v>
      </c>
      <c r="V90" s="109">
        <v>-133.69999999999999</v>
      </c>
      <c r="W90" s="109">
        <v>12</v>
      </c>
      <c r="X90" s="109">
        <v>0</v>
      </c>
      <c r="Y90" s="109">
        <v>25.748999999999999</v>
      </c>
      <c r="Z90" s="109">
        <v>17.739999999999998</v>
      </c>
      <c r="AA90" s="109">
        <v>0</v>
      </c>
      <c r="AB90" s="201">
        <v>45875.461064814815</v>
      </c>
      <c r="AC90" s="109" t="s">
        <v>1720</v>
      </c>
      <c r="AD90" s="118">
        <v>12</v>
      </c>
      <c r="AE90" s="119" t="s">
        <v>747</v>
      </c>
    </row>
    <row r="91" spans="1:31" x14ac:dyDescent="0.25">
      <c r="A91" s="199">
        <v>0.62141203703703707</v>
      </c>
      <c r="B91" s="200">
        <v>45875</v>
      </c>
      <c r="C91" s="109">
        <v>250806</v>
      </c>
      <c r="D91" s="109">
        <v>0</v>
      </c>
      <c r="E91" s="109">
        <v>746.6</v>
      </c>
      <c r="F91" s="109">
        <v>367.1</v>
      </c>
      <c r="G91" s="109">
        <v>336</v>
      </c>
      <c r="H91" s="109">
        <v>218</v>
      </c>
      <c r="I91" s="109">
        <v>0.16</v>
      </c>
      <c r="J91" s="109">
        <v>332.5</v>
      </c>
      <c r="K91" s="109">
        <v>0.45</v>
      </c>
      <c r="L91" s="109">
        <v>0.45100000000000001</v>
      </c>
      <c r="M91" s="109">
        <v>0.63700000000000001</v>
      </c>
      <c r="N91" s="109">
        <v>330.9</v>
      </c>
      <c r="O91" s="109">
        <v>25.05</v>
      </c>
      <c r="P91" s="109">
        <v>335.5</v>
      </c>
      <c r="Q91" s="109">
        <v>40.67295</v>
      </c>
      <c r="R91" s="109">
        <v>-85.841160000000002</v>
      </c>
      <c r="S91" s="109">
        <v>221.5</v>
      </c>
      <c r="T91" s="109">
        <v>55.7</v>
      </c>
      <c r="U91" s="109">
        <v>9.5</v>
      </c>
      <c r="V91" s="109">
        <v>-187.1</v>
      </c>
      <c r="W91" s="109">
        <v>11.9</v>
      </c>
      <c r="X91" s="109">
        <v>0</v>
      </c>
      <c r="Y91" s="109">
        <v>29.853999999999999</v>
      </c>
      <c r="Z91" s="109">
        <v>48.09</v>
      </c>
      <c r="AA91" s="109">
        <v>0</v>
      </c>
      <c r="AB91" s="201">
        <v>45875.621412037035</v>
      </c>
      <c r="AC91" s="109" t="s">
        <v>1721</v>
      </c>
      <c r="AD91" s="118">
        <v>13</v>
      </c>
      <c r="AE91" s="119" t="s">
        <v>748</v>
      </c>
    </row>
    <row r="92" spans="1:31" x14ac:dyDescent="0.25">
      <c r="A92" s="199">
        <v>0.44814814814814813</v>
      </c>
      <c r="B92" s="200">
        <v>45875</v>
      </c>
      <c r="C92" s="109">
        <v>250806</v>
      </c>
      <c r="D92" s="109">
        <v>0</v>
      </c>
      <c r="E92" s="109">
        <v>747.7</v>
      </c>
      <c r="F92" s="109">
        <v>389.1</v>
      </c>
      <c r="G92" s="109">
        <v>370.5</v>
      </c>
      <c r="H92" s="109">
        <v>241</v>
      </c>
      <c r="I92" s="109">
        <v>0.18</v>
      </c>
      <c r="J92" s="109">
        <v>368.5</v>
      </c>
      <c r="K92" s="109">
        <v>0.41699999999999998</v>
      </c>
      <c r="L92" s="109">
        <v>0.41299999999999998</v>
      </c>
      <c r="M92" s="109">
        <v>0.59099999999999997</v>
      </c>
      <c r="N92" s="109">
        <v>126.7</v>
      </c>
      <c r="O92" s="109">
        <v>9.9700000000000006</v>
      </c>
      <c r="P92" s="109">
        <v>128.4</v>
      </c>
      <c r="Q92" s="109">
        <v>40.715580000000003</v>
      </c>
      <c r="R92" s="109">
        <v>-85.950789999999998</v>
      </c>
      <c r="S92" s="109">
        <v>225.9</v>
      </c>
      <c r="T92" s="109">
        <v>161.80000000000001</v>
      </c>
      <c r="U92" s="109">
        <v>8.4700000000000006</v>
      </c>
      <c r="V92" s="109">
        <v>-123.7</v>
      </c>
      <c r="W92" s="109">
        <v>12</v>
      </c>
      <c r="X92" s="109">
        <v>0</v>
      </c>
      <c r="Y92" s="109">
        <v>27.634</v>
      </c>
      <c r="Z92" s="109">
        <v>12.98</v>
      </c>
      <c r="AA92" s="109">
        <v>0</v>
      </c>
      <c r="AB92" s="201">
        <v>45875.448148148149</v>
      </c>
      <c r="AC92" s="109" t="s">
        <v>1726</v>
      </c>
      <c r="AD92" s="118">
        <v>14</v>
      </c>
      <c r="AE92" s="119" t="s">
        <v>749</v>
      </c>
    </row>
    <row r="93" spans="1:31" x14ac:dyDescent="0.25">
      <c r="A93" s="199">
        <v>0.57785879629629633</v>
      </c>
      <c r="B93" s="200">
        <v>45875</v>
      </c>
      <c r="C93" s="109">
        <v>250806</v>
      </c>
      <c r="D93" s="109">
        <v>0</v>
      </c>
      <c r="E93" s="109">
        <v>747.3</v>
      </c>
      <c r="F93" s="109">
        <v>380.1</v>
      </c>
      <c r="G93" s="109">
        <v>359.5</v>
      </c>
      <c r="H93" s="109">
        <v>234</v>
      </c>
      <c r="I93" s="109">
        <v>0.17</v>
      </c>
      <c r="J93" s="109">
        <v>357.2</v>
      </c>
      <c r="K93" s="109">
        <v>0.498</v>
      </c>
      <c r="L93" s="109">
        <v>0.52800000000000002</v>
      </c>
      <c r="M93" s="109">
        <v>0.70599999999999996</v>
      </c>
      <c r="N93" s="109">
        <v>228.1</v>
      </c>
      <c r="O93" s="109">
        <v>17.829999999999998</v>
      </c>
      <c r="P93" s="109">
        <v>231.2</v>
      </c>
      <c r="Q93" s="109">
        <v>40.663760000000003</v>
      </c>
      <c r="R93" s="109">
        <v>-85.855019999999996</v>
      </c>
      <c r="S93" s="109">
        <v>221.9</v>
      </c>
      <c r="T93" s="109">
        <v>73.8</v>
      </c>
      <c r="U93" s="109">
        <v>9.06</v>
      </c>
      <c r="V93" s="109">
        <v>-159.5</v>
      </c>
      <c r="W93" s="109">
        <v>11.9</v>
      </c>
      <c r="X93" s="109">
        <v>0</v>
      </c>
      <c r="Y93" s="109">
        <v>28.001000000000001</v>
      </c>
      <c r="Z93" s="109">
        <v>21.84</v>
      </c>
      <c r="AA93" s="109">
        <v>0</v>
      </c>
      <c r="AB93" s="201">
        <v>45875.5778587963</v>
      </c>
      <c r="AC93" s="109" t="s">
        <v>1727</v>
      </c>
      <c r="AD93" s="118">
        <v>15</v>
      </c>
      <c r="AE93" s="119" t="s">
        <v>750</v>
      </c>
    </row>
    <row r="94" spans="1:31" x14ac:dyDescent="0.25">
      <c r="A94" s="199">
        <v>0.63658564814814811</v>
      </c>
      <c r="B94" s="200">
        <v>45875</v>
      </c>
      <c r="C94" s="109">
        <v>250806</v>
      </c>
      <c r="D94" s="109">
        <v>0</v>
      </c>
      <c r="E94" s="109">
        <v>746.5</v>
      </c>
      <c r="F94" s="109">
        <v>350.9</v>
      </c>
      <c r="G94" s="109">
        <v>337.1</v>
      </c>
      <c r="H94" s="109">
        <v>219</v>
      </c>
      <c r="I94" s="109">
        <v>0.16</v>
      </c>
      <c r="J94" s="109">
        <v>335.7</v>
      </c>
      <c r="K94" s="109">
        <v>0.46500000000000002</v>
      </c>
      <c r="L94" s="109">
        <v>0.46300000000000002</v>
      </c>
      <c r="M94" s="109">
        <v>0.66</v>
      </c>
      <c r="N94" s="109">
        <v>302.7</v>
      </c>
      <c r="O94" s="109">
        <v>24.03</v>
      </c>
      <c r="P94" s="109">
        <v>306.8</v>
      </c>
      <c r="Q94" s="109">
        <v>40.673180000000002</v>
      </c>
      <c r="R94" s="109">
        <v>-85.835279999999997</v>
      </c>
      <c r="S94" s="109">
        <v>217</v>
      </c>
      <c r="T94" s="109">
        <v>65.599999999999994</v>
      </c>
      <c r="U94" s="109">
        <v>9.41</v>
      </c>
      <c r="V94" s="109">
        <v>-180</v>
      </c>
      <c r="W94" s="109">
        <v>11.9</v>
      </c>
      <c r="X94" s="109">
        <v>0</v>
      </c>
      <c r="Y94" s="109">
        <v>27.138000000000002</v>
      </c>
      <c r="Z94" s="109">
        <v>40.28</v>
      </c>
      <c r="AA94" s="109">
        <v>0</v>
      </c>
      <c r="AB94" s="201">
        <v>45875.63658564815</v>
      </c>
      <c r="AC94" s="109" t="s">
        <v>1728</v>
      </c>
      <c r="AD94" s="118">
        <v>16</v>
      </c>
      <c r="AE94" s="119" t="s">
        <v>751</v>
      </c>
    </row>
    <row r="95" spans="1:31" x14ac:dyDescent="0.25">
      <c r="A95" s="207">
        <v>0.38333333333333336</v>
      </c>
      <c r="B95" s="208">
        <v>45882</v>
      </c>
      <c r="C95" s="206">
        <v>250813</v>
      </c>
      <c r="D95" s="206">
        <v>0</v>
      </c>
      <c r="E95" s="206">
        <v>740.5</v>
      </c>
      <c r="F95" s="206">
        <v>368.3</v>
      </c>
      <c r="G95" s="206">
        <v>344.2</v>
      </c>
      <c r="H95" s="206">
        <v>223.73</v>
      </c>
      <c r="I95" s="206">
        <v>0.19</v>
      </c>
      <c r="J95" s="206"/>
      <c r="K95" s="206">
        <v>0.25</v>
      </c>
      <c r="L95" s="206">
        <v>0.25</v>
      </c>
      <c r="M95" s="206"/>
      <c r="N95" s="206">
        <v>160.1</v>
      </c>
      <c r="O95" s="206">
        <v>14.248900000000001</v>
      </c>
      <c r="P95" s="206"/>
      <c r="Q95" s="206">
        <v>40.681714999999997</v>
      </c>
      <c r="R95" s="206">
        <v>-85.888788000000005</v>
      </c>
      <c r="S95" s="206"/>
      <c r="T95" s="206"/>
      <c r="U95" s="206">
        <v>8.81</v>
      </c>
      <c r="V95" s="206"/>
      <c r="W95" s="206"/>
      <c r="X95" s="206"/>
      <c r="Y95" s="206">
        <v>28.67</v>
      </c>
      <c r="Z95" s="206">
        <v>25.6</v>
      </c>
      <c r="AA95" s="206">
        <v>0</v>
      </c>
      <c r="AB95" s="19">
        <v>45882</v>
      </c>
      <c r="AC95" s="206" t="s">
        <v>1717</v>
      </c>
      <c r="AD95" s="118" t="str">
        <f t="shared" ref="AD95:AD103" si="6">RIGHT(AC95,1)</f>
        <v>1</v>
      </c>
      <c r="AE95" s="124" t="s">
        <v>782</v>
      </c>
    </row>
    <row r="96" spans="1:31" x14ac:dyDescent="0.25">
      <c r="A96" s="207">
        <v>0.40122685185185186</v>
      </c>
      <c r="B96" s="208">
        <v>45882</v>
      </c>
      <c r="C96" s="206">
        <v>250813</v>
      </c>
      <c r="D96" s="206">
        <v>0</v>
      </c>
      <c r="E96" s="206">
        <v>740.5</v>
      </c>
      <c r="F96" s="206">
        <v>358.9</v>
      </c>
      <c r="G96" s="206">
        <v>334.2</v>
      </c>
      <c r="H96" s="206">
        <v>217.23</v>
      </c>
      <c r="I96" s="206">
        <v>0.19</v>
      </c>
      <c r="J96" s="206"/>
      <c r="K96" s="206">
        <v>0.16800000000000001</v>
      </c>
      <c r="L96" s="206">
        <v>0.16800000000000001</v>
      </c>
      <c r="M96" s="206"/>
      <c r="N96" s="206">
        <v>186.1</v>
      </c>
      <c r="O96" s="206">
        <v>16.562899999999999</v>
      </c>
      <c r="P96" s="206"/>
      <c r="Q96" s="206">
        <v>40.677154000000002</v>
      </c>
      <c r="R96" s="206">
        <v>-85.877200999999999</v>
      </c>
      <c r="S96" s="206"/>
      <c r="T96" s="206"/>
      <c r="U96" s="206">
        <v>8.9700000000000006</v>
      </c>
      <c r="V96" s="206"/>
      <c r="W96" s="206"/>
      <c r="X96" s="206"/>
      <c r="Y96" s="206">
        <v>28.861999999999998</v>
      </c>
      <c r="Z96" s="206">
        <v>27.84</v>
      </c>
      <c r="AA96" s="206">
        <v>0</v>
      </c>
      <c r="AB96" s="19">
        <v>45882</v>
      </c>
      <c r="AC96" s="206" t="s">
        <v>1716</v>
      </c>
      <c r="AD96" s="118" t="str">
        <f t="shared" si="6"/>
        <v>2</v>
      </c>
      <c r="AE96" s="124" t="s">
        <v>783</v>
      </c>
    </row>
    <row r="97" spans="1:31" x14ac:dyDescent="0.25">
      <c r="A97" s="207">
        <v>0.41111111111111109</v>
      </c>
      <c r="B97" s="208">
        <v>45882</v>
      </c>
      <c r="C97" s="206">
        <v>250813</v>
      </c>
      <c r="D97" s="206">
        <v>0</v>
      </c>
      <c r="E97" s="206">
        <v>740.5</v>
      </c>
      <c r="F97" s="206">
        <v>363.3</v>
      </c>
      <c r="G97" s="206">
        <v>338.9</v>
      </c>
      <c r="H97" s="206">
        <v>220.285</v>
      </c>
      <c r="I97" s="206">
        <v>0.19</v>
      </c>
      <c r="J97" s="206"/>
      <c r="K97" s="206">
        <v>0.25</v>
      </c>
      <c r="L97" s="206">
        <v>0.25</v>
      </c>
      <c r="M97" s="206"/>
      <c r="N97" s="206">
        <v>177.4</v>
      </c>
      <c r="O97" s="206">
        <v>15.788600000000001</v>
      </c>
      <c r="P97" s="206"/>
      <c r="Q97" s="206">
        <v>40.670718999999998</v>
      </c>
      <c r="R97" s="206">
        <v>-85.870287000000005</v>
      </c>
      <c r="S97" s="206"/>
      <c r="T97" s="206"/>
      <c r="U97" s="206">
        <v>8.93</v>
      </c>
      <c r="V97" s="206"/>
      <c r="W97" s="206"/>
      <c r="X97" s="206"/>
      <c r="Y97" s="206">
        <v>28.77</v>
      </c>
      <c r="Z97" s="206">
        <v>28.17</v>
      </c>
      <c r="AA97" s="206">
        <v>0</v>
      </c>
      <c r="AB97" s="19">
        <v>45882</v>
      </c>
      <c r="AC97" s="206" t="s">
        <v>1715</v>
      </c>
      <c r="AD97" s="118" t="str">
        <f t="shared" si="6"/>
        <v>3</v>
      </c>
      <c r="AE97" s="124" t="s">
        <v>784</v>
      </c>
    </row>
    <row r="98" spans="1:31" x14ac:dyDescent="0.25">
      <c r="A98" s="207">
        <v>0.42152777777777778</v>
      </c>
      <c r="B98" s="208">
        <v>45882</v>
      </c>
      <c r="C98" s="206">
        <v>250813</v>
      </c>
      <c r="D98" s="206">
        <v>0</v>
      </c>
      <c r="E98" s="206">
        <v>740.5</v>
      </c>
      <c r="F98" s="206">
        <v>365.3</v>
      </c>
      <c r="G98" s="206">
        <v>343.1</v>
      </c>
      <c r="H98" s="206">
        <v>223.01499999999999</v>
      </c>
      <c r="I98" s="206">
        <v>0.19</v>
      </c>
      <c r="J98" s="206"/>
      <c r="K98" s="206">
        <v>0.12</v>
      </c>
      <c r="L98" s="206">
        <v>0.12</v>
      </c>
      <c r="M98" s="206"/>
      <c r="N98" s="206">
        <v>163.1</v>
      </c>
      <c r="O98" s="206">
        <v>14.5159</v>
      </c>
      <c r="P98" s="206"/>
      <c r="Q98" s="206">
        <v>40.663286999999997</v>
      </c>
      <c r="R98" s="206">
        <v>-85.866485999999995</v>
      </c>
      <c r="S98" s="206"/>
      <c r="T98" s="206"/>
      <c r="U98" s="206">
        <v>8.8699999999999992</v>
      </c>
      <c r="V98" s="206"/>
      <c r="W98" s="206"/>
      <c r="X98" s="206"/>
      <c r="Y98" s="206">
        <v>28.39</v>
      </c>
      <c r="Z98" s="206">
        <v>18.149999999999999</v>
      </c>
      <c r="AA98" s="206">
        <v>0</v>
      </c>
      <c r="AB98" s="19">
        <v>45882</v>
      </c>
      <c r="AC98" s="206" t="s">
        <v>1714</v>
      </c>
      <c r="AD98" s="118" t="str">
        <f t="shared" si="6"/>
        <v>4</v>
      </c>
      <c r="AE98" s="124" t="s">
        <v>785</v>
      </c>
    </row>
    <row r="99" spans="1:31" x14ac:dyDescent="0.25">
      <c r="A99" s="207">
        <v>0.44583333333333336</v>
      </c>
      <c r="B99" s="208">
        <v>45882</v>
      </c>
      <c r="C99" s="206">
        <v>250813</v>
      </c>
      <c r="D99" s="206">
        <v>0</v>
      </c>
      <c r="E99" s="206">
        <v>740.5</v>
      </c>
      <c r="F99" s="206">
        <v>359.1</v>
      </c>
      <c r="G99" s="206">
        <v>333.6</v>
      </c>
      <c r="H99" s="206">
        <v>216.84</v>
      </c>
      <c r="I99" s="206">
        <v>0.19</v>
      </c>
      <c r="J99" s="206"/>
      <c r="K99" s="206">
        <v>0.21</v>
      </c>
      <c r="L99" s="206">
        <v>0.21</v>
      </c>
      <c r="M99" s="206"/>
      <c r="N99" s="206">
        <v>183.6</v>
      </c>
      <c r="O99" s="206">
        <v>16.340399999999999</v>
      </c>
      <c r="P99" s="206"/>
      <c r="Q99" s="206">
        <v>40.668571999999998</v>
      </c>
      <c r="R99" s="206">
        <v>-85.847962999999993</v>
      </c>
      <c r="S99" s="206"/>
      <c r="T99" s="206"/>
      <c r="U99" s="206">
        <v>8.9600000000000009</v>
      </c>
      <c r="V99" s="206"/>
      <c r="W99" s="206"/>
      <c r="X99" s="206"/>
      <c r="Y99" s="206">
        <v>29</v>
      </c>
      <c r="Z99" s="206">
        <v>21.34</v>
      </c>
      <c r="AA99" s="206">
        <v>0</v>
      </c>
      <c r="AB99" s="19">
        <v>45882</v>
      </c>
      <c r="AC99" s="206" t="s">
        <v>1713</v>
      </c>
      <c r="AD99" s="118" t="str">
        <f t="shared" si="6"/>
        <v>5</v>
      </c>
      <c r="AE99" s="124" t="s">
        <v>786</v>
      </c>
    </row>
    <row r="100" spans="1:31" x14ac:dyDescent="0.25">
      <c r="A100" s="207">
        <v>0.46666666666666667</v>
      </c>
      <c r="B100" s="208">
        <v>45882</v>
      </c>
      <c r="C100" s="206"/>
      <c r="D100" s="206"/>
      <c r="E100" s="206"/>
      <c r="F100" s="206">
        <v>338.1</v>
      </c>
      <c r="G100" s="206">
        <v>312</v>
      </c>
      <c r="H100" s="206">
        <v>202.8</v>
      </c>
      <c r="I100" s="206">
        <v>0.19</v>
      </c>
      <c r="J100" s="206"/>
      <c r="K100" s="206">
        <v>0.21</v>
      </c>
      <c r="L100" s="206">
        <v>0.21</v>
      </c>
      <c r="M100" s="206"/>
      <c r="N100" s="206">
        <v>241.9</v>
      </c>
      <c r="O100" s="206">
        <v>21.5291</v>
      </c>
      <c r="P100" s="206"/>
      <c r="Q100" s="206">
        <v>40.673721999999998</v>
      </c>
      <c r="R100" s="206">
        <v>-85.831861000000004</v>
      </c>
      <c r="S100" s="206"/>
      <c r="T100" s="206"/>
      <c r="U100" s="206">
        <v>9.2100000000000009</v>
      </c>
      <c r="V100" s="206"/>
      <c r="W100" s="206"/>
      <c r="X100" s="206"/>
      <c r="Y100" s="206">
        <v>29.38</v>
      </c>
      <c r="Z100" s="206">
        <v>49.6</v>
      </c>
      <c r="AA100" s="206">
        <v>0</v>
      </c>
      <c r="AB100" s="19">
        <v>45882</v>
      </c>
      <c r="AC100" s="206" t="s">
        <v>1712</v>
      </c>
      <c r="AD100" s="118" t="str">
        <f t="shared" si="6"/>
        <v>6</v>
      </c>
      <c r="AE100" s="124" t="s">
        <v>787</v>
      </c>
    </row>
    <row r="101" spans="1:31" x14ac:dyDescent="0.25">
      <c r="A101" s="207">
        <v>0.58194444444444449</v>
      </c>
      <c r="B101" s="208">
        <v>45882</v>
      </c>
      <c r="C101" s="206">
        <v>250813</v>
      </c>
      <c r="D101" s="206">
        <v>0</v>
      </c>
      <c r="E101" s="206">
        <v>740.5</v>
      </c>
      <c r="F101" s="206">
        <v>367.9</v>
      </c>
      <c r="G101" s="206">
        <v>340</v>
      </c>
      <c r="H101" s="206">
        <v>221</v>
      </c>
      <c r="I101" s="206">
        <v>0.19</v>
      </c>
      <c r="J101" s="206"/>
      <c r="K101" s="206">
        <v>0.2</v>
      </c>
      <c r="L101" s="206">
        <v>0.2</v>
      </c>
      <c r="M101" s="206"/>
      <c r="N101" s="206">
        <v>190</v>
      </c>
      <c r="O101" s="206">
        <v>16.91</v>
      </c>
      <c r="P101" s="206"/>
      <c r="Q101" s="206">
        <v>40.687837999999999</v>
      </c>
      <c r="R101" s="206">
        <v>-85.896393000000003</v>
      </c>
      <c r="S101" s="206"/>
      <c r="T101" s="206"/>
      <c r="U101" s="206">
        <v>8.9</v>
      </c>
      <c r="V101" s="206"/>
      <c r="W101" s="206"/>
      <c r="X101" s="206"/>
      <c r="Y101" s="206">
        <v>29.3</v>
      </c>
      <c r="Z101" s="206">
        <v>28.7</v>
      </c>
      <c r="AA101" s="206">
        <v>0</v>
      </c>
      <c r="AB101" s="19">
        <v>45882</v>
      </c>
      <c r="AC101" s="206" t="s">
        <v>1724</v>
      </c>
      <c r="AD101" s="118" t="str">
        <f t="shared" si="6"/>
        <v>7</v>
      </c>
      <c r="AE101" s="124" t="s">
        <v>788</v>
      </c>
    </row>
    <row r="102" spans="1:31" x14ac:dyDescent="0.25">
      <c r="A102" s="207">
        <v>0.57152777777777775</v>
      </c>
      <c r="B102" s="208">
        <v>45882</v>
      </c>
      <c r="C102" s="206">
        <v>250813</v>
      </c>
      <c r="D102" s="206">
        <v>0</v>
      </c>
      <c r="E102" s="206">
        <v>740.5</v>
      </c>
      <c r="F102" s="206">
        <v>365.8</v>
      </c>
      <c r="G102" s="206">
        <v>338</v>
      </c>
      <c r="H102" s="206">
        <v>219.7</v>
      </c>
      <c r="I102" s="206">
        <v>0.19</v>
      </c>
      <c r="J102" s="206"/>
      <c r="K102" s="206">
        <v>0.31</v>
      </c>
      <c r="L102" s="206">
        <v>0.31</v>
      </c>
      <c r="M102" s="206"/>
      <c r="N102" s="206">
        <v>212</v>
      </c>
      <c r="O102" s="206">
        <v>18.867999999999999</v>
      </c>
      <c r="P102" s="206"/>
      <c r="Q102" s="206">
        <v>40.691437000000001</v>
      </c>
      <c r="R102" s="206">
        <v>-85.907788999999994</v>
      </c>
      <c r="S102" s="206"/>
      <c r="T102" s="206"/>
      <c r="U102" s="206">
        <v>9.1</v>
      </c>
      <c r="V102" s="206"/>
      <c r="W102" s="206"/>
      <c r="X102" s="206"/>
      <c r="Y102" s="206">
        <v>29.3</v>
      </c>
      <c r="Z102" s="206">
        <v>29.6</v>
      </c>
      <c r="AA102" s="206">
        <v>0</v>
      </c>
      <c r="AB102" s="19">
        <v>45882</v>
      </c>
      <c r="AC102" s="206" t="s">
        <v>1722</v>
      </c>
      <c r="AD102" s="118" t="str">
        <f t="shared" si="6"/>
        <v>8</v>
      </c>
      <c r="AE102" s="124" t="s">
        <v>789</v>
      </c>
    </row>
    <row r="103" spans="1:31" x14ac:dyDescent="0.25">
      <c r="A103" s="207">
        <v>0.54652777777777772</v>
      </c>
      <c r="B103" s="208">
        <v>45882</v>
      </c>
      <c r="C103" s="206">
        <v>250813</v>
      </c>
      <c r="D103" s="206">
        <v>0</v>
      </c>
      <c r="E103" s="206">
        <v>740.5</v>
      </c>
      <c r="F103" s="206">
        <v>374.8</v>
      </c>
      <c r="G103" s="206">
        <v>347</v>
      </c>
      <c r="H103" s="206">
        <v>225.55</v>
      </c>
      <c r="I103" s="206">
        <v>0.19</v>
      </c>
      <c r="J103" s="206"/>
      <c r="K103" s="206">
        <v>0.28999999999999998</v>
      </c>
      <c r="L103" s="206">
        <v>0.28999999999999998</v>
      </c>
      <c r="M103" s="206"/>
      <c r="N103" s="206">
        <v>174</v>
      </c>
      <c r="O103" s="206">
        <v>15.486000000000001</v>
      </c>
      <c r="P103" s="206"/>
      <c r="Q103" s="206">
        <v>40.704236000000002</v>
      </c>
      <c r="R103" s="206">
        <v>-85.930099999999996</v>
      </c>
      <c r="S103" s="206"/>
      <c r="T103" s="206"/>
      <c r="U103" s="206">
        <v>8.9</v>
      </c>
      <c r="V103" s="206"/>
      <c r="W103" s="206"/>
      <c r="X103" s="206"/>
      <c r="Y103" s="206">
        <v>29.2</v>
      </c>
      <c r="Z103" s="206">
        <v>21.8</v>
      </c>
      <c r="AA103" s="206">
        <v>0</v>
      </c>
      <c r="AB103" s="19">
        <v>45882</v>
      </c>
      <c r="AC103" s="206" t="s">
        <v>1718</v>
      </c>
      <c r="AD103" s="118" t="str">
        <f t="shared" si="6"/>
        <v>9</v>
      </c>
      <c r="AE103" s="124" t="s">
        <v>790</v>
      </c>
    </row>
    <row r="104" spans="1:31" x14ac:dyDescent="0.25">
      <c r="A104" s="207">
        <v>0.55555555555555558</v>
      </c>
      <c r="B104" s="208">
        <v>45882</v>
      </c>
      <c r="C104" s="206">
        <v>250813</v>
      </c>
      <c r="D104" s="206">
        <v>0</v>
      </c>
      <c r="E104" s="206">
        <v>740.5</v>
      </c>
      <c r="F104" s="206">
        <v>375.5</v>
      </c>
      <c r="G104" s="206">
        <v>347</v>
      </c>
      <c r="H104" s="206">
        <v>225.55</v>
      </c>
      <c r="I104" s="206">
        <v>0.19</v>
      </c>
      <c r="J104" s="206"/>
      <c r="K104" s="206">
        <v>0.27</v>
      </c>
      <c r="L104" s="206">
        <v>0.27</v>
      </c>
      <c r="M104" s="206"/>
      <c r="N104" s="206">
        <v>166</v>
      </c>
      <c r="O104" s="206">
        <v>14.773999999999999</v>
      </c>
      <c r="P104" s="206"/>
      <c r="Q104" s="206">
        <v>40.693064999999997</v>
      </c>
      <c r="R104" s="206">
        <v>-85.919984999999997</v>
      </c>
      <c r="S104" s="206"/>
      <c r="T104" s="206"/>
      <c r="U104" s="206">
        <v>8.8800000000000008</v>
      </c>
      <c r="V104" s="206"/>
      <c r="W104" s="206"/>
      <c r="X104" s="206"/>
      <c r="Y104" s="206">
        <v>29.3</v>
      </c>
      <c r="Z104" s="206">
        <v>21.1</v>
      </c>
      <c r="AA104" s="206">
        <v>0</v>
      </c>
      <c r="AB104" s="19">
        <v>45882</v>
      </c>
      <c r="AC104" s="206" t="s">
        <v>1725</v>
      </c>
      <c r="AD104" s="118">
        <v>10</v>
      </c>
      <c r="AE104" s="124" t="s">
        <v>791</v>
      </c>
    </row>
    <row r="105" spans="1:31" x14ac:dyDescent="0.25">
      <c r="A105" s="207">
        <v>0.53263888888888888</v>
      </c>
      <c r="B105" s="208">
        <v>45882</v>
      </c>
      <c r="C105" s="206">
        <v>250813</v>
      </c>
      <c r="D105" s="206">
        <v>0</v>
      </c>
      <c r="E105" s="206">
        <v>740.5</v>
      </c>
      <c r="F105" s="206">
        <v>378.5</v>
      </c>
      <c r="G105" s="206">
        <v>351</v>
      </c>
      <c r="H105" s="206">
        <v>228.15</v>
      </c>
      <c r="I105" s="206">
        <v>0.19</v>
      </c>
      <c r="J105" s="206"/>
      <c r="K105" s="206">
        <v>0.24</v>
      </c>
      <c r="L105" s="206">
        <v>0.24</v>
      </c>
      <c r="M105" s="206"/>
      <c r="N105" s="206">
        <v>151</v>
      </c>
      <c r="O105" s="206">
        <v>13.439</v>
      </c>
      <c r="P105" s="206"/>
      <c r="Q105" s="206">
        <v>40.710979000000002</v>
      </c>
      <c r="R105" s="206">
        <v>-85.938685000000007</v>
      </c>
      <c r="S105" s="206"/>
      <c r="T105" s="206"/>
      <c r="U105" s="206">
        <v>8.86</v>
      </c>
      <c r="V105" s="206"/>
      <c r="W105" s="206"/>
      <c r="X105" s="206"/>
      <c r="Y105" s="206">
        <v>29.1</v>
      </c>
      <c r="Z105" s="206">
        <v>16.8</v>
      </c>
      <c r="AA105" s="206">
        <v>0</v>
      </c>
      <c r="AB105" s="19">
        <v>45882</v>
      </c>
      <c r="AC105" s="206" t="s">
        <v>1719</v>
      </c>
      <c r="AD105" s="118">
        <v>11</v>
      </c>
      <c r="AE105" s="124" t="s">
        <v>792</v>
      </c>
    </row>
    <row r="106" spans="1:31" x14ac:dyDescent="0.25">
      <c r="A106" s="188">
        <v>0.52083333333333337</v>
      </c>
      <c r="B106" s="19">
        <v>45882</v>
      </c>
      <c r="C106" s="118">
        <v>250813</v>
      </c>
      <c r="D106" s="118">
        <v>0</v>
      </c>
      <c r="E106" s="118">
        <v>740.5</v>
      </c>
      <c r="F106" s="118">
        <v>377.8</v>
      </c>
      <c r="G106" s="118">
        <v>351</v>
      </c>
      <c r="H106" s="118">
        <v>228.15</v>
      </c>
      <c r="I106" s="118">
        <v>0.19</v>
      </c>
      <c r="J106" s="118"/>
      <c r="K106" s="118">
        <v>0.94</v>
      </c>
      <c r="L106" s="118">
        <v>0.94</v>
      </c>
      <c r="M106" s="118"/>
      <c r="N106" s="118">
        <v>147</v>
      </c>
      <c r="O106" s="118">
        <v>13.083</v>
      </c>
      <c r="P106" s="118"/>
      <c r="Q106" s="118">
        <v>40.711692999999997</v>
      </c>
      <c r="R106" s="118">
        <v>-85.950778</v>
      </c>
      <c r="S106" s="118"/>
      <c r="T106" s="118"/>
      <c r="U106" s="118">
        <v>8.83</v>
      </c>
      <c r="V106" s="118"/>
      <c r="W106" s="118"/>
      <c r="X106" s="118"/>
      <c r="Y106" s="118">
        <v>29</v>
      </c>
      <c r="Z106" s="118">
        <v>16.7</v>
      </c>
      <c r="AA106" s="118">
        <v>0</v>
      </c>
      <c r="AB106" s="19">
        <v>45882</v>
      </c>
      <c r="AC106" s="118" t="s">
        <v>1720</v>
      </c>
      <c r="AE106" s="124" t="s">
        <v>793</v>
      </c>
    </row>
    <row r="107" spans="1:31" x14ac:dyDescent="0.25">
      <c r="A107" s="207">
        <v>0.45624999999999999</v>
      </c>
      <c r="B107" s="208">
        <v>45882</v>
      </c>
      <c r="C107" s="206"/>
      <c r="D107" s="206"/>
      <c r="E107" s="206"/>
      <c r="F107" s="206">
        <v>350.6</v>
      </c>
      <c r="G107" s="206">
        <v>325</v>
      </c>
      <c r="H107" s="206">
        <v>211.25</v>
      </c>
      <c r="I107" s="206">
        <v>0.19</v>
      </c>
      <c r="J107" s="206"/>
      <c r="K107" s="206">
        <v>0.36</v>
      </c>
      <c r="L107" s="206">
        <v>0.36</v>
      </c>
      <c r="M107" s="206"/>
      <c r="N107" s="206">
        <v>215</v>
      </c>
      <c r="O107" s="206">
        <v>19.135000000000002</v>
      </c>
      <c r="P107" s="206"/>
      <c r="Q107" s="206">
        <v>40.672573999999997</v>
      </c>
      <c r="R107" s="206">
        <v>-85.841449999999995</v>
      </c>
      <c r="S107" s="206"/>
      <c r="T107" s="206"/>
      <c r="U107" s="206">
        <v>9.1</v>
      </c>
      <c r="V107" s="206"/>
      <c r="W107" s="206"/>
      <c r="X107" s="206"/>
      <c r="Y107" s="206">
        <v>29.12</v>
      </c>
      <c r="Z107" s="206">
        <v>32.299999999999997</v>
      </c>
      <c r="AA107" s="206">
        <v>0</v>
      </c>
      <c r="AB107" s="19">
        <v>45882</v>
      </c>
      <c r="AC107" s="206" t="s">
        <v>1721</v>
      </c>
      <c r="AD107" s="118">
        <v>13</v>
      </c>
      <c r="AE107" s="124" t="s">
        <v>794</v>
      </c>
    </row>
    <row r="108" spans="1:31" x14ac:dyDescent="0.25">
      <c r="A108" s="207">
        <v>0.4375</v>
      </c>
      <c r="B108" s="208">
        <v>45882</v>
      </c>
      <c r="C108" s="206">
        <v>250813</v>
      </c>
      <c r="D108" s="206">
        <v>0</v>
      </c>
      <c r="E108" s="206">
        <v>740.5</v>
      </c>
      <c r="F108" s="206">
        <v>361.6</v>
      </c>
      <c r="G108" s="206">
        <v>337.7</v>
      </c>
      <c r="H108" s="206">
        <v>219.505</v>
      </c>
      <c r="I108" s="206">
        <v>0.19</v>
      </c>
      <c r="J108" s="206"/>
      <c r="K108" s="206">
        <v>0.12</v>
      </c>
      <c r="L108" s="206">
        <v>0.12</v>
      </c>
      <c r="M108" s="206"/>
      <c r="N108" s="206">
        <v>179.6</v>
      </c>
      <c r="O108" s="206">
        <v>15.984400000000001</v>
      </c>
      <c r="P108" s="206"/>
      <c r="Q108" s="206">
        <v>40.663148999999997</v>
      </c>
      <c r="R108" s="206">
        <v>-85.855344000000002</v>
      </c>
      <c r="S108" s="206"/>
      <c r="T108" s="206"/>
      <c r="U108" s="206">
        <v>8.94</v>
      </c>
      <c r="V108" s="206"/>
      <c r="W108" s="206"/>
      <c r="X108" s="206"/>
      <c r="Y108" s="206">
        <v>28.71</v>
      </c>
      <c r="Z108" s="206">
        <v>23.97</v>
      </c>
      <c r="AA108" s="206">
        <v>0</v>
      </c>
      <c r="AB108" s="19">
        <v>45882</v>
      </c>
      <c r="AC108" s="206" t="s">
        <v>1727</v>
      </c>
      <c r="AD108" s="118">
        <v>15</v>
      </c>
      <c r="AE108" s="124" t="s">
        <v>795</v>
      </c>
    </row>
    <row r="109" spans="1:31" x14ac:dyDescent="0.25">
      <c r="A109" s="207">
        <v>0.49305555555555558</v>
      </c>
      <c r="B109" s="208">
        <v>45882</v>
      </c>
      <c r="C109" s="206"/>
      <c r="D109" s="206"/>
      <c r="E109" s="206"/>
      <c r="F109" s="206">
        <v>360.6</v>
      </c>
      <c r="G109" s="206">
        <v>335</v>
      </c>
      <c r="H109" s="206">
        <v>217.75</v>
      </c>
      <c r="I109" s="206">
        <v>0.19</v>
      </c>
      <c r="J109" s="206"/>
      <c r="K109" s="206">
        <v>0.36</v>
      </c>
      <c r="L109" s="206">
        <v>0.36</v>
      </c>
      <c r="M109" s="206"/>
      <c r="N109" s="206">
        <v>203</v>
      </c>
      <c r="O109" s="206">
        <v>18.067</v>
      </c>
      <c r="P109" s="206"/>
      <c r="Q109" s="206">
        <v>40.677225999999997</v>
      </c>
      <c r="R109" s="206">
        <v>-85.876429000000002</v>
      </c>
      <c r="S109" s="206"/>
      <c r="T109" s="206"/>
      <c r="U109" s="206">
        <v>9.0500000000000007</v>
      </c>
      <c r="V109" s="206"/>
      <c r="W109" s="206"/>
      <c r="X109" s="206"/>
      <c r="Y109" s="206">
        <v>29</v>
      </c>
      <c r="Z109" s="206">
        <v>32.159999999999997</v>
      </c>
      <c r="AA109" s="206">
        <v>0</v>
      </c>
      <c r="AB109" s="19">
        <v>45882</v>
      </c>
      <c r="AC109" s="206" t="s">
        <v>1723</v>
      </c>
      <c r="AD109" s="118">
        <v>17</v>
      </c>
      <c r="AE109" s="124" t="s">
        <v>796</v>
      </c>
    </row>
    <row r="110" spans="1:31" x14ac:dyDescent="0.25">
      <c r="A110" s="203">
        <v>0.50302083333333336</v>
      </c>
      <c r="B110" s="204">
        <v>45891</v>
      </c>
      <c r="C110" s="202">
        <v>250822</v>
      </c>
      <c r="D110" s="202">
        <v>0</v>
      </c>
      <c r="E110" s="202">
        <v>743.7</v>
      </c>
      <c r="F110" s="202">
        <v>377.5</v>
      </c>
      <c r="G110" s="202">
        <v>365.6</v>
      </c>
      <c r="H110" s="202">
        <v>238</v>
      </c>
      <c r="I110" s="202">
        <v>0.17</v>
      </c>
      <c r="J110" s="202">
        <v>364.4</v>
      </c>
      <c r="K110" s="202">
        <v>0.44500000000000001</v>
      </c>
      <c r="L110" s="202">
        <v>0.41699999999999998</v>
      </c>
      <c r="M110" s="202">
        <v>0.63</v>
      </c>
      <c r="N110" s="202">
        <v>80.8</v>
      </c>
      <c r="O110" s="202">
        <v>6.47</v>
      </c>
      <c r="P110" s="202">
        <v>82.3</v>
      </c>
      <c r="Q110" s="202">
        <v>40.681730000000002</v>
      </c>
      <c r="R110" s="202">
        <v>-85.888900000000007</v>
      </c>
      <c r="S110" s="202">
        <v>225.6</v>
      </c>
      <c r="T110" s="202">
        <v>121.4</v>
      </c>
      <c r="U110" s="202">
        <v>8.49</v>
      </c>
      <c r="V110" s="202">
        <v>-121.8</v>
      </c>
      <c r="W110" s="202">
        <v>11.9</v>
      </c>
      <c r="X110" s="202">
        <v>0</v>
      </c>
      <c r="Y110" s="202">
        <v>26.7</v>
      </c>
      <c r="Z110" s="202">
        <v>15.65</v>
      </c>
      <c r="AA110" s="202">
        <v>0</v>
      </c>
      <c r="AB110" s="205">
        <v>45891.503020833334</v>
      </c>
      <c r="AC110" s="202" t="s">
        <v>1717</v>
      </c>
      <c r="AD110" s="118" t="str">
        <f t="shared" ref="AD110:AD118" si="7">RIGHT(AC110,1)</f>
        <v>1</v>
      </c>
      <c r="AE110" s="123" t="s">
        <v>752</v>
      </c>
    </row>
    <row r="111" spans="1:31" x14ac:dyDescent="0.25">
      <c r="A111" s="203">
        <v>0.4635185185185185</v>
      </c>
      <c r="B111" s="204">
        <v>45891</v>
      </c>
      <c r="C111" s="202">
        <v>250822</v>
      </c>
      <c r="D111" s="202">
        <v>0</v>
      </c>
      <c r="E111" s="202">
        <v>743.8</v>
      </c>
      <c r="F111" s="202">
        <v>375.6</v>
      </c>
      <c r="G111" s="202">
        <v>364.5</v>
      </c>
      <c r="H111" s="202">
        <v>237</v>
      </c>
      <c r="I111" s="202">
        <v>0.17</v>
      </c>
      <c r="J111" s="202">
        <v>363.3</v>
      </c>
      <c r="K111" s="202">
        <v>0.36199999999999999</v>
      </c>
      <c r="L111" s="202">
        <v>0.36899999999999999</v>
      </c>
      <c r="M111" s="202">
        <v>0.51300000000000001</v>
      </c>
      <c r="N111" s="202">
        <v>80.099999999999994</v>
      </c>
      <c r="O111" s="202">
        <v>6.42</v>
      </c>
      <c r="P111" s="202">
        <v>81.599999999999994</v>
      </c>
      <c r="Q111" s="202">
        <v>40.676659999999998</v>
      </c>
      <c r="R111" s="202">
        <v>-85.877430000000004</v>
      </c>
      <c r="S111" s="202">
        <v>226.3</v>
      </c>
      <c r="T111" s="202">
        <v>160</v>
      </c>
      <c r="U111" s="202">
        <v>8.4499999999999993</v>
      </c>
      <c r="V111" s="202">
        <v>-119.4</v>
      </c>
      <c r="W111" s="202">
        <v>12</v>
      </c>
      <c r="X111" s="202">
        <v>0</v>
      </c>
      <c r="Y111" s="202">
        <v>26.600999999999999</v>
      </c>
      <c r="Z111" s="202">
        <v>18.27</v>
      </c>
      <c r="AA111" s="202">
        <v>0</v>
      </c>
      <c r="AB111" s="205">
        <v>45891.463518518518</v>
      </c>
      <c r="AC111" s="202" t="s">
        <v>1716</v>
      </c>
      <c r="AD111" s="118" t="str">
        <f t="shared" si="7"/>
        <v>2</v>
      </c>
      <c r="AE111" s="123" t="s">
        <v>753</v>
      </c>
    </row>
    <row r="112" spans="1:31" x14ac:dyDescent="0.25">
      <c r="A112" s="203">
        <v>0.45114583333333336</v>
      </c>
      <c r="B112" s="204">
        <v>45891</v>
      </c>
      <c r="C112" s="202">
        <v>250822</v>
      </c>
      <c r="D112" s="202">
        <v>0</v>
      </c>
      <c r="E112" s="202">
        <v>743.9</v>
      </c>
      <c r="F112" s="202">
        <v>370.2</v>
      </c>
      <c r="G112" s="202">
        <v>359.5</v>
      </c>
      <c r="H112" s="202">
        <v>234</v>
      </c>
      <c r="I112" s="202">
        <v>0.17</v>
      </c>
      <c r="J112" s="202">
        <v>358.4</v>
      </c>
      <c r="K112" s="202">
        <v>0.39900000000000002</v>
      </c>
      <c r="L112" s="202">
        <v>0.39400000000000002</v>
      </c>
      <c r="M112" s="202">
        <v>0.56599999999999995</v>
      </c>
      <c r="N112" s="202">
        <v>89.9</v>
      </c>
      <c r="O112" s="202">
        <v>7.21</v>
      </c>
      <c r="P112" s="202">
        <v>91.6</v>
      </c>
      <c r="Q112" s="202">
        <v>40.670760000000001</v>
      </c>
      <c r="R112" s="202">
        <v>-85.870580000000004</v>
      </c>
      <c r="S112" s="202">
        <v>218.8</v>
      </c>
      <c r="T112" s="202">
        <v>153</v>
      </c>
      <c r="U112" s="202">
        <v>8.6</v>
      </c>
      <c r="V112" s="202">
        <v>-128.19999999999999</v>
      </c>
      <c r="W112" s="202">
        <v>12</v>
      </c>
      <c r="X112" s="202">
        <v>0</v>
      </c>
      <c r="Y112" s="202">
        <v>26.56</v>
      </c>
      <c r="Z112" s="202">
        <v>20.149999999999999</v>
      </c>
      <c r="AA112" s="202">
        <v>0</v>
      </c>
      <c r="AB112" s="205">
        <v>45891.451145833336</v>
      </c>
      <c r="AC112" s="202" t="s">
        <v>1715</v>
      </c>
      <c r="AD112" s="118" t="str">
        <f t="shared" si="7"/>
        <v>3</v>
      </c>
      <c r="AE112" s="123" t="s">
        <v>754</v>
      </c>
    </row>
    <row r="113" spans="1:31" x14ac:dyDescent="0.25">
      <c r="A113" s="203">
        <v>0.43929398148148147</v>
      </c>
      <c r="B113" s="204">
        <v>45891</v>
      </c>
      <c r="C113" s="202">
        <v>250822</v>
      </c>
      <c r="D113" s="202">
        <v>0</v>
      </c>
      <c r="E113" s="202">
        <v>744</v>
      </c>
      <c r="F113" s="202">
        <v>369.7</v>
      </c>
      <c r="G113" s="202">
        <v>357.6</v>
      </c>
      <c r="H113" s="202">
        <v>232</v>
      </c>
      <c r="I113" s="202">
        <v>0.17</v>
      </c>
      <c r="J113" s="202">
        <v>356.3</v>
      </c>
      <c r="K113" s="202">
        <v>0.28599999999999998</v>
      </c>
      <c r="L113" s="202">
        <v>0.26300000000000001</v>
      </c>
      <c r="M113" s="202">
        <v>0.40600000000000003</v>
      </c>
      <c r="N113" s="202">
        <v>98</v>
      </c>
      <c r="O113" s="202">
        <v>7.83</v>
      </c>
      <c r="P113" s="202">
        <v>99.8</v>
      </c>
      <c r="Q113" s="202">
        <v>40.663110000000003</v>
      </c>
      <c r="R113" s="202">
        <v>-85.866550000000004</v>
      </c>
      <c r="S113" s="202">
        <v>215.5</v>
      </c>
      <c r="T113" s="202">
        <v>140.1</v>
      </c>
      <c r="U113" s="202">
        <v>8.67</v>
      </c>
      <c r="V113" s="202">
        <v>-132.5</v>
      </c>
      <c r="W113" s="202">
        <v>11.9</v>
      </c>
      <c r="X113" s="202">
        <v>0</v>
      </c>
      <c r="Y113" s="202">
        <v>26.771000000000001</v>
      </c>
      <c r="Z113" s="202">
        <v>24.72</v>
      </c>
      <c r="AA113" s="202">
        <v>0</v>
      </c>
      <c r="AB113" s="205">
        <v>45891.439293981479</v>
      </c>
      <c r="AC113" s="202" t="s">
        <v>1714</v>
      </c>
      <c r="AD113" s="118" t="str">
        <f t="shared" si="7"/>
        <v>4</v>
      </c>
      <c r="AE113" s="123" t="s">
        <v>755</v>
      </c>
    </row>
    <row r="114" spans="1:31" x14ac:dyDescent="0.25">
      <c r="A114" s="203">
        <v>0.40866898148148151</v>
      </c>
      <c r="B114" s="204">
        <v>45891</v>
      </c>
      <c r="C114" s="202">
        <v>250822</v>
      </c>
      <c r="D114" s="202">
        <v>0</v>
      </c>
      <c r="E114" s="202">
        <v>744.1</v>
      </c>
      <c r="F114" s="202">
        <v>380.2</v>
      </c>
      <c r="G114" s="202">
        <v>368.9</v>
      </c>
      <c r="H114" s="202">
        <v>240</v>
      </c>
      <c r="I114" s="202">
        <v>0.18</v>
      </c>
      <c r="J114" s="202">
        <v>367.7</v>
      </c>
      <c r="K114" s="202">
        <v>0.34</v>
      </c>
      <c r="L114" s="202">
        <v>0.34399999999999997</v>
      </c>
      <c r="M114" s="202">
        <v>0.48099999999999998</v>
      </c>
      <c r="N114" s="202">
        <v>97.6</v>
      </c>
      <c r="O114" s="202">
        <v>7.82</v>
      </c>
      <c r="P114" s="202">
        <v>99.4</v>
      </c>
      <c r="Q114" s="202">
        <v>40.668750000000003</v>
      </c>
      <c r="R114" s="202">
        <v>-85.847790000000003</v>
      </c>
      <c r="S114" s="202">
        <v>223.9</v>
      </c>
      <c r="T114" s="202">
        <v>126.5</v>
      </c>
      <c r="U114" s="202">
        <v>8.59</v>
      </c>
      <c r="V114" s="202">
        <v>-127.4</v>
      </c>
      <c r="W114" s="202">
        <v>11.9</v>
      </c>
      <c r="X114" s="202">
        <v>0</v>
      </c>
      <c r="Y114" s="202">
        <v>26.603000000000002</v>
      </c>
      <c r="Z114" s="202">
        <v>25.56</v>
      </c>
      <c r="AA114" s="202">
        <v>0</v>
      </c>
      <c r="AB114" s="205">
        <v>45891.408668981479</v>
      </c>
      <c r="AC114" s="202" t="s">
        <v>1713</v>
      </c>
      <c r="AD114" s="118" t="str">
        <f t="shared" si="7"/>
        <v>5</v>
      </c>
      <c r="AE114" s="123" t="s">
        <v>756</v>
      </c>
    </row>
    <row r="115" spans="1:31" x14ac:dyDescent="0.25">
      <c r="A115" s="203">
        <v>0.3903240740740741</v>
      </c>
      <c r="B115" s="204">
        <v>45891</v>
      </c>
      <c r="C115" s="202">
        <v>250822</v>
      </c>
      <c r="D115" s="202">
        <v>0</v>
      </c>
      <c r="E115" s="202">
        <v>743.9</v>
      </c>
      <c r="F115" s="202">
        <v>400.6</v>
      </c>
      <c r="G115" s="202">
        <v>389.1</v>
      </c>
      <c r="H115" s="202">
        <v>253</v>
      </c>
      <c r="I115" s="202">
        <v>0.18</v>
      </c>
      <c r="J115" s="202">
        <v>387.8</v>
      </c>
      <c r="K115" s="202">
        <v>0.37</v>
      </c>
      <c r="L115" s="202">
        <v>0.36799999999999999</v>
      </c>
      <c r="M115" s="202">
        <v>0.52500000000000002</v>
      </c>
      <c r="N115" s="202">
        <v>75.400000000000006</v>
      </c>
      <c r="O115" s="202">
        <v>6.05</v>
      </c>
      <c r="P115" s="202">
        <v>76.8</v>
      </c>
      <c r="Q115" s="202">
        <v>40.673499999999997</v>
      </c>
      <c r="R115" s="202">
        <v>-85.832070000000002</v>
      </c>
      <c r="S115" s="202">
        <v>222.2</v>
      </c>
      <c r="T115" s="202">
        <v>150.6</v>
      </c>
      <c r="U115" s="202">
        <v>8.2100000000000009</v>
      </c>
      <c r="V115" s="202">
        <v>-104.5</v>
      </c>
      <c r="W115" s="202">
        <v>11.9</v>
      </c>
      <c r="X115" s="202">
        <v>0</v>
      </c>
      <c r="Y115" s="202">
        <v>26.558</v>
      </c>
      <c r="Z115" s="202">
        <v>28.4</v>
      </c>
      <c r="AA115" s="202">
        <v>0</v>
      </c>
      <c r="AB115" s="205">
        <v>45891.390324074076</v>
      </c>
      <c r="AC115" s="202" t="s">
        <v>1712</v>
      </c>
      <c r="AD115" s="118" t="str">
        <f t="shared" si="7"/>
        <v>6</v>
      </c>
      <c r="AE115" s="123" t="s">
        <v>757</v>
      </c>
    </row>
    <row r="116" spans="1:31" x14ac:dyDescent="0.25">
      <c r="A116" s="203">
        <v>0.35283564814814816</v>
      </c>
      <c r="B116" s="204">
        <v>45891</v>
      </c>
      <c r="C116" s="202">
        <v>250822</v>
      </c>
      <c r="D116" s="202">
        <v>0</v>
      </c>
      <c r="E116" s="202">
        <v>744.1</v>
      </c>
      <c r="F116" s="202">
        <v>375.1</v>
      </c>
      <c r="G116" s="202">
        <v>366.3</v>
      </c>
      <c r="H116" s="202">
        <v>238</v>
      </c>
      <c r="I116" s="202">
        <v>0.17</v>
      </c>
      <c r="J116" s="202">
        <v>365.3</v>
      </c>
      <c r="K116" s="202">
        <v>0.26100000000000001</v>
      </c>
      <c r="L116" s="202">
        <v>0.25700000000000001</v>
      </c>
      <c r="M116" s="202">
        <v>0.37</v>
      </c>
      <c r="N116" s="202">
        <v>70.5</v>
      </c>
      <c r="O116" s="202">
        <v>5.68</v>
      </c>
      <c r="P116" s="202">
        <v>71.8</v>
      </c>
      <c r="Q116" s="202">
        <v>40.687359999999998</v>
      </c>
      <c r="R116" s="202">
        <v>-85.89716</v>
      </c>
      <c r="S116" s="202">
        <v>225.5</v>
      </c>
      <c r="T116" s="202">
        <v>206.7</v>
      </c>
      <c r="U116" s="202">
        <v>8.0299999999999994</v>
      </c>
      <c r="V116" s="202">
        <v>-94</v>
      </c>
      <c r="W116" s="202">
        <v>11.9</v>
      </c>
      <c r="X116" s="202">
        <v>0</v>
      </c>
      <c r="Y116" s="202">
        <v>26.265999999999998</v>
      </c>
      <c r="Z116" s="202">
        <v>13.62</v>
      </c>
      <c r="AA116" s="202">
        <v>0</v>
      </c>
      <c r="AB116" s="205">
        <v>45891.352835648147</v>
      </c>
      <c r="AC116" s="202" t="s">
        <v>1724</v>
      </c>
      <c r="AD116" s="118" t="str">
        <f t="shared" si="7"/>
        <v>7</v>
      </c>
      <c r="AE116" s="123" t="s">
        <v>758</v>
      </c>
    </row>
    <row r="117" spans="1:31" x14ac:dyDescent="0.25">
      <c r="A117" s="203">
        <v>0.52255787037037038</v>
      </c>
      <c r="B117" s="204">
        <v>45891</v>
      </c>
      <c r="C117" s="202">
        <v>250822</v>
      </c>
      <c r="D117" s="202">
        <v>0</v>
      </c>
      <c r="E117" s="202">
        <v>743.6</v>
      </c>
      <c r="F117" s="202">
        <v>376</v>
      </c>
      <c r="G117" s="202">
        <v>365.5</v>
      </c>
      <c r="H117" s="202">
        <v>238</v>
      </c>
      <c r="I117" s="202">
        <v>0.17</v>
      </c>
      <c r="J117" s="202">
        <v>364.4</v>
      </c>
      <c r="K117" s="202">
        <v>0.35199999999999998</v>
      </c>
      <c r="L117" s="202">
        <v>0.36399999999999999</v>
      </c>
      <c r="M117" s="202">
        <v>0.499</v>
      </c>
      <c r="N117" s="202">
        <v>84.8</v>
      </c>
      <c r="O117" s="202">
        <v>6.81</v>
      </c>
      <c r="P117" s="202">
        <v>86.4</v>
      </c>
      <c r="Q117" s="202">
        <v>40.691769999999998</v>
      </c>
      <c r="R117" s="202">
        <v>-85.908330000000007</v>
      </c>
      <c r="S117" s="202">
        <v>221.7</v>
      </c>
      <c r="T117" s="202">
        <v>130.69999999999999</v>
      </c>
      <c r="U117" s="202">
        <v>8.5500000000000007</v>
      </c>
      <c r="V117" s="202">
        <v>-125.2</v>
      </c>
      <c r="W117" s="202">
        <v>11.9</v>
      </c>
      <c r="X117" s="202">
        <v>0</v>
      </c>
      <c r="Y117" s="202">
        <v>26.5</v>
      </c>
      <c r="Z117" s="202">
        <v>15.12</v>
      </c>
      <c r="AA117" s="202">
        <v>0</v>
      </c>
      <c r="AB117" s="205">
        <v>45891.522557870368</v>
      </c>
      <c r="AC117" s="202" t="s">
        <v>1722</v>
      </c>
      <c r="AD117" s="118" t="str">
        <f t="shared" si="7"/>
        <v>8</v>
      </c>
      <c r="AE117" s="123" t="s">
        <v>759</v>
      </c>
    </row>
    <row r="118" spans="1:31" x14ac:dyDescent="0.25">
      <c r="A118" s="203">
        <v>0.56024305555555554</v>
      </c>
      <c r="B118" s="204">
        <v>45891</v>
      </c>
      <c r="C118" s="202">
        <v>250822</v>
      </c>
      <c r="D118" s="202">
        <v>0</v>
      </c>
      <c r="E118" s="202">
        <v>743.4</v>
      </c>
      <c r="F118" s="202">
        <v>374.6</v>
      </c>
      <c r="G118" s="202">
        <v>361.5</v>
      </c>
      <c r="H118" s="202">
        <v>235</v>
      </c>
      <c r="I118" s="202">
        <v>0.17</v>
      </c>
      <c r="J118" s="202">
        <v>360.1</v>
      </c>
      <c r="K118" s="202">
        <v>0.33300000000000002</v>
      </c>
      <c r="L118" s="202">
        <v>0.374</v>
      </c>
      <c r="M118" s="202">
        <v>0.47099999999999997</v>
      </c>
      <c r="N118" s="202">
        <v>105.6</v>
      </c>
      <c r="O118" s="202">
        <v>8.43</v>
      </c>
      <c r="P118" s="202">
        <v>107.6</v>
      </c>
      <c r="Q118" s="202">
        <v>40.704219999999999</v>
      </c>
      <c r="R118" s="202">
        <v>-85.929969999999997</v>
      </c>
      <c r="S118" s="202">
        <v>220.8</v>
      </c>
      <c r="T118" s="202">
        <v>80.8</v>
      </c>
      <c r="U118" s="202">
        <v>8.76</v>
      </c>
      <c r="V118" s="202">
        <v>-138.1</v>
      </c>
      <c r="W118" s="202">
        <v>11.9</v>
      </c>
      <c r="X118" s="202">
        <v>0</v>
      </c>
      <c r="Y118" s="202">
        <v>26.89</v>
      </c>
      <c r="Z118" s="202">
        <v>16.899999999999999</v>
      </c>
      <c r="AA118" s="202">
        <v>0</v>
      </c>
      <c r="AB118" s="205">
        <v>45891.560243055559</v>
      </c>
      <c r="AC118" s="202" t="s">
        <v>1718</v>
      </c>
      <c r="AD118" s="118" t="str">
        <f t="shared" si="7"/>
        <v>9</v>
      </c>
      <c r="AE118" s="123" t="s">
        <v>760</v>
      </c>
    </row>
    <row r="119" spans="1:31" x14ac:dyDescent="0.25">
      <c r="A119" s="203">
        <v>0.53844907407407405</v>
      </c>
      <c r="B119" s="204">
        <v>45891</v>
      </c>
      <c r="C119" s="202">
        <v>250822</v>
      </c>
      <c r="D119" s="202">
        <v>0</v>
      </c>
      <c r="E119" s="202">
        <v>743.4</v>
      </c>
      <c r="F119" s="202">
        <v>374.7</v>
      </c>
      <c r="G119" s="202">
        <v>361.9</v>
      </c>
      <c r="H119" s="202">
        <v>235</v>
      </c>
      <c r="I119" s="202">
        <v>0.17</v>
      </c>
      <c r="J119" s="202">
        <v>360.5</v>
      </c>
      <c r="K119" s="202">
        <v>0.32700000000000001</v>
      </c>
      <c r="L119" s="202">
        <v>0.34300000000000003</v>
      </c>
      <c r="M119" s="202">
        <v>0.46400000000000002</v>
      </c>
      <c r="N119" s="202">
        <v>96.6</v>
      </c>
      <c r="O119" s="202">
        <v>7.71</v>
      </c>
      <c r="P119" s="202">
        <v>98.4</v>
      </c>
      <c r="Q119" s="202">
        <v>40.693460000000002</v>
      </c>
      <c r="R119" s="202">
        <v>-85.920270000000002</v>
      </c>
      <c r="S119" s="202">
        <v>224.3</v>
      </c>
      <c r="T119" s="202">
        <v>149</v>
      </c>
      <c r="U119" s="202">
        <v>8.6</v>
      </c>
      <c r="V119" s="202">
        <v>-128.6</v>
      </c>
      <c r="W119" s="202">
        <v>12</v>
      </c>
      <c r="X119" s="202">
        <v>0</v>
      </c>
      <c r="Y119" s="202">
        <v>26.861000000000001</v>
      </c>
      <c r="Z119" s="202">
        <v>22.26</v>
      </c>
      <c r="AA119" s="202">
        <v>0</v>
      </c>
      <c r="AB119" s="205">
        <v>45891.538449074076</v>
      </c>
      <c r="AC119" s="202" t="s">
        <v>1725</v>
      </c>
      <c r="AD119" s="118">
        <v>10</v>
      </c>
      <c r="AE119" s="123" t="s">
        <v>761</v>
      </c>
    </row>
    <row r="120" spans="1:31" x14ac:dyDescent="0.25">
      <c r="A120" s="203">
        <v>0.57420138888888894</v>
      </c>
      <c r="B120" s="204">
        <v>45891</v>
      </c>
      <c r="C120" s="202">
        <v>250822</v>
      </c>
      <c r="D120" s="202">
        <v>0</v>
      </c>
      <c r="E120" s="202">
        <v>743.2</v>
      </c>
      <c r="F120" s="202">
        <v>381.2</v>
      </c>
      <c r="G120" s="202">
        <v>366.4</v>
      </c>
      <c r="H120" s="202">
        <v>238</v>
      </c>
      <c r="I120" s="202">
        <v>0.17</v>
      </c>
      <c r="J120" s="202">
        <v>364.8</v>
      </c>
      <c r="K120" s="202">
        <v>0.38900000000000001</v>
      </c>
      <c r="L120" s="202">
        <v>0.39400000000000002</v>
      </c>
      <c r="M120" s="202">
        <v>0.55100000000000005</v>
      </c>
      <c r="N120" s="202">
        <v>95.4</v>
      </c>
      <c r="O120" s="202">
        <v>7.58</v>
      </c>
      <c r="P120" s="202">
        <v>97.2</v>
      </c>
      <c r="Q120" s="202">
        <v>40.710859999999997</v>
      </c>
      <c r="R120" s="202">
        <v>-85.938559999999995</v>
      </c>
      <c r="S120" s="202">
        <v>218.8</v>
      </c>
      <c r="T120" s="202">
        <v>73</v>
      </c>
      <c r="U120" s="202">
        <v>8.65</v>
      </c>
      <c r="V120" s="202">
        <v>-131.19999999999999</v>
      </c>
      <c r="W120" s="202">
        <v>11.9</v>
      </c>
      <c r="X120" s="202">
        <v>0</v>
      </c>
      <c r="Y120" s="202">
        <v>27.120999999999999</v>
      </c>
      <c r="Z120" s="202">
        <v>13.71</v>
      </c>
      <c r="AA120" s="202">
        <v>0</v>
      </c>
      <c r="AB120" s="205">
        <v>45891.574201388888</v>
      </c>
      <c r="AC120" s="202" t="s">
        <v>1719</v>
      </c>
      <c r="AD120" s="118">
        <v>11</v>
      </c>
      <c r="AE120" s="123" t="s">
        <v>762</v>
      </c>
    </row>
    <row r="121" spans="1:31" x14ac:dyDescent="0.25">
      <c r="A121" s="203">
        <v>0.59285879629629634</v>
      </c>
      <c r="B121" s="204">
        <v>45891</v>
      </c>
      <c r="C121" s="202">
        <v>250822</v>
      </c>
      <c r="D121" s="202">
        <v>0</v>
      </c>
      <c r="E121" s="202">
        <v>743.1</v>
      </c>
      <c r="F121" s="202">
        <v>379.3</v>
      </c>
      <c r="G121" s="202">
        <v>364.8</v>
      </c>
      <c r="H121" s="202">
        <v>237</v>
      </c>
      <c r="I121" s="202">
        <v>0.17</v>
      </c>
      <c r="J121" s="202">
        <v>363.3</v>
      </c>
      <c r="K121" s="202">
        <v>0.29799999999999999</v>
      </c>
      <c r="L121" s="202">
        <v>0.312</v>
      </c>
      <c r="M121" s="202">
        <v>0.42199999999999999</v>
      </c>
      <c r="N121" s="202">
        <v>101.5</v>
      </c>
      <c r="O121" s="202">
        <v>8.07</v>
      </c>
      <c r="P121" s="202">
        <v>103.4</v>
      </c>
      <c r="Q121" s="202">
        <v>40.711620000000003</v>
      </c>
      <c r="R121" s="202">
        <v>-85.950739999999996</v>
      </c>
      <c r="S121" s="202">
        <v>226.5</v>
      </c>
      <c r="T121" s="202">
        <v>91.4</v>
      </c>
      <c r="U121" s="202">
        <v>8.6999999999999993</v>
      </c>
      <c r="V121" s="202">
        <v>-134.5</v>
      </c>
      <c r="W121" s="202">
        <v>11.9</v>
      </c>
      <c r="X121" s="202">
        <v>0</v>
      </c>
      <c r="Y121" s="202">
        <v>27.074999999999999</v>
      </c>
      <c r="Z121" s="202">
        <v>13.75</v>
      </c>
      <c r="AA121" s="202">
        <v>0</v>
      </c>
      <c r="AB121" s="205">
        <v>45891.592858796299</v>
      </c>
      <c r="AC121" s="202" t="s">
        <v>1720</v>
      </c>
      <c r="AD121" s="118">
        <v>12</v>
      </c>
      <c r="AE121" s="123" t="s">
        <v>763</v>
      </c>
    </row>
    <row r="122" spans="1:31" x14ac:dyDescent="0.25">
      <c r="A122" s="203">
        <v>0.42196759259259259</v>
      </c>
      <c r="B122" s="204">
        <v>45891</v>
      </c>
      <c r="C122" s="202">
        <v>250822</v>
      </c>
      <c r="D122" s="202">
        <v>0</v>
      </c>
      <c r="E122" s="202">
        <v>744</v>
      </c>
      <c r="F122" s="202">
        <v>391.2</v>
      </c>
      <c r="G122" s="202">
        <v>379.1</v>
      </c>
      <c r="H122" s="202">
        <v>246</v>
      </c>
      <c r="I122" s="202">
        <v>0.18</v>
      </c>
      <c r="J122" s="202">
        <v>377.8</v>
      </c>
      <c r="K122" s="202">
        <v>0.23899999999999999</v>
      </c>
      <c r="L122" s="202">
        <v>0.253</v>
      </c>
      <c r="M122" s="202">
        <v>0.33900000000000002</v>
      </c>
      <c r="N122" s="202">
        <v>97.4</v>
      </c>
      <c r="O122" s="202">
        <v>7.8</v>
      </c>
      <c r="P122" s="202">
        <v>99.3</v>
      </c>
      <c r="Q122" s="202">
        <v>40.672559999999997</v>
      </c>
      <c r="R122" s="202">
        <v>-85.841610000000003</v>
      </c>
      <c r="S122" s="202">
        <v>220.7</v>
      </c>
      <c r="T122" s="202">
        <v>152.4</v>
      </c>
      <c r="U122" s="202">
        <v>8.49</v>
      </c>
      <c r="V122" s="202">
        <v>-121.8</v>
      </c>
      <c r="W122" s="202">
        <v>12</v>
      </c>
      <c r="X122" s="202">
        <v>0</v>
      </c>
      <c r="Y122" s="202">
        <v>26.681000000000001</v>
      </c>
      <c r="Z122" s="202">
        <v>26.73</v>
      </c>
      <c r="AA122" s="202">
        <v>0</v>
      </c>
      <c r="AB122" s="205">
        <v>45891.421967592592</v>
      </c>
      <c r="AC122" s="202" t="s">
        <v>1721</v>
      </c>
      <c r="AD122" s="118">
        <v>13</v>
      </c>
      <c r="AE122" s="123" t="s">
        <v>764</v>
      </c>
    </row>
    <row r="123" spans="1:31" x14ac:dyDescent="0.25">
      <c r="A123" s="209">
        <v>0.49682870370370369</v>
      </c>
      <c r="B123" s="210">
        <v>45915</v>
      </c>
      <c r="C123" s="111">
        <v>250915</v>
      </c>
      <c r="D123" s="111">
        <v>0</v>
      </c>
      <c r="E123" s="111">
        <v>745.8</v>
      </c>
      <c r="F123" s="111">
        <v>368.4</v>
      </c>
      <c r="G123" s="111">
        <v>381.6</v>
      </c>
      <c r="H123" s="111">
        <v>248</v>
      </c>
      <c r="I123" s="111">
        <v>0.18</v>
      </c>
      <c r="J123" s="111">
        <v>382.9</v>
      </c>
      <c r="K123" s="111">
        <v>0.41899999999999998</v>
      </c>
      <c r="L123" s="111">
        <v>0.46400000000000002</v>
      </c>
      <c r="M123" s="111">
        <v>0.59399999999999997</v>
      </c>
      <c r="N123" s="111">
        <v>137.1</v>
      </c>
      <c r="O123" s="111">
        <v>11.71</v>
      </c>
      <c r="P123" s="111">
        <v>139.5</v>
      </c>
      <c r="Q123" s="111">
        <v>40.681719999999999</v>
      </c>
      <c r="R123" s="111">
        <v>-85.888990000000007</v>
      </c>
      <c r="S123" s="111">
        <v>227.6</v>
      </c>
      <c r="T123" s="111">
        <v>145.6</v>
      </c>
      <c r="U123" s="111">
        <v>8.77</v>
      </c>
      <c r="V123" s="111">
        <v>-140.1</v>
      </c>
      <c r="W123" s="111">
        <v>11.9</v>
      </c>
      <c r="X123" s="111">
        <v>0</v>
      </c>
      <c r="Y123" s="111">
        <v>23.184999999999999</v>
      </c>
      <c r="Z123" s="111">
        <v>17.05</v>
      </c>
      <c r="AA123" s="111">
        <v>0</v>
      </c>
      <c r="AB123" s="211">
        <v>45915.496828703705</v>
      </c>
      <c r="AC123" s="111" t="s">
        <v>1717</v>
      </c>
      <c r="AD123" s="118" t="str">
        <f t="shared" ref="AD123:AD131" si="8">RIGHT(AC123,1)</f>
        <v>1</v>
      </c>
      <c r="AE123" s="119" t="s">
        <v>765</v>
      </c>
    </row>
    <row r="124" spans="1:31" x14ac:dyDescent="0.25">
      <c r="A124" s="209">
        <v>0.51194444444444442</v>
      </c>
      <c r="B124" s="210">
        <v>45915</v>
      </c>
      <c r="C124" s="111">
        <v>250915</v>
      </c>
      <c r="D124" s="111">
        <v>0</v>
      </c>
      <c r="E124" s="111">
        <v>745.6</v>
      </c>
      <c r="F124" s="111">
        <v>369.9</v>
      </c>
      <c r="G124" s="111">
        <v>377.1</v>
      </c>
      <c r="H124" s="111">
        <v>245</v>
      </c>
      <c r="I124" s="111">
        <v>0.18</v>
      </c>
      <c r="J124" s="111">
        <v>377.9</v>
      </c>
      <c r="K124" s="111">
        <v>0.29699999999999999</v>
      </c>
      <c r="L124" s="111">
        <v>0.30499999999999999</v>
      </c>
      <c r="M124" s="111">
        <v>0.42099999999999999</v>
      </c>
      <c r="N124" s="111">
        <v>174.9</v>
      </c>
      <c r="O124" s="111">
        <v>14.71</v>
      </c>
      <c r="P124" s="111">
        <v>177.9</v>
      </c>
      <c r="Q124" s="111">
        <v>40.67698</v>
      </c>
      <c r="R124" s="111">
        <v>-85.877269999999996</v>
      </c>
      <c r="S124" s="111">
        <v>226.1</v>
      </c>
      <c r="T124" s="111">
        <v>144.9</v>
      </c>
      <c r="U124" s="111">
        <v>9</v>
      </c>
      <c r="V124" s="111">
        <v>-154.4</v>
      </c>
      <c r="W124" s="111">
        <v>12</v>
      </c>
      <c r="X124" s="111">
        <v>0</v>
      </c>
      <c r="Y124" s="111">
        <v>24</v>
      </c>
      <c r="Z124" s="111">
        <v>27.35</v>
      </c>
      <c r="AA124" s="111">
        <v>0</v>
      </c>
      <c r="AB124" s="211">
        <v>45915.511944444443</v>
      </c>
      <c r="AC124" s="111" t="s">
        <v>1716</v>
      </c>
      <c r="AD124" s="118" t="str">
        <f t="shared" si="8"/>
        <v>2</v>
      </c>
      <c r="AE124" s="119" t="s">
        <v>766</v>
      </c>
    </row>
    <row r="125" spans="1:31" x14ac:dyDescent="0.25">
      <c r="A125" s="209">
        <v>0.52479166666666666</v>
      </c>
      <c r="B125" s="210">
        <v>45915</v>
      </c>
      <c r="C125" s="111">
        <v>250915</v>
      </c>
      <c r="D125" s="111">
        <v>0</v>
      </c>
      <c r="E125" s="111">
        <v>745.6</v>
      </c>
      <c r="F125" s="111">
        <v>365.2</v>
      </c>
      <c r="G125" s="111">
        <v>378.6</v>
      </c>
      <c r="H125" s="111">
        <v>246</v>
      </c>
      <c r="I125" s="111">
        <v>0.18</v>
      </c>
      <c r="J125" s="111">
        <v>379.9</v>
      </c>
      <c r="K125" s="111">
        <v>0.33300000000000002</v>
      </c>
      <c r="L125" s="111">
        <v>0.32700000000000001</v>
      </c>
      <c r="M125" s="111">
        <v>0.47299999999999998</v>
      </c>
      <c r="N125" s="111">
        <v>153.69999999999999</v>
      </c>
      <c r="O125" s="111">
        <v>13.13</v>
      </c>
      <c r="P125" s="111">
        <v>156.4</v>
      </c>
      <c r="Q125" s="111">
        <v>40.670549999999999</v>
      </c>
      <c r="R125" s="111">
        <v>-85.870670000000004</v>
      </c>
      <c r="S125" s="111">
        <v>222.4</v>
      </c>
      <c r="T125" s="111">
        <v>149.9</v>
      </c>
      <c r="U125" s="111">
        <v>8.89</v>
      </c>
      <c r="V125" s="111">
        <v>-147.30000000000001</v>
      </c>
      <c r="W125" s="111">
        <v>12</v>
      </c>
      <c r="X125" s="111">
        <v>0</v>
      </c>
      <c r="Y125" s="111">
        <v>23.155000000000001</v>
      </c>
      <c r="Z125" s="111">
        <v>19.510000000000002</v>
      </c>
      <c r="AA125" s="111">
        <v>0</v>
      </c>
      <c r="AB125" s="211">
        <v>45915.524791666663</v>
      </c>
      <c r="AC125" s="111" t="s">
        <v>1715</v>
      </c>
      <c r="AD125" s="118" t="str">
        <f t="shared" si="8"/>
        <v>3</v>
      </c>
      <c r="AE125" s="119" t="s">
        <v>767</v>
      </c>
    </row>
    <row r="126" spans="1:31" x14ac:dyDescent="0.25">
      <c r="A126" s="209">
        <v>0.53408564814814818</v>
      </c>
      <c r="B126" s="210">
        <v>45915</v>
      </c>
      <c r="C126" s="111">
        <v>250915</v>
      </c>
      <c r="D126" s="111">
        <v>0</v>
      </c>
      <c r="E126" s="111">
        <v>745.5</v>
      </c>
      <c r="F126" s="111">
        <v>374</v>
      </c>
      <c r="G126" s="111">
        <v>386.1</v>
      </c>
      <c r="H126" s="111">
        <v>251</v>
      </c>
      <c r="I126" s="111">
        <v>0.18</v>
      </c>
      <c r="J126" s="111">
        <v>387.4</v>
      </c>
      <c r="K126" s="111">
        <v>0.32500000000000001</v>
      </c>
      <c r="L126" s="111">
        <v>0.309</v>
      </c>
      <c r="M126" s="111">
        <v>0.46100000000000002</v>
      </c>
      <c r="N126" s="111">
        <v>148</v>
      </c>
      <c r="O126" s="111">
        <v>12.6</v>
      </c>
      <c r="P126" s="111">
        <v>150.6</v>
      </c>
      <c r="Q126" s="111">
        <v>40.663269999999997</v>
      </c>
      <c r="R126" s="111">
        <v>-85.866810000000001</v>
      </c>
      <c r="S126" s="111">
        <v>223.7</v>
      </c>
      <c r="T126" s="111">
        <v>174</v>
      </c>
      <c r="U126" s="111">
        <v>8.8699999999999992</v>
      </c>
      <c r="V126" s="111">
        <v>-146</v>
      </c>
      <c r="W126" s="111">
        <v>12</v>
      </c>
      <c r="X126" s="111">
        <v>0</v>
      </c>
      <c r="Y126" s="111">
        <v>23.355</v>
      </c>
      <c r="Z126" s="111">
        <v>20.04</v>
      </c>
      <c r="AA126" s="111">
        <v>0</v>
      </c>
      <c r="AB126" s="211">
        <v>45915.534085648149</v>
      </c>
      <c r="AC126" s="111" t="s">
        <v>1714</v>
      </c>
      <c r="AD126" s="118" t="str">
        <f t="shared" si="8"/>
        <v>4</v>
      </c>
      <c r="AE126" s="119" t="s">
        <v>768</v>
      </c>
    </row>
    <row r="127" spans="1:31" x14ac:dyDescent="0.25">
      <c r="A127" s="209">
        <v>0.55596064814814816</v>
      </c>
      <c r="B127" s="210">
        <v>45915</v>
      </c>
      <c r="C127" s="111">
        <v>250915</v>
      </c>
      <c r="D127" s="111">
        <v>0</v>
      </c>
      <c r="E127" s="111">
        <v>745.2</v>
      </c>
      <c r="F127" s="111">
        <v>384.7</v>
      </c>
      <c r="G127" s="111">
        <v>395.9</v>
      </c>
      <c r="H127" s="111">
        <v>257</v>
      </c>
      <c r="I127" s="111">
        <v>0.19</v>
      </c>
      <c r="J127" s="111">
        <v>397</v>
      </c>
      <c r="K127" s="111">
        <v>0.438</v>
      </c>
      <c r="L127" s="111">
        <v>0.47199999999999998</v>
      </c>
      <c r="M127" s="111">
        <v>0.622</v>
      </c>
      <c r="N127" s="111">
        <v>161.6</v>
      </c>
      <c r="O127" s="111">
        <v>13.72</v>
      </c>
      <c r="P127" s="111">
        <v>164.5</v>
      </c>
      <c r="Q127" s="111">
        <v>40.668039999999998</v>
      </c>
      <c r="R127" s="111">
        <v>-85.848079999999996</v>
      </c>
      <c r="S127" s="111">
        <v>223.6</v>
      </c>
      <c r="T127" s="111">
        <v>125</v>
      </c>
      <c r="U127" s="111">
        <v>8.92</v>
      </c>
      <c r="V127" s="111">
        <v>-149.4</v>
      </c>
      <c r="W127" s="111">
        <v>11.9</v>
      </c>
      <c r="X127" s="111">
        <v>0</v>
      </c>
      <c r="Y127" s="111">
        <v>23.52</v>
      </c>
      <c r="Z127" s="111">
        <v>27.16</v>
      </c>
      <c r="AA127" s="111">
        <v>0</v>
      </c>
      <c r="AB127" s="211">
        <v>45915.555960648147</v>
      </c>
      <c r="AC127" s="111" t="s">
        <v>1713</v>
      </c>
      <c r="AD127" s="118" t="str">
        <f t="shared" si="8"/>
        <v>5</v>
      </c>
      <c r="AE127" s="119" t="s">
        <v>769</v>
      </c>
    </row>
    <row r="128" spans="1:31" x14ac:dyDescent="0.25">
      <c r="A128" s="209">
        <v>0.58282407407407411</v>
      </c>
      <c r="B128" s="210">
        <v>45915</v>
      </c>
      <c r="C128" s="111">
        <v>250915</v>
      </c>
      <c r="D128" s="111">
        <v>0</v>
      </c>
      <c r="E128" s="111">
        <v>745</v>
      </c>
      <c r="F128" s="111">
        <v>378.9</v>
      </c>
      <c r="G128" s="111">
        <v>394.1</v>
      </c>
      <c r="H128" s="111">
        <v>256</v>
      </c>
      <c r="I128" s="111">
        <v>0.19</v>
      </c>
      <c r="J128" s="111">
        <v>395.6</v>
      </c>
      <c r="K128" s="111">
        <v>0.39600000000000002</v>
      </c>
      <c r="L128" s="111">
        <v>0.374</v>
      </c>
      <c r="M128" s="111">
        <v>0.56299999999999994</v>
      </c>
      <c r="N128" s="111">
        <v>172.1</v>
      </c>
      <c r="O128" s="111">
        <v>14.75</v>
      </c>
      <c r="P128" s="111">
        <v>175.1</v>
      </c>
      <c r="Q128" s="111">
        <v>40.673540000000003</v>
      </c>
      <c r="R128" s="111">
        <v>-85.832179999999994</v>
      </c>
      <c r="S128" s="111">
        <v>227</v>
      </c>
      <c r="T128" s="111">
        <v>130.69999999999999</v>
      </c>
      <c r="U128" s="111">
        <v>8.99</v>
      </c>
      <c r="V128" s="111">
        <v>-153.19999999999999</v>
      </c>
      <c r="W128" s="111">
        <v>12</v>
      </c>
      <c r="X128" s="111">
        <v>0</v>
      </c>
      <c r="Y128" s="111">
        <v>22.99</v>
      </c>
      <c r="Z128" s="111">
        <v>27.75</v>
      </c>
      <c r="AA128" s="111">
        <v>0</v>
      </c>
      <c r="AB128" s="211">
        <v>45915.582824074074</v>
      </c>
      <c r="AC128" s="111" t="s">
        <v>1712</v>
      </c>
      <c r="AD128" s="118" t="str">
        <f t="shared" si="8"/>
        <v>6</v>
      </c>
      <c r="AE128" s="119" t="s">
        <v>770</v>
      </c>
    </row>
    <row r="129" spans="1:31" x14ac:dyDescent="0.25">
      <c r="A129" s="209">
        <v>0.36648148148148146</v>
      </c>
      <c r="B129" s="210">
        <v>45915</v>
      </c>
      <c r="C129" s="111">
        <v>250915</v>
      </c>
      <c r="D129" s="111">
        <v>0</v>
      </c>
      <c r="E129" s="111">
        <v>745.7</v>
      </c>
      <c r="F129" s="111">
        <v>366.5</v>
      </c>
      <c r="G129" s="111">
        <v>389</v>
      </c>
      <c r="H129" s="111">
        <v>253</v>
      </c>
      <c r="I129" s="111">
        <v>0.19</v>
      </c>
      <c r="J129" s="111">
        <v>391.1</v>
      </c>
      <c r="K129" s="111">
        <v>0.46300000000000002</v>
      </c>
      <c r="L129" s="111">
        <v>0.46300000000000002</v>
      </c>
      <c r="M129" s="111">
        <v>0.65600000000000003</v>
      </c>
      <c r="N129" s="111">
        <v>67.599999999999994</v>
      </c>
      <c r="O129" s="111">
        <v>5.91</v>
      </c>
      <c r="P129" s="111">
        <v>68.8</v>
      </c>
      <c r="Q129" s="111">
        <v>40.687640000000002</v>
      </c>
      <c r="R129" s="111">
        <v>-85.89716</v>
      </c>
      <c r="S129" s="111">
        <v>222.6</v>
      </c>
      <c r="T129" s="111">
        <v>218</v>
      </c>
      <c r="U129" s="111">
        <v>7.34</v>
      </c>
      <c r="V129" s="111">
        <v>-54.5</v>
      </c>
      <c r="W129" s="111">
        <v>11.9</v>
      </c>
      <c r="X129" s="111">
        <v>0</v>
      </c>
      <c r="Y129" s="111">
        <v>21.977</v>
      </c>
      <c r="Z129" s="111">
        <v>5.09</v>
      </c>
      <c r="AA129" s="111">
        <v>0</v>
      </c>
      <c r="AB129" s="211">
        <v>45915.366481481484</v>
      </c>
      <c r="AC129" s="111" t="s">
        <v>1724</v>
      </c>
      <c r="AD129" s="118" t="str">
        <f t="shared" si="8"/>
        <v>7</v>
      </c>
      <c r="AE129" s="119" t="s">
        <v>771</v>
      </c>
    </row>
    <row r="130" spans="1:31" x14ac:dyDescent="0.25">
      <c r="A130" s="209">
        <v>0.38074074074074077</v>
      </c>
      <c r="B130" s="210">
        <v>45915</v>
      </c>
      <c r="C130" s="111">
        <v>250915</v>
      </c>
      <c r="D130" s="111">
        <v>0</v>
      </c>
      <c r="E130" s="111">
        <v>745.7</v>
      </c>
      <c r="F130" s="111">
        <v>366.5</v>
      </c>
      <c r="G130" s="111">
        <v>388.2</v>
      </c>
      <c r="H130" s="111">
        <v>252</v>
      </c>
      <c r="I130" s="111">
        <v>0.19</v>
      </c>
      <c r="J130" s="111">
        <v>390.3</v>
      </c>
      <c r="K130" s="111">
        <v>1.363</v>
      </c>
      <c r="L130" s="111">
        <v>1.3680000000000001</v>
      </c>
      <c r="M130" s="111">
        <v>1.9350000000000001</v>
      </c>
      <c r="N130" s="111">
        <v>78.099999999999994</v>
      </c>
      <c r="O130" s="111">
        <v>6.81</v>
      </c>
      <c r="P130" s="111">
        <v>79.400000000000006</v>
      </c>
      <c r="Q130" s="111">
        <v>40.691540000000003</v>
      </c>
      <c r="R130" s="111">
        <v>-85.908550000000005</v>
      </c>
      <c r="S130" s="111">
        <v>228.5</v>
      </c>
      <c r="T130" s="111">
        <v>50.1</v>
      </c>
      <c r="U130" s="111">
        <v>7.89</v>
      </c>
      <c r="V130" s="111">
        <v>-87.1</v>
      </c>
      <c r="W130" s="111">
        <v>11.9</v>
      </c>
      <c r="X130" s="111">
        <v>0</v>
      </c>
      <c r="Y130" s="111">
        <v>22.08</v>
      </c>
      <c r="Z130" s="111">
        <v>6.14</v>
      </c>
      <c r="AA130" s="111">
        <v>0</v>
      </c>
      <c r="AB130" s="211">
        <v>45915.380740740744</v>
      </c>
      <c r="AC130" s="111" t="s">
        <v>1722</v>
      </c>
      <c r="AD130" s="118" t="str">
        <f t="shared" si="8"/>
        <v>8</v>
      </c>
      <c r="AE130" s="119" t="s">
        <v>772</v>
      </c>
    </row>
    <row r="131" spans="1:31" x14ac:dyDescent="0.25">
      <c r="A131" s="209">
        <v>0.40969907407407408</v>
      </c>
      <c r="B131" s="210">
        <v>45915</v>
      </c>
      <c r="C131" s="111">
        <v>250915</v>
      </c>
      <c r="D131" s="111">
        <v>0</v>
      </c>
      <c r="E131" s="111">
        <v>745.8</v>
      </c>
      <c r="F131" s="111">
        <v>367.1</v>
      </c>
      <c r="G131" s="111">
        <v>384.9</v>
      </c>
      <c r="H131" s="111">
        <v>250</v>
      </c>
      <c r="I131" s="111">
        <v>0.18</v>
      </c>
      <c r="J131" s="111">
        <v>386.6</v>
      </c>
      <c r="K131" s="111">
        <v>0.40699999999999997</v>
      </c>
      <c r="L131" s="111">
        <v>0.41499999999999998</v>
      </c>
      <c r="M131" s="111">
        <v>0.57799999999999996</v>
      </c>
      <c r="N131" s="111">
        <v>97.6</v>
      </c>
      <c r="O131" s="111">
        <v>8.44</v>
      </c>
      <c r="P131" s="111">
        <v>99.4</v>
      </c>
      <c r="Q131" s="111">
        <v>40.704149999999998</v>
      </c>
      <c r="R131" s="111">
        <v>-85.930189999999996</v>
      </c>
      <c r="S131" s="111">
        <v>227.5</v>
      </c>
      <c r="T131" s="111">
        <v>156.19999999999999</v>
      </c>
      <c r="U131" s="111">
        <v>8.2100000000000009</v>
      </c>
      <c r="V131" s="111">
        <v>-106.2</v>
      </c>
      <c r="W131" s="111">
        <v>12</v>
      </c>
      <c r="X131" s="111">
        <v>0</v>
      </c>
      <c r="Y131" s="111">
        <v>22.574000000000002</v>
      </c>
      <c r="Z131" s="111">
        <v>4.53</v>
      </c>
      <c r="AA131" s="111">
        <v>0</v>
      </c>
      <c r="AB131" s="211">
        <v>45915.409699074073</v>
      </c>
      <c r="AC131" s="111" t="s">
        <v>1718</v>
      </c>
      <c r="AD131" s="118" t="str">
        <f t="shared" si="8"/>
        <v>9</v>
      </c>
      <c r="AE131" s="119" t="s">
        <v>773</v>
      </c>
    </row>
    <row r="132" spans="1:31" x14ac:dyDescent="0.25">
      <c r="A132" s="209">
        <v>0.39359953703703704</v>
      </c>
      <c r="B132" s="210">
        <v>45915</v>
      </c>
      <c r="C132" s="111">
        <v>250915</v>
      </c>
      <c r="D132" s="111">
        <v>0</v>
      </c>
      <c r="E132" s="111">
        <v>745.7</v>
      </c>
      <c r="F132" s="111">
        <v>367.1</v>
      </c>
      <c r="G132" s="111">
        <v>388.1</v>
      </c>
      <c r="H132" s="111">
        <v>252</v>
      </c>
      <c r="I132" s="111">
        <v>0.19</v>
      </c>
      <c r="J132" s="111">
        <v>390.2</v>
      </c>
      <c r="K132" s="111">
        <v>0.35299999999999998</v>
      </c>
      <c r="L132" s="111">
        <v>0.35899999999999999</v>
      </c>
      <c r="M132" s="111">
        <v>0.502</v>
      </c>
      <c r="N132" s="111">
        <v>76.400000000000006</v>
      </c>
      <c r="O132" s="111">
        <v>6.65</v>
      </c>
      <c r="P132" s="111">
        <v>77.8</v>
      </c>
      <c r="Q132" s="111">
        <v>40.693359999999998</v>
      </c>
      <c r="R132" s="111">
        <v>-85.920649999999995</v>
      </c>
      <c r="S132" s="111">
        <v>224.9</v>
      </c>
      <c r="T132" s="111">
        <v>169.2</v>
      </c>
      <c r="U132" s="111">
        <v>7.86</v>
      </c>
      <c r="V132" s="111">
        <v>-85.4</v>
      </c>
      <c r="W132" s="111">
        <v>12</v>
      </c>
      <c r="X132" s="111">
        <v>0</v>
      </c>
      <c r="Y132" s="111">
        <v>22.170999999999999</v>
      </c>
      <c r="Z132" s="111">
        <v>5.45</v>
      </c>
      <c r="AA132" s="111">
        <v>0</v>
      </c>
      <c r="AB132" s="211">
        <v>45915.393599537034</v>
      </c>
      <c r="AC132" s="111" t="s">
        <v>1725</v>
      </c>
      <c r="AD132" s="118">
        <v>10</v>
      </c>
      <c r="AE132" s="119" t="s">
        <v>774</v>
      </c>
    </row>
    <row r="133" spans="1:31" x14ac:dyDescent="0.25">
      <c r="A133" s="209">
        <v>0.42269675925925926</v>
      </c>
      <c r="B133" s="210">
        <v>45915</v>
      </c>
      <c r="C133" s="111">
        <v>250915</v>
      </c>
      <c r="D133" s="111">
        <v>0</v>
      </c>
      <c r="E133" s="111">
        <v>745.8</v>
      </c>
      <c r="F133" s="111">
        <v>366</v>
      </c>
      <c r="G133" s="111">
        <v>380.7</v>
      </c>
      <c r="H133" s="111">
        <v>247</v>
      </c>
      <c r="I133" s="111">
        <v>0.18</v>
      </c>
      <c r="J133" s="111">
        <v>382.1</v>
      </c>
      <c r="K133" s="111">
        <v>0.438</v>
      </c>
      <c r="L133" s="111">
        <v>0.45700000000000002</v>
      </c>
      <c r="M133" s="111">
        <v>0.621</v>
      </c>
      <c r="N133" s="111">
        <v>119.9</v>
      </c>
      <c r="O133" s="111">
        <v>10.28</v>
      </c>
      <c r="P133" s="111">
        <v>122</v>
      </c>
      <c r="Q133" s="111">
        <v>40.710990000000002</v>
      </c>
      <c r="R133" s="111">
        <v>-85.938969999999998</v>
      </c>
      <c r="S133" s="111">
        <v>222.9</v>
      </c>
      <c r="T133" s="111">
        <v>162.6</v>
      </c>
      <c r="U133" s="111">
        <v>8.52</v>
      </c>
      <c r="V133" s="111">
        <v>-125.3</v>
      </c>
      <c r="W133" s="111">
        <v>12</v>
      </c>
      <c r="X133" s="111">
        <v>0</v>
      </c>
      <c r="Y133" s="111">
        <v>22.984000000000002</v>
      </c>
      <c r="Z133" s="111">
        <v>6.62</v>
      </c>
      <c r="AA133" s="111">
        <v>0</v>
      </c>
      <c r="AB133" s="211">
        <v>45915.422696759262</v>
      </c>
      <c r="AC133" s="111" t="s">
        <v>1719</v>
      </c>
      <c r="AD133" s="118">
        <v>11</v>
      </c>
      <c r="AE133" s="119" t="s">
        <v>775</v>
      </c>
    </row>
    <row r="134" spans="1:31" x14ac:dyDescent="0.25">
      <c r="A134" s="209">
        <v>0.45729166666666665</v>
      </c>
      <c r="B134" s="210">
        <v>45915</v>
      </c>
      <c r="C134" s="111">
        <v>250915</v>
      </c>
      <c r="D134" s="111">
        <v>0</v>
      </c>
      <c r="E134" s="111">
        <v>745.8</v>
      </c>
      <c r="F134" s="111">
        <v>369.7</v>
      </c>
      <c r="G134" s="111">
        <v>380.4</v>
      </c>
      <c r="H134" s="111">
        <v>247</v>
      </c>
      <c r="I134" s="111">
        <v>0.18</v>
      </c>
      <c r="J134" s="111">
        <v>381.5</v>
      </c>
      <c r="K134" s="111">
        <v>0.36</v>
      </c>
      <c r="L134" s="111">
        <v>0.36399999999999999</v>
      </c>
      <c r="M134" s="111">
        <v>0.51100000000000001</v>
      </c>
      <c r="N134" s="111">
        <v>125.9</v>
      </c>
      <c r="O134" s="111">
        <v>10.68</v>
      </c>
      <c r="P134" s="111">
        <v>128.1</v>
      </c>
      <c r="Q134" s="111">
        <v>40.711640000000003</v>
      </c>
      <c r="R134" s="111">
        <v>-85.95147</v>
      </c>
      <c r="S134" s="111">
        <v>226</v>
      </c>
      <c r="T134" s="111">
        <v>126.1</v>
      </c>
      <c r="U134" s="111">
        <v>8.59</v>
      </c>
      <c r="V134" s="111">
        <v>-129.80000000000001</v>
      </c>
      <c r="W134" s="111">
        <v>11.9</v>
      </c>
      <c r="X134" s="111">
        <v>0</v>
      </c>
      <c r="Y134" s="111">
        <v>23.526</v>
      </c>
      <c r="Z134" s="111">
        <v>7.34</v>
      </c>
      <c r="AA134" s="111">
        <v>0</v>
      </c>
      <c r="AB134" s="211">
        <v>45915.457291666666</v>
      </c>
      <c r="AC134" s="111" t="s">
        <v>1720</v>
      </c>
      <c r="AD134" s="118">
        <v>12</v>
      </c>
      <c r="AE134" s="119" t="s">
        <v>776</v>
      </c>
    </row>
    <row r="135" spans="1:31" x14ac:dyDescent="0.25">
      <c r="A135" s="209">
        <v>0.56967592592592597</v>
      </c>
      <c r="B135" s="210">
        <v>45915</v>
      </c>
      <c r="C135" s="111">
        <v>250915</v>
      </c>
      <c r="D135" s="111">
        <v>0</v>
      </c>
      <c r="E135" s="111">
        <v>745</v>
      </c>
      <c r="F135" s="111">
        <v>383.9</v>
      </c>
      <c r="G135" s="111">
        <v>394.6</v>
      </c>
      <c r="H135" s="111">
        <v>256</v>
      </c>
      <c r="I135" s="111">
        <v>0.19</v>
      </c>
      <c r="J135" s="111">
        <v>395.7</v>
      </c>
      <c r="K135" s="111">
        <v>0.499</v>
      </c>
      <c r="L135" s="111">
        <v>0.49399999999999999</v>
      </c>
      <c r="M135" s="111">
        <v>0.70699999999999996</v>
      </c>
      <c r="N135" s="111">
        <v>172.3</v>
      </c>
      <c r="O135" s="111">
        <v>14.6</v>
      </c>
      <c r="P135" s="111">
        <v>175.3</v>
      </c>
      <c r="Q135" s="111">
        <v>40.672449999999998</v>
      </c>
      <c r="R135" s="111">
        <v>-85.84205</v>
      </c>
      <c r="S135" s="111">
        <v>221</v>
      </c>
      <c r="T135" s="111">
        <v>151.6</v>
      </c>
      <c r="U135" s="111">
        <v>8.9700000000000006</v>
      </c>
      <c r="V135" s="111">
        <v>-152.4</v>
      </c>
      <c r="W135" s="111">
        <v>12</v>
      </c>
      <c r="X135" s="111">
        <v>0</v>
      </c>
      <c r="Y135" s="111">
        <v>23.576000000000001</v>
      </c>
      <c r="Z135" s="111">
        <v>28.43</v>
      </c>
      <c r="AA135" s="111">
        <v>0</v>
      </c>
      <c r="AB135" s="211">
        <v>45915.569675925923</v>
      </c>
      <c r="AC135" s="111" t="s">
        <v>1721</v>
      </c>
      <c r="AD135" s="118">
        <v>13</v>
      </c>
      <c r="AE135" s="119" t="s">
        <v>777</v>
      </c>
    </row>
    <row r="136" spans="1:31" x14ac:dyDescent="0.25">
      <c r="A136" s="105" t="s">
        <v>1684</v>
      </c>
      <c r="B136" s="105" t="s">
        <v>1685</v>
      </c>
      <c r="C136" s="105" t="s">
        <v>1686</v>
      </c>
      <c r="D136" s="105" t="s">
        <v>1687</v>
      </c>
      <c r="E136" s="105" t="s">
        <v>1688</v>
      </c>
      <c r="F136" s="105" t="s">
        <v>1689</v>
      </c>
      <c r="G136" s="105" t="s">
        <v>1690</v>
      </c>
      <c r="H136" s="105" t="s">
        <v>1691</v>
      </c>
      <c r="I136" s="105" t="s">
        <v>1692</v>
      </c>
      <c r="J136" s="105" t="s">
        <v>1693</v>
      </c>
      <c r="K136" s="105" t="s">
        <v>1694</v>
      </c>
      <c r="L136" s="105" t="s">
        <v>1695</v>
      </c>
      <c r="M136" s="105" t="s">
        <v>1696</v>
      </c>
      <c r="N136" s="105" t="s">
        <v>1697</v>
      </c>
      <c r="O136" s="105" t="s">
        <v>1698</v>
      </c>
      <c r="P136" s="105" t="s">
        <v>1699</v>
      </c>
      <c r="Q136" s="105" t="s">
        <v>1700</v>
      </c>
      <c r="R136" s="105" t="s">
        <v>1701</v>
      </c>
      <c r="S136" s="105" t="s">
        <v>1702</v>
      </c>
      <c r="T136" s="105" t="s">
        <v>1703</v>
      </c>
      <c r="U136" s="105" t="s">
        <v>1704</v>
      </c>
      <c r="V136" s="105" t="s">
        <v>1705</v>
      </c>
      <c r="W136" s="105" t="s">
        <v>1706</v>
      </c>
      <c r="X136" s="105" t="s">
        <v>1707</v>
      </c>
      <c r="Y136" s="105" t="s">
        <v>1708</v>
      </c>
      <c r="Z136" s="105" t="s">
        <v>1709</v>
      </c>
      <c r="AA136" s="105" t="s">
        <v>1710</v>
      </c>
      <c r="AB136" s="105" t="s">
        <v>1755</v>
      </c>
      <c r="AC136" s="105" t="s">
        <v>1711</v>
      </c>
      <c r="AD136" s="118" t="str">
        <f t="shared" ref="AD136:AD145" si="9">RIGHT(AC136,1)</f>
        <v>E</v>
      </c>
    </row>
    <row r="137" spans="1:31" x14ac:dyDescent="0.25">
      <c r="A137" s="26" t="s">
        <v>1684</v>
      </c>
      <c r="B137" s="26" t="s">
        <v>1685</v>
      </c>
      <c r="C137" s="26" t="s">
        <v>1686</v>
      </c>
      <c r="D137" s="26" t="s">
        <v>1687</v>
      </c>
      <c r="E137" s="26" t="s">
        <v>1688</v>
      </c>
      <c r="F137" s="26" t="s">
        <v>1689</v>
      </c>
      <c r="G137" s="26" t="s">
        <v>1690</v>
      </c>
      <c r="H137" s="26" t="s">
        <v>1691</v>
      </c>
      <c r="I137" s="26" t="s">
        <v>1692</v>
      </c>
      <c r="J137" s="26" t="s">
        <v>1693</v>
      </c>
      <c r="K137" s="26" t="s">
        <v>1694</v>
      </c>
      <c r="L137" s="26" t="s">
        <v>1695</v>
      </c>
      <c r="M137" s="26" t="s">
        <v>1696</v>
      </c>
      <c r="N137" s="26" t="s">
        <v>1697</v>
      </c>
      <c r="O137" s="26" t="s">
        <v>1698</v>
      </c>
      <c r="P137" s="26" t="s">
        <v>1699</v>
      </c>
      <c r="Q137" s="26" t="s">
        <v>1700</v>
      </c>
      <c r="R137" s="26" t="s">
        <v>1701</v>
      </c>
      <c r="S137" s="26" t="s">
        <v>1702</v>
      </c>
      <c r="T137" s="26" t="s">
        <v>1703</v>
      </c>
      <c r="U137" s="26" t="s">
        <v>1704</v>
      </c>
      <c r="V137" s="26" t="s">
        <v>1705</v>
      </c>
      <c r="W137" s="26" t="s">
        <v>1706</v>
      </c>
      <c r="X137" s="26" t="s">
        <v>1707</v>
      </c>
      <c r="Y137" s="26" t="s">
        <v>1708</v>
      </c>
      <c r="Z137" s="26" t="s">
        <v>1709</v>
      </c>
      <c r="AA137" s="26" t="s">
        <v>1710</v>
      </c>
      <c r="AB137" s="26" t="s">
        <v>1755</v>
      </c>
      <c r="AC137" s="26" t="s">
        <v>1711</v>
      </c>
      <c r="AD137" s="118" t="str">
        <f t="shared" si="9"/>
        <v>E</v>
      </c>
    </row>
    <row r="138" spans="1:31" x14ac:dyDescent="0.25">
      <c r="A138" s="63" t="s">
        <v>1684</v>
      </c>
      <c r="B138" s="63" t="s">
        <v>1685</v>
      </c>
      <c r="C138" s="63" t="s">
        <v>1686</v>
      </c>
      <c r="D138" s="63" t="s">
        <v>1687</v>
      </c>
      <c r="E138" s="63" t="s">
        <v>1688</v>
      </c>
      <c r="F138" s="63" t="s">
        <v>1689</v>
      </c>
      <c r="G138" s="63" t="s">
        <v>1690</v>
      </c>
      <c r="H138" s="63" t="s">
        <v>1691</v>
      </c>
      <c r="I138" s="63" t="s">
        <v>1692</v>
      </c>
      <c r="J138" s="63" t="s">
        <v>1693</v>
      </c>
      <c r="K138" s="63" t="s">
        <v>1694</v>
      </c>
      <c r="L138" s="63" t="s">
        <v>1695</v>
      </c>
      <c r="M138" s="63" t="s">
        <v>1696</v>
      </c>
      <c r="N138" s="63" t="s">
        <v>1697</v>
      </c>
      <c r="O138" s="63" t="s">
        <v>1698</v>
      </c>
      <c r="P138" s="63" t="s">
        <v>1699</v>
      </c>
      <c r="Q138" s="63" t="s">
        <v>1700</v>
      </c>
      <c r="R138" s="63" t="s">
        <v>1701</v>
      </c>
      <c r="S138" s="63" t="s">
        <v>1702</v>
      </c>
      <c r="T138" s="63" t="s">
        <v>1703</v>
      </c>
      <c r="U138" s="63" t="s">
        <v>1704</v>
      </c>
      <c r="V138" s="63" t="s">
        <v>1705</v>
      </c>
      <c r="W138" s="63" t="s">
        <v>1706</v>
      </c>
      <c r="X138" s="63" t="s">
        <v>1707</v>
      </c>
      <c r="Y138" s="63" t="s">
        <v>1708</v>
      </c>
      <c r="Z138" s="63" t="s">
        <v>1709</v>
      </c>
      <c r="AA138" s="63" t="s">
        <v>1710</v>
      </c>
      <c r="AB138" s="63" t="s">
        <v>1755</v>
      </c>
      <c r="AC138" s="63" t="s">
        <v>1711</v>
      </c>
      <c r="AD138" s="118" t="str">
        <f t="shared" si="9"/>
        <v>E</v>
      </c>
    </row>
    <row r="139" spans="1:31" x14ac:dyDescent="0.25">
      <c r="A139" s="109" t="s">
        <v>1684</v>
      </c>
      <c r="B139" s="109" t="s">
        <v>1685</v>
      </c>
      <c r="C139" s="109" t="s">
        <v>1686</v>
      </c>
      <c r="D139" s="109" t="s">
        <v>1687</v>
      </c>
      <c r="E139" s="109" t="s">
        <v>1688</v>
      </c>
      <c r="F139" s="109" t="s">
        <v>1689</v>
      </c>
      <c r="G139" s="109" t="s">
        <v>1690</v>
      </c>
      <c r="H139" s="109" t="s">
        <v>1691</v>
      </c>
      <c r="I139" s="109" t="s">
        <v>1692</v>
      </c>
      <c r="J139" s="109" t="s">
        <v>1693</v>
      </c>
      <c r="K139" s="109" t="s">
        <v>1694</v>
      </c>
      <c r="L139" s="109" t="s">
        <v>1695</v>
      </c>
      <c r="M139" s="109" t="s">
        <v>1696</v>
      </c>
      <c r="N139" s="109" t="s">
        <v>1697</v>
      </c>
      <c r="O139" s="109" t="s">
        <v>1698</v>
      </c>
      <c r="P139" s="109" t="s">
        <v>1699</v>
      </c>
      <c r="Q139" s="109" t="s">
        <v>1700</v>
      </c>
      <c r="R139" s="109" t="s">
        <v>1701</v>
      </c>
      <c r="S139" s="109" t="s">
        <v>1702</v>
      </c>
      <c r="T139" s="109" t="s">
        <v>1703</v>
      </c>
      <c r="U139" s="109" t="s">
        <v>1704</v>
      </c>
      <c r="V139" s="109" t="s">
        <v>1705</v>
      </c>
      <c r="W139" s="109" t="s">
        <v>1706</v>
      </c>
      <c r="X139" s="109" t="s">
        <v>1707</v>
      </c>
      <c r="Y139" s="109" t="s">
        <v>1708</v>
      </c>
      <c r="Z139" s="109" t="s">
        <v>1709</v>
      </c>
      <c r="AA139" s="109" t="s">
        <v>1710</v>
      </c>
      <c r="AB139" s="109" t="s">
        <v>1755</v>
      </c>
      <c r="AC139" s="109" t="s">
        <v>1711</v>
      </c>
      <c r="AD139" s="118" t="str">
        <f t="shared" si="9"/>
        <v>E</v>
      </c>
    </row>
    <row r="140" spans="1:31" x14ac:dyDescent="0.25">
      <c r="A140" s="206" t="s">
        <v>1684</v>
      </c>
      <c r="B140" s="206" t="s">
        <v>1685</v>
      </c>
      <c r="C140" s="206" t="s">
        <v>1686</v>
      </c>
      <c r="D140" s="206" t="s">
        <v>1687</v>
      </c>
      <c r="E140" s="206" t="s">
        <v>1688</v>
      </c>
      <c r="F140" s="206" t="s">
        <v>1689</v>
      </c>
      <c r="G140" s="206" t="s">
        <v>1690</v>
      </c>
      <c r="H140" s="206" t="s">
        <v>1691</v>
      </c>
      <c r="I140" s="206" t="s">
        <v>1692</v>
      </c>
      <c r="J140" s="206" t="s">
        <v>1693</v>
      </c>
      <c r="K140" s="206" t="s">
        <v>1694</v>
      </c>
      <c r="L140" s="206" t="s">
        <v>1695</v>
      </c>
      <c r="M140" s="206" t="s">
        <v>1696</v>
      </c>
      <c r="N140" s="206" t="s">
        <v>1697</v>
      </c>
      <c r="O140" s="206" t="s">
        <v>1698</v>
      </c>
      <c r="P140" s="206" t="s">
        <v>1699</v>
      </c>
      <c r="Q140" s="206" t="s">
        <v>1700</v>
      </c>
      <c r="R140" s="206" t="s">
        <v>1701</v>
      </c>
      <c r="S140" s="206" t="s">
        <v>1702</v>
      </c>
      <c r="T140" s="206" t="s">
        <v>1703</v>
      </c>
      <c r="U140" s="206" t="s">
        <v>1704</v>
      </c>
      <c r="V140" s="206" t="s">
        <v>1705</v>
      </c>
      <c r="W140" s="206" t="s">
        <v>1706</v>
      </c>
      <c r="X140" s="206" t="s">
        <v>1707</v>
      </c>
      <c r="Y140" s="206" t="s">
        <v>1708</v>
      </c>
      <c r="Z140" s="206" t="s">
        <v>1709</v>
      </c>
      <c r="AA140" s="206" t="s">
        <v>1710</v>
      </c>
      <c r="AB140" s="29" t="s">
        <v>1755</v>
      </c>
      <c r="AC140" s="206" t="s">
        <v>1711</v>
      </c>
      <c r="AD140" s="118" t="str">
        <f t="shared" si="9"/>
        <v>E</v>
      </c>
    </row>
    <row r="141" spans="1:31" x14ac:dyDescent="0.25">
      <c r="A141" s="202" t="s">
        <v>1684</v>
      </c>
      <c r="B141" s="202" t="s">
        <v>1685</v>
      </c>
      <c r="C141" s="202" t="s">
        <v>1686</v>
      </c>
      <c r="D141" s="202" t="s">
        <v>1687</v>
      </c>
      <c r="E141" s="202" t="s">
        <v>1688</v>
      </c>
      <c r="F141" s="202" t="s">
        <v>1689</v>
      </c>
      <c r="G141" s="202" t="s">
        <v>1690</v>
      </c>
      <c r="H141" s="202" t="s">
        <v>1691</v>
      </c>
      <c r="I141" s="202" t="s">
        <v>1692</v>
      </c>
      <c r="J141" s="202" t="s">
        <v>1693</v>
      </c>
      <c r="K141" s="202" t="s">
        <v>1694</v>
      </c>
      <c r="L141" s="202" t="s">
        <v>1695</v>
      </c>
      <c r="M141" s="202" t="s">
        <v>1696</v>
      </c>
      <c r="N141" s="202" t="s">
        <v>1697</v>
      </c>
      <c r="O141" s="202" t="s">
        <v>1698</v>
      </c>
      <c r="P141" s="202" t="s">
        <v>1699</v>
      </c>
      <c r="Q141" s="202" t="s">
        <v>1700</v>
      </c>
      <c r="R141" s="202" t="s">
        <v>1701</v>
      </c>
      <c r="S141" s="202" t="s">
        <v>1702</v>
      </c>
      <c r="T141" s="202" t="s">
        <v>1703</v>
      </c>
      <c r="U141" s="202" t="s">
        <v>1704</v>
      </c>
      <c r="V141" s="202" t="s">
        <v>1705</v>
      </c>
      <c r="W141" s="202" t="s">
        <v>1706</v>
      </c>
      <c r="X141" s="202" t="s">
        <v>1707</v>
      </c>
      <c r="Y141" s="202" t="s">
        <v>1708</v>
      </c>
      <c r="Z141" s="202" t="s">
        <v>1709</v>
      </c>
      <c r="AA141" s="202" t="s">
        <v>1710</v>
      </c>
      <c r="AB141" s="202" t="s">
        <v>1755</v>
      </c>
      <c r="AC141" s="202" t="s">
        <v>1711</v>
      </c>
      <c r="AD141" s="118" t="str">
        <f t="shared" si="9"/>
        <v>E</v>
      </c>
    </row>
    <row r="142" spans="1:31" x14ac:dyDescent="0.25">
      <c r="A142" s="111" t="s">
        <v>1684</v>
      </c>
      <c r="B142" s="111" t="s">
        <v>1685</v>
      </c>
      <c r="C142" s="111" t="s">
        <v>1686</v>
      </c>
      <c r="D142" s="111" t="s">
        <v>1687</v>
      </c>
      <c r="E142" s="111" t="s">
        <v>1688</v>
      </c>
      <c r="F142" s="111" t="s">
        <v>1689</v>
      </c>
      <c r="G142" s="111" t="s">
        <v>1690</v>
      </c>
      <c r="H142" s="111" t="s">
        <v>1691</v>
      </c>
      <c r="I142" s="111" t="s">
        <v>1692</v>
      </c>
      <c r="J142" s="111" t="s">
        <v>1693</v>
      </c>
      <c r="K142" s="111" t="s">
        <v>1694</v>
      </c>
      <c r="L142" s="111" t="s">
        <v>1695</v>
      </c>
      <c r="M142" s="111" t="s">
        <v>1696</v>
      </c>
      <c r="N142" s="111" t="s">
        <v>1697</v>
      </c>
      <c r="O142" s="111" t="s">
        <v>1698</v>
      </c>
      <c r="P142" s="111" t="s">
        <v>1699</v>
      </c>
      <c r="Q142" s="111" t="s">
        <v>1700</v>
      </c>
      <c r="R142" s="111" t="s">
        <v>1701</v>
      </c>
      <c r="S142" s="111" t="s">
        <v>1702</v>
      </c>
      <c r="T142" s="111" t="s">
        <v>1703</v>
      </c>
      <c r="U142" s="111" t="s">
        <v>1704</v>
      </c>
      <c r="V142" s="111" t="s">
        <v>1705</v>
      </c>
      <c r="W142" s="111" t="s">
        <v>1706</v>
      </c>
      <c r="X142" s="111" t="s">
        <v>1707</v>
      </c>
      <c r="Y142" s="111" t="s">
        <v>1708</v>
      </c>
      <c r="Z142" s="111" t="s">
        <v>1709</v>
      </c>
      <c r="AA142" s="111" t="s">
        <v>1710</v>
      </c>
      <c r="AB142" s="111" t="s">
        <v>1755</v>
      </c>
      <c r="AC142" s="111" t="s">
        <v>1711</v>
      </c>
      <c r="AD142" s="118" t="str">
        <f t="shared" si="9"/>
        <v>E</v>
      </c>
    </row>
    <row r="143" spans="1:31" x14ac:dyDescent="0.25">
      <c r="A143" s="212" t="s">
        <v>1684</v>
      </c>
      <c r="B143" s="212" t="s">
        <v>1685</v>
      </c>
      <c r="C143" s="212" t="s">
        <v>1686</v>
      </c>
      <c r="D143" s="212" t="s">
        <v>1687</v>
      </c>
      <c r="E143" s="212" t="s">
        <v>1688</v>
      </c>
      <c r="F143" s="212" t="s">
        <v>1689</v>
      </c>
      <c r="G143" s="212" t="s">
        <v>1690</v>
      </c>
      <c r="H143" s="212" t="s">
        <v>1691</v>
      </c>
      <c r="I143" s="212" t="s">
        <v>1692</v>
      </c>
      <c r="J143" s="212" t="s">
        <v>1693</v>
      </c>
      <c r="K143" s="212" t="s">
        <v>1694</v>
      </c>
      <c r="L143" s="212" t="s">
        <v>1695</v>
      </c>
      <c r="M143" s="212" t="s">
        <v>1696</v>
      </c>
      <c r="N143" s="212" t="s">
        <v>1697</v>
      </c>
      <c r="O143" s="212" t="s">
        <v>1698</v>
      </c>
      <c r="P143" s="212" t="s">
        <v>1699</v>
      </c>
      <c r="Q143" s="212" t="s">
        <v>1700</v>
      </c>
      <c r="R143" s="212" t="s">
        <v>1701</v>
      </c>
      <c r="S143" s="212" t="s">
        <v>1702</v>
      </c>
      <c r="T143" s="212" t="s">
        <v>1703</v>
      </c>
      <c r="U143" s="212" t="s">
        <v>1704</v>
      </c>
      <c r="V143" s="212" t="s">
        <v>1705</v>
      </c>
      <c r="W143" s="212" t="s">
        <v>1706</v>
      </c>
      <c r="X143" s="212" t="s">
        <v>1707</v>
      </c>
      <c r="Y143" s="212" t="s">
        <v>1708</v>
      </c>
      <c r="Z143" s="212" t="s">
        <v>1709</v>
      </c>
      <c r="AA143" s="212" t="s">
        <v>1710</v>
      </c>
      <c r="AB143" s="212" t="s">
        <v>1755</v>
      </c>
      <c r="AC143" s="212" t="s">
        <v>1711</v>
      </c>
      <c r="AD143" s="118" t="str">
        <f t="shared" si="9"/>
        <v>E</v>
      </c>
    </row>
    <row r="144" spans="1:31" x14ac:dyDescent="0.25">
      <c r="A144" s="110" t="s">
        <v>1684</v>
      </c>
      <c r="B144" s="110" t="s">
        <v>1685</v>
      </c>
      <c r="C144" s="110" t="s">
        <v>1686</v>
      </c>
      <c r="D144" s="110" t="s">
        <v>1687</v>
      </c>
      <c r="E144" s="110" t="s">
        <v>1688</v>
      </c>
      <c r="F144" s="110" t="s">
        <v>1689</v>
      </c>
      <c r="G144" s="110" t="s">
        <v>1690</v>
      </c>
      <c r="H144" s="110" t="s">
        <v>1691</v>
      </c>
      <c r="I144" s="110" t="s">
        <v>1692</v>
      </c>
      <c r="J144" s="110" t="s">
        <v>1693</v>
      </c>
      <c r="K144" s="110" t="s">
        <v>1694</v>
      </c>
      <c r="L144" s="110" t="s">
        <v>1695</v>
      </c>
      <c r="M144" s="110" t="s">
        <v>1696</v>
      </c>
      <c r="N144" s="110" t="s">
        <v>1697</v>
      </c>
      <c r="O144" s="110" t="s">
        <v>1698</v>
      </c>
      <c r="P144" s="110" t="s">
        <v>1699</v>
      </c>
      <c r="Q144" s="110" t="s">
        <v>1700</v>
      </c>
      <c r="R144" s="110" t="s">
        <v>1701</v>
      </c>
      <c r="S144" s="110" t="s">
        <v>1702</v>
      </c>
      <c r="T144" s="110" t="s">
        <v>1703</v>
      </c>
      <c r="U144" s="110" t="s">
        <v>1704</v>
      </c>
      <c r="V144" s="110" t="s">
        <v>1705</v>
      </c>
      <c r="W144" s="110" t="s">
        <v>1706</v>
      </c>
      <c r="X144" s="110" t="s">
        <v>1707</v>
      </c>
      <c r="Y144" s="110" t="s">
        <v>1708</v>
      </c>
      <c r="Z144" s="110" t="s">
        <v>1709</v>
      </c>
      <c r="AA144" s="110" t="s">
        <v>1710</v>
      </c>
      <c r="AB144" s="110" t="s">
        <v>1755</v>
      </c>
      <c r="AC144" s="110" t="s">
        <v>1711</v>
      </c>
      <c r="AD144" s="118" t="str">
        <f t="shared" si="9"/>
        <v>E</v>
      </c>
    </row>
    <row r="145" spans="1:30" x14ac:dyDescent="0.25">
      <c r="A145" s="219" t="s">
        <v>1684</v>
      </c>
      <c r="B145" s="219" t="s">
        <v>1685</v>
      </c>
      <c r="C145" s="219" t="s">
        <v>1686</v>
      </c>
      <c r="D145" s="219" t="s">
        <v>1687</v>
      </c>
      <c r="E145" s="219" t="s">
        <v>1688</v>
      </c>
      <c r="F145" s="219" t="s">
        <v>1689</v>
      </c>
      <c r="G145" s="219" t="s">
        <v>1690</v>
      </c>
      <c r="H145" s="219" t="s">
        <v>1691</v>
      </c>
      <c r="I145" s="219" t="s">
        <v>1692</v>
      </c>
      <c r="J145" s="219" t="s">
        <v>1693</v>
      </c>
      <c r="K145" s="219" t="s">
        <v>1694</v>
      </c>
      <c r="L145" s="219" t="s">
        <v>1695</v>
      </c>
      <c r="M145" s="219" t="s">
        <v>1696</v>
      </c>
      <c r="N145" s="219" t="s">
        <v>1697</v>
      </c>
      <c r="O145" s="219" t="s">
        <v>1698</v>
      </c>
      <c r="P145" s="219" t="s">
        <v>1699</v>
      </c>
      <c r="Q145" s="219" t="s">
        <v>1700</v>
      </c>
      <c r="R145" s="219" t="s">
        <v>1701</v>
      </c>
      <c r="S145" s="219" t="s">
        <v>1702</v>
      </c>
      <c r="T145" s="219" t="s">
        <v>1703</v>
      </c>
      <c r="U145" s="219" t="s">
        <v>1704</v>
      </c>
      <c r="V145" s="219" t="s">
        <v>1705</v>
      </c>
      <c r="W145" s="219" t="s">
        <v>1706</v>
      </c>
      <c r="X145" s="219" t="s">
        <v>1707</v>
      </c>
      <c r="Y145" s="219" t="s">
        <v>1708</v>
      </c>
      <c r="Z145" s="219" t="s">
        <v>1709</v>
      </c>
      <c r="AA145" s="219" t="s">
        <v>1710</v>
      </c>
      <c r="AB145" s="219" t="s">
        <v>1755</v>
      </c>
      <c r="AC145" s="219" t="s">
        <v>1711</v>
      </c>
      <c r="AD145" s="118" t="str">
        <f t="shared" si="9"/>
        <v>E</v>
      </c>
    </row>
    <row r="146" spans="1:30" x14ac:dyDescent="0.25">
      <c r="A146" s="118" t="s">
        <v>1684</v>
      </c>
      <c r="B146" s="118" t="s">
        <v>1685</v>
      </c>
      <c r="C146" s="118" t="s">
        <v>1686</v>
      </c>
      <c r="D146" s="118" t="s">
        <v>1687</v>
      </c>
      <c r="E146" s="118" t="s">
        <v>1688</v>
      </c>
      <c r="F146" s="118" t="s">
        <v>1689</v>
      </c>
      <c r="G146" s="118" t="s">
        <v>1690</v>
      </c>
      <c r="H146" s="118" t="s">
        <v>1691</v>
      </c>
      <c r="I146" s="118" t="s">
        <v>1692</v>
      </c>
      <c r="J146" s="118" t="s">
        <v>1693</v>
      </c>
      <c r="K146" s="118" t="s">
        <v>1694</v>
      </c>
      <c r="L146" s="118" t="s">
        <v>1695</v>
      </c>
      <c r="M146" s="118" t="s">
        <v>1696</v>
      </c>
      <c r="N146" s="118" t="s">
        <v>1697</v>
      </c>
      <c r="O146" s="118" t="s">
        <v>1698</v>
      </c>
      <c r="P146" s="118" t="s">
        <v>1699</v>
      </c>
      <c r="Q146" s="118" t="s">
        <v>1700</v>
      </c>
      <c r="R146" s="118" t="s">
        <v>1701</v>
      </c>
      <c r="S146" s="118" t="s">
        <v>1702</v>
      </c>
      <c r="T146" s="118" t="s">
        <v>1703</v>
      </c>
      <c r="U146" s="118" t="s">
        <v>1704</v>
      </c>
      <c r="V146" s="118" t="s">
        <v>1705</v>
      </c>
      <c r="W146" s="118" t="s">
        <v>1706</v>
      </c>
      <c r="X146" s="118" t="s">
        <v>1707</v>
      </c>
      <c r="Y146" s="118" t="s">
        <v>1708</v>
      </c>
      <c r="Z146" s="118" t="s">
        <v>1709</v>
      </c>
      <c r="AA146" s="118" t="s">
        <v>1710</v>
      </c>
      <c r="AB146" s="118" t="s">
        <v>1711</v>
      </c>
    </row>
  </sheetData>
  <sortState xmlns:xlrd2="http://schemas.microsoft.com/office/spreadsheetml/2017/richdata2" ref="A2:AD144">
    <sortCondition ref="B2:B144"/>
    <sortCondition ref="AD2:AD14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B7A1A-90A3-4A8E-B9EE-FECF1CFFE418}">
  <dimension ref="A1:B603"/>
  <sheetViews>
    <sheetView topLeftCell="A576" workbookViewId="0">
      <selection activeCell="B1" sqref="B1:B603"/>
    </sheetView>
  </sheetViews>
  <sheetFormatPr defaultRowHeight="15" x14ac:dyDescent="0.25"/>
  <cols>
    <col min="1" max="1" width="18.42578125" bestFit="1" customWidth="1"/>
  </cols>
  <sheetData>
    <row r="1" spans="1:1" x14ac:dyDescent="0.25">
      <c r="A1" s="118" t="s">
        <v>517</v>
      </c>
    </row>
    <row r="2" spans="1:1" x14ac:dyDescent="0.25">
      <c r="A2" s="118" t="s">
        <v>518</v>
      </c>
    </row>
    <row r="3" spans="1:1" x14ac:dyDescent="0.25">
      <c r="A3" s="118" t="s">
        <v>518</v>
      </c>
    </row>
    <row r="4" spans="1:1" x14ac:dyDescent="0.25">
      <c r="A4" s="118" t="s">
        <v>517</v>
      </c>
    </row>
    <row r="5" spans="1:1" x14ac:dyDescent="0.25">
      <c r="A5" s="118" t="s">
        <v>519</v>
      </c>
    </row>
    <row r="6" spans="1:1" x14ac:dyDescent="0.25">
      <c r="A6" s="118" t="s">
        <v>519</v>
      </c>
    </row>
    <row r="7" spans="1:1" x14ac:dyDescent="0.25">
      <c r="A7" s="118" t="s">
        <v>519</v>
      </c>
    </row>
    <row r="8" spans="1:1" x14ac:dyDescent="0.25">
      <c r="A8" s="118" t="s">
        <v>519</v>
      </c>
    </row>
    <row r="9" spans="1:1" x14ac:dyDescent="0.25">
      <c r="A9" s="118" t="s">
        <v>519</v>
      </c>
    </row>
    <row r="10" spans="1:1" x14ac:dyDescent="0.25">
      <c r="A10" s="118" t="s">
        <v>519</v>
      </c>
    </row>
    <row r="11" spans="1:1" x14ac:dyDescent="0.25">
      <c r="A11" s="118" t="s">
        <v>519</v>
      </c>
    </row>
    <row r="12" spans="1:1" x14ac:dyDescent="0.25">
      <c r="A12" s="118" t="s">
        <v>519</v>
      </c>
    </row>
    <row r="13" spans="1:1" x14ac:dyDescent="0.25">
      <c r="A13" s="118" t="s">
        <v>519</v>
      </c>
    </row>
    <row r="14" spans="1:1" x14ac:dyDescent="0.25">
      <c r="A14" s="118" t="s">
        <v>519</v>
      </c>
    </row>
    <row r="15" spans="1:1" x14ac:dyDescent="0.25">
      <c r="A15" s="118" t="s">
        <v>519</v>
      </c>
    </row>
    <row r="16" spans="1:1" x14ac:dyDescent="0.25">
      <c r="A16" s="118" t="s">
        <v>519</v>
      </c>
    </row>
    <row r="17" spans="1:2" x14ac:dyDescent="0.25">
      <c r="A17" s="118" t="s">
        <v>519</v>
      </c>
    </row>
    <row r="18" spans="1:2" x14ac:dyDescent="0.25">
      <c r="A18" s="118" t="s">
        <v>519</v>
      </c>
    </row>
    <row r="19" spans="1:2" x14ac:dyDescent="0.25">
      <c r="A19" s="118" t="s">
        <v>519</v>
      </c>
    </row>
    <row r="20" spans="1:2" x14ac:dyDescent="0.25">
      <c r="A20" s="118" t="s">
        <v>519</v>
      </c>
    </row>
    <row r="21" spans="1:2" x14ac:dyDescent="0.25">
      <c r="A21" s="118" t="s">
        <v>519</v>
      </c>
    </row>
    <row r="22" spans="1:2" x14ac:dyDescent="0.25">
      <c r="A22" s="118" t="s">
        <v>519</v>
      </c>
    </row>
    <row r="23" spans="1:2" x14ac:dyDescent="0.25">
      <c r="A23" s="118" t="s">
        <v>519</v>
      </c>
    </row>
    <row r="24" spans="1:2" x14ac:dyDescent="0.25">
      <c r="A24" s="118" t="s">
        <v>520</v>
      </c>
    </row>
    <row r="25" spans="1:2" x14ac:dyDescent="0.25">
      <c r="A25" s="118" t="s">
        <v>520</v>
      </c>
    </row>
    <row r="26" spans="1:2" x14ac:dyDescent="0.25">
      <c r="A26" s="118" t="s">
        <v>520</v>
      </c>
    </row>
    <row r="27" spans="1:2" x14ac:dyDescent="0.25">
      <c r="A27" s="118" t="s">
        <v>521</v>
      </c>
    </row>
    <row r="28" spans="1:2" x14ac:dyDescent="0.25">
      <c r="A28" s="118" t="s">
        <v>521</v>
      </c>
    </row>
    <row r="29" spans="1:2" x14ac:dyDescent="0.25">
      <c r="A29" s="118" t="s">
        <v>521</v>
      </c>
    </row>
    <row r="30" spans="1:2" x14ac:dyDescent="0.25">
      <c r="A30" s="118" t="s">
        <v>521</v>
      </c>
    </row>
    <row r="31" spans="1:2" x14ac:dyDescent="0.25">
      <c r="A31" s="118" t="s">
        <v>521</v>
      </c>
    </row>
    <row r="32" spans="1:2" x14ac:dyDescent="0.25">
      <c r="A32" s="118" t="s">
        <v>522</v>
      </c>
      <c r="B32" s="118">
        <v>6865</v>
      </c>
    </row>
    <row r="33" spans="1:2" x14ac:dyDescent="0.25">
      <c r="A33" s="118" t="s">
        <v>523</v>
      </c>
      <c r="B33" s="118">
        <v>8165</v>
      </c>
    </row>
    <row r="34" spans="1:2" x14ac:dyDescent="0.25">
      <c r="A34" s="118" t="s">
        <v>524</v>
      </c>
      <c r="B34" s="118"/>
    </row>
    <row r="35" spans="1:2" x14ac:dyDescent="0.25">
      <c r="A35" s="118" t="s">
        <v>525</v>
      </c>
      <c r="B35" s="118"/>
    </row>
    <row r="36" spans="1:2" x14ac:dyDescent="0.25">
      <c r="A36" s="118" t="s">
        <v>526</v>
      </c>
      <c r="B36" s="118">
        <v>6425</v>
      </c>
    </row>
    <row r="37" spans="1:2" x14ac:dyDescent="0.25">
      <c r="A37" s="118" t="s">
        <v>526</v>
      </c>
      <c r="B37" s="118">
        <v>6425</v>
      </c>
    </row>
    <row r="38" spans="1:2" x14ac:dyDescent="0.25">
      <c r="A38" s="118" t="s">
        <v>527</v>
      </c>
      <c r="B38" s="118">
        <v>5065</v>
      </c>
    </row>
    <row r="39" spans="1:2" x14ac:dyDescent="0.25">
      <c r="A39" s="118" t="s">
        <v>527</v>
      </c>
      <c r="B39" s="118">
        <v>5065</v>
      </c>
    </row>
    <row r="40" spans="1:2" x14ac:dyDescent="0.25">
      <c r="A40" s="118" t="s">
        <v>528</v>
      </c>
      <c r="B40" s="118">
        <v>3385</v>
      </c>
    </row>
    <row r="41" spans="1:2" x14ac:dyDescent="0.25">
      <c r="A41" s="118" t="s">
        <v>529</v>
      </c>
      <c r="B41" s="118">
        <v>2205</v>
      </c>
    </row>
    <row r="42" spans="1:2" x14ac:dyDescent="0.25">
      <c r="A42" s="118" t="s">
        <v>530</v>
      </c>
      <c r="B42" s="118">
        <v>1385</v>
      </c>
    </row>
    <row r="43" spans="1:2" x14ac:dyDescent="0.25">
      <c r="A43" s="118" t="s">
        <v>531</v>
      </c>
      <c r="B43" s="118">
        <v>275</v>
      </c>
    </row>
    <row r="44" spans="1:2" x14ac:dyDescent="0.25">
      <c r="A44" s="118" t="s">
        <v>532</v>
      </c>
    </row>
    <row r="45" spans="1:2" x14ac:dyDescent="0.25">
      <c r="A45" s="118" t="s">
        <v>533</v>
      </c>
    </row>
    <row r="46" spans="1:2" x14ac:dyDescent="0.25">
      <c r="A46" s="118" t="s">
        <v>533</v>
      </c>
    </row>
    <row r="47" spans="1:2" x14ac:dyDescent="0.25">
      <c r="A47" s="118" t="s">
        <v>533</v>
      </c>
    </row>
    <row r="48" spans="1:2" x14ac:dyDescent="0.25">
      <c r="A48" s="118" t="s">
        <v>533</v>
      </c>
    </row>
    <row r="49" spans="1:1" x14ac:dyDescent="0.25">
      <c r="A49" s="118" t="s">
        <v>533</v>
      </c>
    </row>
    <row r="50" spans="1:1" x14ac:dyDescent="0.25">
      <c r="A50" s="118" t="s">
        <v>533</v>
      </c>
    </row>
    <row r="51" spans="1:1" x14ac:dyDescent="0.25">
      <c r="A51" s="118" t="s">
        <v>533</v>
      </c>
    </row>
    <row r="52" spans="1:1" x14ac:dyDescent="0.25">
      <c r="A52" s="118" t="s">
        <v>533</v>
      </c>
    </row>
    <row r="53" spans="1:1" x14ac:dyDescent="0.25">
      <c r="A53" s="118" t="s">
        <v>533</v>
      </c>
    </row>
    <row r="54" spans="1:1" x14ac:dyDescent="0.25">
      <c r="A54" s="118" t="s">
        <v>533</v>
      </c>
    </row>
    <row r="55" spans="1:1" x14ac:dyDescent="0.25">
      <c r="A55" s="118" t="s">
        <v>533</v>
      </c>
    </row>
    <row r="56" spans="1:1" x14ac:dyDescent="0.25">
      <c r="A56" s="118" t="s">
        <v>533</v>
      </c>
    </row>
    <row r="57" spans="1:1" x14ac:dyDescent="0.25">
      <c r="A57" s="118" t="s">
        <v>533</v>
      </c>
    </row>
    <row r="58" spans="1:1" x14ac:dyDescent="0.25">
      <c r="A58" s="118" t="s">
        <v>533</v>
      </c>
    </row>
    <row r="59" spans="1:1" x14ac:dyDescent="0.25">
      <c r="A59" s="118" t="s">
        <v>534</v>
      </c>
    </row>
    <row r="60" spans="1:1" x14ac:dyDescent="0.25">
      <c r="A60" s="118" t="s">
        <v>534</v>
      </c>
    </row>
    <row r="61" spans="1:1" x14ac:dyDescent="0.25">
      <c r="A61" s="118" t="s">
        <v>534</v>
      </c>
    </row>
    <row r="62" spans="1:1" x14ac:dyDescent="0.25">
      <c r="A62" s="118" t="s">
        <v>535</v>
      </c>
    </row>
    <row r="63" spans="1:1" x14ac:dyDescent="0.25">
      <c r="A63" s="118" t="s">
        <v>536</v>
      </c>
    </row>
    <row r="64" spans="1:1" x14ac:dyDescent="0.25">
      <c r="A64" s="118" t="s">
        <v>535</v>
      </c>
    </row>
    <row r="65" spans="1:1" x14ac:dyDescent="0.25">
      <c r="A65" s="118" t="s">
        <v>535</v>
      </c>
    </row>
    <row r="66" spans="1:1" x14ac:dyDescent="0.25">
      <c r="A66" s="118" t="s">
        <v>536</v>
      </c>
    </row>
    <row r="67" spans="1:1" x14ac:dyDescent="0.25">
      <c r="A67" s="118" t="s">
        <v>536</v>
      </c>
    </row>
    <row r="68" spans="1:1" x14ac:dyDescent="0.25">
      <c r="A68" s="118" t="s">
        <v>537</v>
      </c>
    </row>
    <row r="69" spans="1:1" x14ac:dyDescent="0.25">
      <c r="A69" s="118" t="s">
        <v>537</v>
      </c>
    </row>
    <row r="70" spans="1:1" x14ac:dyDescent="0.25">
      <c r="A70" s="118" t="s">
        <v>537</v>
      </c>
    </row>
    <row r="71" spans="1:1" x14ac:dyDescent="0.25">
      <c r="A71" s="118" t="s">
        <v>537</v>
      </c>
    </row>
    <row r="72" spans="1:1" x14ac:dyDescent="0.25">
      <c r="A72" s="118" t="s">
        <v>537</v>
      </c>
    </row>
    <row r="73" spans="1:1" x14ac:dyDescent="0.25">
      <c r="A73" s="118" t="s">
        <v>537</v>
      </c>
    </row>
    <row r="74" spans="1:1" x14ac:dyDescent="0.25">
      <c r="A74" s="118" t="s">
        <v>537</v>
      </c>
    </row>
    <row r="75" spans="1:1" x14ac:dyDescent="0.25">
      <c r="A75" s="118" t="s">
        <v>537</v>
      </c>
    </row>
    <row r="76" spans="1:1" x14ac:dyDescent="0.25">
      <c r="A76" s="118" t="s">
        <v>537</v>
      </c>
    </row>
    <row r="77" spans="1:1" x14ac:dyDescent="0.25">
      <c r="A77" s="118" t="s">
        <v>537</v>
      </c>
    </row>
    <row r="78" spans="1:1" x14ac:dyDescent="0.25">
      <c r="A78" s="118" t="s">
        <v>537</v>
      </c>
    </row>
    <row r="79" spans="1:1" x14ac:dyDescent="0.25">
      <c r="A79" s="118" t="s">
        <v>537</v>
      </c>
    </row>
    <row r="80" spans="1:1" x14ac:dyDescent="0.25">
      <c r="A80" s="118" t="s">
        <v>537</v>
      </c>
    </row>
    <row r="81" spans="1:2" x14ac:dyDescent="0.25">
      <c r="A81" s="118" t="s">
        <v>537</v>
      </c>
    </row>
    <row r="82" spans="1:2" x14ac:dyDescent="0.25">
      <c r="A82" s="118" t="s">
        <v>537</v>
      </c>
    </row>
    <row r="83" spans="1:2" x14ac:dyDescent="0.25">
      <c r="A83" s="118" t="s">
        <v>537</v>
      </c>
    </row>
    <row r="84" spans="1:2" x14ac:dyDescent="0.25">
      <c r="A84" s="118" t="s">
        <v>537</v>
      </c>
    </row>
    <row r="85" spans="1:2" x14ac:dyDescent="0.25">
      <c r="A85" s="118" t="s">
        <v>537</v>
      </c>
    </row>
    <row r="86" spans="1:2" x14ac:dyDescent="0.25">
      <c r="A86" s="118" t="s">
        <v>537</v>
      </c>
    </row>
    <row r="87" spans="1:2" x14ac:dyDescent="0.25">
      <c r="A87" s="118" t="s">
        <v>537</v>
      </c>
    </row>
    <row r="88" spans="1:2" x14ac:dyDescent="0.25">
      <c r="A88" s="118" t="s">
        <v>538</v>
      </c>
    </row>
    <row r="89" spans="1:2" x14ac:dyDescent="0.25">
      <c r="A89" s="118" t="s">
        <v>538</v>
      </c>
    </row>
    <row r="90" spans="1:2" x14ac:dyDescent="0.25">
      <c r="A90" s="118" t="s">
        <v>538</v>
      </c>
    </row>
    <row r="91" spans="1:2" x14ac:dyDescent="0.25">
      <c r="A91" s="118" t="s">
        <v>539</v>
      </c>
      <c r="B91" s="118">
        <v>6865</v>
      </c>
    </row>
    <row r="92" spans="1:2" x14ac:dyDescent="0.25">
      <c r="A92" s="118" t="s">
        <v>540</v>
      </c>
      <c r="B92" s="118">
        <v>8165</v>
      </c>
    </row>
    <row r="93" spans="1:2" x14ac:dyDescent="0.25">
      <c r="A93" s="118" t="s">
        <v>541</v>
      </c>
    </row>
    <row r="94" spans="1:2" x14ac:dyDescent="0.25">
      <c r="A94" s="118" t="s">
        <v>542</v>
      </c>
    </row>
    <row r="95" spans="1:2" x14ac:dyDescent="0.25">
      <c r="A95" s="118" t="s">
        <v>543</v>
      </c>
      <c r="B95" s="118">
        <v>8245</v>
      </c>
    </row>
    <row r="96" spans="1:2" x14ac:dyDescent="0.25">
      <c r="A96" s="118" t="s">
        <v>544</v>
      </c>
    </row>
    <row r="97" spans="1:2" x14ac:dyDescent="0.25">
      <c r="A97" s="118" t="s">
        <v>545</v>
      </c>
      <c r="B97" s="118">
        <v>5065</v>
      </c>
    </row>
    <row r="98" spans="1:2" x14ac:dyDescent="0.25">
      <c r="A98" s="118" t="s">
        <v>546</v>
      </c>
      <c r="B98" s="118">
        <v>3385</v>
      </c>
    </row>
    <row r="99" spans="1:2" x14ac:dyDescent="0.25">
      <c r="A99" s="118" t="s">
        <v>547</v>
      </c>
      <c r="B99" s="118">
        <v>2205</v>
      </c>
    </row>
    <row r="100" spans="1:2" x14ac:dyDescent="0.25">
      <c r="A100" s="118" t="s">
        <v>548</v>
      </c>
      <c r="B100" s="118">
        <v>1385</v>
      </c>
    </row>
    <row r="101" spans="1:2" x14ac:dyDescent="0.25">
      <c r="A101" s="118" t="s">
        <v>549</v>
      </c>
    </row>
    <row r="102" spans="1:2" x14ac:dyDescent="0.25">
      <c r="A102" s="118" t="s">
        <v>550</v>
      </c>
    </row>
    <row r="103" spans="1:2" x14ac:dyDescent="0.25">
      <c r="A103" s="118" t="s">
        <v>550</v>
      </c>
    </row>
    <row r="104" spans="1:2" x14ac:dyDescent="0.25">
      <c r="A104" s="118" t="s">
        <v>550</v>
      </c>
    </row>
    <row r="105" spans="1:2" x14ac:dyDescent="0.25">
      <c r="A105" s="118" t="s">
        <v>551</v>
      </c>
    </row>
    <row r="106" spans="1:2" x14ac:dyDescent="0.25">
      <c r="A106" s="118" t="s">
        <v>551</v>
      </c>
    </row>
    <row r="107" spans="1:2" x14ac:dyDescent="0.25">
      <c r="A107" s="118" t="s">
        <v>551</v>
      </c>
    </row>
    <row r="108" spans="1:2" x14ac:dyDescent="0.25">
      <c r="A108" s="118" t="s">
        <v>551</v>
      </c>
    </row>
    <row r="109" spans="1:2" x14ac:dyDescent="0.25">
      <c r="A109" s="118" t="s">
        <v>551</v>
      </c>
    </row>
    <row r="110" spans="1:2" x14ac:dyDescent="0.25">
      <c r="A110" s="118" t="s">
        <v>551</v>
      </c>
    </row>
    <row r="111" spans="1:2" x14ac:dyDescent="0.25">
      <c r="A111" s="118" t="s">
        <v>551</v>
      </c>
    </row>
    <row r="112" spans="1:2" x14ac:dyDescent="0.25">
      <c r="A112" s="118" t="s">
        <v>551</v>
      </c>
    </row>
    <row r="113" spans="1:1" x14ac:dyDescent="0.25">
      <c r="A113" s="118" t="s">
        <v>552</v>
      </c>
    </row>
    <row r="114" spans="1:1" x14ac:dyDescent="0.25">
      <c r="A114" s="118" t="s">
        <v>553</v>
      </c>
    </row>
    <row r="115" spans="1:1" x14ac:dyDescent="0.25">
      <c r="A115" s="118" t="s">
        <v>553</v>
      </c>
    </row>
    <row r="116" spans="1:1" x14ac:dyDescent="0.25">
      <c r="A116" s="118" t="s">
        <v>553</v>
      </c>
    </row>
    <row r="117" spans="1:1" x14ac:dyDescent="0.25">
      <c r="A117" s="118" t="s">
        <v>553</v>
      </c>
    </row>
    <row r="118" spans="1:1" x14ac:dyDescent="0.25">
      <c r="A118" s="118" t="s">
        <v>553</v>
      </c>
    </row>
    <row r="119" spans="1:1" x14ac:dyDescent="0.25">
      <c r="A119" s="118" t="s">
        <v>553</v>
      </c>
    </row>
    <row r="120" spans="1:1" x14ac:dyDescent="0.25">
      <c r="A120" s="118" t="s">
        <v>553</v>
      </c>
    </row>
    <row r="121" spans="1:1" x14ac:dyDescent="0.25">
      <c r="A121" s="118" t="s">
        <v>553</v>
      </c>
    </row>
    <row r="122" spans="1:1" x14ac:dyDescent="0.25">
      <c r="A122" s="118" t="s">
        <v>538</v>
      </c>
    </row>
    <row r="123" spans="1:1" x14ac:dyDescent="0.25">
      <c r="A123" s="118" t="s">
        <v>554</v>
      </c>
    </row>
    <row r="124" spans="1:1" x14ac:dyDescent="0.25">
      <c r="A124" s="118" t="s">
        <v>554</v>
      </c>
    </row>
    <row r="125" spans="1:1" x14ac:dyDescent="0.25">
      <c r="A125" s="118" t="s">
        <v>554</v>
      </c>
    </row>
    <row r="126" spans="1:1" x14ac:dyDescent="0.25">
      <c r="A126" s="118" t="s">
        <v>554</v>
      </c>
    </row>
    <row r="127" spans="1:1" x14ac:dyDescent="0.25">
      <c r="A127" s="118" t="s">
        <v>554</v>
      </c>
    </row>
    <row r="128" spans="1:1" x14ac:dyDescent="0.25">
      <c r="A128" s="118" t="s">
        <v>554</v>
      </c>
    </row>
    <row r="129" spans="1:1" x14ac:dyDescent="0.25">
      <c r="A129" s="118" t="s">
        <v>555</v>
      </c>
    </row>
    <row r="130" spans="1:1" x14ac:dyDescent="0.25">
      <c r="A130" s="118" t="s">
        <v>555</v>
      </c>
    </row>
    <row r="131" spans="1:1" x14ac:dyDescent="0.25">
      <c r="A131" s="118" t="s">
        <v>555</v>
      </c>
    </row>
    <row r="132" spans="1:1" x14ac:dyDescent="0.25">
      <c r="A132" s="118" t="s">
        <v>555</v>
      </c>
    </row>
    <row r="133" spans="1:1" x14ac:dyDescent="0.25">
      <c r="A133" s="118" t="s">
        <v>555</v>
      </c>
    </row>
    <row r="134" spans="1:1" x14ac:dyDescent="0.25">
      <c r="A134" s="118" t="s">
        <v>555</v>
      </c>
    </row>
    <row r="135" spans="1:1" x14ac:dyDescent="0.25">
      <c r="A135" s="118" t="s">
        <v>555</v>
      </c>
    </row>
    <row r="136" spans="1:1" x14ac:dyDescent="0.25">
      <c r="A136" s="118" t="s">
        <v>555</v>
      </c>
    </row>
    <row r="137" spans="1:1" x14ac:dyDescent="0.25">
      <c r="A137" s="37" t="s">
        <v>556</v>
      </c>
    </row>
    <row r="138" spans="1:1" x14ac:dyDescent="0.25">
      <c r="A138" s="37" t="s">
        <v>556</v>
      </c>
    </row>
    <row r="139" spans="1:1" x14ac:dyDescent="0.25">
      <c r="A139" s="37" t="s">
        <v>556</v>
      </c>
    </row>
    <row r="140" spans="1:1" x14ac:dyDescent="0.25">
      <c r="A140" s="42" t="s">
        <v>557</v>
      </c>
    </row>
    <row r="141" spans="1:1" x14ac:dyDescent="0.25">
      <c r="A141" s="42" t="s">
        <v>557</v>
      </c>
    </row>
    <row r="142" spans="1:1" x14ac:dyDescent="0.25">
      <c r="A142" s="42" t="s">
        <v>557</v>
      </c>
    </row>
    <row r="143" spans="1:1" x14ac:dyDescent="0.25">
      <c r="A143" s="42" t="s">
        <v>557</v>
      </c>
    </row>
    <row r="144" spans="1:1" x14ac:dyDescent="0.25">
      <c r="A144" s="42" t="s">
        <v>557</v>
      </c>
    </row>
    <row r="145" spans="1:2" x14ac:dyDescent="0.25">
      <c r="A145" s="118" t="s">
        <v>168</v>
      </c>
      <c r="B145" s="118">
        <v>5210</v>
      </c>
    </row>
    <row r="146" spans="1:2" x14ac:dyDescent="0.25">
      <c r="A146" s="118" t="s">
        <v>169</v>
      </c>
      <c r="B146" s="118">
        <v>5430</v>
      </c>
    </row>
    <row r="147" spans="1:2" x14ac:dyDescent="0.25">
      <c r="A147" s="118" t="s">
        <v>170</v>
      </c>
      <c r="B147" s="118">
        <v>4180</v>
      </c>
    </row>
    <row r="148" spans="1:2" x14ac:dyDescent="0.25">
      <c r="A148" s="118" t="s">
        <v>171</v>
      </c>
      <c r="B148" s="118">
        <v>4980</v>
      </c>
    </row>
    <row r="149" spans="1:2" x14ac:dyDescent="0.25">
      <c r="A149" s="26" t="s">
        <v>172</v>
      </c>
      <c r="B149" s="118">
        <v>6340</v>
      </c>
    </row>
    <row r="150" spans="1:2" x14ac:dyDescent="0.25">
      <c r="A150" s="118" t="s">
        <v>173</v>
      </c>
      <c r="B150" s="118">
        <v>7900</v>
      </c>
    </row>
    <row r="151" spans="1:2" x14ac:dyDescent="0.25">
      <c r="A151" s="118" t="s">
        <v>174</v>
      </c>
      <c r="B151" s="118">
        <v>10610</v>
      </c>
    </row>
    <row r="152" spans="1:2" x14ac:dyDescent="0.25">
      <c r="A152" s="26" t="s">
        <v>175</v>
      </c>
      <c r="B152" s="118">
        <v>9370</v>
      </c>
    </row>
    <row r="153" spans="1:2" x14ac:dyDescent="0.25">
      <c r="A153" s="118" t="s">
        <v>176</v>
      </c>
      <c r="B153" s="118">
        <v>10331</v>
      </c>
    </row>
    <row r="154" spans="1:2" x14ac:dyDescent="0.25">
      <c r="A154" s="26" t="s">
        <v>177</v>
      </c>
      <c r="B154" s="118">
        <v>11270</v>
      </c>
    </row>
    <row r="155" spans="1:2" x14ac:dyDescent="0.25">
      <c r="A155" s="26" t="s">
        <v>178</v>
      </c>
    </row>
    <row r="156" spans="1:2" x14ac:dyDescent="0.25">
      <c r="A156" s="118" t="s">
        <v>179</v>
      </c>
    </row>
    <row r="157" spans="1:2" x14ac:dyDescent="0.25">
      <c r="A157" s="118" t="s">
        <v>180</v>
      </c>
      <c r="B157" s="118">
        <v>5180</v>
      </c>
    </row>
    <row r="158" spans="1:2" x14ac:dyDescent="0.25">
      <c r="A158" s="118" t="s">
        <v>558</v>
      </c>
    </row>
    <row r="159" spans="1:2" x14ac:dyDescent="0.25">
      <c r="A159" s="26" t="s">
        <v>558</v>
      </c>
    </row>
    <row r="160" spans="1:2" x14ac:dyDescent="0.25">
      <c r="A160" s="26" t="s">
        <v>558</v>
      </c>
    </row>
    <row r="161" spans="1:1" x14ac:dyDescent="0.25">
      <c r="A161" s="118" t="s">
        <v>558</v>
      </c>
    </row>
    <row r="162" spans="1:1" x14ac:dyDescent="0.25">
      <c r="A162" s="118" t="s">
        <v>558</v>
      </c>
    </row>
    <row r="163" spans="1:1" x14ac:dyDescent="0.25">
      <c r="A163" s="118" t="s">
        <v>558</v>
      </c>
    </row>
    <row r="164" spans="1:1" x14ac:dyDescent="0.25">
      <c r="A164" s="26" t="s">
        <v>558</v>
      </c>
    </row>
    <row r="165" spans="1:1" x14ac:dyDescent="0.25">
      <c r="A165" s="26" t="s">
        <v>558</v>
      </c>
    </row>
    <row r="166" spans="1:1" x14ac:dyDescent="0.25">
      <c r="A166" s="118" t="s">
        <v>559</v>
      </c>
    </row>
    <row r="167" spans="1:1" x14ac:dyDescent="0.25">
      <c r="A167" s="118" t="s">
        <v>559</v>
      </c>
    </row>
    <row r="168" spans="1:1" x14ac:dyDescent="0.25">
      <c r="A168" s="118" t="s">
        <v>559</v>
      </c>
    </row>
    <row r="169" spans="1:1" x14ac:dyDescent="0.25">
      <c r="A169" s="118" t="s">
        <v>560</v>
      </c>
    </row>
    <row r="170" spans="1:1" x14ac:dyDescent="0.25">
      <c r="A170" s="118" t="s">
        <v>560</v>
      </c>
    </row>
    <row r="171" spans="1:1" x14ac:dyDescent="0.25">
      <c r="A171" s="118" t="s">
        <v>560</v>
      </c>
    </row>
    <row r="172" spans="1:1" x14ac:dyDescent="0.25">
      <c r="A172" s="118" t="s">
        <v>560</v>
      </c>
    </row>
    <row r="173" spans="1:1" x14ac:dyDescent="0.25">
      <c r="A173" s="118" t="s">
        <v>560</v>
      </c>
    </row>
    <row r="174" spans="1:1" x14ac:dyDescent="0.25">
      <c r="A174" s="118" t="s">
        <v>561</v>
      </c>
    </row>
    <row r="175" spans="1:1" x14ac:dyDescent="0.25">
      <c r="A175" s="118" t="s">
        <v>561</v>
      </c>
    </row>
    <row r="176" spans="1:1" x14ac:dyDescent="0.25">
      <c r="A176" s="118" t="s">
        <v>561</v>
      </c>
    </row>
    <row r="177" spans="1:2" x14ac:dyDescent="0.25">
      <c r="A177" s="118" t="s">
        <v>561</v>
      </c>
    </row>
    <row r="178" spans="1:2" x14ac:dyDescent="0.25">
      <c r="A178" s="118" t="s">
        <v>561</v>
      </c>
    </row>
    <row r="179" spans="1:2" x14ac:dyDescent="0.25">
      <c r="A179" s="118" t="s">
        <v>561</v>
      </c>
    </row>
    <row r="180" spans="1:2" x14ac:dyDescent="0.25">
      <c r="A180" s="118" t="s">
        <v>561</v>
      </c>
    </row>
    <row r="181" spans="1:2" x14ac:dyDescent="0.25">
      <c r="A181" s="118" t="s">
        <v>204</v>
      </c>
      <c r="B181" s="118">
        <v>5999</v>
      </c>
    </row>
    <row r="182" spans="1:2" x14ac:dyDescent="0.25">
      <c r="A182" s="118" t="s">
        <v>205</v>
      </c>
      <c r="B182" s="118">
        <v>8861</v>
      </c>
    </row>
    <row r="183" spans="1:2" x14ac:dyDescent="0.25">
      <c r="A183" s="118" t="s">
        <v>206</v>
      </c>
      <c r="B183" s="118">
        <v>9921</v>
      </c>
    </row>
    <row r="184" spans="1:2" x14ac:dyDescent="0.25">
      <c r="A184" s="118" t="s">
        <v>207</v>
      </c>
      <c r="B184" s="118">
        <v>10891</v>
      </c>
    </row>
    <row r="185" spans="1:2" x14ac:dyDescent="0.25">
      <c r="A185" s="118" t="s">
        <v>208</v>
      </c>
      <c r="B185" s="118">
        <v>12821</v>
      </c>
    </row>
    <row r="186" spans="1:2" x14ac:dyDescent="0.25">
      <c r="A186" s="118" t="s">
        <v>209</v>
      </c>
      <c r="B186" s="118">
        <v>14351</v>
      </c>
    </row>
    <row r="187" spans="1:2" x14ac:dyDescent="0.25">
      <c r="A187" s="118" t="s">
        <v>210</v>
      </c>
      <c r="B187" s="118">
        <v>6411</v>
      </c>
    </row>
    <row r="188" spans="1:2" x14ac:dyDescent="0.25">
      <c r="A188" s="118" t="s">
        <v>211</v>
      </c>
      <c r="B188" s="118">
        <v>5401</v>
      </c>
    </row>
    <row r="189" spans="1:2" x14ac:dyDescent="0.25">
      <c r="A189" s="118" t="s">
        <v>212</v>
      </c>
      <c r="B189" s="118">
        <v>4381</v>
      </c>
    </row>
    <row r="190" spans="1:2" x14ac:dyDescent="0.25">
      <c r="A190" s="118" t="s">
        <v>213</v>
      </c>
      <c r="B190" s="118">
        <v>2851</v>
      </c>
    </row>
    <row r="191" spans="1:2" x14ac:dyDescent="0.25">
      <c r="A191" s="26" t="s">
        <v>562</v>
      </c>
    </row>
    <row r="192" spans="1:2" x14ac:dyDescent="0.25">
      <c r="A192" s="26" t="s">
        <v>562</v>
      </c>
    </row>
    <row r="193" spans="1:2" x14ac:dyDescent="0.25">
      <c r="A193" s="26" t="s">
        <v>562</v>
      </c>
    </row>
    <row r="194" spans="1:2" x14ac:dyDescent="0.25">
      <c r="A194" s="26" t="s">
        <v>563</v>
      </c>
    </row>
    <row r="195" spans="1:2" x14ac:dyDescent="0.25">
      <c r="A195" s="26" t="s">
        <v>563</v>
      </c>
    </row>
    <row r="196" spans="1:2" x14ac:dyDescent="0.25">
      <c r="A196" s="26" t="s">
        <v>563</v>
      </c>
    </row>
    <row r="197" spans="1:2" x14ac:dyDescent="0.25">
      <c r="A197" s="118" t="s">
        <v>563</v>
      </c>
    </row>
    <row r="198" spans="1:2" x14ac:dyDescent="0.25">
      <c r="A198" s="118" t="s">
        <v>563</v>
      </c>
    </row>
    <row r="199" spans="1:2" x14ac:dyDescent="0.25">
      <c r="A199" s="118" t="s">
        <v>564</v>
      </c>
    </row>
    <row r="200" spans="1:2" x14ac:dyDescent="0.25">
      <c r="A200" s="118" t="s">
        <v>564</v>
      </c>
    </row>
    <row r="201" spans="1:2" x14ac:dyDescent="0.25">
      <c r="A201" s="118" t="s">
        <v>564</v>
      </c>
    </row>
    <row r="202" spans="1:2" x14ac:dyDescent="0.25">
      <c r="A202" s="118" t="s">
        <v>565</v>
      </c>
    </row>
    <row r="203" spans="1:2" x14ac:dyDescent="0.25">
      <c r="A203" s="118" t="s">
        <v>565</v>
      </c>
    </row>
    <row r="204" spans="1:2" x14ac:dyDescent="0.25">
      <c r="A204" s="118" t="s">
        <v>565</v>
      </c>
    </row>
    <row r="205" spans="1:2" x14ac:dyDescent="0.25">
      <c r="A205" s="118" t="s">
        <v>565</v>
      </c>
    </row>
    <row r="206" spans="1:2" x14ac:dyDescent="0.25">
      <c r="A206" s="118" t="s">
        <v>565</v>
      </c>
    </row>
    <row r="207" spans="1:2" x14ac:dyDescent="0.25">
      <c r="A207" s="63" t="s">
        <v>230</v>
      </c>
      <c r="B207" s="118">
        <v>5210</v>
      </c>
    </row>
    <row r="208" spans="1:2" x14ac:dyDescent="0.25">
      <c r="A208" s="63" t="s">
        <v>231</v>
      </c>
      <c r="B208" s="118">
        <v>5430</v>
      </c>
    </row>
    <row r="209" spans="1:2" x14ac:dyDescent="0.25">
      <c r="A209" s="63" t="s">
        <v>232</v>
      </c>
      <c r="B209" s="118">
        <v>4180</v>
      </c>
    </row>
    <row r="210" spans="1:2" x14ac:dyDescent="0.25">
      <c r="A210" s="63" t="s">
        <v>233</v>
      </c>
      <c r="B210" s="118">
        <v>4980</v>
      </c>
    </row>
    <row r="211" spans="1:2" x14ac:dyDescent="0.25">
      <c r="A211" s="63" t="s">
        <v>234</v>
      </c>
      <c r="B211" s="118">
        <v>6340</v>
      </c>
    </row>
    <row r="212" spans="1:2" x14ac:dyDescent="0.25">
      <c r="A212" s="63" t="s">
        <v>235</v>
      </c>
      <c r="B212" s="118">
        <v>7900</v>
      </c>
    </row>
    <row r="213" spans="1:2" x14ac:dyDescent="0.25">
      <c r="A213" s="63" t="s">
        <v>236</v>
      </c>
      <c r="B213" s="118">
        <v>10610</v>
      </c>
    </row>
    <row r="214" spans="1:2" x14ac:dyDescent="0.25">
      <c r="A214" s="63" t="s">
        <v>237</v>
      </c>
      <c r="B214" s="118">
        <v>9370</v>
      </c>
    </row>
    <row r="215" spans="1:2" x14ac:dyDescent="0.25">
      <c r="A215" s="63" t="s">
        <v>238</v>
      </c>
      <c r="B215" s="118">
        <v>10331</v>
      </c>
    </row>
    <row r="216" spans="1:2" x14ac:dyDescent="0.25">
      <c r="A216" s="63" t="s">
        <v>239</v>
      </c>
      <c r="B216" s="118">
        <v>11270</v>
      </c>
    </row>
    <row r="217" spans="1:2" x14ac:dyDescent="0.25">
      <c r="A217" s="63" t="s">
        <v>240</v>
      </c>
    </row>
    <row r="218" spans="1:2" x14ac:dyDescent="0.25">
      <c r="A218" s="118" t="s">
        <v>241</v>
      </c>
    </row>
    <row r="219" spans="1:2" x14ac:dyDescent="0.25">
      <c r="A219" s="63" t="s">
        <v>242</v>
      </c>
      <c r="B219" s="118">
        <v>5180</v>
      </c>
    </row>
    <row r="220" spans="1:2" x14ac:dyDescent="0.25">
      <c r="A220" s="63" t="s">
        <v>243</v>
      </c>
      <c r="B220" s="118">
        <v>5999</v>
      </c>
    </row>
    <row r="221" spans="1:2" x14ac:dyDescent="0.25">
      <c r="A221" s="63" t="s">
        <v>244</v>
      </c>
      <c r="B221" s="118">
        <v>8861</v>
      </c>
    </row>
    <row r="222" spans="1:2" x14ac:dyDescent="0.25">
      <c r="A222" s="63" t="s">
        <v>245</v>
      </c>
      <c r="B222" s="118">
        <v>9921</v>
      </c>
    </row>
    <row r="223" spans="1:2" x14ac:dyDescent="0.25">
      <c r="A223" s="63" t="s">
        <v>246</v>
      </c>
      <c r="B223" s="118">
        <v>10891</v>
      </c>
    </row>
    <row r="224" spans="1:2" x14ac:dyDescent="0.25">
      <c r="A224" s="118" t="s">
        <v>247</v>
      </c>
      <c r="B224" s="118">
        <v>12821</v>
      </c>
    </row>
    <row r="225" spans="1:2" x14ac:dyDescent="0.25">
      <c r="A225" s="63" t="s">
        <v>248</v>
      </c>
      <c r="B225" s="118">
        <v>14351</v>
      </c>
    </row>
    <row r="226" spans="1:2" x14ac:dyDescent="0.25">
      <c r="A226" s="63" t="s">
        <v>249</v>
      </c>
      <c r="B226" s="118">
        <v>6411</v>
      </c>
    </row>
    <row r="227" spans="1:2" x14ac:dyDescent="0.25">
      <c r="A227" s="63" t="s">
        <v>250</v>
      </c>
      <c r="B227" s="118">
        <v>5401</v>
      </c>
    </row>
    <row r="228" spans="1:2" x14ac:dyDescent="0.25">
      <c r="A228" s="63" t="s">
        <v>251</v>
      </c>
      <c r="B228" s="118">
        <v>4381</v>
      </c>
    </row>
    <row r="229" spans="1:2" x14ac:dyDescent="0.25">
      <c r="A229" s="63" t="s">
        <v>252</v>
      </c>
      <c r="B229" s="118">
        <v>2851</v>
      </c>
    </row>
    <row r="230" spans="1:2" x14ac:dyDescent="0.25">
      <c r="A230" s="63" t="s">
        <v>253</v>
      </c>
      <c r="B230" s="118">
        <v>1731</v>
      </c>
    </row>
    <row r="231" spans="1:2" x14ac:dyDescent="0.25">
      <c r="A231" s="63" t="s">
        <v>254</v>
      </c>
      <c r="B231" s="118">
        <v>661</v>
      </c>
    </row>
    <row r="232" spans="1:2" x14ac:dyDescent="0.25">
      <c r="A232" s="63" t="s">
        <v>248</v>
      </c>
      <c r="B232" s="118">
        <v>14351</v>
      </c>
    </row>
    <row r="233" spans="1:2" x14ac:dyDescent="0.25">
      <c r="A233" s="118" t="s">
        <v>255</v>
      </c>
      <c r="B233" s="118">
        <v>13553</v>
      </c>
    </row>
    <row r="234" spans="1:2" x14ac:dyDescent="0.25">
      <c r="A234" s="63" t="s">
        <v>253</v>
      </c>
      <c r="B234" s="118">
        <v>1731</v>
      </c>
    </row>
    <row r="235" spans="1:2" x14ac:dyDescent="0.25">
      <c r="A235" s="118" t="s">
        <v>566</v>
      </c>
      <c r="B235" s="118">
        <v>8165</v>
      </c>
    </row>
    <row r="236" spans="1:2" x14ac:dyDescent="0.25">
      <c r="A236" s="118" t="s">
        <v>566</v>
      </c>
      <c r="B236" s="118">
        <v>8165</v>
      </c>
    </row>
    <row r="237" spans="1:2" x14ac:dyDescent="0.25">
      <c r="A237" s="118" t="s">
        <v>567</v>
      </c>
    </row>
    <row r="238" spans="1:2" x14ac:dyDescent="0.25">
      <c r="A238" s="118" t="s">
        <v>568</v>
      </c>
      <c r="B238" s="118"/>
    </row>
    <row r="239" spans="1:2" x14ac:dyDescent="0.25">
      <c r="A239" s="118" t="s">
        <v>461</v>
      </c>
      <c r="B239" s="118">
        <v>6425</v>
      </c>
    </row>
    <row r="240" spans="1:2" x14ac:dyDescent="0.25">
      <c r="A240" s="118" t="s">
        <v>569</v>
      </c>
      <c r="B240" s="118">
        <v>8245</v>
      </c>
    </row>
    <row r="241" spans="1:2" x14ac:dyDescent="0.25">
      <c r="A241" s="118" t="s">
        <v>570</v>
      </c>
      <c r="B241" s="118"/>
    </row>
    <row r="242" spans="1:2" x14ac:dyDescent="0.25">
      <c r="A242" s="118" t="s">
        <v>571</v>
      </c>
      <c r="B242" s="118">
        <v>5065</v>
      </c>
    </row>
    <row r="243" spans="1:2" x14ac:dyDescent="0.25">
      <c r="A243" s="118" t="s">
        <v>572</v>
      </c>
      <c r="B243" s="118">
        <v>3385</v>
      </c>
    </row>
    <row r="244" spans="1:2" x14ac:dyDescent="0.25">
      <c r="A244" s="118" t="s">
        <v>573</v>
      </c>
      <c r="B244" s="118">
        <v>2205</v>
      </c>
    </row>
    <row r="245" spans="1:2" x14ac:dyDescent="0.25">
      <c r="A245" s="118" t="s">
        <v>574</v>
      </c>
      <c r="B245" s="118">
        <v>1385</v>
      </c>
    </row>
    <row r="246" spans="1:2" x14ac:dyDescent="0.25">
      <c r="A246" s="118" t="s">
        <v>575</v>
      </c>
      <c r="B246" s="118">
        <v>275</v>
      </c>
    </row>
    <row r="247" spans="1:2" x14ac:dyDescent="0.25">
      <c r="A247" s="118" t="s">
        <v>568</v>
      </c>
      <c r="B247" s="118"/>
    </row>
    <row r="248" spans="1:2" x14ac:dyDescent="0.25">
      <c r="A248" s="118" t="s">
        <v>576</v>
      </c>
      <c r="B248" s="118">
        <v>4225</v>
      </c>
    </row>
    <row r="249" spans="1:2" x14ac:dyDescent="0.25">
      <c r="A249" s="118" t="s">
        <v>577</v>
      </c>
      <c r="B249" s="118">
        <v>2905</v>
      </c>
    </row>
    <row r="250" spans="1:2" x14ac:dyDescent="0.25">
      <c r="A250" s="118" t="s">
        <v>273</v>
      </c>
      <c r="B250" s="118">
        <v>5210</v>
      </c>
    </row>
    <row r="251" spans="1:2" x14ac:dyDescent="0.25">
      <c r="A251" s="118" t="s">
        <v>274</v>
      </c>
      <c r="B251" s="118">
        <v>5430</v>
      </c>
    </row>
    <row r="252" spans="1:2" x14ac:dyDescent="0.25">
      <c r="A252" s="118" t="s">
        <v>275</v>
      </c>
      <c r="B252" s="118">
        <v>4180</v>
      </c>
    </row>
    <row r="253" spans="1:2" x14ac:dyDescent="0.25">
      <c r="A253" s="118" t="s">
        <v>276</v>
      </c>
      <c r="B253" s="118">
        <v>4980</v>
      </c>
    </row>
    <row r="254" spans="1:2" x14ac:dyDescent="0.25">
      <c r="A254" s="118" t="s">
        <v>277</v>
      </c>
      <c r="B254" s="118">
        <v>6340</v>
      </c>
    </row>
    <row r="255" spans="1:2" x14ac:dyDescent="0.25">
      <c r="A255" s="118" t="s">
        <v>278</v>
      </c>
      <c r="B255" s="118">
        <v>7900</v>
      </c>
    </row>
    <row r="256" spans="1:2" x14ac:dyDescent="0.25">
      <c r="A256" s="118" t="s">
        <v>279</v>
      </c>
      <c r="B256" s="118">
        <v>10610</v>
      </c>
    </row>
    <row r="257" spans="1:2" x14ac:dyDescent="0.25">
      <c r="A257" s="118" t="s">
        <v>280</v>
      </c>
      <c r="B257" s="118">
        <v>9370</v>
      </c>
    </row>
    <row r="258" spans="1:2" x14ac:dyDescent="0.25">
      <c r="A258" s="118" t="s">
        <v>281</v>
      </c>
      <c r="B258" s="118">
        <v>10331</v>
      </c>
    </row>
    <row r="259" spans="1:2" x14ac:dyDescent="0.25">
      <c r="A259" s="118" t="s">
        <v>282</v>
      </c>
      <c r="B259" s="118">
        <v>11270</v>
      </c>
    </row>
    <row r="260" spans="1:2" x14ac:dyDescent="0.25">
      <c r="A260" s="118" t="s">
        <v>283</v>
      </c>
    </row>
    <row r="261" spans="1:2" x14ac:dyDescent="0.25">
      <c r="A261" s="118" t="s">
        <v>284</v>
      </c>
    </row>
    <row r="262" spans="1:2" x14ac:dyDescent="0.25">
      <c r="A262" s="118" t="s">
        <v>285</v>
      </c>
      <c r="B262" s="118">
        <v>5180</v>
      </c>
    </row>
    <row r="263" spans="1:2" x14ac:dyDescent="0.25">
      <c r="A263" s="118" t="s">
        <v>578</v>
      </c>
    </row>
    <row r="264" spans="1:2" x14ac:dyDescent="0.25">
      <c r="A264" s="118" t="s">
        <v>579</v>
      </c>
    </row>
    <row r="265" spans="1:2" x14ac:dyDescent="0.25">
      <c r="A265" s="118" t="s">
        <v>580</v>
      </c>
    </row>
    <row r="266" spans="1:2" x14ac:dyDescent="0.25">
      <c r="A266" s="48" t="s">
        <v>581</v>
      </c>
    </row>
    <row r="267" spans="1:2" x14ac:dyDescent="0.25">
      <c r="A267" s="26" t="s">
        <v>293</v>
      </c>
      <c r="B267" s="118">
        <v>5999</v>
      </c>
    </row>
    <row r="268" spans="1:2" x14ac:dyDescent="0.25">
      <c r="A268" s="118" t="s">
        <v>294</v>
      </c>
      <c r="B268" s="118">
        <v>8861</v>
      </c>
    </row>
    <row r="269" spans="1:2" x14ac:dyDescent="0.25">
      <c r="A269" s="118" t="s">
        <v>295</v>
      </c>
      <c r="B269" s="118">
        <v>9921</v>
      </c>
    </row>
    <row r="270" spans="1:2" x14ac:dyDescent="0.25">
      <c r="A270" s="118" t="s">
        <v>296</v>
      </c>
      <c r="B270" s="118">
        <v>10891</v>
      </c>
    </row>
    <row r="271" spans="1:2" x14ac:dyDescent="0.25">
      <c r="A271" s="118" t="s">
        <v>297</v>
      </c>
      <c r="B271" s="118">
        <v>12821</v>
      </c>
    </row>
    <row r="272" spans="1:2" x14ac:dyDescent="0.25">
      <c r="A272" s="118" t="s">
        <v>298</v>
      </c>
      <c r="B272" s="118">
        <v>14351</v>
      </c>
    </row>
    <row r="273" spans="1:2" x14ac:dyDescent="0.25">
      <c r="A273" s="118" t="s">
        <v>299</v>
      </c>
      <c r="B273" s="118">
        <v>6411</v>
      </c>
    </row>
    <row r="274" spans="1:2" x14ac:dyDescent="0.25">
      <c r="A274" s="118" t="s">
        <v>300</v>
      </c>
      <c r="B274" s="118">
        <v>5401</v>
      </c>
    </row>
    <row r="275" spans="1:2" x14ac:dyDescent="0.25">
      <c r="A275" s="118" t="s">
        <v>301</v>
      </c>
      <c r="B275" s="118">
        <v>4381</v>
      </c>
    </row>
    <row r="276" spans="1:2" x14ac:dyDescent="0.25">
      <c r="A276" s="118" t="s">
        <v>302</v>
      </c>
      <c r="B276" s="118">
        <v>2851</v>
      </c>
    </row>
    <row r="277" spans="1:2" x14ac:dyDescent="0.25">
      <c r="A277" s="118" t="s">
        <v>303</v>
      </c>
      <c r="B277" s="118">
        <v>1731</v>
      </c>
    </row>
    <row r="278" spans="1:2" x14ac:dyDescent="0.25">
      <c r="A278" s="118" t="s">
        <v>304</v>
      </c>
      <c r="B278" s="118">
        <v>661</v>
      </c>
    </row>
    <row r="279" spans="1:2" x14ac:dyDescent="0.25">
      <c r="A279" s="118" t="s">
        <v>305</v>
      </c>
      <c r="B279" s="118">
        <v>13553</v>
      </c>
    </row>
    <row r="280" spans="1:2" x14ac:dyDescent="0.25">
      <c r="A280" s="118" t="s">
        <v>306</v>
      </c>
    </row>
    <row r="281" spans="1:2" x14ac:dyDescent="0.25">
      <c r="A281" s="118" t="s">
        <v>307</v>
      </c>
    </row>
    <row r="282" spans="1:2" x14ac:dyDescent="0.25">
      <c r="A282" s="118" t="s">
        <v>308</v>
      </c>
    </row>
    <row r="283" spans="1:2" x14ac:dyDescent="0.25">
      <c r="A283" s="118" t="s">
        <v>309</v>
      </c>
    </row>
    <row r="284" spans="1:2" x14ac:dyDescent="0.25">
      <c r="A284" s="118" t="s">
        <v>310</v>
      </c>
    </row>
    <row r="285" spans="1:2" x14ac:dyDescent="0.25">
      <c r="A285" s="118" t="s">
        <v>311</v>
      </c>
    </row>
    <row r="286" spans="1:2" x14ac:dyDescent="0.25">
      <c r="A286" s="118" t="s">
        <v>312</v>
      </c>
    </row>
    <row r="287" spans="1:2" x14ac:dyDescent="0.25">
      <c r="A287" s="118" t="s">
        <v>313</v>
      </c>
    </row>
    <row r="288" spans="1:2" x14ac:dyDescent="0.25">
      <c r="A288" s="118" t="s">
        <v>631</v>
      </c>
      <c r="B288" s="118">
        <v>6425</v>
      </c>
    </row>
    <row r="289" spans="1:2" x14ac:dyDescent="0.25">
      <c r="A289" s="118" t="s">
        <v>314</v>
      </c>
      <c r="B289" s="118">
        <v>8245</v>
      </c>
    </row>
    <row r="290" spans="1:2" x14ac:dyDescent="0.25">
      <c r="A290" s="118" t="s">
        <v>315</v>
      </c>
      <c r="B290" s="118">
        <v>5065</v>
      </c>
    </row>
    <row r="291" spans="1:2" x14ac:dyDescent="0.25">
      <c r="A291" s="118" t="s">
        <v>316</v>
      </c>
      <c r="B291" s="118">
        <v>3385</v>
      </c>
    </row>
    <row r="292" spans="1:2" x14ac:dyDescent="0.25">
      <c r="A292" s="118" t="s">
        <v>317</v>
      </c>
      <c r="B292" s="118">
        <v>2205</v>
      </c>
    </row>
    <row r="293" spans="1:2" x14ac:dyDescent="0.25">
      <c r="A293" s="118" t="s">
        <v>318</v>
      </c>
      <c r="B293" s="118">
        <v>1385</v>
      </c>
    </row>
    <row r="294" spans="1:2" x14ac:dyDescent="0.25">
      <c r="A294" s="118" t="s">
        <v>319</v>
      </c>
      <c r="B294" s="118">
        <v>275</v>
      </c>
    </row>
    <row r="295" spans="1:2" x14ac:dyDescent="0.25">
      <c r="A295" s="118" t="s">
        <v>320</v>
      </c>
      <c r="B295" s="118">
        <v>4225</v>
      </c>
    </row>
    <row r="296" spans="1:2" x14ac:dyDescent="0.25">
      <c r="A296" s="118" t="s">
        <v>321</v>
      </c>
      <c r="B296" s="118">
        <v>2905</v>
      </c>
    </row>
    <row r="297" spans="1:2" x14ac:dyDescent="0.25">
      <c r="A297" s="118" t="s">
        <v>322</v>
      </c>
      <c r="B297" s="118">
        <v>5210</v>
      </c>
    </row>
    <row r="298" spans="1:2" x14ac:dyDescent="0.25">
      <c r="A298" s="118" t="s">
        <v>323</v>
      </c>
      <c r="B298" s="118">
        <v>5430</v>
      </c>
    </row>
    <row r="299" spans="1:2" x14ac:dyDescent="0.25">
      <c r="A299" s="118" t="s">
        <v>324</v>
      </c>
      <c r="B299" s="118">
        <v>4180</v>
      </c>
    </row>
    <row r="300" spans="1:2" x14ac:dyDescent="0.25">
      <c r="A300" s="118" t="s">
        <v>325</v>
      </c>
      <c r="B300" s="118">
        <v>4980</v>
      </c>
    </row>
    <row r="301" spans="1:2" x14ac:dyDescent="0.25">
      <c r="A301" s="118" t="s">
        <v>326</v>
      </c>
      <c r="B301" s="118">
        <v>6340</v>
      </c>
    </row>
    <row r="302" spans="1:2" x14ac:dyDescent="0.25">
      <c r="A302" s="118" t="s">
        <v>327</v>
      </c>
      <c r="B302" s="118">
        <v>7900</v>
      </c>
    </row>
    <row r="303" spans="1:2" x14ac:dyDescent="0.25">
      <c r="A303" s="118" t="s">
        <v>328</v>
      </c>
      <c r="B303" s="118">
        <v>10610</v>
      </c>
    </row>
    <row r="304" spans="1:2" x14ac:dyDescent="0.25">
      <c r="A304" s="118" t="s">
        <v>329</v>
      </c>
      <c r="B304" s="118">
        <v>9370</v>
      </c>
    </row>
    <row r="305" spans="1:2" x14ac:dyDescent="0.25">
      <c r="A305" s="118" t="s">
        <v>330</v>
      </c>
      <c r="B305" s="118">
        <v>10331</v>
      </c>
    </row>
    <row r="306" spans="1:2" x14ac:dyDescent="0.25">
      <c r="A306" s="118" t="s">
        <v>331</v>
      </c>
      <c r="B306" s="118">
        <v>11270</v>
      </c>
    </row>
    <row r="307" spans="1:2" x14ac:dyDescent="0.25">
      <c r="A307" s="118" t="s">
        <v>332</v>
      </c>
      <c r="B307" s="118">
        <v>5180</v>
      </c>
    </row>
    <row r="308" spans="1:2" x14ac:dyDescent="0.25">
      <c r="A308" s="118" t="s">
        <v>333</v>
      </c>
      <c r="B308" s="118">
        <v>1040</v>
      </c>
    </row>
    <row r="309" spans="1:2" x14ac:dyDescent="0.25">
      <c r="A309" s="118" t="s">
        <v>334</v>
      </c>
      <c r="B309" s="118">
        <v>5999</v>
      </c>
    </row>
    <row r="310" spans="1:2" x14ac:dyDescent="0.25">
      <c r="A310" s="118" t="s">
        <v>335</v>
      </c>
      <c r="B310" s="118">
        <v>8861</v>
      </c>
    </row>
    <row r="311" spans="1:2" x14ac:dyDescent="0.25">
      <c r="A311" s="118" t="s">
        <v>336</v>
      </c>
      <c r="B311" s="118">
        <v>9921</v>
      </c>
    </row>
    <row r="312" spans="1:2" x14ac:dyDescent="0.25">
      <c r="A312" s="118" t="s">
        <v>337</v>
      </c>
      <c r="B312" s="118">
        <v>10891</v>
      </c>
    </row>
    <row r="313" spans="1:2" x14ac:dyDescent="0.25">
      <c r="A313" s="118" t="s">
        <v>338</v>
      </c>
      <c r="B313" s="118">
        <v>12821</v>
      </c>
    </row>
    <row r="314" spans="1:2" x14ac:dyDescent="0.25">
      <c r="A314" s="118" t="s">
        <v>339</v>
      </c>
      <c r="B314" s="118">
        <v>14351</v>
      </c>
    </row>
    <row r="315" spans="1:2" x14ac:dyDescent="0.25">
      <c r="A315" s="118" t="s">
        <v>340</v>
      </c>
      <c r="B315" s="118">
        <v>6411</v>
      </c>
    </row>
    <row r="316" spans="1:2" x14ac:dyDescent="0.25">
      <c r="A316" s="118" t="s">
        <v>341</v>
      </c>
      <c r="B316" s="118">
        <v>5401</v>
      </c>
    </row>
    <row r="317" spans="1:2" x14ac:dyDescent="0.25">
      <c r="A317" s="118" t="s">
        <v>342</v>
      </c>
      <c r="B317" s="118">
        <v>4381</v>
      </c>
    </row>
    <row r="318" spans="1:2" x14ac:dyDescent="0.25">
      <c r="A318" s="118" t="s">
        <v>343</v>
      </c>
      <c r="B318" s="118">
        <v>2851</v>
      </c>
    </row>
    <row r="319" spans="1:2" x14ac:dyDescent="0.25">
      <c r="A319" s="118" t="s">
        <v>344</v>
      </c>
      <c r="B319" s="118">
        <v>1731</v>
      </c>
    </row>
    <row r="320" spans="1:2" x14ac:dyDescent="0.25">
      <c r="A320" s="118" t="s">
        <v>345</v>
      </c>
      <c r="B320" s="118">
        <v>661</v>
      </c>
    </row>
    <row r="321" spans="1:2" x14ac:dyDescent="0.25">
      <c r="A321" s="118" t="s">
        <v>346</v>
      </c>
      <c r="B321" s="118">
        <v>13553</v>
      </c>
    </row>
    <row r="322" spans="1:2" x14ac:dyDescent="0.25">
      <c r="A322" s="118" t="s">
        <v>347</v>
      </c>
      <c r="B322" s="118">
        <v>6865</v>
      </c>
    </row>
    <row r="323" spans="1:2" x14ac:dyDescent="0.25">
      <c r="A323" s="118" t="s">
        <v>348</v>
      </c>
      <c r="B323" s="118">
        <v>6425</v>
      </c>
    </row>
    <row r="324" spans="1:2" x14ac:dyDescent="0.25">
      <c r="A324" s="118" t="s">
        <v>349</v>
      </c>
      <c r="B324" s="118">
        <v>8245</v>
      </c>
    </row>
    <row r="325" spans="1:2" x14ac:dyDescent="0.25">
      <c r="A325" s="118" t="s">
        <v>350</v>
      </c>
      <c r="B325" s="118">
        <v>5065</v>
      </c>
    </row>
    <row r="326" spans="1:2" x14ac:dyDescent="0.25">
      <c r="A326" s="118" t="s">
        <v>351</v>
      </c>
      <c r="B326" s="118">
        <v>3385</v>
      </c>
    </row>
    <row r="327" spans="1:2" x14ac:dyDescent="0.25">
      <c r="A327" s="118" t="s">
        <v>352</v>
      </c>
      <c r="B327" s="118">
        <v>2205</v>
      </c>
    </row>
    <row r="328" spans="1:2" x14ac:dyDescent="0.25">
      <c r="A328" s="118" t="s">
        <v>353</v>
      </c>
      <c r="B328" s="118">
        <v>1385</v>
      </c>
    </row>
    <row r="329" spans="1:2" x14ac:dyDescent="0.25">
      <c r="A329" s="118" t="s">
        <v>354</v>
      </c>
      <c r="B329" s="118">
        <v>275</v>
      </c>
    </row>
    <row r="330" spans="1:2" x14ac:dyDescent="0.25">
      <c r="A330" s="118" t="s">
        <v>355</v>
      </c>
      <c r="B330" s="118">
        <v>4225</v>
      </c>
    </row>
    <row r="331" spans="1:2" x14ac:dyDescent="0.25">
      <c r="A331" s="118" t="s">
        <v>356</v>
      </c>
      <c r="B331" s="118">
        <v>2905</v>
      </c>
    </row>
    <row r="332" spans="1:2" x14ac:dyDescent="0.25">
      <c r="A332" s="118" t="s">
        <v>357</v>
      </c>
      <c r="B332" s="118">
        <v>5210</v>
      </c>
    </row>
    <row r="333" spans="1:2" x14ac:dyDescent="0.25">
      <c r="A333" s="118" t="s">
        <v>358</v>
      </c>
      <c r="B333" s="118">
        <v>5430</v>
      </c>
    </row>
    <row r="334" spans="1:2" x14ac:dyDescent="0.25">
      <c r="A334" s="118" t="s">
        <v>359</v>
      </c>
      <c r="B334" s="118">
        <v>4180</v>
      </c>
    </row>
    <row r="335" spans="1:2" x14ac:dyDescent="0.25">
      <c r="A335" s="118" t="s">
        <v>360</v>
      </c>
      <c r="B335" s="118">
        <v>4980</v>
      </c>
    </row>
    <row r="336" spans="1:2" x14ac:dyDescent="0.25">
      <c r="A336" s="118" t="s">
        <v>361</v>
      </c>
      <c r="B336" s="118">
        <v>6340</v>
      </c>
    </row>
    <row r="337" spans="1:2" x14ac:dyDescent="0.25">
      <c r="A337" s="118" t="s">
        <v>362</v>
      </c>
      <c r="B337" s="118">
        <v>7900</v>
      </c>
    </row>
    <row r="338" spans="1:2" x14ac:dyDescent="0.25">
      <c r="A338" s="118" t="s">
        <v>363</v>
      </c>
      <c r="B338" s="118">
        <v>10610</v>
      </c>
    </row>
    <row r="339" spans="1:2" x14ac:dyDescent="0.25">
      <c r="A339" s="118" t="s">
        <v>364</v>
      </c>
      <c r="B339" s="118">
        <v>9370</v>
      </c>
    </row>
    <row r="340" spans="1:2" x14ac:dyDescent="0.25">
      <c r="A340" s="118" t="s">
        <v>365</v>
      </c>
      <c r="B340" s="118">
        <v>10331</v>
      </c>
    </row>
    <row r="341" spans="1:2" x14ac:dyDescent="0.25">
      <c r="A341" s="118" t="s">
        <v>366</v>
      </c>
      <c r="B341" s="118">
        <v>11270</v>
      </c>
    </row>
    <row r="342" spans="1:2" x14ac:dyDescent="0.25">
      <c r="A342" s="118" t="s">
        <v>367</v>
      </c>
      <c r="B342" s="118">
        <v>5180</v>
      </c>
    </row>
    <row r="343" spans="1:2" x14ac:dyDescent="0.25">
      <c r="A343" s="118" t="s">
        <v>368</v>
      </c>
      <c r="B343" s="118">
        <v>1040</v>
      </c>
    </row>
    <row r="344" spans="1:2" x14ac:dyDescent="0.25">
      <c r="A344" s="37" t="s">
        <v>369</v>
      </c>
      <c r="B344" s="118">
        <v>6425</v>
      </c>
    </row>
    <row r="345" spans="1:2" x14ac:dyDescent="0.25">
      <c r="A345" s="37" t="s">
        <v>370</v>
      </c>
      <c r="B345" s="118">
        <v>8245</v>
      </c>
    </row>
    <row r="346" spans="1:2" x14ac:dyDescent="0.25">
      <c r="A346" s="118" t="s">
        <v>371</v>
      </c>
      <c r="B346" s="118">
        <v>5065</v>
      </c>
    </row>
    <row r="347" spans="1:2" x14ac:dyDescent="0.25">
      <c r="A347" s="118" t="s">
        <v>372</v>
      </c>
      <c r="B347" s="118">
        <v>3385</v>
      </c>
    </row>
    <row r="348" spans="1:2" x14ac:dyDescent="0.25">
      <c r="A348" s="118" t="s">
        <v>373</v>
      </c>
      <c r="B348" s="118">
        <v>2205</v>
      </c>
    </row>
    <row r="349" spans="1:2" x14ac:dyDescent="0.25">
      <c r="A349" s="118" t="s">
        <v>374</v>
      </c>
      <c r="B349" s="118">
        <v>1385</v>
      </c>
    </row>
    <row r="350" spans="1:2" x14ac:dyDescent="0.25">
      <c r="A350" s="118" t="s">
        <v>375</v>
      </c>
      <c r="B350" s="118">
        <v>275</v>
      </c>
    </row>
    <row r="351" spans="1:2" x14ac:dyDescent="0.25">
      <c r="A351" s="118" t="s">
        <v>376</v>
      </c>
      <c r="B351" s="118">
        <v>4225</v>
      </c>
    </row>
    <row r="352" spans="1:2" x14ac:dyDescent="0.25">
      <c r="A352" s="118" t="s">
        <v>377</v>
      </c>
      <c r="B352" s="118">
        <v>2905</v>
      </c>
    </row>
    <row r="353" spans="1:2" x14ac:dyDescent="0.25">
      <c r="A353" s="118" t="s">
        <v>378</v>
      </c>
      <c r="B353" s="118">
        <v>5999</v>
      </c>
    </row>
    <row r="354" spans="1:2" x14ac:dyDescent="0.25">
      <c r="A354" s="118" t="s">
        <v>379</v>
      </c>
      <c r="B354" s="118">
        <v>8861</v>
      </c>
    </row>
    <row r="355" spans="1:2" x14ac:dyDescent="0.25">
      <c r="A355" s="118" t="s">
        <v>380</v>
      </c>
      <c r="B355" s="118">
        <v>9921</v>
      </c>
    </row>
    <row r="356" spans="1:2" x14ac:dyDescent="0.25">
      <c r="A356" s="118" t="s">
        <v>381</v>
      </c>
      <c r="B356" s="118">
        <v>10891</v>
      </c>
    </row>
    <row r="357" spans="1:2" x14ac:dyDescent="0.25">
      <c r="A357" s="118" t="s">
        <v>382</v>
      </c>
      <c r="B357" s="118">
        <v>12821</v>
      </c>
    </row>
    <row r="358" spans="1:2" x14ac:dyDescent="0.25">
      <c r="A358" s="118" t="s">
        <v>383</v>
      </c>
      <c r="B358" s="118">
        <v>14351</v>
      </c>
    </row>
    <row r="359" spans="1:2" x14ac:dyDescent="0.25">
      <c r="A359" s="118" t="s">
        <v>384</v>
      </c>
      <c r="B359" s="118">
        <v>6411</v>
      </c>
    </row>
    <row r="360" spans="1:2" x14ac:dyDescent="0.25">
      <c r="A360" s="118" t="s">
        <v>385</v>
      </c>
      <c r="B360" s="118">
        <v>5401</v>
      </c>
    </row>
    <row r="361" spans="1:2" x14ac:dyDescent="0.25">
      <c r="A361" s="118" t="s">
        <v>386</v>
      </c>
      <c r="B361" s="118">
        <v>4381</v>
      </c>
    </row>
    <row r="362" spans="1:2" x14ac:dyDescent="0.25">
      <c r="A362" s="118" t="s">
        <v>387</v>
      </c>
      <c r="B362" s="118">
        <v>2851</v>
      </c>
    </row>
    <row r="363" spans="1:2" x14ac:dyDescent="0.25">
      <c r="A363" s="118" t="s">
        <v>388</v>
      </c>
      <c r="B363" s="118">
        <v>1731</v>
      </c>
    </row>
    <row r="364" spans="1:2" x14ac:dyDescent="0.25">
      <c r="A364" s="118" t="s">
        <v>389</v>
      </c>
      <c r="B364" s="118">
        <v>661</v>
      </c>
    </row>
    <row r="365" spans="1:2" x14ac:dyDescent="0.25">
      <c r="A365" s="118" t="s">
        <v>390</v>
      </c>
      <c r="B365" s="118">
        <v>13553</v>
      </c>
    </row>
    <row r="366" spans="1:2" x14ac:dyDescent="0.25">
      <c r="A366" s="118" t="s">
        <v>391</v>
      </c>
      <c r="B366" s="118">
        <v>5210</v>
      </c>
    </row>
    <row r="367" spans="1:2" x14ac:dyDescent="0.25">
      <c r="A367" s="118" t="s">
        <v>392</v>
      </c>
      <c r="B367" s="118">
        <v>5430</v>
      </c>
    </row>
    <row r="368" spans="1:2" x14ac:dyDescent="0.25">
      <c r="A368" s="118" t="s">
        <v>393</v>
      </c>
      <c r="B368" s="118">
        <v>4180</v>
      </c>
    </row>
    <row r="369" spans="1:2" x14ac:dyDescent="0.25">
      <c r="A369" s="118" t="s">
        <v>394</v>
      </c>
      <c r="B369" s="118">
        <v>4980</v>
      </c>
    </row>
    <row r="370" spans="1:2" x14ac:dyDescent="0.25">
      <c r="A370" s="118" t="s">
        <v>395</v>
      </c>
      <c r="B370" s="118">
        <v>6340</v>
      </c>
    </row>
    <row r="371" spans="1:2" x14ac:dyDescent="0.25">
      <c r="A371" s="118" t="s">
        <v>396</v>
      </c>
      <c r="B371" s="118">
        <v>7900</v>
      </c>
    </row>
    <row r="372" spans="1:2" x14ac:dyDescent="0.25">
      <c r="A372" s="118" t="s">
        <v>397</v>
      </c>
      <c r="B372" s="118">
        <v>10610</v>
      </c>
    </row>
    <row r="373" spans="1:2" x14ac:dyDescent="0.25">
      <c r="A373" s="118" t="s">
        <v>398</v>
      </c>
      <c r="B373" s="118">
        <v>9370</v>
      </c>
    </row>
    <row r="374" spans="1:2" x14ac:dyDescent="0.25">
      <c r="A374" s="118" t="s">
        <v>399</v>
      </c>
      <c r="B374" s="118">
        <v>10331</v>
      </c>
    </row>
    <row r="375" spans="1:2" x14ac:dyDescent="0.25">
      <c r="A375" s="118" t="s">
        <v>400</v>
      </c>
      <c r="B375" s="118">
        <v>11270</v>
      </c>
    </row>
    <row r="376" spans="1:2" x14ac:dyDescent="0.25">
      <c r="A376" s="118" t="s">
        <v>401</v>
      </c>
      <c r="B376" s="118">
        <v>5180</v>
      </c>
    </row>
    <row r="377" spans="1:2" x14ac:dyDescent="0.25">
      <c r="A377" s="118" t="s">
        <v>402</v>
      </c>
      <c r="B377" s="118">
        <v>1040</v>
      </c>
    </row>
    <row r="378" spans="1:2" x14ac:dyDescent="0.25">
      <c r="A378" s="118" t="s">
        <v>403</v>
      </c>
      <c r="B378" s="118">
        <v>6865</v>
      </c>
    </row>
    <row r="379" spans="1:2" x14ac:dyDescent="0.25">
      <c r="A379" s="118" t="s">
        <v>404</v>
      </c>
      <c r="B379" s="118">
        <v>6425</v>
      </c>
    </row>
    <row r="380" spans="1:2" x14ac:dyDescent="0.25">
      <c r="A380" s="118" t="s">
        <v>405</v>
      </c>
      <c r="B380" s="118">
        <v>8245</v>
      </c>
    </row>
    <row r="381" spans="1:2" x14ac:dyDescent="0.25">
      <c r="A381" s="118" t="s">
        <v>406</v>
      </c>
      <c r="B381" s="118">
        <v>5065</v>
      </c>
    </row>
    <row r="382" spans="1:2" x14ac:dyDescent="0.25">
      <c r="A382" s="118" t="s">
        <v>407</v>
      </c>
      <c r="B382" s="118">
        <v>3385</v>
      </c>
    </row>
    <row r="383" spans="1:2" x14ac:dyDescent="0.25">
      <c r="A383" s="118" t="s">
        <v>408</v>
      </c>
      <c r="B383" s="118">
        <v>2205</v>
      </c>
    </row>
    <row r="384" spans="1:2" x14ac:dyDescent="0.25">
      <c r="A384" s="118" t="s">
        <v>409</v>
      </c>
      <c r="B384" s="118">
        <v>1385</v>
      </c>
    </row>
    <row r="385" spans="1:2" x14ac:dyDescent="0.25">
      <c r="A385" s="118" t="s">
        <v>410</v>
      </c>
      <c r="B385" s="118">
        <v>275</v>
      </c>
    </row>
    <row r="386" spans="1:2" x14ac:dyDescent="0.25">
      <c r="A386" s="118" t="s">
        <v>411</v>
      </c>
      <c r="B386" s="118">
        <v>4225</v>
      </c>
    </row>
    <row r="387" spans="1:2" x14ac:dyDescent="0.25">
      <c r="A387" s="118" t="s">
        <v>412</v>
      </c>
      <c r="B387" s="118">
        <v>2905</v>
      </c>
    </row>
    <row r="388" spans="1:2" x14ac:dyDescent="0.25">
      <c r="A388" s="118" t="s">
        <v>413</v>
      </c>
    </row>
    <row r="389" spans="1:2" x14ac:dyDescent="0.25">
      <c r="A389" s="118" t="s">
        <v>414</v>
      </c>
    </row>
    <row r="390" spans="1:2" x14ac:dyDescent="0.25">
      <c r="A390" s="118" t="s">
        <v>415</v>
      </c>
    </row>
    <row r="391" spans="1:2" x14ac:dyDescent="0.25">
      <c r="A391" s="118" t="s">
        <v>416</v>
      </c>
    </row>
    <row r="392" spans="1:2" x14ac:dyDescent="0.25">
      <c r="A392" s="118" t="s">
        <v>417</v>
      </c>
      <c r="B392" s="118">
        <v>6425</v>
      </c>
    </row>
    <row r="393" spans="1:2" x14ac:dyDescent="0.25">
      <c r="A393" s="118" t="s">
        <v>418</v>
      </c>
      <c r="B393" s="118">
        <v>8245</v>
      </c>
    </row>
    <row r="394" spans="1:2" x14ac:dyDescent="0.25">
      <c r="A394" s="23" t="s">
        <v>419</v>
      </c>
      <c r="B394" s="118">
        <v>5065</v>
      </c>
    </row>
    <row r="395" spans="1:2" x14ac:dyDescent="0.25">
      <c r="A395" s="23" t="s">
        <v>420</v>
      </c>
      <c r="B395" s="118">
        <v>3385</v>
      </c>
    </row>
    <row r="396" spans="1:2" x14ac:dyDescent="0.25">
      <c r="A396" s="118" t="s">
        <v>421</v>
      </c>
      <c r="B396" s="118">
        <v>2205</v>
      </c>
    </row>
    <row r="397" spans="1:2" x14ac:dyDescent="0.25">
      <c r="A397" s="118" t="s">
        <v>422</v>
      </c>
      <c r="B397" s="118">
        <v>1385</v>
      </c>
    </row>
    <row r="398" spans="1:2" x14ac:dyDescent="0.25">
      <c r="A398" s="118" t="s">
        <v>423</v>
      </c>
      <c r="B398" s="118">
        <v>275</v>
      </c>
    </row>
    <row r="399" spans="1:2" x14ac:dyDescent="0.25">
      <c r="A399" s="118" t="s">
        <v>424</v>
      </c>
      <c r="B399" s="118">
        <v>4225</v>
      </c>
    </row>
    <row r="400" spans="1:2" x14ac:dyDescent="0.25">
      <c r="A400" s="118" t="s">
        <v>425</v>
      </c>
      <c r="B400" s="118">
        <v>2905</v>
      </c>
    </row>
    <row r="401" spans="1:2" x14ac:dyDescent="0.25">
      <c r="A401" s="118" t="s">
        <v>426</v>
      </c>
      <c r="B401" s="118">
        <v>5999</v>
      </c>
    </row>
    <row r="402" spans="1:2" x14ac:dyDescent="0.25">
      <c r="A402" s="118" t="s">
        <v>427</v>
      </c>
      <c r="B402" s="118">
        <v>8861</v>
      </c>
    </row>
    <row r="403" spans="1:2" x14ac:dyDescent="0.25">
      <c r="A403" s="118" t="s">
        <v>428</v>
      </c>
      <c r="B403" s="118">
        <v>9921</v>
      </c>
    </row>
    <row r="404" spans="1:2" x14ac:dyDescent="0.25">
      <c r="A404" s="118" t="s">
        <v>429</v>
      </c>
      <c r="B404" s="118">
        <v>10891</v>
      </c>
    </row>
    <row r="405" spans="1:2" x14ac:dyDescent="0.25">
      <c r="A405" s="118" t="s">
        <v>430</v>
      </c>
      <c r="B405" s="118">
        <v>12821</v>
      </c>
    </row>
    <row r="406" spans="1:2" x14ac:dyDescent="0.25">
      <c r="A406" s="118" t="s">
        <v>431</v>
      </c>
      <c r="B406" s="118">
        <v>14351</v>
      </c>
    </row>
    <row r="407" spans="1:2" x14ac:dyDescent="0.25">
      <c r="A407" s="118" t="s">
        <v>432</v>
      </c>
      <c r="B407" s="118">
        <v>6411</v>
      </c>
    </row>
    <row r="408" spans="1:2" x14ac:dyDescent="0.25">
      <c r="A408" s="118" t="s">
        <v>433</v>
      </c>
      <c r="B408" s="118">
        <v>5401</v>
      </c>
    </row>
    <row r="409" spans="1:2" x14ac:dyDescent="0.25">
      <c r="A409" s="118" t="s">
        <v>434</v>
      </c>
      <c r="B409" s="118">
        <v>4381</v>
      </c>
    </row>
    <row r="410" spans="1:2" x14ac:dyDescent="0.25">
      <c r="A410" s="118" t="s">
        <v>435</v>
      </c>
      <c r="B410" s="118">
        <v>2851</v>
      </c>
    </row>
    <row r="411" spans="1:2" x14ac:dyDescent="0.25">
      <c r="A411" s="118" t="s">
        <v>436</v>
      </c>
      <c r="B411" s="118">
        <v>1731</v>
      </c>
    </row>
    <row r="412" spans="1:2" x14ac:dyDescent="0.25">
      <c r="A412" s="118" t="s">
        <v>437</v>
      </c>
      <c r="B412" s="118">
        <v>661</v>
      </c>
    </row>
    <row r="413" spans="1:2" x14ac:dyDescent="0.25">
      <c r="A413" s="118" t="s">
        <v>438</v>
      </c>
      <c r="B413" s="118">
        <v>13553</v>
      </c>
    </row>
    <row r="414" spans="1:2" x14ac:dyDescent="0.25">
      <c r="A414" s="118" t="s">
        <v>439</v>
      </c>
      <c r="B414" s="118">
        <v>6865</v>
      </c>
    </row>
    <row r="415" spans="1:2" x14ac:dyDescent="0.25">
      <c r="A415" s="118" t="s">
        <v>440</v>
      </c>
      <c r="B415" s="118">
        <v>6425</v>
      </c>
    </row>
    <row r="416" spans="1:2" x14ac:dyDescent="0.25">
      <c r="A416" s="118" t="s">
        <v>441</v>
      </c>
      <c r="B416" s="118">
        <v>8245</v>
      </c>
    </row>
    <row r="417" spans="1:2" x14ac:dyDescent="0.25">
      <c r="A417" s="118" t="s">
        <v>442</v>
      </c>
      <c r="B417" s="118">
        <v>5065</v>
      </c>
    </row>
    <row r="418" spans="1:2" x14ac:dyDescent="0.25">
      <c r="A418" s="118" t="s">
        <v>443</v>
      </c>
      <c r="B418" s="118">
        <v>3385</v>
      </c>
    </row>
    <row r="419" spans="1:2" x14ac:dyDescent="0.25">
      <c r="A419" s="118" t="s">
        <v>444</v>
      </c>
      <c r="B419" s="118">
        <v>2205</v>
      </c>
    </row>
    <row r="420" spans="1:2" x14ac:dyDescent="0.25">
      <c r="A420" s="118" t="s">
        <v>445</v>
      </c>
      <c r="B420" s="118">
        <v>1385</v>
      </c>
    </row>
    <row r="421" spans="1:2" x14ac:dyDescent="0.25">
      <c r="A421" s="118" t="s">
        <v>446</v>
      </c>
      <c r="B421" s="118">
        <v>275</v>
      </c>
    </row>
    <row r="422" spans="1:2" x14ac:dyDescent="0.25">
      <c r="A422" s="118" t="s">
        <v>447</v>
      </c>
      <c r="B422" s="118">
        <v>4225</v>
      </c>
    </row>
    <row r="423" spans="1:2" x14ac:dyDescent="0.25">
      <c r="A423" s="118" t="s">
        <v>448</v>
      </c>
      <c r="B423" s="118">
        <v>2905</v>
      </c>
    </row>
    <row r="424" spans="1:2" x14ac:dyDescent="0.25">
      <c r="A424" s="118" t="s">
        <v>449</v>
      </c>
      <c r="B424" s="118">
        <v>5210</v>
      </c>
    </row>
    <row r="425" spans="1:2" x14ac:dyDescent="0.25">
      <c r="A425" s="118" t="s">
        <v>450</v>
      </c>
      <c r="B425" s="118">
        <v>5430</v>
      </c>
    </row>
    <row r="426" spans="1:2" x14ac:dyDescent="0.25">
      <c r="A426" s="118" t="s">
        <v>451</v>
      </c>
      <c r="B426" s="118">
        <v>4180</v>
      </c>
    </row>
    <row r="427" spans="1:2" x14ac:dyDescent="0.25">
      <c r="A427" s="118" t="s">
        <v>452</v>
      </c>
      <c r="B427" s="118">
        <v>4980</v>
      </c>
    </row>
    <row r="428" spans="1:2" x14ac:dyDescent="0.25">
      <c r="A428" s="118" t="s">
        <v>453</v>
      </c>
      <c r="B428" s="118">
        <v>6340</v>
      </c>
    </row>
    <row r="429" spans="1:2" x14ac:dyDescent="0.25">
      <c r="A429" s="118" t="s">
        <v>454</v>
      </c>
      <c r="B429" s="118">
        <v>7900</v>
      </c>
    </row>
    <row r="430" spans="1:2" x14ac:dyDescent="0.25">
      <c r="A430" s="118" t="s">
        <v>455</v>
      </c>
      <c r="B430" s="118">
        <v>10610</v>
      </c>
    </row>
    <row r="431" spans="1:2" x14ac:dyDescent="0.25">
      <c r="A431" s="118" t="s">
        <v>456</v>
      </c>
      <c r="B431" s="118">
        <v>9370</v>
      </c>
    </row>
    <row r="432" spans="1:2" x14ac:dyDescent="0.25">
      <c r="A432" s="118" t="s">
        <v>457</v>
      </c>
      <c r="B432" s="118">
        <v>10331</v>
      </c>
    </row>
    <row r="433" spans="1:2" x14ac:dyDescent="0.25">
      <c r="A433" s="118" t="s">
        <v>452</v>
      </c>
      <c r="B433" s="118">
        <v>4980</v>
      </c>
    </row>
    <row r="434" spans="1:2" x14ac:dyDescent="0.25">
      <c r="A434" s="118" t="s">
        <v>458</v>
      </c>
      <c r="B434" s="118">
        <v>11270</v>
      </c>
    </row>
    <row r="435" spans="1:2" x14ac:dyDescent="0.25">
      <c r="A435" s="118" t="s">
        <v>459</v>
      </c>
      <c r="B435" s="118">
        <v>5180</v>
      </c>
    </row>
    <row r="436" spans="1:2" x14ac:dyDescent="0.25">
      <c r="A436" s="118" t="s">
        <v>460</v>
      </c>
      <c r="B436" s="118">
        <v>1040</v>
      </c>
    </row>
    <row r="437" spans="1:2" x14ac:dyDescent="0.25">
      <c r="A437" s="118" t="s">
        <v>606</v>
      </c>
      <c r="B437" s="118">
        <v>6865</v>
      </c>
    </row>
    <row r="438" spans="1:2" x14ac:dyDescent="0.25">
      <c r="A438" s="118" t="s">
        <v>607</v>
      </c>
      <c r="B438" s="118">
        <v>8165</v>
      </c>
    </row>
    <row r="439" spans="1:2" x14ac:dyDescent="0.25">
      <c r="A439" s="118" t="s">
        <v>608</v>
      </c>
      <c r="B439" s="118">
        <v>6425</v>
      </c>
    </row>
    <row r="440" spans="1:2" x14ac:dyDescent="0.25">
      <c r="A440" s="118" t="s">
        <v>609</v>
      </c>
      <c r="B440" s="118">
        <v>8245</v>
      </c>
    </row>
    <row r="441" spans="1:2" x14ac:dyDescent="0.25">
      <c r="A441" s="118" t="s">
        <v>610</v>
      </c>
      <c r="B441" s="118">
        <v>5065</v>
      </c>
    </row>
    <row r="442" spans="1:2" x14ac:dyDescent="0.25">
      <c r="A442" s="118" t="s">
        <v>611</v>
      </c>
      <c r="B442" s="118">
        <v>3385</v>
      </c>
    </row>
    <row r="443" spans="1:2" x14ac:dyDescent="0.25">
      <c r="A443" s="118" t="s">
        <v>612</v>
      </c>
      <c r="B443" s="118">
        <v>2205</v>
      </c>
    </row>
    <row r="444" spans="1:2" x14ac:dyDescent="0.25">
      <c r="A444" s="118" t="s">
        <v>613</v>
      </c>
      <c r="B444" s="118">
        <v>1385</v>
      </c>
    </row>
    <row r="445" spans="1:2" x14ac:dyDescent="0.25">
      <c r="A445" s="118" t="s">
        <v>614</v>
      </c>
      <c r="B445" s="118">
        <v>275</v>
      </c>
    </row>
    <row r="446" spans="1:2" x14ac:dyDescent="0.25">
      <c r="A446" s="118" t="s">
        <v>615</v>
      </c>
      <c r="B446" s="118">
        <v>4225</v>
      </c>
    </row>
    <row r="447" spans="1:2" x14ac:dyDescent="0.25">
      <c r="A447" s="118" t="s">
        <v>616</v>
      </c>
      <c r="B447" s="118">
        <v>2905</v>
      </c>
    </row>
    <row r="448" spans="1:2" x14ac:dyDescent="0.25">
      <c r="A448" s="118" t="s">
        <v>593</v>
      </c>
      <c r="B448" s="118">
        <v>5999</v>
      </c>
    </row>
    <row r="449" spans="1:2" x14ac:dyDescent="0.25">
      <c r="A449" s="118" t="s">
        <v>594</v>
      </c>
      <c r="B449" s="118">
        <v>8861</v>
      </c>
    </row>
    <row r="450" spans="1:2" x14ac:dyDescent="0.25">
      <c r="A450" s="118" t="s">
        <v>595</v>
      </c>
      <c r="B450" s="118">
        <v>9921</v>
      </c>
    </row>
    <row r="451" spans="1:2" x14ac:dyDescent="0.25">
      <c r="A451" s="118" t="s">
        <v>596</v>
      </c>
      <c r="B451" s="118">
        <v>10891</v>
      </c>
    </row>
    <row r="452" spans="1:2" x14ac:dyDescent="0.25">
      <c r="A452" s="118" t="s">
        <v>597</v>
      </c>
      <c r="B452" s="118">
        <v>12821</v>
      </c>
    </row>
    <row r="453" spans="1:2" x14ac:dyDescent="0.25">
      <c r="A453" s="118" t="s">
        <v>598</v>
      </c>
      <c r="B453" s="118">
        <v>14351</v>
      </c>
    </row>
    <row r="454" spans="1:2" x14ac:dyDescent="0.25">
      <c r="A454" s="118" t="s">
        <v>599</v>
      </c>
      <c r="B454" s="118">
        <v>6411</v>
      </c>
    </row>
    <row r="455" spans="1:2" x14ac:dyDescent="0.25">
      <c r="A455" s="118" t="s">
        <v>600</v>
      </c>
      <c r="B455" s="118">
        <v>5401</v>
      </c>
    </row>
    <row r="456" spans="1:2" x14ac:dyDescent="0.25">
      <c r="A456" s="118" t="s">
        <v>601</v>
      </c>
      <c r="B456" s="118">
        <v>4381</v>
      </c>
    </row>
    <row r="457" spans="1:2" x14ac:dyDescent="0.25">
      <c r="A457" s="118" t="s">
        <v>602</v>
      </c>
      <c r="B457" s="118">
        <v>2851</v>
      </c>
    </row>
    <row r="458" spans="1:2" x14ac:dyDescent="0.25">
      <c r="A458" s="118" t="s">
        <v>603</v>
      </c>
      <c r="B458" s="118">
        <v>1731</v>
      </c>
    </row>
    <row r="459" spans="1:2" x14ac:dyDescent="0.25">
      <c r="A459" s="118" t="s">
        <v>604</v>
      </c>
      <c r="B459" s="118">
        <v>661</v>
      </c>
    </row>
    <row r="460" spans="1:2" x14ac:dyDescent="0.25">
      <c r="A460" s="118" t="s">
        <v>605</v>
      </c>
      <c r="B460" s="118">
        <v>13553</v>
      </c>
    </row>
    <row r="461" spans="1:2" x14ac:dyDescent="0.25">
      <c r="A461" s="118" t="s">
        <v>617</v>
      </c>
      <c r="B461" s="118">
        <v>5210</v>
      </c>
    </row>
    <row r="462" spans="1:2" x14ac:dyDescent="0.25">
      <c r="A462" s="118" t="s">
        <v>618</v>
      </c>
      <c r="B462" s="118">
        <v>5430</v>
      </c>
    </row>
    <row r="463" spans="1:2" x14ac:dyDescent="0.25">
      <c r="A463" s="118" t="s">
        <v>619</v>
      </c>
      <c r="B463" s="118">
        <v>4180</v>
      </c>
    </row>
    <row r="464" spans="1:2" x14ac:dyDescent="0.25">
      <c r="A464" s="118" t="s">
        <v>620</v>
      </c>
      <c r="B464" s="118">
        <v>4980</v>
      </c>
    </row>
    <row r="465" spans="1:2" x14ac:dyDescent="0.25">
      <c r="A465" s="118" t="s">
        <v>621</v>
      </c>
      <c r="B465" s="118">
        <v>6340</v>
      </c>
    </row>
    <row r="466" spans="1:2" x14ac:dyDescent="0.25">
      <c r="A466" s="118" t="s">
        <v>622</v>
      </c>
      <c r="B466" s="118">
        <v>7900</v>
      </c>
    </row>
    <row r="467" spans="1:2" x14ac:dyDescent="0.25">
      <c r="A467" s="118" t="s">
        <v>623</v>
      </c>
      <c r="B467" s="118">
        <v>10610</v>
      </c>
    </row>
    <row r="468" spans="1:2" x14ac:dyDescent="0.25">
      <c r="A468" s="118" t="s">
        <v>624</v>
      </c>
      <c r="B468" s="118">
        <v>9370</v>
      </c>
    </row>
    <row r="469" spans="1:2" x14ac:dyDescent="0.25">
      <c r="A469" s="118" t="s">
        <v>625</v>
      </c>
      <c r="B469" s="118">
        <v>10331</v>
      </c>
    </row>
    <row r="470" spans="1:2" x14ac:dyDescent="0.25">
      <c r="A470" s="118" t="s">
        <v>626</v>
      </c>
      <c r="B470" s="118">
        <v>11270</v>
      </c>
    </row>
    <row r="471" spans="1:2" x14ac:dyDescent="0.25">
      <c r="A471" s="118" t="s">
        <v>627</v>
      </c>
      <c r="B471" s="118">
        <v>5180</v>
      </c>
    </row>
    <row r="472" spans="1:2" x14ac:dyDescent="0.25">
      <c r="A472" s="118" t="s">
        <v>628</v>
      </c>
      <c r="B472" s="118">
        <v>1040</v>
      </c>
    </row>
    <row r="473" spans="1:2" x14ac:dyDescent="0.25">
      <c r="A473" s="118" t="s">
        <v>632</v>
      </c>
      <c r="B473" s="118">
        <v>6865</v>
      </c>
    </row>
    <row r="474" spans="1:2" x14ac:dyDescent="0.25">
      <c r="A474" s="118" t="s">
        <v>633</v>
      </c>
      <c r="B474" s="118">
        <v>6425</v>
      </c>
    </row>
    <row r="475" spans="1:2" x14ac:dyDescent="0.25">
      <c r="A475" s="118" t="s">
        <v>634</v>
      </c>
      <c r="B475" s="118">
        <v>8245</v>
      </c>
    </row>
    <row r="476" spans="1:2" x14ac:dyDescent="0.25">
      <c r="A476" s="118" t="s">
        <v>635</v>
      </c>
      <c r="B476" s="118">
        <v>5065</v>
      </c>
    </row>
    <row r="477" spans="1:2" x14ac:dyDescent="0.25">
      <c r="A477" s="118" t="s">
        <v>636</v>
      </c>
      <c r="B477" s="118">
        <v>3385</v>
      </c>
    </row>
    <row r="478" spans="1:2" x14ac:dyDescent="0.25">
      <c r="A478" s="118" t="s">
        <v>637</v>
      </c>
      <c r="B478" s="118">
        <v>2205</v>
      </c>
    </row>
    <row r="479" spans="1:2" x14ac:dyDescent="0.25">
      <c r="A479" s="118" t="s">
        <v>638</v>
      </c>
      <c r="B479" s="118">
        <v>1385</v>
      </c>
    </row>
    <row r="480" spans="1:2" x14ac:dyDescent="0.25">
      <c r="A480" s="118" t="s">
        <v>639</v>
      </c>
      <c r="B480" s="118">
        <v>275</v>
      </c>
    </row>
    <row r="481" spans="1:2" x14ac:dyDescent="0.25">
      <c r="A481" s="118" t="s">
        <v>640</v>
      </c>
      <c r="B481" s="118">
        <v>4225</v>
      </c>
    </row>
    <row r="482" spans="1:2" x14ac:dyDescent="0.25">
      <c r="A482" s="118" t="s">
        <v>641</v>
      </c>
      <c r="B482" s="118">
        <v>2905</v>
      </c>
    </row>
    <row r="483" spans="1:2" x14ac:dyDescent="0.25">
      <c r="A483" s="118" t="s">
        <v>672</v>
      </c>
      <c r="B483" s="118">
        <v>5999</v>
      </c>
    </row>
    <row r="484" spans="1:2" x14ac:dyDescent="0.25">
      <c r="A484" s="23" t="s">
        <v>674</v>
      </c>
      <c r="B484" s="118">
        <v>8861</v>
      </c>
    </row>
    <row r="485" spans="1:2" x14ac:dyDescent="0.25">
      <c r="A485" s="118" t="s">
        <v>662</v>
      </c>
      <c r="B485" s="118">
        <v>9921</v>
      </c>
    </row>
    <row r="486" spans="1:2" x14ac:dyDescent="0.25">
      <c r="A486" s="118" t="s">
        <v>669</v>
      </c>
      <c r="B486" s="118">
        <v>10891</v>
      </c>
    </row>
    <row r="487" spans="1:2" x14ac:dyDescent="0.25">
      <c r="A487" s="118" t="s">
        <v>666</v>
      </c>
      <c r="B487" s="118">
        <v>12821</v>
      </c>
    </row>
    <row r="488" spans="1:2" x14ac:dyDescent="0.25">
      <c r="A488" s="118" t="s">
        <v>668</v>
      </c>
      <c r="B488" s="118">
        <v>14351</v>
      </c>
    </row>
    <row r="489" spans="1:2" x14ac:dyDescent="0.25">
      <c r="A489" s="118" t="s">
        <v>665</v>
      </c>
      <c r="B489" s="118">
        <v>6411</v>
      </c>
    </row>
    <row r="490" spans="1:2" x14ac:dyDescent="0.25">
      <c r="A490" s="118" t="s">
        <v>670</v>
      </c>
      <c r="B490" s="118">
        <v>5401</v>
      </c>
    </row>
    <row r="491" spans="1:2" x14ac:dyDescent="0.25">
      <c r="A491" s="118" t="s">
        <v>663</v>
      </c>
      <c r="B491" s="118">
        <v>4381</v>
      </c>
    </row>
    <row r="492" spans="1:2" x14ac:dyDescent="0.25">
      <c r="A492" s="118" t="s">
        <v>667</v>
      </c>
      <c r="B492" s="118">
        <v>2851</v>
      </c>
    </row>
    <row r="493" spans="1:2" x14ac:dyDescent="0.25">
      <c r="A493" s="118" t="s">
        <v>661</v>
      </c>
      <c r="B493" s="118">
        <v>1731</v>
      </c>
    </row>
    <row r="494" spans="1:2" x14ac:dyDescent="0.25">
      <c r="A494" s="118" t="s">
        <v>671</v>
      </c>
      <c r="B494" s="118">
        <v>661</v>
      </c>
    </row>
    <row r="495" spans="1:2" x14ac:dyDescent="0.25">
      <c r="A495" s="51" t="s">
        <v>664</v>
      </c>
      <c r="B495" s="118">
        <v>13553</v>
      </c>
    </row>
    <row r="496" spans="1:2" x14ac:dyDescent="0.25">
      <c r="A496" s="131" t="s">
        <v>685</v>
      </c>
      <c r="B496" s="118">
        <v>5999</v>
      </c>
    </row>
    <row r="497" spans="1:2" x14ac:dyDescent="0.25">
      <c r="A497" s="119" t="s">
        <v>686</v>
      </c>
      <c r="B497" s="118">
        <v>8861</v>
      </c>
    </row>
    <row r="498" spans="1:2" x14ac:dyDescent="0.25">
      <c r="A498" s="119" t="s">
        <v>687</v>
      </c>
      <c r="B498" s="118">
        <v>9921</v>
      </c>
    </row>
    <row r="499" spans="1:2" x14ac:dyDescent="0.25">
      <c r="A499" s="119" t="s">
        <v>688</v>
      </c>
      <c r="B499" s="118">
        <v>10891</v>
      </c>
    </row>
    <row r="500" spans="1:2" x14ac:dyDescent="0.25">
      <c r="A500" s="119" t="s">
        <v>689</v>
      </c>
      <c r="B500" s="118">
        <v>12821</v>
      </c>
    </row>
    <row r="501" spans="1:2" x14ac:dyDescent="0.25">
      <c r="A501" s="119" t="s">
        <v>690</v>
      </c>
      <c r="B501" s="118">
        <v>14351</v>
      </c>
    </row>
    <row r="502" spans="1:2" x14ac:dyDescent="0.25">
      <c r="A502" s="119" t="s">
        <v>691</v>
      </c>
      <c r="B502" s="118">
        <v>6411</v>
      </c>
    </row>
    <row r="503" spans="1:2" x14ac:dyDescent="0.25">
      <c r="A503" s="119" t="s">
        <v>692</v>
      </c>
      <c r="B503" s="118">
        <v>5401</v>
      </c>
    </row>
    <row r="504" spans="1:2" x14ac:dyDescent="0.25">
      <c r="A504" s="119" t="s">
        <v>693</v>
      </c>
      <c r="B504" s="118">
        <v>4381</v>
      </c>
    </row>
    <row r="505" spans="1:2" x14ac:dyDescent="0.25">
      <c r="A505" s="119" t="s">
        <v>694</v>
      </c>
      <c r="B505" s="118">
        <v>2851</v>
      </c>
    </row>
    <row r="506" spans="1:2" x14ac:dyDescent="0.25">
      <c r="A506" s="119" t="s">
        <v>695</v>
      </c>
      <c r="B506" s="118">
        <v>1731</v>
      </c>
    </row>
    <row r="507" spans="1:2" x14ac:dyDescent="0.25">
      <c r="A507" s="119" t="s">
        <v>696</v>
      </c>
      <c r="B507" s="118">
        <v>661</v>
      </c>
    </row>
    <row r="508" spans="1:2" x14ac:dyDescent="0.25">
      <c r="A508" s="119" t="s">
        <v>697</v>
      </c>
      <c r="B508" s="118">
        <v>13553</v>
      </c>
    </row>
    <row r="509" spans="1:2" x14ac:dyDescent="0.25">
      <c r="A509" s="120" t="s">
        <v>698</v>
      </c>
    </row>
    <row r="510" spans="1:2" x14ac:dyDescent="0.25">
      <c r="A510" s="120" t="s">
        <v>699</v>
      </c>
    </row>
    <row r="511" spans="1:2" x14ac:dyDescent="0.25">
      <c r="A511" s="120" t="s">
        <v>700</v>
      </c>
    </row>
    <row r="512" spans="1:2" x14ac:dyDescent="0.25">
      <c r="A512" s="120" t="s">
        <v>701</v>
      </c>
    </row>
    <row r="513" spans="1:2" x14ac:dyDescent="0.25">
      <c r="A513" s="120" t="s">
        <v>702</v>
      </c>
    </row>
    <row r="514" spans="1:2" x14ac:dyDescent="0.25">
      <c r="A514" s="120" t="s">
        <v>703</v>
      </c>
    </row>
    <row r="515" spans="1:2" x14ac:dyDescent="0.25">
      <c r="A515" s="121" t="s">
        <v>704</v>
      </c>
      <c r="B515" s="118">
        <v>6425</v>
      </c>
    </row>
    <row r="516" spans="1:2" x14ac:dyDescent="0.25">
      <c r="A516" s="121" t="s">
        <v>705</v>
      </c>
      <c r="B516" s="118">
        <v>8245</v>
      </c>
    </row>
    <row r="517" spans="1:2" x14ac:dyDescent="0.25">
      <c r="A517" s="121" t="s">
        <v>706</v>
      </c>
      <c r="B517" s="118">
        <v>5065</v>
      </c>
    </row>
    <row r="518" spans="1:2" x14ac:dyDescent="0.25">
      <c r="A518" s="121" t="s">
        <v>707</v>
      </c>
      <c r="B518" s="118">
        <v>3385</v>
      </c>
    </row>
    <row r="519" spans="1:2" x14ac:dyDescent="0.25">
      <c r="A519" s="121" t="s">
        <v>708</v>
      </c>
      <c r="B519" s="118">
        <v>2205</v>
      </c>
    </row>
    <row r="520" spans="1:2" x14ac:dyDescent="0.25">
      <c r="A520" s="121" t="s">
        <v>709</v>
      </c>
      <c r="B520" s="118">
        <v>1385</v>
      </c>
    </row>
    <row r="521" spans="1:2" x14ac:dyDescent="0.25">
      <c r="A521" s="121" t="s">
        <v>710</v>
      </c>
      <c r="B521" s="118">
        <v>275</v>
      </c>
    </row>
    <row r="522" spans="1:2" x14ac:dyDescent="0.25">
      <c r="A522" s="121" t="s">
        <v>711</v>
      </c>
      <c r="B522" s="118">
        <v>4225</v>
      </c>
    </row>
    <row r="523" spans="1:2" x14ac:dyDescent="0.25">
      <c r="A523" s="121" t="s">
        <v>712</v>
      </c>
      <c r="B523" s="118">
        <v>2905</v>
      </c>
    </row>
    <row r="524" spans="1:2" x14ac:dyDescent="0.25">
      <c r="A524" s="119" t="s">
        <v>713</v>
      </c>
      <c r="B524" s="118">
        <v>5999</v>
      </c>
    </row>
    <row r="525" spans="1:2" x14ac:dyDescent="0.25">
      <c r="A525" s="119" t="s">
        <v>714</v>
      </c>
      <c r="B525" s="118">
        <v>8861</v>
      </c>
    </row>
    <row r="526" spans="1:2" x14ac:dyDescent="0.25">
      <c r="A526" s="119" t="s">
        <v>715</v>
      </c>
      <c r="B526" s="118">
        <v>9921</v>
      </c>
    </row>
    <row r="527" spans="1:2" x14ac:dyDescent="0.25">
      <c r="A527" s="119" t="s">
        <v>716</v>
      </c>
      <c r="B527" s="118">
        <v>10891</v>
      </c>
    </row>
    <row r="528" spans="1:2" x14ac:dyDescent="0.25">
      <c r="A528" s="119" t="s">
        <v>717</v>
      </c>
      <c r="B528" s="118">
        <v>12821</v>
      </c>
    </row>
    <row r="529" spans="1:2" x14ac:dyDescent="0.25">
      <c r="A529" s="119" t="s">
        <v>718</v>
      </c>
      <c r="B529" s="118">
        <v>14351</v>
      </c>
    </row>
    <row r="530" spans="1:2" x14ac:dyDescent="0.25">
      <c r="A530" s="119" t="s">
        <v>719</v>
      </c>
      <c r="B530" s="118">
        <v>6411</v>
      </c>
    </row>
    <row r="531" spans="1:2" x14ac:dyDescent="0.25">
      <c r="A531" s="119" t="s">
        <v>720</v>
      </c>
      <c r="B531" s="118">
        <v>5401</v>
      </c>
    </row>
    <row r="532" spans="1:2" x14ac:dyDescent="0.25">
      <c r="A532" s="119" t="s">
        <v>721</v>
      </c>
      <c r="B532" s="118">
        <v>4381</v>
      </c>
    </row>
    <row r="533" spans="1:2" x14ac:dyDescent="0.25">
      <c r="A533" s="119" t="s">
        <v>722</v>
      </c>
      <c r="B533" s="118">
        <v>2851</v>
      </c>
    </row>
    <row r="534" spans="1:2" x14ac:dyDescent="0.25">
      <c r="A534" s="119" t="s">
        <v>723</v>
      </c>
      <c r="B534" s="118">
        <v>1731</v>
      </c>
    </row>
    <row r="535" spans="1:2" x14ac:dyDescent="0.25">
      <c r="A535" s="119" t="s">
        <v>724</v>
      </c>
      <c r="B535" s="118">
        <v>661</v>
      </c>
    </row>
    <row r="536" spans="1:2" x14ac:dyDescent="0.25">
      <c r="A536" s="119" t="s">
        <v>725</v>
      </c>
      <c r="B536" s="118">
        <v>13553</v>
      </c>
    </row>
    <row r="537" spans="1:2" x14ac:dyDescent="0.25">
      <c r="A537" s="122" t="s">
        <v>726</v>
      </c>
      <c r="B537" s="118">
        <v>6425</v>
      </c>
    </row>
    <row r="538" spans="1:2" x14ac:dyDescent="0.25">
      <c r="A538" s="122" t="s">
        <v>727</v>
      </c>
      <c r="B538" s="118">
        <v>8245</v>
      </c>
    </row>
    <row r="539" spans="1:2" x14ac:dyDescent="0.25">
      <c r="A539" s="122" t="s">
        <v>728</v>
      </c>
      <c r="B539" s="118">
        <v>5065</v>
      </c>
    </row>
    <row r="540" spans="1:2" x14ac:dyDescent="0.25">
      <c r="A540" s="122" t="s">
        <v>729</v>
      </c>
      <c r="B540" s="118">
        <v>3385</v>
      </c>
    </row>
    <row r="541" spans="1:2" x14ac:dyDescent="0.25">
      <c r="A541" s="122" t="s">
        <v>730</v>
      </c>
      <c r="B541" s="118">
        <v>2205</v>
      </c>
    </row>
    <row r="542" spans="1:2" x14ac:dyDescent="0.25">
      <c r="A542" s="122" t="s">
        <v>731</v>
      </c>
      <c r="B542" s="118">
        <v>1385</v>
      </c>
    </row>
    <row r="543" spans="1:2" x14ac:dyDescent="0.25">
      <c r="A543" s="122" t="s">
        <v>732</v>
      </c>
      <c r="B543" s="118">
        <v>275</v>
      </c>
    </row>
    <row r="544" spans="1:2" x14ac:dyDescent="0.25">
      <c r="A544" s="122" t="s">
        <v>733</v>
      </c>
      <c r="B544" s="118">
        <v>4225</v>
      </c>
    </row>
    <row r="545" spans="1:2" x14ac:dyDescent="0.25">
      <c r="A545" s="122" t="s">
        <v>734</v>
      </c>
      <c r="B545" s="118">
        <v>2905</v>
      </c>
    </row>
    <row r="546" spans="1:2" x14ac:dyDescent="0.25">
      <c r="A546" s="122" t="s">
        <v>735</v>
      </c>
      <c r="B546" s="118">
        <v>5604</v>
      </c>
    </row>
    <row r="547" spans="1:2" x14ac:dyDescent="0.25">
      <c r="A547" s="119" t="s">
        <v>736</v>
      </c>
      <c r="B547" s="118">
        <v>5999</v>
      </c>
    </row>
    <row r="548" spans="1:2" x14ac:dyDescent="0.25">
      <c r="A548" s="119" t="s">
        <v>737</v>
      </c>
      <c r="B548" s="118">
        <v>8861</v>
      </c>
    </row>
    <row r="549" spans="1:2" x14ac:dyDescent="0.25">
      <c r="A549" s="119" t="s">
        <v>738</v>
      </c>
      <c r="B549" s="118">
        <v>9921</v>
      </c>
    </row>
    <row r="550" spans="1:2" x14ac:dyDescent="0.25">
      <c r="A550" s="119" t="s">
        <v>739</v>
      </c>
      <c r="B550" s="118">
        <v>10891</v>
      </c>
    </row>
    <row r="551" spans="1:2" x14ac:dyDescent="0.25">
      <c r="A551" s="119" t="s">
        <v>740</v>
      </c>
      <c r="B551" s="118">
        <v>12821</v>
      </c>
    </row>
    <row r="552" spans="1:2" x14ac:dyDescent="0.25">
      <c r="A552" s="119" t="s">
        <v>741</v>
      </c>
      <c r="B552" s="118">
        <v>14351</v>
      </c>
    </row>
    <row r="553" spans="1:2" x14ac:dyDescent="0.25">
      <c r="A553" s="119" t="s">
        <v>742</v>
      </c>
      <c r="B553" s="118">
        <v>6411</v>
      </c>
    </row>
    <row r="554" spans="1:2" x14ac:dyDescent="0.25">
      <c r="A554" s="119" t="s">
        <v>743</v>
      </c>
      <c r="B554" s="118">
        <v>5401</v>
      </c>
    </row>
    <row r="555" spans="1:2" x14ac:dyDescent="0.25">
      <c r="A555" s="119" t="s">
        <v>744</v>
      </c>
      <c r="B555" s="118">
        <v>4381</v>
      </c>
    </row>
    <row r="556" spans="1:2" x14ac:dyDescent="0.25">
      <c r="A556" s="119" t="s">
        <v>745</v>
      </c>
      <c r="B556" s="118">
        <v>2851</v>
      </c>
    </row>
    <row r="557" spans="1:2" x14ac:dyDescent="0.25">
      <c r="A557" s="119" t="s">
        <v>746</v>
      </c>
      <c r="B557" s="118">
        <v>1731</v>
      </c>
    </row>
    <row r="558" spans="1:2" x14ac:dyDescent="0.25">
      <c r="A558" s="119" t="s">
        <v>747</v>
      </c>
      <c r="B558" s="118">
        <v>661</v>
      </c>
    </row>
    <row r="559" spans="1:2" x14ac:dyDescent="0.25">
      <c r="A559" s="119" t="s">
        <v>748</v>
      </c>
      <c r="B559" s="118">
        <v>13553</v>
      </c>
    </row>
    <row r="560" spans="1:2" x14ac:dyDescent="0.25">
      <c r="A560" s="119" t="s">
        <v>749</v>
      </c>
      <c r="B560" s="118">
        <v>475</v>
      </c>
    </row>
    <row r="561" spans="1:2" x14ac:dyDescent="0.25">
      <c r="A561" s="119" t="s">
        <v>750</v>
      </c>
      <c r="B561" s="118">
        <v>11905</v>
      </c>
    </row>
    <row r="562" spans="1:2" x14ac:dyDescent="0.25">
      <c r="A562" s="119" t="s">
        <v>751</v>
      </c>
      <c r="B562" s="118">
        <v>14068</v>
      </c>
    </row>
    <row r="563" spans="1:2" x14ac:dyDescent="0.25">
      <c r="A563" s="124" t="s">
        <v>782</v>
      </c>
      <c r="B563" s="118">
        <v>5999</v>
      </c>
    </row>
    <row r="564" spans="1:2" x14ac:dyDescent="0.25">
      <c r="A564" s="124" t="s">
        <v>783</v>
      </c>
      <c r="B564" s="118">
        <v>8861</v>
      </c>
    </row>
    <row r="565" spans="1:2" x14ac:dyDescent="0.25">
      <c r="A565" s="124" t="s">
        <v>784</v>
      </c>
      <c r="B565" s="118">
        <v>9921</v>
      </c>
    </row>
    <row r="566" spans="1:2" x14ac:dyDescent="0.25">
      <c r="A566" s="124" t="s">
        <v>785</v>
      </c>
      <c r="B566" s="118">
        <v>10891</v>
      </c>
    </row>
    <row r="567" spans="1:2" x14ac:dyDescent="0.25">
      <c r="A567" s="124" t="s">
        <v>786</v>
      </c>
      <c r="B567" s="118">
        <v>12821</v>
      </c>
    </row>
    <row r="568" spans="1:2" x14ac:dyDescent="0.25">
      <c r="A568" s="124" t="s">
        <v>787</v>
      </c>
      <c r="B568" s="118">
        <v>14351</v>
      </c>
    </row>
    <row r="569" spans="1:2" x14ac:dyDescent="0.25">
      <c r="A569" s="124" t="s">
        <v>788</v>
      </c>
      <c r="B569" s="118">
        <v>6411</v>
      </c>
    </row>
    <row r="570" spans="1:2" x14ac:dyDescent="0.25">
      <c r="A570" s="124" t="s">
        <v>789</v>
      </c>
      <c r="B570" s="118">
        <v>5401</v>
      </c>
    </row>
    <row r="571" spans="1:2" x14ac:dyDescent="0.25">
      <c r="A571" s="124" t="s">
        <v>790</v>
      </c>
      <c r="B571" s="118">
        <v>4381</v>
      </c>
    </row>
    <row r="572" spans="1:2" x14ac:dyDescent="0.25">
      <c r="A572" s="124" t="s">
        <v>791</v>
      </c>
      <c r="B572" s="118">
        <v>2851</v>
      </c>
    </row>
    <row r="573" spans="1:2" x14ac:dyDescent="0.25">
      <c r="A573" s="124" t="s">
        <v>792</v>
      </c>
      <c r="B573" s="118">
        <v>1731</v>
      </c>
    </row>
    <row r="574" spans="1:2" x14ac:dyDescent="0.25">
      <c r="A574" s="124" t="s">
        <v>793</v>
      </c>
      <c r="B574" s="118">
        <v>661</v>
      </c>
    </row>
    <row r="575" spans="1:2" x14ac:dyDescent="0.25">
      <c r="A575" s="124" t="s">
        <v>794</v>
      </c>
      <c r="B575" s="118">
        <v>13553</v>
      </c>
    </row>
    <row r="576" spans="1:2" x14ac:dyDescent="0.25">
      <c r="A576" s="124" t="s">
        <v>795</v>
      </c>
      <c r="B576" s="118">
        <v>11905</v>
      </c>
    </row>
    <row r="577" spans="1:2" x14ac:dyDescent="0.25">
      <c r="A577" s="124" t="s">
        <v>796</v>
      </c>
      <c r="B577" s="118">
        <v>8796</v>
      </c>
    </row>
    <row r="578" spans="1:2" x14ac:dyDescent="0.25">
      <c r="A578" s="123" t="s">
        <v>752</v>
      </c>
      <c r="B578" s="118">
        <v>5999</v>
      </c>
    </row>
    <row r="579" spans="1:2" x14ac:dyDescent="0.25">
      <c r="A579" s="123" t="s">
        <v>753</v>
      </c>
      <c r="B579" s="118">
        <v>8861</v>
      </c>
    </row>
    <row r="580" spans="1:2" x14ac:dyDescent="0.25">
      <c r="A580" s="123" t="s">
        <v>754</v>
      </c>
      <c r="B580" s="118">
        <v>9921</v>
      </c>
    </row>
    <row r="581" spans="1:2" x14ac:dyDescent="0.25">
      <c r="A581" s="123" t="s">
        <v>755</v>
      </c>
      <c r="B581" s="118">
        <v>10891</v>
      </c>
    </row>
    <row r="582" spans="1:2" x14ac:dyDescent="0.25">
      <c r="A582" s="123" t="s">
        <v>756</v>
      </c>
      <c r="B582" s="118">
        <v>12821</v>
      </c>
    </row>
    <row r="583" spans="1:2" x14ac:dyDescent="0.25">
      <c r="A583" s="123" t="s">
        <v>757</v>
      </c>
      <c r="B583" s="118">
        <v>14351</v>
      </c>
    </row>
    <row r="584" spans="1:2" x14ac:dyDescent="0.25">
      <c r="A584" s="123" t="s">
        <v>758</v>
      </c>
      <c r="B584" s="118">
        <v>6411</v>
      </c>
    </row>
    <row r="585" spans="1:2" x14ac:dyDescent="0.25">
      <c r="A585" s="123" t="s">
        <v>759</v>
      </c>
      <c r="B585" s="118">
        <v>5401</v>
      </c>
    </row>
    <row r="586" spans="1:2" x14ac:dyDescent="0.25">
      <c r="A586" s="123" t="s">
        <v>760</v>
      </c>
      <c r="B586" s="118">
        <v>4381</v>
      </c>
    </row>
    <row r="587" spans="1:2" x14ac:dyDescent="0.25">
      <c r="A587" s="123" t="s">
        <v>761</v>
      </c>
      <c r="B587" s="118">
        <v>2851</v>
      </c>
    </row>
    <row r="588" spans="1:2" x14ac:dyDescent="0.25">
      <c r="A588" s="123" t="s">
        <v>762</v>
      </c>
      <c r="B588" s="118">
        <v>1731</v>
      </c>
    </row>
    <row r="589" spans="1:2" x14ac:dyDescent="0.25">
      <c r="A589" s="123" t="s">
        <v>763</v>
      </c>
      <c r="B589" s="118">
        <v>661</v>
      </c>
    </row>
    <row r="590" spans="1:2" x14ac:dyDescent="0.25">
      <c r="A590" s="123" t="s">
        <v>764</v>
      </c>
      <c r="B590" s="118">
        <v>13553</v>
      </c>
    </row>
    <row r="591" spans="1:2" x14ac:dyDescent="0.25">
      <c r="A591" s="119" t="s">
        <v>765</v>
      </c>
      <c r="B591" s="118">
        <v>5999</v>
      </c>
    </row>
    <row r="592" spans="1:2" x14ac:dyDescent="0.25">
      <c r="A592" s="119" t="s">
        <v>766</v>
      </c>
      <c r="B592" s="118">
        <v>8861</v>
      </c>
    </row>
    <row r="593" spans="1:2" x14ac:dyDescent="0.25">
      <c r="A593" s="119" t="s">
        <v>767</v>
      </c>
      <c r="B593" s="118">
        <v>9921</v>
      </c>
    </row>
    <row r="594" spans="1:2" x14ac:dyDescent="0.25">
      <c r="A594" s="119" t="s">
        <v>768</v>
      </c>
      <c r="B594" s="118">
        <v>10891</v>
      </c>
    </row>
    <row r="595" spans="1:2" x14ac:dyDescent="0.25">
      <c r="A595" s="119" t="s">
        <v>769</v>
      </c>
      <c r="B595" s="118">
        <v>12821</v>
      </c>
    </row>
    <row r="596" spans="1:2" x14ac:dyDescent="0.25">
      <c r="A596" s="119" t="s">
        <v>770</v>
      </c>
      <c r="B596" s="118">
        <v>14351</v>
      </c>
    </row>
    <row r="597" spans="1:2" x14ac:dyDescent="0.25">
      <c r="A597" s="119" t="s">
        <v>771</v>
      </c>
      <c r="B597" s="118">
        <v>6411</v>
      </c>
    </row>
    <row r="598" spans="1:2" x14ac:dyDescent="0.25">
      <c r="A598" s="119" t="s">
        <v>772</v>
      </c>
      <c r="B598" s="118">
        <v>5401</v>
      </c>
    </row>
    <row r="599" spans="1:2" x14ac:dyDescent="0.25">
      <c r="A599" s="119" t="s">
        <v>773</v>
      </c>
      <c r="B599" s="118">
        <v>4381</v>
      </c>
    </row>
    <row r="600" spans="1:2" x14ac:dyDescent="0.25">
      <c r="A600" s="119" t="s">
        <v>774</v>
      </c>
      <c r="B600" s="118">
        <v>2851</v>
      </c>
    </row>
    <row r="601" spans="1:2" x14ac:dyDescent="0.25">
      <c r="A601" s="119" t="s">
        <v>775</v>
      </c>
      <c r="B601" s="118">
        <v>1731</v>
      </c>
    </row>
    <row r="602" spans="1:2" x14ac:dyDescent="0.25">
      <c r="A602" s="119" t="s">
        <v>776</v>
      </c>
      <c r="B602" s="118">
        <v>661</v>
      </c>
    </row>
    <row r="603" spans="1:2" x14ac:dyDescent="0.25">
      <c r="A603" s="119" t="s">
        <v>777</v>
      </c>
      <c r="B603" s="118">
        <v>13553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F7697-CFBA-4E06-BE08-FA5741D42AF4}">
  <dimension ref="A1:E109"/>
  <sheetViews>
    <sheetView workbookViewId="0">
      <selection activeCell="D15" sqref="D15:D109"/>
    </sheetView>
  </sheetViews>
  <sheetFormatPr defaultRowHeight="15" x14ac:dyDescent="0.25"/>
  <cols>
    <col min="1" max="1" width="16.85546875" style="118" bestFit="1" customWidth="1"/>
    <col min="2" max="2" width="9.140625" style="118"/>
    <col min="3" max="3" width="13.42578125" style="118" bestFit="1" customWidth="1"/>
    <col min="4" max="4" width="9.140625" style="46"/>
  </cols>
  <sheetData>
    <row r="1" spans="1:5" x14ac:dyDescent="0.25">
      <c r="A1" s="118" t="s">
        <v>16</v>
      </c>
      <c r="B1" s="118" t="s">
        <v>1033</v>
      </c>
      <c r="C1" s="118" t="s">
        <v>1028</v>
      </c>
      <c r="D1" s="46" t="s">
        <v>1041</v>
      </c>
    </row>
    <row r="2" spans="1:5" x14ac:dyDescent="0.25">
      <c r="E2" s="131" t="s">
        <v>685</v>
      </c>
    </row>
    <row r="3" spans="1:5" x14ac:dyDescent="0.25">
      <c r="E3" s="119" t="s">
        <v>686</v>
      </c>
    </row>
    <row r="4" spans="1:5" x14ac:dyDescent="0.25">
      <c r="E4" s="119" t="s">
        <v>687</v>
      </c>
    </row>
    <row r="5" spans="1:5" x14ac:dyDescent="0.25">
      <c r="E5" s="119" t="s">
        <v>688</v>
      </c>
    </row>
    <row r="6" spans="1:5" x14ac:dyDescent="0.25">
      <c r="E6" s="119" t="s">
        <v>689</v>
      </c>
    </row>
    <row r="7" spans="1:5" x14ac:dyDescent="0.25">
      <c r="E7" s="119" t="s">
        <v>690</v>
      </c>
    </row>
    <row r="8" spans="1:5" x14ac:dyDescent="0.25">
      <c r="E8" s="119" t="s">
        <v>691</v>
      </c>
    </row>
    <row r="9" spans="1:5" x14ac:dyDescent="0.25">
      <c r="E9" s="119" t="s">
        <v>692</v>
      </c>
    </row>
    <row r="10" spans="1:5" x14ac:dyDescent="0.25">
      <c r="E10" s="119" t="s">
        <v>693</v>
      </c>
    </row>
    <row r="11" spans="1:5" x14ac:dyDescent="0.25">
      <c r="E11" s="119" t="s">
        <v>694</v>
      </c>
    </row>
    <row r="12" spans="1:5" x14ac:dyDescent="0.25">
      <c r="E12" s="119" t="s">
        <v>695</v>
      </c>
    </row>
    <row r="13" spans="1:5" x14ac:dyDescent="0.25">
      <c r="E13" s="119" t="s">
        <v>696</v>
      </c>
    </row>
    <row r="14" spans="1:5" x14ac:dyDescent="0.25">
      <c r="E14" s="119" t="s">
        <v>697</v>
      </c>
    </row>
    <row r="15" spans="1:5" x14ac:dyDescent="0.25">
      <c r="A15" s="67">
        <v>45846.666666666664</v>
      </c>
      <c r="B15" s="118">
        <v>1</v>
      </c>
      <c r="C15" s="118" t="s">
        <v>682</v>
      </c>
      <c r="D15" s="181" t="s">
        <v>1587</v>
      </c>
      <c r="E15" s="120" t="s">
        <v>698</v>
      </c>
    </row>
    <row r="16" spans="1:5" x14ac:dyDescent="0.25">
      <c r="A16" s="67">
        <v>45846.666666666664</v>
      </c>
      <c r="B16" s="118">
        <v>2</v>
      </c>
      <c r="C16" s="118" t="s">
        <v>682</v>
      </c>
      <c r="D16" s="181" t="s">
        <v>1588</v>
      </c>
      <c r="E16" s="120" t="s">
        <v>699</v>
      </c>
    </row>
    <row r="17" spans="1:5" x14ac:dyDescent="0.25">
      <c r="A17" s="67">
        <v>45846.666666666664</v>
      </c>
      <c r="B17" s="118">
        <v>3</v>
      </c>
      <c r="C17" s="118" t="s">
        <v>682</v>
      </c>
      <c r="D17" s="181" t="s">
        <v>1589</v>
      </c>
      <c r="E17" s="120" t="s">
        <v>700</v>
      </c>
    </row>
    <row r="18" spans="1:5" x14ac:dyDescent="0.25">
      <c r="A18" s="67">
        <v>45846.666666666664</v>
      </c>
      <c r="B18" s="118">
        <v>4</v>
      </c>
      <c r="C18" s="118" t="s">
        <v>682</v>
      </c>
      <c r="D18" s="181" t="s">
        <v>1590</v>
      </c>
      <c r="E18" s="120" t="s">
        <v>701</v>
      </c>
    </row>
    <row r="19" spans="1:5" x14ac:dyDescent="0.25">
      <c r="A19" s="67">
        <v>45846.666666666664</v>
      </c>
      <c r="B19" s="118">
        <v>5</v>
      </c>
      <c r="C19" s="118" t="s">
        <v>682</v>
      </c>
      <c r="D19" s="181" t="s">
        <v>1591</v>
      </c>
      <c r="E19" s="120" t="s">
        <v>702</v>
      </c>
    </row>
    <row r="20" spans="1:5" x14ac:dyDescent="0.25">
      <c r="A20" s="67">
        <v>45846.666666666664</v>
      </c>
      <c r="B20" s="118">
        <v>6</v>
      </c>
      <c r="C20" s="118" t="s">
        <v>682</v>
      </c>
      <c r="D20" s="181" t="s">
        <v>1592</v>
      </c>
      <c r="E20" s="120" t="s">
        <v>703</v>
      </c>
    </row>
    <row r="21" spans="1:5" x14ac:dyDescent="0.25">
      <c r="A21" s="67">
        <v>45852.666666666664</v>
      </c>
      <c r="B21" s="118">
        <v>5</v>
      </c>
      <c r="C21" s="118" t="s">
        <v>683</v>
      </c>
      <c r="D21" s="181" t="s">
        <v>1598</v>
      </c>
      <c r="E21" s="121" t="s">
        <v>704</v>
      </c>
    </row>
    <row r="22" spans="1:5" x14ac:dyDescent="0.25">
      <c r="A22" s="67">
        <v>45852.666666666664</v>
      </c>
      <c r="B22" s="118">
        <v>6</v>
      </c>
      <c r="C22" s="118" t="s">
        <v>683</v>
      </c>
      <c r="D22" s="181" t="s">
        <v>1595</v>
      </c>
      <c r="E22" s="121" t="s">
        <v>705</v>
      </c>
    </row>
    <row r="23" spans="1:5" x14ac:dyDescent="0.25">
      <c r="A23" s="67">
        <v>45852.666666666664</v>
      </c>
      <c r="B23" s="118">
        <v>8</v>
      </c>
      <c r="C23" s="118" t="s">
        <v>683</v>
      </c>
      <c r="D23" s="181" t="s">
        <v>1594</v>
      </c>
      <c r="E23" s="121" t="s">
        <v>706</v>
      </c>
    </row>
    <row r="24" spans="1:5" x14ac:dyDescent="0.25">
      <c r="A24" s="67">
        <v>45852.666666666664</v>
      </c>
      <c r="B24" s="118">
        <v>9</v>
      </c>
      <c r="C24" s="118" t="s">
        <v>683</v>
      </c>
      <c r="D24" s="181" t="s">
        <v>1597</v>
      </c>
      <c r="E24" s="121" t="s">
        <v>707</v>
      </c>
    </row>
    <row r="25" spans="1:5" x14ac:dyDescent="0.25">
      <c r="A25" s="67">
        <v>45852.666666666664</v>
      </c>
      <c r="B25" s="118">
        <v>10</v>
      </c>
      <c r="C25" s="118" t="s">
        <v>683</v>
      </c>
      <c r="D25" s="181" t="s">
        <v>1595</v>
      </c>
      <c r="E25" s="121" t="s">
        <v>708</v>
      </c>
    </row>
    <row r="26" spans="1:5" x14ac:dyDescent="0.25">
      <c r="A26" s="67">
        <v>45852.666666666664</v>
      </c>
      <c r="B26" s="118">
        <v>11</v>
      </c>
      <c r="C26" s="118" t="s">
        <v>683</v>
      </c>
      <c r="D26" s="181" t="s">
        <v>1593</v>
      </c>
      <c r="E26" s="121" t="s">
        <v>709</v>
      </c>
    </row>
    <row r="27" spans="1:5" x14ac:dyDescent="0.25">
      <c r="A27" s="67">
        <v>45852.666666666664</v>
      </c>
      <c r="B27" s="118">
        <v>12</v>
      </c>
      <c r="C27" s="118" t="s">
        <v>683</v>
      </c>
      <c r="D27" s="181" t="s">
        <v>1594</v>
      </c>
      <c r="E27" s="121" t="s">
        <v>710</v>
      </c>
    </row>
    <row r="28" spans="1:5" x14ac:dyDescent="0.25">
      <c r="A28" s="67">
        <v>45852.666666666664</v>
      </c>
      <c r="B28" s="118">
        <v>14</v>
      </c>
      <c r="C28" s="118" t="s">
        <v>683</v>
      </c>
      <c r="D28" s="181" t="s">
        <v>1595</v>
      </c>
      <c r="E28" s="121" t="s">
        <v>711</v>
      </c>
    </row>
    <row r="29" spans="1:5" x14ac:dyDescent="0.25">
      <c r="A29" s="67">
        <v>45852.666666666664</v>
      </c>
      <c r="B29" s="118">
        <v>15</v>
      </c>
      <c r="C29" s="118" t="s">
        <v>683</v>
      </c>
      <c r="D29" s="181" t="s">
        <v>1596</v>
      </c>
      <c r="E29" s="121" t="s">
        <v>712</v>
      </c>
    </row>
    <row r="30" spans="1:5" x14ac:dyDescent="0.25">
      <c r="A30" s="67">
        <v>45867.666666666664</v>
      </c>
      <c r="B30" s="118">
        <v>1</v>
      </c>
      <c r="C30" s="118" t="s">
        <v>11</v>
      </c>
      <c r="D30" s="181" t="s">
        <v>1603</v>
      </c>
      <c r="E30" s="119" t="s">
        <v>713</v>
      </c>
    </row>
    <row r="31" spans="1:5" x14ac:dyDescent="0.25">
      <c r="A31" s="67">
        <v>45867.666666666664</v>
      </c>
      <c r="B31" s="118">
        <v>2</v>
      </c>
      <c r="C31" s="118" t="s">
        <v>11</v>
      </c>
      <c r="D31" s="181" t="s">
        <v>1604</v>
      </c>
      <c r="E31" s="119" t="s">
        <v>714</v>
      </c>
    </row>
    <row r="32" spans="1:5" x14ac:dyDescent="0.25">
      <c r="A32" s="67">
        <v>45867.666666666664</v>
      </c>
      <c r="B32" s="118">
        <v>3</v>
      </c>
      <c r="C32" s="118" t="s">
        <v>11</v>
      </c>
      <c r="D32" s="181" t="s">
        <v>1605</v>
      </c>
      <c r="E32" s="119" t="s">
        <v>715</v>
      </c>
    </row>
    <row r="33" spans="1:5" x14ac:dyDescent="0.25">
      <c r="A33" s="67">
        <v>45867.666666666664</v>
      </c>
      <c r="B33" s="118">
        <v>4</v>
      </c>
      <c r="C33" s="118" t="s">
        <v>11</v>
      </c>
      <c r="D33" s="181">
        <v>33</v>
      </c>
      <c r="E33" s="119" t="s">
        <v>716</v>
      </c>
    </row>
    <row r="34" spans="1:5" x14ac:dyDescent="0.25">
      <c r="A34" s="67">
        <v>45867.666666666664</v>
      </c>
      <c r="B34" s="118">
        <v>5</v>
      </c>
      <c r="C34" s="118" t="s">
        <v>11</v>
      </c>
      <c r="D34" s="181" t="s">
        <v>1607</v>
      </c>
      <c r="E34" s="119" t="s">
        <v>717</v>
      </c>
    </row>
    <row r="35" spans="1:5" x14ac:dyDescent="0.25">
      <c r="A35" s="67">
        <v>45867.666666666664</v>
      </c>
      <c r="B35" s="118">
        <v>6</v>
      </c>
      <c r="C35" s="118" t="s">
        <v>11</v>
      </c>
      <c r="D35" s="181">
        <v>33</v>
      </c>
      <c r="E35" s="119" t="s">
        <v>718</v>
      </c>
    </row>
    <row r="36" spans="1:5" x14ac:dyDescent="0.25">
      <c r="A36" s="67">
        <v>45867.666666666664</v>
      </c>
      <c r="B36" s="118">
        <v>7</v>
      </c>
      <c r="C36" s="118" t="s">
        <v>11</v>
      </c>
      <c r="D36" s="181" t="s">
        <v>1599</v>
      </c>
      <c r="E36" s="119" t="s">
        <v>719</v>
      </c>
    </row>
    <row r="37" spans="1:5" x14ac:dyDescent="0.25">
      <c r="A37" s="67">
        <v>45867.666666666664</v>
      </c>
      <c r="B37" s="118">
        <v>8</v>
      </c>
      <c r="C37" s="118" t="s">
        <v>11</v>
      </c>
      <c r="D37" s="181">
        <v>30</v>
      </c>
      <c r="E37" s="119" t="s">
        <v>720</v>
      </c>
    </row>
    <row r="38" spans="1:5" x14ac:dyDescent="0.25">
      <c r="A38" s="67">
        <v>45867.666666666664</v>
      </c>
      <c r="B38" s="118">
        <v>9</v>
      </c>
      <c r="C38" s="118" t="s">
        <v>11</v>
      </c>
      <c r="D38" s="181" t="s">
        <v>1601</v>
      </c>
      <c r="E38" s="119" t="s">
        <v>721</v>
      </c>
    </row>
    <row r="39" spans="1:5" x14ac:dyDescent="0.25">
      <c r="A39" s="67">
        <v>45867.666666666664</v>
      </c>
      <c r="B39" s="118">
        <v>10</v>
      </c>
      <c r="C39" s="118" t="s">
        <v>11</v>
      </c>
      <c r="D39" s="181" t="s">
        <v>1591</v>
      </c>
      <c r="E39" s="119" t="s">
        <v>722</v>
      </c>
    </row>
    <row r="40" spans="1:5" x14ac:dyDescent="0.25">
      <c r="A40" s="67">
        <v>45867.666666666664</v>
      </c>
      <c r="B40" s="118">
        <v>11</v>
      </c>
      <c r="C40" s="118" t="s">
        <v>11</v>
      </c>
      <c r="D40" s="181" t="s">
        <v>1598</v>
      </c>
      <c r="E40" s="119" t="s">
        <v>723</v>
      </c>
    </row>
    <row r="41" spans="1:5" x14ac:dyDescent="0.25">
      <c r="A41" s="67">
        <v>45867.666666666664</v>
      </c>
      <c r="B41" s="118">
        <v>12</v>
      </c>
      <c r="C41" s="118" t="s">
        <v>11</v>
      </c>
      <c r="D41" s="181" t="s">
        <v>1602</v>
      </c>
      <c r="E41" s="119" t="s">
        <v>724</v>
      </c>
    </row>
    <row r="42" spans="1:5" x14ac:dyDescent="0.25">
      <c r="A42" s="67">
        <v>45867.666666666664</v>
      </c>
      <c r="B42" s="118">
        <v>13</v>
      </c>
      <c r="C42" s="118" t="s">
        <v>11</v>
      </c>
      <c r="D42" s="181">
        <v>33</v>
      </c>
      <c r="E42" s="119" t="s">
        <v>725</v>
      </c>
    </row>
    <row r="43" spans="1:5" x14ac:dyDescent="0.25">
      <c r="A43" s="67">
        <v>45874.666666666664</v>
      </c>
      <c r="B43" s="118">
        <v>5</v>
      </c>
      <c r="C43" s="118" t="s">
        <v>683</v>
      </c>
      <c r="D43" s="181" t="s">
        <v>1615</v>
      </c>
      <c r="E43" s="122" t="s">
        <v>726</v>
      </c>
    </row>
    <row r="44" spans="1:5" x14ac:dyDescent="0.25">
      <c r="A44" s="67">
        <v>45874.666666666664</v>
      </c>
      <c r="B44" s="118">
        <v>6</v>
      </c>
      <c r="C44" s="118" t="s">
        <v>683</v>
      </c>
      <c r="D44" s="181" t="s">
        <v>1608</v>
      </c>
      <c r="E44" s="122" t="s">
        <v>727</v>
      </c>
    </row>
    <row r="45" spans="1:5" x14ac:dyDescent="0.25">
      <c r="A45" s="67">
        <v>45874.666666666664</v>
      </c>
      <c r="B45" s="118">
        <v>8</v>
      </c>
      <c r="C45" s="118" t="s">
        <v>683</v>
      </c>
      <c r="D45" s="181" t="s">
        <v>1614</v>
      </c>
      <c r="E45" s="122" t="s">
        <v>728</v>
      </c>
    </row>
    <row r="46" spans="1:5" x14ac:dyDescent="0.25">
      <c r="A46" s="67">
        <v>45874.666666666664</v>
      </c>
      <c r="B46" s="118">
        <v>9</v>
      </c>
      <c r="C46" s="118" t="s">
        <v>683</v>
      </c>
      <c r="D46" s="181" t="s">
        <v>1612</v>
      </c>
      <c r="E46" s="122" t="s">
        <v>729</v>
      </c>
    </row>
    <row r="47" spans="1:5" x14ac:dyDescent="0.25">
      <c r="A47" s="67">
        <v>45874.666666666664</v>
      </c>
      <c r="B47" s="118">
        <v>10</v>
      </c>
      <c r="C47" s="118" t="s">
        <v>683</v>
      </c>
      <c r="D47" s="181" t="s">
        <v>1610</v>
      </c>
      <c r="E47" s="122" t="s">
        <v>730</v>
      </c>
    </row>
    <row r="48" spans="1:5" x14ac:dyDescent="0.25">
      <c r="A48" s="67">
        <v>45874.666666666664</v>
      </c>
      <c r="B48" s="118">
        <v>11</v>
      </c>
      <c r="C48" s="118" t="s">
        <v>683</v>
      </c>
      <c r="D48" s="181" t="s">
        <v>1608</v>
      </c>
      <c r="E48" s="122" t="s">
        <v>731</v>
      </c>
    </row>
    <row r="49" spans="1:5" x14ac:dyDescent="0.25">
      <c r="A49" s="67">
        <v>45874.666666666664</v>
      </c>
      <c r="B49" s="118">
        <v>12</v>
      </c>
      <c r="C49" s="118" t="s">
        <v>683</v>
      </c>
      <c r="D49" s="181" t="s">
        <v>1609</v>
      </c>
      <c r="E49" s="122" t="s">
        <v>732</v>
      </c>
    </row>
    <row r="50" spans="1:5" x14ac:dyDescent="0.25">
      <c r="A50" s="67">
        <v>45874.666666666664</v>
      </c>
      <c r="B50" s="118">
        <v>14</v>
      </c>
      <c r="C50" s="118" t="s">
        <v>683</v>
      </c>
      <c r="D50" s="181" t="s">
        <v>1613</v>
      </c>
      <c r="E50" s="122" t="s">
        <v>733</v>
      </c>
    </row>
    <row r="51" spans="1:5" x14ac:dyDescent="0.25">
      <c r="A51" s="67">
        <v>45874.666666666664</v>
      </c>
      <c r="B51" s="118">
        <v>15</v>
      </c>
      <c r="C51" s="118" t="s">
        <v>683</v>
      </c>
      <c r="D51" s="181" t="s">
        <v>1611</v>
      </c>
      <c r="E51" s="122" t="s">
        <v>734</v>
      </c>
    </row>
    <row r="52" spans="1:5" x14ac:dyDescent="0.25">
      <c r="A52" s="67">
        <v>45874.666666666664</v>
      </c>
      <c r="B52" s="118">
        <v>16</v>
      </c>
      <c r="C52" s="118" t="s">
        <v>683</v>
      </c>
      <c r="D52" s="181" t="s">
        <v>1616</v>
      </c>
      <c r="E52" s="122" t="s">
        <v>735</v>
      </c>
    </row>
    <row r="53" spans="1:5" x14ac:dyDescent="0.25">
      <c r="A53" s="67">
        <v>45875.666666666664</v>
      </c>
      <c r="B53" s="118">
        <v>1</v>
      </c>
      <c r="C53" s="118" t="s">
        <v>11</v>
      </c>
      <c r="D53" s="181" t="s">
        <v>1617</v>
      </c>
      <c r="E53" s="119" t="s">
        <v>736</v>
      </c>
    </row>
    <row r="54" spans="1:5" x14ac:dyDescent="0.25">
      <c r="A54" s="67">
        <v>45875.666666666664</v>
      </c>
      <c r="B54" s="118">
        <v>2</v>
      </c>
      <c r="C54" s="118" t="s">
        <v>11</v>
      </c>
      <c r="D54" s="181" t="s">
        <v>1597</v>
      </c>
      <c r="E54" s="119" t="s">
        <v>737</v>
      </c>
    </row>
    <row r="55" spans="1:5" x14ac:dyDescent="0.25">
      <c r="A55" s="67">
        <v>45875.666666666664</v>
      </c>
      <c r="B55" s="118">
        <v>3</v>
      </c>
      <c r="C55" s="118" t="s">
        <v>11</v>
      </c>
      <c r="D55" s="181" t="s">
        <v>1593</v>
      </c>
      <c r="E55" s="119" t="s">
        <v>738</v>
      </c>
    </row>
    <row r="56" spans="1:5" x14ac:dyDescent="0.25">
      <c r="A56" s="67">
        <v>45875.666666666664</v>
      </c>
      <c r="B56" s="118">
        <v>5</v>
      </c>
      <c r="C56" s="118" t="s">
        <v>11</v>
      </c>
      <c r="D56" s="181" t="s">
        <v>1625</v>
      </c>
      <c r="E56" s="119" t="s">
        <v>739</v>
      </c>
    </row>
    <row r="57" spans="1:5" x14ac:dyDescent="0.25">
      <c r="A57" s="67">
        <v>45875.666666666664</v>
      </c>
      <c r="B57" s="118">
        <v>6</v>
      </c>
      <c r="C57" s="118" t="s">
        <v>11</v>
      </c>
      <c r="D57" s="181" t="s">
        <v>1623</v>
      </c>
      <c r="E57" s="119" t="s">
        <v>740</v>
      </c>
    </row>
    <row r="58" spans="1:5" x14ac:dyDescent="0.25">
      <c r="A58" s="67">
        <v>45875.666666666664</v>
      </c>
      <c r="B58" s="118">
        <v>6</v>
      </c>
      <c r="C58" s="118" t="s">
        <v>11</v>
      </c>
      <c r="D58" s="181" t="s">
        <v>1587</v>
      </c>
      <c r="E58" s="119" t="s">
        <v>741</v>
      </c>
    </row>
    <row r="59" spans="1:5" x14ac:dyDescent="0.25">
      <c r="A59" s="67">
        <v>45875.666666666664</v>
      </c>
      <c r="B59" s="118">
        <v>7</v>
      </c>
      <c r="C59" s="118" t="s">
        <v>11</v>
      </c>
      <c r="D59" s="181" t="s">
        <v>1617</v>
      </c>
      <c r="E59" s="119" t="s">
        <v>742</v>
      </c>
    </row>
    <row r="60" spans="1:5" x14ac:dyDescent="0.25">
      <c r="A60" s="67">
        <v>45875.666666666664</v>
      </c>
      <c r="B60" s="118">
        <v>8</v>
      </c>
      <c r="C60" s="118" t="s">
        <v>11</v>
      </c>
      <c r="D60" s="181" t="s">
        <v>1618</v>
      </c>
      <c r="E60" s="119" t="s">
        <v>743</v>
      </c>
    </row>
    <row r="61" spans="1:5" x14ac:dyDescent="0.25">
      <c r="A61" s="67">
        <v>45875.666666666664</v>
      </c>
      <c r="B61" s="118">
        <v>9</v>
      </c>
      <c r="C61" s="118" t="s">
        <v>11</v>
      </c>
      <c r="D61" s="181" t="s">
        <v>1619</v>
      </c>
      <c r="E61" s="119" t="s">
        <v>744</v>
      </c>
    </row>
    <row r="62" spans="1:5" x14ac:dyDescent="0.25">
      <c r="A62" s="67">
        <v>45875.666666666664</v>
      </c>
      <c r="B62" s="118">
        <v>10</v>
      </c>
      <c r="C62" s="118" t="s">
        <v>11</v>
      </c>
      <c r="D62" s="181" t="s">
        <v>1619</v>
      </c>
      <c r="E62" s="119" t="s">
        <v>745</v>
      </c>
    </row>
    <row r="63" spans="1:5" x14ac:dyDescent="0.25">
      <c r="A63" s="67">
        <v>45875.666666666664</v>
      </c>
      <c r="B63" s="118">
        <v>11</v>
      </c>
      <c r="C63" s="118" t="s">
        <v>11</v>
      </c>
      <c r="D63" s="181" t="s">
        <v>1620</v>
      </c>
      <c r="E63" s="119" t="s">
        <v>746</v>
      </c>
    </row>
    <row r="64" spans="1:5" x14ac:dyDescent="0.25">
      <c r="A64" s="67">
        <v>45875.666666666664</v>
      </c>
      <c r="B64" s="118">
        <v>12</v>
      </c>
      <c r="C64" s="118" t="s">
        <v>11</v>
      </c>
      <c r="D64" s="181" t="s">
        <v>1622</v>
      </c>
      <c r="E64" s="119" t="s">
        <v>747</v>
      </c>
    </row>
    <row r="65" spans="1:5" x14ac:dyDescent="0.25">
      <c r="A65" s="67">
        <v>45875.666666666664</v>
      </c>
      <c r="B65" s="118">
        <v>13</v>
      </c>
      <c r="C65" s="118" t="s">
        <v>11</v>
      </c>
      <c r="D65" s="181" t="s">
        <v>1591</v>
      </c>
      <c r="E65" s="119" t="s">
        <v>748</v>
      </c>
    </row>
    <row r="66" spans="1:5" x14ac:dyDescent="0.25">
      <c r="A66" s="67">
        <v>45875.666666666664</v>
      </c>
      <c r="B66" s="118">
        <v>14</v>
      </c>
      <c r="C66" s="118" t="s">
        <v>11</v>
      </c>
      <c r="D66" s="181" t="s">
        <v>1621</v>
      </c>
      <c r="E66" s="119" t="s">
        <v>749</v>
      </c>
    </row>
    <row r="67" spans="1:5" x14ac:dyDescent="0.25">
      <c r="A67" s="67">
        <v>45875.666666666664</v>
      </c>
      <c r="B67" s="118">
        <v>15</v>
      </c>
      <c r="C67" s="118" t="s">
        <v>11</v>
      </c>
      <c r="D67" s="181" t="s">
        <v>1596</v>
      </c>
      <c r="E67" s="119" t="s">
        <v>750</v>
      </c>
    </row>
    <row r="68" spans="1:5" x14ac:dyDescent="0.25">
      <c r="A68" s="67">
        <v>45875.666666666664</v>
      </c>
      <c r="B68" s="118">
        <v>16</v>
      </c>
      <c r="C68" s="118" t="s">
        <v>11</v>
      </c>
      <c r="D68" s="181" t="s">
        <v>1598</v>
      </c>
      <c r="E68" s="119" t="s">
        <v>751</v>
      </c>
    </row>
    <row r="69" spans="1:5" x14ac:dyDescent="0.25">
      <c r="A69" s="67">
        <v>45882.666666666664</v>
      </c>
      <c r="B69" s="118">
        <v>1</v>
      </c>
      <c r="C69" s="118" t="s">
        <v>11</v>
      </c>
      <c r="D69" s="181" t="s">
        <v>115</v>
      </c>
      <c r="E69" s="124" t="s">
        <v>782</v>
      </c>
    </row>
    <row r="70" spans="1:5" x14ac:dyDescent="0.25">
      <c r="A70" s="67">
        <v>45882.666666666664</v>
      </c>
      <c r="B70" s="118">
        <v>2</v>
      </c>
      <c r="C70" s="118" t="s">
        <v>11</v>
      </c>
      <c r="D70" s="181" t="s">
        <v>115</v>
      </c>
      <c r="E70" s="124" t="s">
        <v>783</v>
      </c>
    </row>
    <row r="71" spans="1:5" x14ac:dyDescent="0.25">
      <c r="A71" s="67">
        <v>45882.666666666664</v>
      </c>
      <c r="B71" s="118">
        <v>3</v>
      </c>
      <c r="C71" s="118" t="s">
        <v>11</v>
      </c>
      <c r="D71" s="181" t="s">
        <v>115</v>
      </c>
      <c r="E71" s="124" t="s">
        <v>784</v>
      </c>
    </row>
    <row r="72" spans="1:5" x14ac:dyDescent="0.25">
      <c r="A72" s="67">
        <v>45882.666666666664</v>
      </c>
      <c r="B72" s="118">
        <v>4</v>
      </c>
      <c r="C72" s="118" t="s">
        <v>11</v>
      </c>
      <c r="D72" s="181" t="s">
        <v>115</v>
      </c>
      <c r="E72" s="124" t="s">
        <v>785</v>
      </c>
    </row>
    <row r="73" spans="1:5" x14ac:dyDescent="0.25">
      <c r="A73" s="67">
        <v>45882.666666666664</v>
      </c>
      <c r="B73" s="118">
        <v>5</v>
      </c>
      <c r="C73" s="118" t="s">
        <v>11</v>
      </c>
      <c r="D73" s="181" t="s">
        <v>115</v>
      </c>
      <c r="E73" s="124" t="s">
        <v>786</v>
      </c>
    </row>
    <row r="74" spans="1:5" x14ac:dyDescent="0.25">
      <c r="A74" s="67">
        <v>45882.666666666664</v>
      </c>
      <c r="B74" s="118">
        <v>6</v>
      </c>
      <c r="C74" s="118" t="s">
        <v>11</v>
      </c>
      <c r="D74" s="181" t="s">
        <v>115</v>
      </c>
      <c r="E74" s="124" t="s">
        <v>787</v>
      </c>
    </row>
    <row r="75" spans="1:5" x14ac:dyDescent="0.25">
      <c r="A75" s="67">
        <v>45882.666666666664</v>
      </c>
      <c r="B75" s="118">
        <v>7</v>
      </c>
      <c r="C75" s="118" t="s">
        <v>11</v>
      </c>
      <c r="D75" s="181" t="s">
        <v>115</v>
      </c>
      <c r="E75" s="124" t="s">
        <v>788</v>
      </c>
    </row>
    <row r="76" spans="1:5" x14ac:dyDescent="0.25">
      <c r="A76" s="67">
        <v>45882.666666666664</v>
      </c>
      <c r="B76" s="118">
        <v>8</v>
      </c>
      <c r="C76" s="118" t="s">
        <v>11</v>
      </c>
      <c r="D76" s="181" t="s">
        <v>115</v>
      </c>
      <c r="E76" s="124" t="s">
        <v>789</v>
      </c>
    </row>
    <row r="77" spans="1:5" x14ac:dyDescent="0.25">
      <c r="A77" s="67">
        <v>45882.666666666664</v>
      </c>
      <c r="B77" s="118">
        <v>9</v>
      </c>
      <c r="C77" s="118" t="s">
        <v>11</v>
      </c>
      <c r="D77" s="181" t="s">
        <v>115</v>
      </c>
      <c r="E77" s="124" t="s">
        <v>790</v>
      </c>
    </row>
    <row r="78" spans="1:5" x14ac:dyDescent="0.25">
      <c r="A78" s="67">
        <v>45882.666666666664</v>
      </c>
      <c r="B78" s="118">
        <v>10</v>
      </c>
      <c r="C78" s="118" t="s">
        <v>11</v>
      </c>
      <c r="D78" s="181" t="s">
        <v>115</v>
      </c>
      <c r="E78" s="124" t="s">
        <v>791</v>
      </c>
    </row>
    <row r="79" spans="1:5" x14ac:dyDescent="0.25">
      <c r="A79" s="67">
        <v>45882.666666666664</v>
      </c>
      <c r="B79" s="118">
        <v>11</v>
      </c>
      <c r="C79" s="118" t="s">
        <v>11</v>
      </c>
      <c r="D79" s="181" t="s">
        <v>115</v>
      </c>
      <c r="E79" s="124" t="s">
        <v>792</v>
      </c>
    </row>
    <row r="80" spans="1:5" x14ac:dyDescent="0.25">
      <c r="A80" s="67">
        <v>45882.666666666664</v>
      </c>
      <c r="B80" s="118">
        <v>12</v>
      </c>
      <c r="C80" s="118" t="s">
        <v>11</v>
      </c>
      <c r="D80" s="181" t="s">
        <v>115</v>
      </c>
      <c r="E80" s="124" t="s">
        <v>793</v>
      </c>
    </row>
    <row r="81" spans="1:5" x14ac:dyDescent="0.25">
      <c r="A81" s="67">
        <v>45882.666666666664</v>
      </c>
      <c r="B81" s="118">
        <v>13</v>
      </c>
      <c r="C81" s="118" t="s">
        <v>11</v>
      </c>
      <c r="D81" s="181" t="s">
        <v>115</v>
      </c>
      <c r="E81" s="124" t="s">
        <v>794</v>
      </c>
    </row>
    <row r="82" spans="1:5" x14ac:dyDescent="0.25">
      <c r="A82" s="67">
        <v>45882.666666666664</v>
      </c>
      <c r="B82" s="118">
        <v>15</v>
      </c>
      <c r="C82" s="118" t="s">
        <v>11</v>
      </c>
      <c r="D82" s="181" t="s">
        <v>115</v>
      </c>
      <c r="E82" s="124" t="s">
        <v>795</v>
      </c>
    </row>
    <row r="83" spans="1:5" x14ac:dyDescent="0.25">
      <c r="A83" s="67">
        <v>45882.666666666664</v>
      </c>
      <c r="B83" s="118">
        <v>17</v>
      </c>
      <c r="C83" s="118" t="s">
        <v>11</v>
      </c>
      <c r="D83" s="181" t="s">
        <v>115</v>
      </c>
      <c r="E83" s="124" t="s">
        <v>796</v>
      </c>
    </row>
    <row r="84" spans="1:5" x14ac:dyDescent="0.25">
      <c r="A84" s="67">
        <v>45891.666666666664</v>
      </c>
      <c r="B84" s="118">
        <v>1</v>
      </c>
      <c r="C84" s="118" t="s">
        <v>11</v>
      </c>
      <c r="D84" s="181" t="s">
        <v>1616</v>
      </c>
      <c r="E84" s="123" t="s">
        <v>752</v>
      </c>
    </row>
    <row r="85" spans="1:5" x14ac:dyDescent="0.25">
      <c r="A85" s="67">
        <v>45891.666666666664</v>
      </c>
      <c r="B85" s="118">
        <v>2</v>
      </c>
      <c r="C85" s="118" t="s">
        <v>11</v>
      </c>
      <c r="D85" s="181" t="s">
        <v>1627</v>
      </c>
      <c r="E85" s="123" t="s">
        <v>753</v>
      </c>
    </row>
    <row r="86" spans="1:5" x14ac:dyDescent="0.25">
      <c r="A86" s="67">
        <v>45891.666666666664</v>
      </c>
      <c r="B86" s="118">
        <v>3</v>
      </c>
      <c r="C86" s="118" t="s">
        <v>11</v>
      </c>
      <c r="D86" s="181" t="s">
        <v>1627</v>
      </c>
      <c r="E86" s="123" t="s">
        <v>754</v>
      </c>
    </row>
    <row r="87" spans="1:5" x14ac:dyDescent="0.25">
      <c r="A87" s="67">
        <v>45891.666666666664</v>
      </c>
      <c r="B87" s="118">
        <v>4</v>
      </c>
      <c r="C87" s="118" t="s">
        <v>11</v>
      </c>
      <c r="D87" s="181" t="s">
        <v>1626</v>
      </c>
      <c r="E87" s="123" t="s">
        <v>755</v>
      </c>
    </row>
    <row r="88" spans="1:5" x14ac:dyDescent="0.25">
      <c r="A88" s="67">
        <v>45891.666666666664</v>
      </c>
      <c r="B88" s="118">
        <v>5</v>
      </c>
      <c r="C88" s="118" t="s">
        <v>11</v>
      </c>
      <c r="D88" s="181" t="s">
        <v>1616</v>
      </c>
      <c r="E88" s="123" t="s">
        <v>756</v>
      </c>
    </row>
    <row r="89" spans="1:5" x14ac:dyDescent="0.25">
      <c r="A89" s="67">
        <v>45891.666666666664</v>
      </c>
      <c r="B89" s="118">
        <v>7</v>
      </c>
      <c r="C89" s="118" t="s">
        <v>11</v>
      </c>
      <c r="D89" s="181" t="s">
        <v>1618</v>
      </c>
      <c r="E89" s="123" t="s">
        <v>757</v>
      </c>
    </row>
    <row r="90" spans="1:5" x14ac:dyDescent="0.25">
      <c r="A90" s="67">
        <v>45891.666666666664</v>
      </c>
      <c r="B90" s="118">
        <v>7</v>
      </c>
      <c r="C90" s="118" t="s">
        <v>11</v>
      </c>
      <c r="D90" s="181" t="s">
        <v>1610</v>
      </c>
      <c r="E90" s="123" t="s">
        <v>758</v>
      </c>
    </row>
    <row r="91" spans="1:5" x14ac:dyDescent="0.25">
      <c r="A91" s="67">
        <v>45891.666666666664</v>
      </c>
      <c r="B91" s="118">
        <v>8</v>
      </c>
      <c r="C91" s="118" t="s">
        <v>11</v>
      </c>
      <c r="D91" s="181" t="s">
        <v>1620</v>
      </c>
      <c r="E91" s="123" t="s">
        <v>759</v>
      </c>
    </row>
    <row r="92" spans="1:5" x14ac:dyDescent="0.25">
      <c r="A92" s="67">
        <v>45891.666666666664</v>
      </c>
      <c r="B92" s="118">
        <v>9</v>
      </c>
      <c r="C92" s="118" t="s">
        <v>11</v>
      </c>
      <c r="D92" s="181" t="s">
        <v>1628</v>
      </c>
      <c r="E92" s="123" t="s">
        <v>760</v>
      </c>
    </row>
    <row r="93" spans="1:5" x14ac:dyDescent="0.25">
      <c r="A93" s="67">
        <v>45891.666666666664</v>
      </c>
      <c r="B93" s="118">
        <v>10</v>
      </c>
      <c r="C93" s="118" t="s">
        <v>11</v>
      </c>
      <c r="D93" s="181" t="s">
        <v>1619</v>
      </c>
      <c r="E93" s="123" t="s">
        <v>761</v>
      </c>
    </row>
    <row r="94" spans="1:5" x14ac:dyDescent="0.25">
      <c r="A94" s="67">
        <v>45891.666666666664</v>
      </c>
      <c r="B94" s="118">
        <v>11</v>
      </c>
      <c r="C94" s="118" t="s">
        <v>11</v>
      </c>
      <c r="D94" s="181" t="s">
        <v>1629</v>
      </c>
      <c r="E94" s="123" t="s">
        <v>762</v>
      </c>
    </row>
    <row r="95" spans="1:5" x14ac:dyDescent="0.25">
      <c r="A95" s="67">
        <v>45891.666666666664</v>
      </c>
      <c r="B95" s="118">
        <v>12</v>
      </c>
      <c r="C95" s="118" t="s">
        <v>11</v>
      </c>
      <c r="D95" s="181" t="s">
        <v>1629</v>
      </c>
      <c r="E95" s="123" t="s">
        <v>763</v>
      </c>
    </row>
    <row r="96" spans="1:5" x14ac:dyDescent="0.25">
      <c r="A96" s="67">
        <v>45891.666666666664</v>
      </c>
      <c r="B96" s="118">
        <v>13</v>
      </c>
      <c r="C96" s="118" t="s">
        <v>11</v>
      </c>
      <c r="D96" s="181" t="s">
        <v>1618</v>
      </c>
      <c r="E96" s="123" t="s">
        <v>764</v>
      </c>
    </row>
    <row r="97" spans="1:5" x14ac:dyDescent="0.25">
      <c r="A97" s="67">
        <v>45915.666666666664</v>
      </c>
      <c r="B97" s="118">
        <v>1</v>
      </c>
      <c r="C97" s="118" t="s">
        <v>11</v>
      </c>
      <c r="D97" s="181" t="s">
        <v>1635</v>
      </c>
      <c r="E97" s="119" t="s">
        <v>765</v>
      </c>
    </row>
    <row r="98" spans="1:5" x14ac:dyDescent="0.25">
      <c r="A98" s="67">
        <v>45915.666666666664</v>
      </c>
      <c r="B98" s="118">
        <v>2</v>
      </c>
      <c r="C98" s="118" t="s">
        <v>11</v>
      </c>
      <c r="D98" s="181" t="s">
        <v>1636</v>
      </c>
      <c r="E98" s="119" t="s">
        <v>766</v>
      </c>
    </row>
    <row r="99" spans="1:5" x14ac:dyDescent="0.25">
      <c r="A99" s="67">
        <v>45915.666666666664</v>
      </c>
      <c r="B99" s="118">
        <v>3</v>
      </c>
      <c r="C99" s="118" t="s">
        <v>11</v>
      </c>
      <c r="D99" s="181" t="s">
        <v>1637</v>
      </c>
      <c r="E99" s="119" t="s">
        <v>767</v>
      </c>
    </row>
    <row r="100" spans="1:5" x14ac:dyDescent="0.25">
      <c r="A100" s="67">
        <v>45915.666666666664</v>
      </c>
      <c r="B100" s="118">
        <v>4</v>
      </c>
      <c r="C100" s="118" t="s">
        <v>11</v>
      </c>
      <c r="D100" s="181" t="s">
        <v>1638</v>
      </c>
      <c r="E100" s="119" t="s">
        <v>768</v>
      </c>
    </row>
    <row r="101" spans="1:5" x14ac:dyDescent="0.25">
      <c r="A101" s="67">
        <v>45915.666666666664</v>
      </c>
      <c r="B101" s="118">
        <v>5</v>
      </c>
      <c r="C101" s="118" t="s">
        <v>11</v>
      </c>
      <c r="D101" s="181" t="s">
        <v>1639</v>
      </c>
      <c r="E101" s="119" t="s">
        <v>769</v>
      </c>
    </row>
    <row r="102" spans="1:5" x14ac:dyDescent="0.25">
      <c r="A102" s="67">
        <v>45915.666666666664</v>
      </c>
      <c r="B102" s="118">
        <v>6</v>
      </c>
      <c r="C102" s="118" t="s">
        <v>11</v>
      </c>
      <c r="D102" s="181" t="s">
        <v>1641</v>
      </c>
      <c r="E102" s="119" t="s">
        <v>770</v>
      </c>
    </row>
    <row r="103" spans="1:5" x14ac:dyDescent="0.25">
      <c r="A103" s="67">
        <v>45915.666666666664</v>
      </c>
      <c r="B103" s="118">
        <v>7</v>
      </c>
      <c r="C103" s="118" t="s">
        <v>11</v>
      </c>
      <c r="D103" s="181" t="s">
        <v>1630</v>
      </c>
      <c r="E103" s="119" t="s">
        <v>771</v>
      </c>
    </row>
    <row r="104" spans="1:5" x14ac:dyDescent="0.25">
      <c r="A104" s="67">
        <v>45915.666666666664</v>
      </c>
      <c r="B104" s="118">
        <v>8</v>
      </c>
      <c r="C104" s="118" t="s">
        <v>11</v>
      </c>
      <c r="D104" s="181" t="s">
        <v>1631</v>
      </c>
      <c r="E104" s="119" t="s">
        <v>772</v>
      </c>
    </row>
    <row r="105" spans="1:5" x14ac:dyDescent="0.25">
      <c r="A105" s="67">
        <v>45915.666666666664</v>
      </c>
      <c r="B105" s="118">
        <v>9</v>
      </c>
      <c r="C105" s="118" t="s">
        <v>11</v>
      </c>
      <c r="D105" s="181" t="s">
        <v>1633</v>
      </c>
      <c r="E105" s="119" t="s">
        <v>773</v>
      </c>
    </row>
    <row r="106" spans="1:5" x14ac:dyDescent="0.25">
      <c r="A106" s="67">
        <v>45915.666666666664</v>
      </c>
      <c r="B106" s="118">
        <v>10</v>
      </c>
      <c r="C106" s="118" t="s">
        <v>11</v>
      </c>
      <c r="D106" s="181" t="s">
        <v>1632</v>
      </c>
      <c r="E106" s="119" t="s">
        <v>774</v>
      </c>
    </row>
    <row r="107" spans="1:5" x14ac:dyDescent="0.25">
      <c r="A107" s="67">
        <v>45915.666666666664</v>
      </c>
      <c r="B107" s="118">
        <v>11</v>
      </c>
      <c r="C107" s="118" t="s">
        <v>11</v>
      </c>
      <c r="D107" s="181" t="s">
        <v>1634</v>
      </c>
      <c r="E107" s="119" t="s">
        <v>775</v>
      </c>
    </row>
    <row r="108" spans="1:5" x14ac:dyDescent="0.25">
      <c r="A108" s="67">
        <v>45915.666666666664</v>
      </c>
      <c r="B108" s="118">
        <v>12</v>
      </c>
      <c r="C108" s="118" t="s">
        <v>11</v>
      </c>
      <c r="D108" s="181" t="s">
        <v>1634</v>
      </c>
      <c r="E108" s="119" t="s">
        <v>776</v>
      </c>
    </row>
    <row r="109" spans="1:5" x14ac:dyDescent="0.25">
      <c r="A109" s="67">
        <v>45915.666666666664</v>
      </c>
      <c r="B109" s="118">
        <v>13</v>
      </c>
      <c r="C109" s="118" t="s">
        <v>11</v>
      </c>
      <c r="D109" s="181">
        <v>22</v>
      </c>
      <c r="E109" s="119" t="s">
        <v>777</v>
      </c>
    </row>
  </sheetData>
  <sortState xmlns:xlrd2="http://schemas.microsoft.com/office/spreadsheetml/2017/richdata2" ref="A2:D100">
    <sortCondition ref="A2:A100"/>
    <sortCondition ref="B2:B100"/>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2D014-7055-474D-B714-CCB6B9C0336D}">
  <dimension ref="A1:AE136"/>
  <sheetViews>
    <sheetView topLeftCell="N1" workbookViewId="0">
      <selection activeCell="U107" sqref="U107"/>
    </sheetView>
  </sheetViews>
  <sheetFormatPr defaultRowHeight="15" x14ac:dyDescent="0.25"/>
  <cols>
    <col min="1" max="1" width="18.42578125" bestFit="1" customWidth="1"/>
    <col min="2" max="2" width="13.42578125" bestFit="1" customWidth="1"/>
    <col min="3" max="3" width="15.7109375" bestFit="1" customWidth="1"/>
    <col min="31" max="31" width="18.42578125" style="118" bestFit="1" customWidth="1"/>
  </cols>
  <sheetData>
    <row r="1" spans="1:31" x14ac:dyDescent="0.25">
      <c r="A1" t="s">
        <v>1753</v>
      </c>
      <c r="B1" s="118" t="s">
        <v>1684</v>
      </c>
      <c r="C1" s="118" t="s">
        <v>1685</v>
      </c>
      <c r="D1" s="118" t="s">
        <v>1686</v>
      </c>
      <c r="E1" s="118" t="s">
        <v>1687</v>
      </c>
      <c r="F1" s="118" t="s">
        <v>1688</v>
      </c>
      <c r="G1" s="118" t="s">
        <v>1689</v>
      </c>
      <c r="H1" s="118" t="s">
        <v>1690</v>
      </c>
      <c r="I1" s="118" t="s">
        <v>1691</v>
      </c>
      <c r="J1" s="118" t="s">
        <v>1692</v>
      </c>
      <c r="K1" s="118" t="s">
        <v>1693</v>
      </c>
      <c r="L1" s="118" t="s">
        <v>1694</v>
      </c>
      <c r="M1" s="118" t="s">
        <v>1695</v>
      </c>
      <c r="N1" s="118" t="s">
        <v>1696</v>
      </c>
      <c r="O1" s="118" t="s">
        <v>1697</v>
      </c>
      <c r="P1" s="118" t="s">
        <v>1698</v>
      </c>
      <c r="Q1" s="118" t="s">
        <v>1699</v>
      </c>
      <c r="R1" s="118" t="s">
        <v>1700</v>
      </c>
      <c r="S1" s="118" t="s">
        <v>1701</v>
      </c>
      <c r="T1" s="118" t="s">
        <v>1702</v>
      </c>
      <c r="U1" s="118" t="s">
        <v>1703</v>
      </c>
      <c r="V1" s="118" t="s">
        <v>1704</v>
      </c>
      <c r="W1" s="118" t="s">
        <v>1705</v>
      </c>
      <c r="X1" s="118" t="s">
        <v>1706</v>
      </c>
      <c r="Y1" s="118" t="s">
        <v>1707</v>
      </c>
      <c r="Z1" s="118" t="s">
        <v>1708</v>
      </c>
      <c r="AA1" s="118" t="s">
        <v>1709</v>
      </c>
      <c r="AB1" s="118" t="s">
        <v>1710</v>
      </c>
      <c r="AC1" s="118" t="s">
        <v>1711</v>
      </c>
      <c r="AD1" t="s">
        <v>1033</v>
      </c>
      <c r="AE1" s="118" t="s">
        <v>1753</v>
      </c>
    </row>
    <row r="2" spans="1:31" x14ac:dyDescent="0.25">
      <c r="A2" s="131" t="s">
        <v>685</v>
      </c>
      <c r="B2" s="188">
        <v>0.49334490740740738</v>
      </c>
      <c r="C2" s="19">
        <v>45787</v>
      </c>
      <c r="D2" s="118">
        <v>250510</v>
      </c>
      <c r="E2" s="118">
        <v>0</v>
      </c>
      <c r="F2" s="118">
        <v>745.8</v>
      </c>
      <c r="G2" s="118">
        <v>436.5</v>
      </c>
      <c r="H2" s="118">
        <v>493.4</v>
      </c>
      <c r="I2" s="118">
        <v>321</v>
      </c>
      <c r="J2" s="118">
        <v>0.24</v>
      </c>
      <c r="K2" s="118">
        <v>498.5</v>
      </c>
      <c r="L2" s="118">
        <v>0.74099999999999999</v>
      </c>
      <c r="M2" s="118">
        <v>0.754</v>
      </c>
      <c r="N2" s="118">
        <v>1.052</v>
      </c>
      <c r="O2" s="118">
        <v>115.5</v>
      </c>
      <c r="P2" s="118">
        <v>10.7</v>
      </c>
      <c r="Q2" s="118">
        <v>117.1</v>
      </c>
      <c r="R2" s="118">
        <v>40.681759999999997</v>
      </c>
      <c r="S2" s="118">
        <v>-85.888440000000003</v>
      </c>
      <c r="T2" s="118">
        <v>222.8</v>
      </c>
      <c r="U2" s="118">
        <v>196.3</v>
      </c>
      <c r="V2" s="118">
        <v>8.25</v>
      </c>
      <c r="W2" s="118">
        <v>-109.3</v>
      </c>
      <c r="X2" s="118">
        <v>12.1</v>
      </c>
      <c r="Y2" s="118">
        <v>0</v>
      </c>
      <c r="Z2" s="118">
        <v>18.965</v>
      </c>
      <c r="AA2" s="118">
        <v>10.210000000000001</v>
      </c>
      <c r="AB2" s="118">
        <v>0</v>
      </c>
      <c r="AC2" s="118" t="s">
        <v>1717</v>
      </c>
      <c r="AD2" s="180">
        <v>1</v>
      </c>
      <c r="AE2" s="131" t="s">
        <v>685</v>
      </c>
    </row>
    <row r="3" spans="1:31" x14ac:dyDescent="0.25">
      <c r="A3" s="119" t="s">
        <v>686</v>
      </c>
      <c r="B3" s="188">
        <v>0.50399305555555551</v>
      </c>
      <c r="C3" s="19">
        <v>45787</v>
      </c>
      <c r="D3" s="118">
        <v>250510</v>
      </c>
      <c r="E3" s="118">
        <v>0</v>
      </c>
      <c r="F3" s="118">
        <v>745.6</v>
      </c>
      <c r="G3" s="118">
        <v>503</v>
      </c>
      <c r="H3" s="118">
        <v>576.1</v>
      </c>
      <c r="I3" s="118">
        <v>374</v>
      </c>
      <c r="J3" s="118">
        <v>0.28000000000000003</v>
      </c>
      <c r="K3" s="118">
        <v>582.6</v>
      </c>
      <c r="L3" s="118">
        <v>0.40500000000000003</v>
      </c>
      <c r="M3" s="118">
        <v>0.42499999999999999</v>
      </c>
      <c r="N3" s="118">
        <v>0.57499999999999996</v>
      </c>
      <c r="O3" s="118">
        <v>117.3</v>
      </c>
      <c r="P3" s="118">
        <v>11</v>
      </c>
      <c r="Q3" s="118">
        <v>119</v>
      </c>
      <c r="R3" s="118">
        <v>40.676839999999999</v>
      </c>
      <c r="S3" s="118">
        <v>-85.876919999999998</v>
      </c>
      <c r="T3" s="118">
        <v>222.5</v>
      </c>
      <c r="U3" s="118">
        <v>175.6</v>
      </c>
      <c r="V3" s="118">
        <v>8.2799999999999994</v>
      </c>
      <c r="W3" s="118">
        <v>-110.9</v>
      </c>
      <c r="X3" s="118">
        <v>12.1</v>
      </c>
      <c r="Y3" s="118">
        <v>0</v>
      </c>
      <c r="Z3" s="118">
        <v>18.353999999999999</v>
      </c>
      <c r="AA3" s="118">
        <v>4.17</v>
      </c>
      <c r="AB3" s="118">
        <v>0</v>
      </c>
      <c r="AC3" s="118" t="s">
        <v>1716</v>
      </c>
      <c r="AD3" s="180">
        <v>2</v>
      </c>
      <c r="AE3" s="119" t="s">
        <v>686</v>
      </c>
    </row>
    <row r="4" spans="1:31" x14ac:dyDescent="0.25">
      <c r="A4" s="119" t="s">
        <v>687</v>
      </c>
      <c r="B4" s="188">
        <v>0.52861111111111114</v>
      </c>
      <c r="C4" s="19">
        <v>45787</v>
      </c>
      <c r="D4" s="118">
        <v>250510</v>
      </c>
      <c r="E4" s="118">
        <v>0</v>
      </c>
      <c r="F4" s="118">
        <v>745.3</v>
      </c>
      <c r="G4" s="118">
        <v>517.20000000000005</v>
      </c>
      <c r="H4" s="118">
        <v>585.79999999999995</v>
      </c>
      <c r="I4" s="118">
        <v>381</v>
      </c>
      <c r="J4" s="118">
        <v>0.28000000000000003</v>
      </c>
      <c r="K4" s="118">
        <v>592</v>
      </c>
      <c r="L4" s="118">
        <v>0.54600000000000004</v>
      </c>
      <c r="M4" s="118">
        <v>0.53100000000000003</v>
      </c>
      <c r="N4" s="118">
        <v>0.77500000000000002</v>
      </c>
      <c r="O4" s="118">
        <v>126.2</v>
      </c>
      <c r="P4" s="118">
        <v>11.72</v>
      </c>
      <c r="Q4" s="118">
        <v>128.1</v>
      </c>
      <c r="R4" s="118">
        <v>40.670589999999997</v>
      </c>
      <c r="S4" s="118">
        <v>-85.870369999999994</v>
      </c>
      <c r="T4" s="118">
        <v>219.1</v>
      </c>
      <c r="U4" s="118">
        <v>178.7</v>
      </c>
      <c r="V4" s="118">
        <v>8.2799999999999994</v>
      </c>
      <c r="W4" s="118">
        <v>-110.6</v>
      </c>
      <c r="X4" s="118">
        <v>12.1</v>
      </c>
      <c r="Y4" s="118">
        <v>0</v>
      </c>
      <c r="Z4" s="118">
        <v>18.870999999999999</v>
      </c>
      <c r="AA4" s="118">
        <v>4.34</v>
      </c>
      <c r="AB4" s="118">
        <v>0</v>
      </c>
      <c r="AC4" s="118" t="s">
        <v>1715</v>
      </c>
      <c r="AD4" s="180">
        <v>3</v>
      </c>
      <c r="AE4" s="119" t="s">
        <v>687</v>
      </c>
    </row>
    <row r="5" spans="1:31" x14ac:dyDescent="0.25">
      <c r="A5" s="119" t="s">
        <v>688</v>
      </c>
      <c r="B5" s="188">
        <v>0.53523148148148147</v>
      </c>
      <c r="C5" s="19">
        <v>45787</v>
      </c>
      <c r="D5" s="118">
        <v>250510</v>
      </c>
      <c r="E5" s="118">
        <v>0</v>
      </c>
      <c r="F5" s="118">
        <v>745.3</v>
      </c>
      <c r="G5" s="118">
        <v>526</v>
      </c>
      <c r="H5" s="118">
        <v>591.79999999999995</v>
      </c>
      <c r="I5" s="118">
        <v>385</v>
      </c>
      <c r="J5" s="118">
        <v>0.28999999999999998</v>
      </c>
      <c r="K5" s="118">
        <v>597.79999999999995</v>
      </c>
      <c r="L5" s="118">
        <v>0.46100000000000002</v>
      </c>
      <c r="M5" s="118">
        <v>0.45</v>
      </c>
      <c r="N5" s="118">
        <v>0.65500000000000003</v>
      </c>
      <c r="O5" s="118">
        <v>141.6</v>
      </c>
      <c r="P5" s="118">
        <v>13.06</v>
      </c>
      <c r="Q5" s="118">
        <v>143.6</v>
      </c>
      <c r="R5" s="118">
        <v>40.663020000000003</v>
      </c>
      <c r="S5" s="118">
        <v>-85.866429999999994</v>
      </c>
      <c r="T5" s="118">
        <v>219.8</v>
      </c>
      <c r="U5" s="118">
        <v>184.9</v>
      </c>
      <c r="V5" s="118">
        <v>8.44</v>
      </c>
      <c r="W5" s="118">
        <v>-120.1</v>
      </c>
      <c r="X5" s="118">
        <v>12.1</v>
      </c>
      <c r="Y5" s="118">
        <v>0</v>
      </c>
      <c r="Z5" s="118">
        <v>19.175999999999998</v>
      </c>
      <c r="AA5" s="118">
        <v>5.9</v>
      </c>
      <c r="AB5" s="118">
        <v>0</v>
      </c>
      <c r="AC5" s="118" t="s">
        <v>1714</v>
      </c>
      <c r="AD5" s="180">
        <v>4</v>
      </c>
      <c r="AE5" s="119" t="s">
        <v>688</v>
      </c>
    </row>
    <row r="6" spans="1:31" x14ac:dyDescent="0.25">
      <c r="A6" s="119" t="s">
        <v>689</v>
      </c>
      <c r="B6" s="188">
        <v>0.54645833333333338</v>
      </c>
      <c r="C6" s="19">
        <v>45787</v>
      </c>
      <c r="D6" s="118">
        <v>250510</v>
      </c>
      <c r="E6" s="118">
        <v>0</v>
      </c>
      <c r="F6" s="118">
        <v>745.1</v>
      </c>
      <c r="G6" s="118">
        <v>532</v>
      </c>
      <c r="H6" s="118">
        <v>596.1</v>
      </c>
      <c r="I6" s="118">
        <v>387</v>
      </c>
      <c r="J6" s="118">
        <v>0.28999999999999998</v>
      </c>
      <c r="K6" s="118">
        <v>602</v>
      </c>
      <c r="L6" s="118">
        <v>0.378</v>
      </c>
      <c r="M6" s="118">
        <v>0.376</v>
      </c>
      <c r="N6" s="118">
        <v>0.53600000000000003</v>
      </c>
      <c r="O6" s="118">
        <v>141.1</v>
      </c>
      <c r="P6" s="118">
        <v>12.97</v>
      </c>
      <c r="Q6" s="118">
        <v>143.1</v>
      </c>
      <c r="R6" s="118">
        <v>40.668840000000003</v>
      </c>
      <c r="S6" s="118">
        <v>-85.847499999999997</v>
      </c>
      <c r="T6" s="118">
        <v>220.8</v>
      </c>
      <c r="U6" s="118">
        <v>192.7</v>
      </c>
      <c r="V6" s="118">
        <v>8.48</v>
      </c>
      <c r="W6" s="118">
        <v>-122.4</v>
      </c>
      <c r="X6" s="118">
        <v>12.1</v>
      </c>
      <c r="Y6" s="118">
        <v>0</v>
      </c>
      <c r="Z6" s="118">
        <v>19.37</v>
      </c>
      <c r="AA6" s="118">
        <v>6.81</v>
      </c>
      <c r="AB6" s="118">
        <v>0</v>
      </c>
      <c r="AC6" s="118" t="s">
        <v>1713</v>
      </c>
      <c r="AD6" s="180">
        <v>5</v>
      </c>
      <c r="AE6" s="119" t="s">
        <v>689</v>
      </c>
    </row>
    <row r="7" spans="1:31" x14ac:dyDescent="0.25">
      <c r="A7" s="119" t="s">
        <v>690</v>
      </c>
      <c r="B7" s="188">
        <v>0.5647106481481482</v>
      </c>
      <c r="C7" s="19">
        <v>45787</v>
      </c>
      <c r="D7" s="118">
        <v>250510</v>
      </c>
      <c r="E7" s="118">
        <v>0</v>
      </c>
      <c r="F7" s="118">
        <v>745</v>
      </c>
      <c r="G7" s="118">
        <v>533.70000000000005</v>
      </c>
      <c r="H7" s="118">
        <v>599</v>
      </c>
      <c r="I7" s="118">
        <v>389</v>
      </c>
      <c r="J7" s="118">
        <v>0.28999999999999998</v>
      </c>
      <c r="K7" s="118">
        <v>605</v>
      </c>
      <c r="L7" s="118">
        <v>0.36699999999999999</v>
      </c>
      <c r="M7" s="118">
        <v>0.35599999999999998</v>
      </c>
      <c r="N7" s="118">
        <v>0.52200000000000002</v>
      </c>
      <c r="O7" s="118">
        <v>114.7</v>
      </c>
      <c r="P7" s="118">
        <v>10.56</v>
      </c>
      <c r="Q7" s="118">
        <v>116.3</v>
      </c>
      <c r="R7" s="118">
        <v>40.673729999999999</v>
      </c>
      <c r="S7" s="118">
        <v>-85.831779999999995</v>
      </c>
      <c r="T7" s="118">
        <v>221.3</v>
      </c>
      <c r="U7" s="118">
        <v>174.4</v>
      </c>
      <c r="V7" s="118">
        <v>8.15</v>
      </c>
      <c r="W7" s="118">
        <v>-103.2</v>
      </c>
      <c r="X7" s="118">
        <v>12.1</v>
      </c>
      <c r="Y7" s="118">
        <v>0</v>
      </c>
      <c r="Z7" s="118">
        <v>19.283999999999999</v>
      </c>
      <c r="AA7" s="118">
        <v>9.34</v>
      </c>
      <c r="AB7" s="118">
        <v>0</v>
      </c>
      <c r="AC7" s="118" t="s">
        <v>1712</v>
      </c>
      <c r="AD7" s="180">
        <v>6</v>
      </c>
      <c r="AE7" s="119" t="s">
        <v>690</v>
      </c>
    </row>
    <row r="8" spans="1:31" s="118" customFormat="1" x14ac:dyDescent="0.25">
      <c r="A8" s="119" t="s">
        <v>691</v>
      </c>
      <c r="B8" s="188"/>
      <c r="C8" s="19"/>
      <c r="AD8" s="180"/>
      <c r="AE8" s="119" t="s">
        <v>691</v>
      </c>
    </row>
    <row r="9" spans="1:31" x14ac:dyDescent="0.25">
      <c r="A9" s="119" t="s">
        <v>692</v>
      </c>
      <c r="B9" s="188">
        <v>0.47240740740740739</v>
      </c>
      <c r="C9" s="19">
        <v>45787</v>
      </c>
      <c r="D9" s="118">
        <v>250510</v>
      </c>
      <c r="E9" s="118">
        <v>0</v>
      </c>
      <c r="F9" s="118">
        <v>745.9</v>
      </c>
      <c r="G9" s="118">
        <v>363.8</v>
      </c>
      <c r="H9" s="118">
        <v>417.6</v>
      </c>
      <c r="I9" s="118">
        <v>271</v>
      </c>
      <c r="J9" s="118">
        <v>0.2</v>
      </c>
      <c r="K9" s="118">
        <v>422.4</v>
      </c>
      <c r="L9" s="118">
        <v>0.69799999999999995</v>
      </c>
      <c r="M9" s="118">
        <v>0.71</v>
      </c>
      <c r="N9" s="118">
        <v>0.99099999999999999</v>
      </c>
      <c r="O9" s="118">
        <v>103.4</v>
      </c>
      <c r="P9" s="118">
        <v>9.73</v>
      </c>
      <c r="Q9" s="118">
        <v>104.9</v>
      </c>
      <c r="R9" s="118">
        <v>40.691690000000001</v>
      </c>
      <c r="S9" s="118">
        <v>-85.908100000000005</v>
      </c>
      <c r="T9" s="118">
        <v>219.5</v>
      </c>
      <c r="U9" s="118">
        <v>168.3</v>
      </c>
      <c r="V9" s="118">
        <v>8.0299999999999994</v>
      </c>
      <c r="W9" s="118">
        <v>-96</v>
      </c>
      <c r="X9" s="118">
        <v>12.1</v>
      </c>
      <c r="Y9" s="118">
        <v>0</v>
      </c>
      <c r="Z9" s="118">
        <v>18.251000000000001</v>
      </c>
      <c r="AA9" s="118">
        <v>20.149999999999999</v>
      </c>
      <c r="AB9" s="118">
        <v>0</v>
      </c>
      <c r="AC9" s="118" t="s">
        <v>1722</v>
      </c>
      <c r="AD9" s="180">
        <v>8</v>
      </c>
      <c r="AE9" s="119" t="s">
        <v>692</v>
      </c>
    </row>
    <row r="10" spans="1:31" x14ac:dyDescent="0.25">
      <c r="A10" s="119" t="s">
        <v>693</v>
      </c>
      <c r="B10" s="188">
        <v>0.44878472222222221</v>
      </c>
      <c r="C10" s="19">
        <v>45787</v>
      </c>
      <c r="D10" s="118">
        <v>250510</v>
      </c>
      <c r="E10" s="118">
        <v>0</v>
      </c>
      <c r="F10" s="118">
        <v>746</v>
      </c>
      <c r="G10" s="118">
        <v>321.5</v>
      </c>
      <c r="H10" s="118">
        <v>370.4</v>
      </c>
      <c r="I10" s="118">
        <v>241</v>
      </c>
      <c r="J10" s="118">
        <v>0.18</v>
      </c>
      <c r="K10" s="118">
        <v>374.8</v>
      </c>
      <c r="L10" s="118">
        <v>0.59099999999999997</v>
      </c>
      <c r="M10" s="118">
        <v>0.57399999999999995</v>
      </c>
      <c r="N10" s="118">
        <v>0.83899999999999997</v>
      </c>
      <c r="O10" s="118">
        <v>97.4</v>
      </c>
      <c r="P10" s="118">
        <v>9.1999999999999993</v>
      </c>
      <c r="Q10" s="118">
        <v>98.8</v>
      </c>
      <c r="R10" s="118">
        <v>40.704099999999997</v>
      </c>
      <c r="S10" s="118">
        <v>-85.929789999999997</v>
      </c>
      <c r="T10" s="118">
        <v>220.3</v>
      </c>
      <c r="U10" s="118">
        <v>180.3</v>
      </c>
      <c r="V10" s="118">
        <v>7.84</v>
      </c>
      <c r="W10" s="118">
        <v>-85.4</v>
      </c>
      <c r="X10" s="118">
        <v>12.1</v>
      </c>
      <c r="Y10" s="118">
        <v>0</v>
      </c>
      <c r="Z10" s="118">
        <v>18.077999999999999</v>
      </c>
      <c r="AA10" s="118">
        <v>28.39</v>
      </c>
      <c r="AB10" s="118">
        <v>0</v>
      </c>
      <c r="AC10" s="118" t="s">
        <v>1718</v>
      </c>
      <c r="AD10" s="180">
        <v>9</v>
      </c>
      <c r="AE10" s="119" t="s">
        <v>693</v>
      </c>
    </row>
    <row r="11" spans="1:31" x14ac:dyDescent="0.25">
      <c r="A11" s="119" t="s">
        <v>694</v>
      </c>
      <c r="AE11" s="119" t="s">
        <v>694</v>
      </c>
    </row>
    <row r="12" spans="1:31" x14ac:dyDescent="0.25">
      <c r="A12" s="119" t="s">
        <v>695</v>
      </c>
      <c r="B12" s="188">
        <v>0.43712962962962965</v>
      </c>
      <c r="C12" s="19">
        <v>45787</v>
      </c>
      <c r="D12" s="118">
        <v>250510</v>
      </c>
      <c r="E12" s="118">
        <v>0</v>
      </c>
      <c r="F12" s="118">
        <v>745.9</v>
      </c>
      <c r="G12" s="118">
        <v>318</v>
      </c>
      <c r="H12" s="118">
        <v>365.3</v>
      </c>
      <c r="I12" s="118">
        <v>237</v>
      </c>
      <c r="J12" s="118">
        <v>0.18</v>
      </c>
      <c r="K12" s="118">
        <v>369.5</v>
      </c>
      <c r="L12" s="118">
        <v>0.54700000000000004</v>
      </c>
      <c r="M12" s="118">
        <v>0.55400000000000005</v>
      </c>
      <c r="N12" s="118">
        <v>0.77700000000000002</v>
      </c>
      <c r="O12" s="118">
        <v>92</v>
      </c>
      <c r="P12" s="118">
        <v>8.67</v>
      </c>
      <c r="Q12" s="118">
        <v>93.4</v>
      </c>
      <c r="R12" s="118">
        <v>40.710990000000002</v>
      </c>
      <c r="S12" s="118">
        <v>-85.938450000000003</v>
      </c>
      <c r="T12" s="118">
        <v>219.4</v>
      </c>
      <c r="U12" s="118">
        <v>165.8</v>
      </c>
      <c r="V12" s="118">
        <v>7.79</v>
      </c>
      <c r="W12" s="118">
        <v>-82.4</v>
      </c>
      <c r="X12" s="118">
        <v>12.1</v>
      </c>
      <c r="Y12" s="118">
        <v>0</v>
      </c>
      <c r="Z12" s="118">
        <v>18.216000000000001</v>
      </c>
      <c r="AA12" s="118">
        <v>29.7</v>
      </c>
      <c r="AB12" s="118">
        <v>0</v>
      </c>
      <c r="AC12" s="118" t="s">
        <v>1719</v>
      </c>
      <c r="AD12" s="180">
        <v>11</v>
      </c>
      <c r="AE12" s="119" t="s">
        <v>695</v>
      </c>
    </row>
    <row r="13" spans="1:31" x14ac:dyDescent="0.25">
      <c r="A13" s="119" t="s">
        <v>696</v>
      </c>
      <c r="B13" s="188">
        <v>0.42231481481481481</v>
      </c>
      <c r="C13" s="19">
        <v>45787</v>
      </c>
      <c r="D13" s="118">
        <v>250510</v>
      </c>
      <c r="E13" s="118">
        <v>0</v>
      </c>
      <c r="F13" s="118">
        <v>745.9</v>
      </c>
      <c r="G13" s="118">
        <v>314</v>
      </c>
      <c r="H13" s="118">
        <v>362.7</v>
      </c>
      <c r="I13" s="118">
        <v>236</v>
      </c>
      <c r="J13" s="118">
        <v>0.17</v>
      </c>
      <c r="K13" s="118">
        <v>367</v>
      </c>
      <c r="L13" s="118">
        <v>0.64800000000000002</v>
      </c>
      <c r="M13" s="118">
        <v>0.64200000000000002</v>
      </c>
      <c r="N13" s="118">
        <v>0.92</v>
      </c>
      <c r="O13" s="118">
        <v>93.6</v>
      </c>
      <c r="P13" s="118">
        <v>8.85</v>
      </c>
      <c r="Q13" s="118">
        <v>94.9</v>
      </c>
      <c r="R13" s="118">
        <v>40.711509999999997</v>
      </c>
      <c r="S13" s="118">
        <v>-85.950850000000003</v>
      </c>
      <c r="T13" s="118">
        <v>216.9</v>
      </c>
      <c r="U13" s="118">
        <v>165.2</v>
      </c>
      <c r="V13" s="118">
        <v>7.79</v>
      </c>
      <c r="W13" s="118">
        <v>-82.1</v>
      </c>
      <c r="X13" s="118">
        <v>12.1</v>
      </c>
      <c r="Y13" s="118">
        <v>0</v>
      </c>
      <c r="Z13" s="118">
        <v>17.971</v>
      </c>
      <c r="AA13" s="118">
        <v>32.17</v>
      </c>
      <c r="AB13" s="118">
        <v>0</v>
      </c>
      <c r="AC13" s="118" t="s">
        <v>1720</v>
      </c>
      <c r="AD13" s="180">
        <v>12</v>
      </c>
      <c r="AE13" s="119" t="s">
        <v>696</v>
      </c>
    </row>
    <row r="14" spans="1:31" x14ac:dyDescent="0.25">
      <c r="A14" s="119" t="s">
        <v>697</v>
      </c>
      <c r="B14" s="188">
        <v>0.55508101851851854</v>
      </c>
      <c r="C14" s="19">
        <v>45787</v>
      </c>
      <c r="D14" s="118">
        <v>250510</v>
      </c>
      <c r="E14" s="118">
        <v>0</v>
      </c>
      <c r="F14" s="118">
        <v>745</v>
      </c>
      <c r="G14" s="118">
        <v>534.4</v>
      </c>
      <c r="H14" s="118">
        <v>600.29999999999995</v>
      </c>
      <c r="I14" s="118">
        <v>390</v>
      </c>
      <c r="J14" s="118">
        <v>0.28999999999999998</v>
      </c>
      <c r="K14" s="118">
        <v>606.29999999999995</v>
      </c>
      <c r="L14" s="118">
        <v>0.435</v>
      </c>
      <c r="M14" s="118">
        <v>0.437</v>
      </c>
      <c r="N14" s="118">
        <v>0.61799999999999999</v>
      </c>
      <c r="O14" s="118">
        <v>128.1</v>
      </c>
      <c r="P14" s="118">
        <v>11.81</v>
      </c>
      <c r="Q14" s="118">
        <v>130</v>
      </c>
      <c r="R14" s="118">
        <v>40.672640000000001</v>
      </c>
      <c r="S14" s="118">
        <v>-85.841290000000001</v>
      </c>
      <c r="T14" s="118">
        <v>219.8</v>
      </c>
      <c r="U14" s="118">
        <v>187.7</v>
      </c>
      <c r="V14" s="118">
        <v>8.35</v>
      </c>
      <c r="W14" s="118">
        <v>-114.8</v>
      </c>
      <c r="X14" s="118">
        <v>12.1</v>
      </c>
      <c r="Y14" s="118">
        <v>0</v>
      </c>
      <c r="Z14" s="118">
        <v>19.259</v>
      </c>
      <c r="AA14" s="118">
        <v>7.5</v>
      </c>
      <c r="AB14" s="118">
        <v>0</v>
      </c>
      <c r="AC14" s="118" t="s">
        <v>1721</v>
      </c>
      <c r="AD14" s="180">
        <v>13</v>
      </c>
      <c r="AE14" s="119" t="s">
        <v>697</v>
      </c>
    </row>
    <row r="15" spans="1:31" s="118" customFormat="1" x14ac:dyDescent="0.25">
      <c r="A15" s="119"/>
      <c r="B15" s="188">
        <v>0.50399305555555551</v>
      </c>
      <c r="C15" s="19">
        <v>45787</v>
      </c>
      <c r="D15" s="118">
        <v>250510</v>
      </c>
      <c r="E15" s="118">
        <v>0</v>
      </c>
      <c r="F15" s="118">
        <v>745.6</v>
      </c>
      <c r="G15" s="118">
        <v>503</v>
      </c>
      <c r="H15" s="118">
        <v>576.1</v>
      </c>
      <c r="I15" s="118">
        <v>374</v>
      </c>
      <c r="J15" s="118">
        <v>0.28000000000000003</v>
      </c>
      <c r="K15" s="118">
        <v>582.6</v>
      </c>
      <c r="L15" s="118">
        <v>0.40500000000000003</v>
      </c>
      <c r="M15" s="118">
        <v>0.42499999999999999</v>
      </c>
      <c r="N15" s="118">
        <v>0.57499999999999996</v>
      </c>
      <c r="O15" s="118">
        <v>117.3</v>
      </c>
      <c r="P15" s="118">
        <v>11</v>
      </c>
      <c r="Q15" s="118">
        <v>119</v>
      </c>
      <c r="R15" s="118">
        <v>40.676839999999999</v>
      </c>
      <c r="S15" s="118">
        <v>-85.876919999999998</v>
      </c>
      <c r="T15" s="118">
        <v>222.5</v>
      </c>
      <c r="U15" s="118">
        <v>175.6</v>
      </c>
      <c r="V15" s="118">
        <v>8.2799999999999994</v>
      </c>
      <c r="W15" s="118">
        <v>-110.9</v>
      </c>
      <c r="X15" s="118">
        <v>12.1</v>
      </c>
      <c r="Y15" s="118">
        <v>0</v>
      </c>
      <c r="Z15" s="118">
        <v>18.353999999999999</v>
      </c>
      <c r="AA15" s="118">
        <v>4.17</v>
      </c>
      <c r="AB15" s="118">
        <v>0</v>
      </c>
      <c r="AC15" s="118" t="s">
        <v>1723</v>
      </c>
      <c r="AD15" s="180">
        <v>17</v>
      </c>
      <c r="AE15" s="119"/>
    </row>
    <row r="16" spans="1:31" x14ac:dyDescent="0.25">
      <c r="B16" s="188">
        <v>0.51165509259259256</v>
      </c>
      <c r="C16" s="19">
        <v>45819</v>
      </c>
      <c r="D16" s="118">
        <v>250611</v>
      </c>
      <c r="E16" s="118">
        <v>0</v>
      </c>
      <c r="F16" s="118">
        <v>743.5</v>
      </c>
      <c r="G16" s="118">
        <v>409.7</v>
      </c>
      <c r="H16" s="118">
        <v>438.1</v>
      </c>
      <c r="I16" s="118">
        <v>285</v>
      </c>
      <c r="J16" s="118">
        <v>0.21</v>
      </c>
      <c r="K16" s="118">
        <v>440.9</v>
      </c>
      <c r="L16" s="118">
        <v>0.51400000000000001</v>
      </c>
      <c r="M16" s="118">
        <v>0.503</v>
      </c>
      <c r="N16" s="118">
        <v>0.73</v>
      </c>
      <c r="O16" s="118">
        <v>76.5</v>
      </c>
      <c r="P16" s="118">
        <v>6.73</v>
      </c>
      <c r="Q16" s="118">
        <v>77.900000000000006</v>
      </c>
      <c r="R16" s="118">
        <v>40.676960000000001</v>
      </c>
      <c r="S16" s="118">
        <v>-85.876819999999995</v>
      </c>
      <c r="T16" s="118">
        <v>222.5</v>
      </c>
      <c r="U16" s="118">
        <v>182.4</v>
      </c>
      <c r="V16" s="118">
        <v>7.67</v>
      </c>
      <c r="W16" s="118">
        <v>-73.400000000000006</v>
      </c>
      <c r="X16" s="118">
        <v>11.9</v>
      </c>
      <c r="Y16" s="118">
        <v>0</v>
      </c>
      <c r="Z16" s="118">
        <v>21.606999999999999</v>
      </c>
      <c r="AA16" s="118">
        <v>38.79</v>
      </c>
      <c r="AB16" s="118">
        <v>0</v>
      </c>
      <c r="AC16" s="118" t="s">
        <v>1716</v>
      </c>
      <c r="AD16" s="180">
        <v>2</v>
      </c>
    </row>
    <row r="17" spans="2:30" x14ac:dyDescent="0.25">
      <c r="B17" s="188">
        <v>0.52130787037037041</v>
      </c>
      <c r="C17" s="19">
        <v>45819</v>
      </c>
      <c r="D17" s="118">
        <v>250611</v>
      </c>
      <c r="E17" s="118">
        <v>0</v>
      </c>
      <c r="F17" s="118">
        <v>743.5</v>
      </c>
      <c r="G17" s="118">
        <v>384.1</v>
      </c>
      <c r="H17" s="118">
        <v>411.6</v>
      </c>
      <c r="I17" s="118">
        <v>268</v>
      </c>
      <c r="J17" s="118">
        <v>0.2</v>
      </c>
      <c r="K17" s="118">
        <v>414.3</v>
      </c>
      <c r="L17" s="118">
        <v>0.44800000000000001</v>
      </c>
      <c r="M17" s="118">
        <v>0.40300000000000002</v>
      </c>
      <c r="N17" s="118">
        <v>0.63600000000000001</v>
      </c>
      <c r="O17" s="118">
        <v>79.5</v>
      </c>
      <c r="P17" s="118">
        <v>7.01</v>
      </c>
      <c r="Q17" s="118">
        <v>80.900000000000006</v>
      </c>
      <c r="R17" s="118">
        <v>40.670830000000002</v>
      </c>
      <c r="S17" s="118">
        <v>-85.870189999999994</v>
      </c>
      <c r="T17" s="118">
        <v>224.5</v>
      </c>
      <c r="U17" s="118">
        <v>176.3</v>
      </c>
      <c r="V17" s="118">
        <v>7.79</v>
      </c>
      <c r="W17" s="118">
        <v>-80.599999999999994</v>
      </c>
      <c r="X17" s="118">
        <v>12</v>
      </c>
      <c r="Y17" s="118">
        <v>0</v>
      </c>
      <c r="Z17" s="118">
        <v>21.498000000000001</v>
      </c>
      <c r="AA17" s="118">
        <v>51.54</v>
      </c>
      <c r="AB17" s="118">
        <v>0</v>
      </c>
      <c r="AC17" s="118" t="s">
        <v>1715</v>
      </c>
      <c r="AD17" s="180">
        <v>3</v>
      </c>
    </row>
    <row r="18" spans="2:30" x14ac:dyDescent="0.25">
      <c r="B18" s="188">
        <v>0.52913194444444445</v>
      </c>
      <c r="C18" s="19">
        <v>45819</v>
      </c>
      <c r="D18" s="118">
        <v>250611</v>
      </c>
      <c r="E18" s="118">
        <v>0</v>
      </c>
      <c r="F18" s="118">
        <v>743.5</v>
      </c>
      <c r="G18" s="118">
        <v>385.3</v>
      </c>
      <c r="H18" s="118">
        <v>413.2</v>
      </c>
      <c r="I18" s="118">
        <v>269</v>
      </c>
      <c r="J18" s="118">
        <v>0.2</v>
      </c>
      <c r="K18" s="118">
        <v>415.8</v>
      </c>
      <c r="L18" s="118">
        <v>0.36899999999999999</v>
      </c>
      <c r="M18" s="118">
        <v>0.38300000000000001</v>
      </c>
      <c r="N18" s="118">
        <v>0.52400000000000002</v>
      </c>
      <c r="O18" s="118">
        <v>80.400000000000006</v>
      </c>
      <c r="P18" s="118">
        <v>7.1</v>
      </c>
      <c r="Q18" s="118">
        <v>81.900000000000006</v>
      </c>
      <c r="R18" s="118">
        <v>40.663200000000003</v>
      </c>
      <c r="S18" s="118">
        <v>-85.866259999999997</v>
      </c>
      <c r="T18" s="118">
        <v>222.7</v>
      </c>
      <c r="U18" s="118">
        <v>173.7</v>
      </c>
      <c r="V18" s="118">
        <v>7.66</v>
      </c>
      <c r="W18" s="118">
        <v>-72.7</v>
      </c>
      <c r="X18" s="118">
        <v>12</v>
      </c>
      <c r="Y18" s="118">
        <v>0</v>
      </c>
      <c r="Z18" s="118">
        <v>21.474</v>
      </c>
      <c r="AA18" s="118">
        <v>53.25</v>
      </c>
      <c r="AB18" s="118">
        <v>0</v>
      </c>
      <c r="AC18" s="118" t="s">
        <v>1714</v>
      </c>
      <c r="AD18" s="180">
        <v>4</v>
      </c>
    </row>
    <row r="19" spans="2:30" x14ac:dyDescent="0.25">
      <c r="B19" s="188">
        <v>0.53839120370370375</v>
      </c>
      <c r="C19" s="19">
        <v>45819</v>
      </c>
      <c r="D19" s="118">
        <v>250611</v>
      </c>
      <c r="E19" s="118">
        <v>0</v>
      </c>
      <c r="F19" s="118">
        <v>743.4</v>
      </c>
      <c r="G19" s="118">
        <v>375.2</v>
      </c>
      <c r="H19" s="118">
        <v>404.2</v>
      </c>
      <c r="I19" s="118">
        <v>263</v>
      </c>
      <c r="J19" s="118">
        <v>0.19</v>
      </c>
      <c r="K19" s="118">
        <v>407</v>
      </c>
      <c r="L19" s="118">
        <v>0.32900000000000001</v>
      </c>
      <c r="M19" s="118">
        <v>0.35</v>
      </c>
      <c r="N19" s="118">
        <v>0.46700000000000003</v>
      </c>
      <c r="O19" s="118">
        <v>75.900000000000006</v>
      </c>
      <c r="P19" s="118">
        <v>6.73</v>
      </c>
      <c r="Q19" s="118">
        <v>77.3</v>
      </c>
      <c r="R19" s="118">
        <v>40.668640000000003</v>
      </c>
      <c r="S19" s="118">
        <v>-85.847729999999999</v>
      </c>
      <c r="T19" s="118">
        <v>222.3</v>
      </c>
      <c r="U19" s="118">
        <v>156.5</v>
      </c>
      <c r="V19" s="118">
        <v>7.5</v>
      </c>
      <c r="W19" s="118">
        <v>-63.1</v>
      </c>
      <c r="X19" s="118">
        <v>12</v>
      </c>
      <c r="Y19" s="118">
        <v>0</v>
      </c>
      <c r="Z19" s="118">
        <v>21.241</v>
      </c>
      <c r="AA19" s="118">
        <v>62.03</v>
      </c>
      <c r="AB19" s="118">
        <v>0</v>
      </c>
      <c r="AC19" s="118" t="s">
        <v>1713</v>
      </c>
      <c r="AD19" s="180">
        <v>5</v>
      </c>
    </row>
    <row r="20" spans="2:30" x14ac:dyDescent="0.25">
      <c r="B20" s="188">
        <v>0.5544675925925926</v>
      </c>
      <c r="C20" s="19">
        <v>45819</v>
      </c>
      <c r="D20" s="118">
        <v>250611</v>
      </c>
      <c r="E20" s="118">
        <v>0</v>
      </c>
      <c r="F20" s="118">
        <v>743.2</v>
      </c>
      <c r="G20" s="118">
        <v>379.9</v>
      </c>
      <c r="H20" s="118">
        <v>405.9</v>
      </c>
      <c r="I20" s="118">
        <v>264</v>
      </c>
      <c r="J20" s="118">
        <v>0.19</v>
      </c>
      <c r="K20" s="118">
        <v>408.4</v>
      </c>
      <c r="L20" s="118">
        <v>0.41699999999999998</v>
      </c>
      <c r="M20" s="118">
        <v>0.41399999999999998</v>
      </c>
      <c r="N20" s="118">
        <v>0.59199999999999997</v>
      </c>
      <c r="O20" s="118">
        <v>76.2</v>
      </c>
      <c r="P20" s="118">
        <v>6.71</v>
      </c>
      <c r="Q20" s="118">
        <v>77.599999999999994</v>
      </c>
      <c r="R20" s="118">
        <v>40.673699999999997</v>
      </c>
      <c r="S20" s="118">
        <v>-85.831729999999993</v>
      </c>
      <c r="T20" s="118">
        <v>222</v>
      </c>
      <c r="U20" s="118">
        <v>175.2</v>
      </c>
      <c r="V20" s="118">
        <v>7.5</v>
      </c>
      <c r="W20" s="118">
        <v>-63.6</v>
      </c>
      <c r="X20" s="118">
        <v>11.9</v>
      </c>
      <c r="Y20" s="118">
        <v>0</v>
      </c>
      <c r="Z20" s="118">
        <v>21.645</v>
      </c>
      <c r="AA20" s="118">
        <v>64.78</v>
      </c>
      <c r="AB20" s="118">
        <v>0</v>
      </c>
      <c r="AC20" s="118" t="s">
        <v>1712</v>
      </c>
      <c r="AD20" s="180">
        <v>6</v>
      </c>
    </row>
    <row r="21" spans="2:30" x14ac:dyDescent="0.25">
      <c r="B21" s="188">
        <v>0.39447916666666666</v>
      </c>
      <c r="C21" s="19">
        <v>45819</v>
      </c>
      <c r="D21" s="118">
        <v>250611</v>
      </c>
      <c r="E21" s="118">
        <v>0</v>
      </c>
      <c r="F21" s="118">
        <v>743.8</v>
      </c>
      <c r="G21" s="118">
        <v>492.5</v>
      </c>
      <c r="H21" s="118">
        <v>518.9</v>
      </c>
      <c r="I21" s="118">
        <v>337</v>
      </c>
      <c r="J21" s="118">
        <v>0.25</v>
      </c>
      <c r="K21" s="118">
        <v>521.5</v>
      </c>
      <c r="L21" s="118">
        <v>0.35699999999999998</v>
      </c>
      <c r="M21" s="118">
        <v>0.35699999999999998</v>
      </c>
      <c r="N21" s="118">
        <v>0.50700000000000001</v>
      </c>
      <c r="O21" s="118">
        <v>96.5</v>
      </c>
      <c r="P21" s="118">
        <v>8.3699999999999992</v>
      </c>
      <c r="Q21" s="118">
        <v>98.3</v>
      </c>
      <c r="R21" s="118">
        <v>40.688299999999998</v>
      </c>
      <c r="S21" s="118">
        <v>-85.895660000000007</v>
      </c>
      <c r="T21" s="118">
        <v>222.2</v>
      </c>
      <c r="U21" s="118">
        <v>119.5</v>
      </c>
      <c r="V21" s="118">
        <v>8.06</v>
      </c>
      <c r="W21" s="118">
        <v>-96.8</v>
      </c>
      <c r="X21" s="118">
        <v>11.9</v>
      </c>
      <c r="Y21" s="118">
        <v>0</v>
      </c>
      <c r="Z21" s="118">
        <v>22.341999999999999</v>
      </c>
      <c r="AA21" s="118">
        <v>10.16</v>
      </c>
      <c r="AB21" s="118">
        <v>0</v>
      </c>
      <c r="AC21" s="118" t="s">
        <v>1724</v>
      </c>
      <c r="AD21" s="180">
        <v>7</v>
      </c>
    </row>
    <row r="22" spans="2:30" x14ac:dyDescent="0.25">
      <c r="B22" s="188">
        <v>0.40781250000000002</v>
      </c>
      <c r="C22" s="19">
        <v>45819</v>
      </c>
      <c r="D22" s="118">
        <v>250611</v>
      </c>
      <c r="E22" s="118">
        <v>0</v>
      </c>
      <c r="F22" s="118">
        <v>743.8</v>
      </c>
      <c r="G22" s="118">
        <v>500</v>
      </c>
      <c r="H22" s="118">
        <v>526</v>
      </c>
      <c r="I22" s="118">
        <v>342</v>
      </c>
      <c r="J22" s="118">
        <v>0.25</v>
      </c>
      <c r="K22" s="118">
        <v>528.6</v>
      </c>
      <c r="L22" s="118">
        <v>0.71899999999999997</v>
      </c>
      <c r="M22" s="118">
        <v>0.71799999999999997</v>
      </c>
      <c r="N22" s="118">
        <v>1.02</v>
      </c>
      <c r="O22" s="118">
        <v>96.6</v>
      </c>
      <c r="P22" s="118">
        <v>8.3699999999999992</v>
      </c>
      <c r="Q22" s="118">
        <v>98.3</v>
      </c>
      <c r="R22" s="118">
        <v>40.691600000000001</v>
      </c>
      <c r="S22" s="118">
        <v>-85.908259999999999</v>
      </c>
      <c r="T22" s="118">
        <v>221.5</v>
      </c>
      <c r="U22" s="118">
        <v>118.4</v>
      </c>
      <c r="V22" s="118">
        <v>8.14</v>
      </c>
      <c r="W22" s="118">
        <v>-101.4</v>
      </c>
      <c r="X22" s="118">
        <v>12</v>
      </c>
      <c r="Y22" s="118">
        <v>0</v>
      </c>
      <c r="Z22" s="118">
        <v>22.408999999999999</v>
      </c>
      <c r="AA22" s="118">
        <v>6.86</v>
      </c>
      <c r="AB22" s="118">
        <v>0</v>
      </c>
      <c r="AC22" s="118" t="s">
        <v>1722</v>
      </c>
      <c r="AD22" s="180">
        <v>8</v>
      </c>
    </row>
    <row r="23" spans="2:30" x14ac:dyDescent="0.25">
      <c r="B23" s="188">
        <v>0.41981481481481481</v>
      </c>
      <c r="C23" s="19">
        <v>45819</v>
      </c>
      <c r="D23" s="118">
        <v>250611</v>
      </c>
      <c r="E23" s="118">
        <v>0</v>
      </c>
      <c r="F23" s="118">
        <v>743.5</v>
      </c>
      <c r="G23" s="118">
        <v>499.4</v>
      </c>
      <c r="H23" s="118">
        <v>524.1</v>
      </c>
      <c r="I23" s="118">
        <v>341</v>
      </c>
      <c r="J23" s="118">
        <v>0.25</v>
      </c>
      <c r="K23" s="118">
        <v>526.6</v>
      </c>
      <c r="L23" s="118">
        <v>0.443</v>
      </c>
      <c r="M23" s="118">
        <v>0.42899999999999999</v>
      </c>
      <c r="N23" s="118">
        <v>0.629</v>
      </c>
      <c r="O23" s="118">
        <v>100.8</v>
      </c>
      <c r="P23" s="118">
        <v>8.7200000000000006</v>
      </c>
      <c r="Q23" s="118">
        <v>102.7</v>
      </c>
      <c r="R23" s="118">
        <v>40.693600000000004</v>
      </c>
      <c r="S23" s="118">
        <v>-85.919619999999995</v>
      </c>
      <c r="T23" s="118">
        <v>224</v>
      </c>
      <c r="U23" s="118">
        <v>146.19999999999999</v>
      </c>
      <c r="V23" s="118">
        <v>8.19</v>
      </c>
      <c r="W23" s="118">
        <v>-104.4</v>
      </c>
      <c r="X23" s="118">
        <v>12</v>
      </c>
      <c r="Y23" s="118">
        <v>0</v>
      </c>
      <c r="Z23" s="118">
        <v>22.529</v>
      </c>
      <c r="AA23" s="118">
        <v>6.01</v>
      </c>
      <c r="AB23" s="118">
        <v>0</v>
      </c>
      <c r="AC23" s="118" t="s">
        <v>1725</v>
      </c>
      <c r="AD23" s="180">
        <v>10</v>
      </c>
    </row>
    <row r="24" spans="2:30" x14ac:dyDescent="0.25">
      <c r="B24" s="188">
        <v>0.4420486111111111</v>
      </c>
      <c r="C24" s="19">
        <v>45819</v>
      </c>
      <c r="D24" s="118">
        <v>250611</v>
      </c>
      <c r="E24" s="118">
        <v>0</v>
      </c>
      <c r="F24" s="118">
        <v>743.6</v>
      </c>
      <c r="G24" s="118">
        <v>473.7</v>
      </c>
      <c r="H24" s="118">
        <v>498.4</v>
      </c>
      <c r="I24" s="118">
        <v>324</v>
      </c>
      <c r="J24" s="118">
        <v>0.24</v>
      </c>
      <c r="K24" s="118">
        <v>500.9</v>
      </c>
      <c r="L24" s="118">
        <v>0.34799999999999998</v>
      </c>
      <c r="M24" s="118">
        <v>0.34200000000000003</v>
      </c>
      <c r="N24" s="118">
        <v>0.49399999999999999</v>
      </c>
      <c r="O24" s="118">
        <v>101.9</v>
      </c>
      <c r="P24" s="118">
        <v>8.83</v>
      </c>
      <c r="Q24" s="118">
        <v>103.8</v>
      </c>
      <c r="R24" s="118">
        <v>40.711239999999997</v>
      </c>
      <c r="S24" s="118">
        <v>-85.938540000000003</v>
      </c>
      <c r="T24" s="118">
        <v>221.6</v>
      </c>
      <c r="U24" s="118">
        <v>111.7</v>
      </c>
      <c r="V24" s="118">
        <v>8.31</v>
      </c>
      <c r="W24" s="118">
        <v>-111.5</v>
      </c>
      <c r="X24" s="118">
        <v>12</v>
      </c>
      <c r="Y24" s="118">
        <v>0</v>
      </c>
      <c r="Z24" s="118">
        <v>22.399000000000001</v>
      </c>
      <c r="AA24" s="118">
        <v>3.84</v>
      </c>
      <c r="AB24" s="118">
        <v>0</v>
      </c>
      <c r="AC24" s="118" t="s">
        <v>1719</v>
      </c>
      <c r="AD24" s="180">
        <v>11</v>
      </c>
    </row>
    <row r="25" spans="2:30" x14ac:dyDescent="0.25">
      <c r="B25" s="188">
        <v>0.46902777777777777</v>
      </c>
      <c r="C25" s="19">
        <v>45819</v>
      </c>
      <c r="D25" s="118">
        <v>250611</v>
      </c>
      <c r="E25" s="118">
        <v>0</v>
      </c>
      <c r="F25" s="118">
        <v>743.6</v>
      </c>
      <c r="G25" s="118">
        <v>5.3</v>
      </c>
      <c r="H25" s="118">
        <v>5.8</v>
      </c>
      <c r="I25" s="118">
        <v>4</v>
      </c>
      <c r="J25" s="118">
        <v>0</v>
      </c>
      <c r="K25" s="118">
        <v>5.9</v>
      </c>
      <c r="L25" s="118">
        <v>8.8999999999999996E-2</v>
      </c>
      <c r="M25" s="118">
        <v>8.3000000000000004E-2</v>
      </c>
      <c r="N25" s="118">
        <v>0.126</v>
      </c>
      <c r="O25" s="118">
        <v>97.4</v>
      </c>
      <c r="P25" s="118">
        <v>8.75</v>
      </c>
      <c r="Q25" s="118">
        <v>99.2</v>
      </c>
      <c r="R25" s="118">
        <v>40.713279999999997</v>
      </c>
      <c r="S25" s="118">
        <v>-85.948920000000001</v>
      </c>
      <c r="T25" s="118">
        <v>224.2</v>
      </c>
      <c r="U25" s="118">
        <v>119.7</v>
      </c>
      <c r="V25" s="118">
        <v>6.78</v>
      </c>
      <c r="W25" s="118">
        <v>-20.5</v>
      </c>
      <c r="X25" s="118">
        <v>11.9</v>
      </c>
      <c r="Y25" s="118">
        <v>0</v>
      </c>
      <c r="Z25" s="118">
        <v>20.571999999999999</v>
      </c>
      <c r="AA25" s="118">
        <v>13.42</v>
      </c>
      <c r="AB25" s="118">
        <v>0</v>
      </c>
      <c r="AC25" s="118" t="s">
        <v>1720</v>
      </c>
      <c r="AD25" s="180">
        <v>12</v>
      </c>
    </row>
    <row r="26" spans="2:30" x14ac:dyDescent="0.25">
      <c r="B26" s="188">
        <v>0.54686342592592596</v>
      </c>
      <c r="C26" s="19">
        <v>45819</v>
      </c>
      <c r="D26" s="118">
        <v>250611</v>
      </c>
      <c r="E26" s="118">
        <v>0</v>
      </c>
      <c r="F26" s="118">
        <v>743.2</v>
      </c>
      <c r="G26" s="118">
        <v>379.3</v>
      </c>
      <c r="H26" s="118">
        <v>408.6</v>
      </c>
      <c r="I26" s="118">
        <v>266</v>
      </c>
      <c r="J26" s="118">
        <v>0.2</v>
      </c>
      <c r="K26" s="118">
        <v>411.4</v>
      </c>
      <c r="L26" s="118">
        <v>0.35399999999999998</v>
      </c>
      <c r="M26" s="118">
        <v>0.33600000000000002</v>
      </c>
      <c r="N26" s="118">
        <v>0.502</v>
      </c>
      <c r="O26" s="118">
        <v>75.599999999999994</v>
      </c>
      <c r="P26" s="118">
        <v>6.7</v>
      </c>
      <c r="Q26" s="118">
        <v>77</v>
      </c>
      <c r="R26" s="118">
        <v>40.67266</v>
      </c>
      <c r="S26" s="118">
        <v>-85.841419999999999</v>
      </c>
      <c r="T26" s="118">
        <v>221.5</v>
      </c>
      <c r="U26" s="118">
        <v>171.6</v>
      </c>
      <c r="V26" s="118">
        <v>7.49</v>
      </c>
      <c r="W26" s="118">
        <v>-62.8</v>
      </c>
      <c r="X26" s="118">
        <v>12</v>
      </c>
      <c r="Y26" s="118">
        <v>0</v>
      </c>
      <c r="Z26" s="118">
        <v>21.254000000000001</v>
      </c>
      <c r="AA26" s="118">
        <v>63.34</v>
      </c>
      <c r="AB26" s="118">
        <v>0</v>
      </c>
      <c r="AC26" s="118" t="s">
        <v>1721</v>
      </c>
      <c r="AD26" s="180">
        <v>13</v>
      </c>
    </row>
    <row r="27" spans="2:30" x14ac:dyDescent="0.25">
      <c r="B27" s="188">
        <v>0.40760416666666666</v>
      </c>
      <c r="C27" s="19">
        <v>45835</v>
      </c>
      <c r="D27" s="118">
        <v>250627</v>
      </c>
      <c r="E27" s="118">
        <v>0</v>
      </c>
      <c r="F27" s="118">
        <v>740.8</v>
      </c>
      <c r="G27" s="118">
        <v>436.5</v>
      </c>
      <c r="H27" s="118">
        <v>396.3</v>
      </c>
      <c r="I27" s="118">
        <v>258</v>
      </c>
      <c r="J27" s="118">
        <v>0.19</v>
      </c>
      <c r="K27" s="118">
        <v>391.8</v>
      </c>
      <c r="L27" s="118">
        <v>0.35599999999999998</v>
      </c>
      <c r="M27" s="118">
        <v>0.38100000000000001</v>
      </c>
      <c r="N27" s="118">
        <v>0.504</v>
      </c>
      <c r="O27" s="118">
        <v>192.3</v>
      </c>
      <c r="P27" s="118">
        <v>14.44</v>
      </c>
      <c r="Q27" s="118">
        <v>196.6</v>
      </c>
      <c r="R27" s="118">
        <v>40.681800000000003</v>
      </c>
      <c r="S27" s="118">
        <v>-85.888980000000004</v>
      </c>
      <c r="T27" s="118">
        <v>221.6</v>
      </c>
      <c r="U27" s="118">
        <v>149.69999999999999</v>
      </c>
      <c r="V27" s="118">
        <v>8.86</v>
      </c>
      <c r="W27" s="118">
        <v>-147</v>
      </c>
      <c r="X27" s="118">
        <v>12</v>
      </c>
      <c r="Y27" s="118">
        <v>0</v>
      </c>
      <c r="Z27" s="118">
        <v>30.306999999999999</v>
      </c>
      <c r="AA27" s="118">
        <v>11.29</v>
      </c>
      <c r="AB27" s="118">
        <v>0</v>
      </c>
      <c r="AC27" s="118" t="s">
        <v>1717</v>
      </c>
      <c r="AD27" s="180">
        <v>1</v>
      </c>
    </row>
    <row r="28" spans="2:30" x14ac:dyDescent="0.25">
      <c r="B28" s="188">
        <v>0.3989699074074074</v>
      </c>
      <c r="C28" s="19">
        <v>45835</v>
      </c>
      <c r="D28" s="118">
        <v>250627</v>
      </c>
      <c r="E28" s="118">
        <v>0</v>
      </c>
      <c r="F28" s="118">
        <v>740.9</v>
      </c>
      <c r="G28" s="118">
        <v>443.2</v>
      </c>
      <c r="H28" s="118">
        <v>404.7</v>
      </c>
      <c r="I28" s="118">
        <v>263</v>
      </c>
      <c r="J28" s="118">
        <v>0.19</v>
      </c>
      <c r="K28" s="118">
        <v>400.4</v>
      </c>
      <c r="L28" s="118">
        <v>0.46500000000000002</v>
      </c>
      <c r="M28" s="118">
        <v>0.46100000000000002</v>
      </c>
      <c r="N28" s="118">
        <v>0.65900000000000003</v>
      </c>
      <c r="O28" s="118">
        <v>186.3</v>
      </c>
      <c r="P28" s="118">
        <v>14.08</v>
      </c>
      <c r="Q28" s="118">
        <v>190.5</v>
      </c>
      <c r="R28" s="118">
        <v>40.67698</v>
      </c>
      <c r="S28" s="118">
        <v>-85.876990000000006</v>
      </c>
      <c r="T28" s="118">
        <v>222.2</v>
      </c>
      <c r="U28" s="118">
        <v>145.6</v>
      </c>
      <c r="V28" s="118">
        <v>8.8699999999999992</v>
      </c>
      <c r="W28" s="118">
        <v>-147.69999999999999</v>
      </c>
      <c r="X28" s="118">
        <v>12</v>
      </c>
      <c r="Y28" s="118">
        <v>0</v>
      </c>
      <c r="Z28" s="118">
        <v>29.984000000000002</v>
      </c>
      <c r="AA28" s="118">
        <v>11.48</v>
      </c>
      <c r="AB28" s="118">
        <v>0</v>
      </c>
      <c r="AC28" s="118" t="s">
        <v>1716</v>
      </c>
      <c r="AD28" s="180">
        <v>2</v>
      </c>
    </row>
    <row r="29" spans="2:30" x14ac:dyDescent="0.25">
      <c r="B29" s="188">
        <v>0.39270833333333333</v>
      </c>
      <c r="C29" s="19">
        <v>45835</v>
      </c>
      <c r="D29" s="118">
        <v>250627</v>
      </c>
      <c r="E29" s="118">
        <v>0</v>
      </c>
      <c r="F29" s="118">
        <v>740.9</v>
      </c>
      <c r="G29" s="118">
        <v>444.9</v>
      </c>
      <c r="H29" s="118">
        <v>407.6</v>
      </c>
      <c r="I29" s="118">
        <v>265</v>
      </c>
      <c r="J29" s="118">
        <v>0.19</v>
      </c>
      <c r="K29" s="118">
        <v>403.5</v>
      </c>
      <c r="L29" s="118">
        <v>0.56200000000000006</v>
      </c>
      <c r="M29" s="118">
        <v>0.57899999999999996</v>
      </c>
      <c r="N29" s="118">
        <v>0.79600000000000004</v>
      </c>
      <c r="O29" s="118">
        <v>177.5</v>
      </c>
      <c r="P29" s="118">
        <v>13.45</v>
      </c>
      <c r="Q29" s="118">
        <v>181.4</v>
      </c>
      <c r="R29" s="118">
        <v>40.670940000000002</v>
      </c>
      <c r="S29" s="118">
        <v>-85.870339999999999</v>
      </c>
      <c r="T29" s="118">
        <v>221.7</v>
      </c>
      <c r="U29" s="118">
        <v>135.4</v>
      </c>
      <c r="V29" s="118">
        <v>8.83</v>
      </c>
      <c r="W29" s="118">
        <v>-145</v>
      </c>
      <c r="X29" s="118">
        <v>12</v>
      </c>
      <c r="Y29" s="118">
        <v>0</v>
      </c>
      <c r="Z29" s="118">
        <v>29.79</v>
      </c>
      <c r="AA29" s="118">
        <v>9.2200000000000006</v>
      </c>
      <c r="AB29" s="118">
        <v>0</v>
      </c>
      <c r="AC29" s="118" t="s">
        <v>1715</v>
      </c>
      <c r="AD29" s="180">
        <v>3</v>
      </c>
    </row>
    <row r="30" spans="2:30" x14ac:dyDescent="0.25">
      <c r="B30" s="188">
        <v>0.38521990740740741</v>
      </c>
      <c r="C30" s="19">
        <v>45835</v>
      </c>
      <c r="D30" s="118">
        <v>250627</v>
      </c>
      <c r="E30" s="118">
        <v>0</v>
      </c>
      <c r="F30" s="118">
        <v>740.9</v>
      </c>
      <c r="G30" s="118">
        <v>455.6</v>
      </c>
      <c r="H30" s="118">
        <v>416.8</v>
      </c>
      <c r="I30" s="118">
        <v>271</v>
      </c>
      <c r="J30" s="118">
        <v>0.2</v>
      </c>
      <c r="K30" s="118">
        <v>412.5</v>
      </c>
      <c r="L30" s="118">
        <v>0.46200000000000002</v>
      </c>
      <c r="M30" s="118">
        <v>0.47299999999999998</v>
      </c>
      <c r="N30" s="118">
        <v>0.65400000000000003</v>
      </c>
      <c r="O30" s="118">
        <v>179.8</v>
      </c>
      <c r="P30" s="118">
        <v>13.6</v>
      </c>
      <c r="Q30" s="118">
        <v>183.8</v>
      </c>
      <c r="R30" s="118">
        <v>40.663159999999998</v>
      </c>
      <c r="S30" s="118">
        <v>-85.866460000000004</v>
      </c>
      <c r="T30" s="118">
        <v>223.2</v>
      </c>
      <c r="U30" s="118">
        <v>136.9</v>
      </c>
      <c r="V30" s="118">
        <v>8.83</v>
      </c>
      <c r="W30" s="118">
        <v>-145</v>
      </c>
      <c r="X30" s="118">
        <v>12</v>
      </c>
      <c r="Y30" s="118">
        <v>0</v>
      </c>
      <c r="Z30" s="118">
        <v>29.879000000000001</v>
      </c>
      <c r="AA30" s="118">
        <v>8.6300000000000008</v>
      </c>
      <c r="AB30" s="118">
        <v>0</v>
      </c>
      <c r="AC30" s="118" t="s">
        <v>1714</v>
      </c>
      <c r="AD30" s="180">
        <v>4</v>
      </c>
    </row>
    <row r="31" spans="2:30" x14ac:dyDescent="0.25">
      <c r="B31" s="188">
        <v>0.37550925925925926</v>
      </c>
      <c r="C31" s="19">
        <v>45835</v>
      </c>
      <c r="D31" s="118">
        <v>250627</v>
      </c>
      <c r="E31" s="118">
        <v>0</v>
      </c>
      <c r="F31" s="118">
        <v>741</v>
      </c>
      <c r="G31" s="118">
        <v>469.2</v>
      </c>
      <c r="H31" s="118">
        <v>429.5</v>
      </c>
      <c r="I31" s="118">
        <v>279</v>
      </c>
      <c r="J31" s="118">
        <v>0.2</v>
      </c>
      <c r="K31" s="118">
        <v>425.1</v>
      </c>
      <c r="L31" s="118">
        <v>0.63500000000000001</v>
      </c>
      <c r="M31" s="118">
        <v>0.66700000000000004</v>
      </c>
      <c r="N31" s="118">
        <v>0.9</v>
      </c>
      <c r="O31" s="118">
        <v>165</v>
      </c>
      <c r="P31" s="118">
        <v>12.49</v>
      </c>
      <c r="Q31" s="118">
        <v>168.6</v>
      </c>
      <c r="R31" s="118">
        <v>40.668610000000001</v>
      </c>
      <c r="S31" s="118">
        <v>-85.847859999999997</v>
      </c>
      <c r="T31" s="118">
        <v>221.3</v>
      </c>
      <c r="U31" s="118">
        <v>116.7</v>
      </c>
      <c r="V31" s="118">
        <v>8.68</v>
      </c>
      <c r="W31" s="118">
        <v>-136.1</v>
      </c>
      <c r="X31" s="118">
        <v>11.9</v>
      </c>
      <c r="Y31" s="118">
        <v>0</v>
      </c>
      <c r="Z31" s="118">
        <v>29.837</v>
      </c>
      <c r="AA31" s="118">
        <v>12.21</v>
      </c>
      <c r="AB31" s="118">
        <v>0</v>
      </c>
      <c r="AC31" s="118" t="s">
        <v>1713</v>
      </c>
      <c r="AD31" s="180">
        <v>5</v>
      </c>
    </row>
    <row r="32" spans="2:30" x14ac:dyDescent="0.25">
      <c r="B32" s="188">
        <v>0.35130787037037037</v>
      </c>
      <c r="C32" s="19">
        <v>45835</v>
      </c>
      <c r="D32" s="118">
        <v>250627</v>
      </c>
      <c r="E32" s="118">
        <v>0</v>
      </c>
      <c r="F32" s="118">
        <v>741</v>
      </c>
      <c r="G32" s="118">
        <v>506.2</v>
      </c>
      <c r="H32" s="118">
        <v>462.1</v>
      </c>
      <c r="I32" s="118">
        <v>300</v>
      </c>
      <c r="J32" s="118">
        <v>0.22</v>
      </c>
      <c r="K32" s="118">
        <v>457.2</v>
      </c>
      <c r="L32" s="118">
        <v>0.65700000000000003</v>
      </c>
      <c r="M32" s="118">
        <v>0.65900000000000003</v>
      </c>
      <c r="N32" s="118">
        <v>0.93100000000000005</v>
      </c>
      <c r="O32" s="118">
        <v>168.8</v>
      </c>
      <c r="P32" s="118">
        <v>12.74</v>
      </c>
      <c r="Q32" s="118">
        <v>172.5</v>
      </c>
      <c r="R32" s="118">
        <v>40.673839999999998</v>
      </c>
      <c r="S32" s="118">
        <v>-85.831900000000005</v>
      </c>
      <c r="T32" s="118">
        <v>219.6</v>
      </c>
      <c r="U32" s="118">
        <v>136.1</v>
      </c>
      <c r="V32" s="118">
        <v>8.64</v>
      </c>
      <c r="W32" s="118">
        <v>-133.80000000000001</v>
      </c>
      <c r="X32" s="118">
        <v>12</v>
      </c>
      <c r="Y32" s="118">
        <v>0</v>
      </c>
      <c r="Z32" s="118">
        <v>29.998000000000001</v>
      </c>
      <c r="AA32" s="118">
        <v>7.97</v>
      </c>
      <c r="AB32" s="118">
        <v>0</v>
      </c>
      <c r="AC32" s="118" t="s">
        <v>1712</v>
      </c>
      <c r="AD32" s="180">
        <v>6</v>
      </c>
    </row>
    <row r="33" spans="1:31" x14ac:dyDescent="0.25">
      <c r="B33" s="188">
        <v>0.41803240740740738</v>
      </c>
      <c r="C33" s="19">
        <v>45835</v>
      </c>
      <c r="D33" s="118">
        <v>250627</v>
      </c>
      <c r="E33" s="118">
        <v>0</v>
      </c>
      <c r="F33" s="118">
        <v>740.9</v>
      </c>
      <c r="G33" s="118">
        <v>435.7</v>
      </c>
      <c r="H33" s="118">
        <v>403.1</v>
      </c>
      <c r="I33" s="118">
        <v>262</v>
      </c>
      <c r="J33" s="118">
        <v>0.19</v>
      </c>
      <c r="K33" s="118">
        <v>399.5</v>
      </c>
      <c r="L33" s="118">
        <v>0.501</v>
      </c>
      <c r="M33" s="118">
        <v>0.48299999999999998</v>
      </c>
      <c r="N33" s="118">
        <v>0.71</v>
      </c>
      <c r="O33" s="118">
        <v>162.19999999999999</v>
      </c>
      <c r="P33" s="118">
        <v>12.41</v>
      </c>
      <c r="Q33" s="118">
        <v>165.8</v>
      </c>
      <c r="R33" s="118">
        <v>40.687750000000001</v>
      </c>
      <c r="S33" s="118">
        <v>-85.896550000000005</v>
      </c>
      <c r="T33" s="118">
        <v>220.5</v>
      </c>
      <c r="U33" s="118">
        <v>154</v>
      </c>
      <c r="V33" s="118">
        <v>8.56</v>
      </c>
      <c r="W33" s="118">
        <v>-128.4</v>
      </c>
      <c r="X33" s="118">
        <v>12</v>
      </c>
      <c r="Y33" s="118">
        <v>0</v>
      </c>
      <c r="Z33" s="118">
        <v>29.236999999999998</v>
      </c>
      <c r="AA33" s="118">
        <v>8.51</v>
      </c>
      <c r="AB33" s="118">
        <v>0</v>
      </c>
      <c r="AC33" s="118" t="s">
        <v>1724</v>
      </c>
      <c r="AD33" s="180">
        <v>7</v>
      </c>
    </row>
    <row r="34" spans="1:31" x14ac:dyDescent="0.25">
      <c r="B34" s="188">
        <v>0.42905092592592592</v>
      </c>
      <c r="C34" s="19">
        <v>45835</v>
      </c>
      <c r="D34" s="118">
        <v>250627</v>
      </c>
      <c r="E34" s="118">
        <v>0</v>
      </c>
      <c r="F34" s="118">
        <v>740.8</v>
      </c>
      <c r="G34" s="118">
        <v>428.4</v>
      </c>
      <c r="H34" s="118">
        <v>394</v>
      </c>
      <c r="I34" s="118">
        <v>256</v>
      </c>
      <c r="J34" s="118">
        <v>0.19</v>
      </c>
      <c r="K34" s="118">
        <v>390.2</v>
      </c>
      <c r="L34" s="118">
        <v>0.34200000000000003</v>
      </c>
      <c r="M34" s="118">
        <v>0.33300000000000002</v>
      </c>
      <c r="N34" s="118">
        <v>0.48499999999999999</v>
      </c>
      <c r="O34" s="118">
        <v>176.8</v>
      </c>
      <c r="P34" s="118">
        <v>13.45</v>
      </c>
      <c r="Q34" s="118">
        <v>180.7</v>
      </c>
      <c r="R34" s="118">
        <v>40.691540000000003</v>
      </c>
      <c r="S34" s="118">
        <v>-85.90813</v>
      </c>
      <c r="T34" s="118">
        <v>221.5</v>
      </c>
      <c r="U34" s="118">
        <v>151.1</v>
      </c>
      <c r="V34" s="118">
        <v>8.67</v>
      </c>
      <c r="W34" s="118">
        <v>-135.5</v>
      </c>
      <c r="X34" s="118">
        <v>11.9</v>
      </c>
      <c r="Y34" s="118">
        <v>0</v>
      </c>
      <c r="Z34" s="118">
        <v>29.561</v>
      </c>
      <c r="AA34" s="118">
        <v>11.12</v>
      </c>
      <c r="AB34" s="118">
        <v>0</v>
      </c>
      <c r="AC34" s="118" t="s">
        <v>1722</v>
      </c>
      <c r="AD34" s="180">
        <v>8</v>
      </c>
    </row>
    <row r="35" spans="1:31" x14ac:dyDescent="0.25">
      <c r="B35" s="188">
        <v>0.45296296296296296</v>
      </c>
      <c r="C35" s="19">
        <v>45835</v>
      </c>
      <c r="D35" s="118">
        <v>250627</v>
      </c>
      <c r="E35" s="118">
        <v>0</v>
      </c>
      <c r="F35" s="118">
        <v>740.8</v>
      </c>
      <c r="G35" s="118">
        <v>434.6</v>
      </c>
      <c r="H35" s="118">
        <v>402.2</v>
      </c>
      <c r="I35" s="118">
        <v>261</v>
      </c>
      <c r="J35" s="118">
        <v>0.19</v>
      </c>
      <c r="K35" s="118">
        <v>398.7</v>
      </c>
      <c r="L35" s="118">
        <v>0.27800000000000002</v>
      </c>
      <c r="M35" s="118">
        <v>0.28999999999999998</v>
      </c>
      <c r="N35" s="118">
        <v>0.39400000000000002</v>
      </c>
      <c r="O35" s="118">
        <v>176.2</v>
      </c>
      <c r="P35" s="118">
        <v>13.49</v>
      </c>
      <c r="Q35" s="118">
        <v>180.1</v>
      </c>
      <c r="R35" s="118">
        <v>40.704189999999997</v>
      </c>
      <c r="S35" s="118">
        <v>-85.929820000000007</v>
      </c>
      <c r="T35" s="118">
        <v>222.7</v>
      </c>
      <c r="U35" s="118">
        <v>146.69999999999999</v>
      </c>
      <c r="V35" s="118">
        <v>8.65</v>
      </c>
      <c r="W35" s="118">
        <v>-133.9</v>
      </c>
      <c r="X35" s="118">
        <v>12</v>
      </c>
      <c r="Y35" s="118">
        <v>0</v>
      </c>
      <c r="Z35" s="118">
        <v>29.213000000000001</v>
      </c>
      <c r="AA35" s="118">
        <v>11.77</v>
      </c>
      <c r="AB35" s="118">
        <v>0</v>
      </c>
      <c r="AC35" s="118" t="s">
        <v>1718</v>
      </c>
      <c r="AD35" s="180">
        <v>9</v>
      </c>
    </row>
    <row r="36" spans="1:31" x14ac:dyDescent="0.25">
      <c r="B36" s="188">
        <v>0.43930555555555556</v>
      </c>
      <c r="C36" s="19">
        <v>45835</v>
      </c>
      <c r="D36" s="118">
        <v>250627</v>
      </c>
      <c r="E36" s="118">
        <v>0</v>
      </c>
      <c r="F36" s="118">
        <v>740.8</v>
      </c>
      <c r="G36" s="118">
        <v>431.5</v>
      </c>
      <c r="H36" s="118">
        <v>396.4</v>
      </c>
      <c r="I36" s="118">
        <v>258</v>
      </c>
      <c r="J36" s="118">
        <v>0.19</v>
      </c>
      <c r="K36" s="118">
        <v>392.5</v>
      </c>
      <c r="L36" s="118">
        <v>0.32100000000000001</v>
      </c>
      <c r="M36" s="118">
        <v>0.33900000000000002</v>
      </c>
      <c r="N36" s="118">
        <v>0.45400000000000001</v>
      </c>
      <c r="O36" s="118">
        <v>184.9</v>
      </c>
      <c r="P36" s="118">
        <v>14.05</v>
      </c>
      <c r="Q36" s="118">
        <v>189</v>
      </c>
      <c r="R36" s="118">
        <v>40.693330000000003</v>
      </c>
      <c r="S36" s="118">
        <v>-85.920590000000004</v>
      </c>
      <c r="T36" s="118">
        <v>217.7</v>
      </c>
      <c r="U36" s="118">
        <v>141.69999999999999</v>
      </c>
      <c r="V36" s="118">
        <v>8.68</v>
      </c>
      <c r="W36" s="118">
        <v>-135.80000000000001</v>
      </c>
      <c r="X36" s="118">
        <v>12</v>
      </c>
      <c r="Y36" s="118">
        <v>0</v>
      </c>
      <c r="Z36" s="118">
        <v>29.635000000000002</v>
      </c>
      <c r="AA36" s="118">
        <v>10.76</v>
      </c>
      <c r="AB36" s="118">
        <v>0</v>
      </c>
      <c r="AC36" s="118" t="s">
        <v>1725</v>
      </c>
      <c r="AD36" s="180">
        <v>10</v>
      </c>
    </row>
    <row r="37" spans="1:31" x14ac:dyDescent="0.25">
      <c r="B37" s="188">
        <v>0.47706018518518517</v>
      </c>
      <c r="C37" s="19">
        <v>45835</v>
      </c>
      <c r="D37" s="118">
        <v>250627</v>
      </c>
      <c r="E37" s="118">
        <v>0</v>
      </c>
      <c r="F37" s="118">
        <v>740.7</v>
      </c>
      <c r="G37" s="118">
        <v>442.4</v>
      </c>
      <c r="H37" s="118">
        <v>409.6</v>
      </c>
      <c r="I37" s="118">
        <v>266</v>
      </c>
      <c r="J37" s="118">
        <v>0.19</v>
      </c>
      <c r="K37" s="118">
        <v>406</v>
      </c>
      <c r="L37" s="118">
        <v>0.35799999999999998</v>
      </c>
      <c r="M37" s="118">
        <v>0.39200000000000002</v>
      </c>
      <c r="N37" s="118">
        <v>0.50700000000000001</v>
      </c>
      <c r="O37" s="118">
        <v>171.2</v>
      </c>
      <c r="P37" s="118">
        <v>13.11</v>
      </c>
      <c r="Q37" s="118">
        <v>175</v>
      </c>
      <c r="R37" s="118">
        <v>40.710970000000003</v>
      </c>
      <c r="S37" s="118">
        <v>-85.938550000000006</v>
      </c>
      <c r="T37" s="118">
        <v>220.5</v>
      </c>
      <c r="U37" s="118">
        <v>149.5</v>
      </c>
      <c r="V37" s="118">
        <v>8.69</v>
      </c>
      <c r="W37" s="118">
        <v>-136.5</v>
      </c>
      <c r="X37" s="118">
        <v>12</v>
      </c>
      <c r="Y37" s="118">
        <v>0</v>
      </c>
      <c r="Z37" s="118">
        <v>29.193999999999999</v>
      </c>
      <c r="AA37" s="118">
        <v>9.36</v>
      </c>
      <c r="AB37" s="118">
        <v>0</v>
      </c>
      <c r="AC37" s="118" t="s">
        <v>1719</v>
      </c>
      <c r="AD37" s="180">
        <v>11</v>
      </c>
    </row>
    <row r="38" spans="1:31" x14ac:dyDescent="0.25">
      <c r="B38" s="188">
        <v>0.46228009259259262</v>
      </c>
      <c r="C38" s="19">
        <v>45835</v>
      </c>
      <c r="D38" s="118">
        <v>250627</v>
      </c>
      <c r="E38" s="118">
        <v>0</v>
      </c>
      <c r="F38" s="118">
        <v>740.8</v>
      </c>
      <c r="G38" s="118">
        <v>440.4</v>
      </c>
      <c r="H38" s="118">
        <v>406</v>
      </c>
      <c r="I38" s="118">
        <v>264</v>
      </c>
      <c r="J38" s="118">
        <v>0.19</v>
      </c>
      <c r="K38" s="118">
        <v>402.2</v>
      </c>
      <c r="L38" s="118">
        <v>0.48199999999999998</v>
      </c>
      <c r="M38" s="118">
        <v>0.55500000000000005</v>
      </c>
      <c r="N38" s="118">
        <v>0.68300000000000005</v>
      </c>
      <c r="O38" s="118">
        <v>190.5</v>
      </c>
      <c r="P38" s="118">
        <v>14.52</v>
      </c>
      <c r="Q38" s="118">
        <v>194.7</v>
      </c>
      <c r="R38" s="118">
        <v>40.711799999999997</v>
      </c>
      <c r="S38" s="118">
        <v>-85.951329999999999</v>
      </c>
      <c r="T38" s="118">
        <v>220.8</v>
      </c>
      <c r="U38" s="118">
        <v>126.3</v>
      </c>
      <c r="V38" s="118">
        <v>8.8000000000000007</v>
      </c>
      <c r="W38" s="118">
        <v>-142.9</v>
      </c>
      <c r="X38" s="118">
        <v>12</v>
      </c>
      <c r="Y38" s="118">
        <v>0</v>
      </c>
      <c r="Z38" s="118">
        <v>29.437999999999999</v>
      </c>
      <c r="AA38" s="118">
        <v>10.63</v>
      </c>
      <c r="AB38" s="118">
        <v>0</v>
      </c>
      <c r="AC38" s="118" t="s">
        <v>1720</v>
      </c>
      <c r="AD38" s="180">
        <v>12</v>
      </c>
    </row>
    <row r="39" spans="1:31" x14ac:dyDescent="0.25">
      <c r="B39" s="188">
        <v>0.36055555555555557</v>
      </c>
      <c r="C39" s="19">
        <v>45835</v>
      </c>
      <c r="D39" s="118">
        <v>250627</v>
      </c>
      <c r="E39" s="118">
        <v>0</v>
      </c>
      <c r="F39" s="118">
        <v>741.1</v>
      </c>
      <c r="G39" s="118">
        <v>485.1</v>
      </c>
      <c r="H39" s="118">
        <v>443.1</v>
      </c>
      <c r="I39" s="118">
        <v>288</v>
      </c>
      <c r="J39" s="118">
        <v>0.21</v>
      </c>
      <c r="K39" s="118">
        <v>438.5</v>
      </c>
      <c r="L39" s="118">
        <v>0.33500000000000002</v>
      </c>
      <c r="M39" s="118">
        <v>0.34899999999999998</v>
      </c>
      <c r="N39" s="118">
        <v>0.47499999999999998</v>
      </c>
      <c r="O39" s="118">
        <v>161.6</v>
      </c>
      <c r="P39" s="118">
        <v>12.21</v>
      </c>
      <c r="Q39" s="118">
        <v>165.2</v>
      </c>
      <c r="R39" s="118">
        <v>40.672669999999997</v>
      </c>
      <c r="S39" s="118">
        <v>-85.841539999999995</v>
      </c>
      <c r="T39" s="118">
        <v>218.9</v>
      </c>
      <c r="U39" s="118">
        <v>121.6</v>
      </c>
      <c r="V39" s="118">
        <v>8.6199999999999992</v>
      </c>
      <c r="W39" s="118">
        <v>-132.30000000000001</v>
      </c>
      <c r="X39" s="118">
        <v>12</v>
      </c>
      <c r="Y39" s="118">
        <v>0</v>
      </c>
      <c r="Z39" s="118">
        <v>29.957999999999998</v>
      </c>
      <c r="AA39" s="118">
        <v>8.91</v>
      </c>
      <c r="AB39" s="118">
        <v>0</v>
      </c>
      <c r="AC39" s="118" t="s">
        <v>1721</v>
      </c>
      <c r="AD39" s="180">
        <v>13</v>
      </c>
    </row>
    <row r="40" spans="1:31" x14ac:dyDescent="0.25">
      <c r="A40" s="120" t="s">
        <v>698</v>
      </c>
      <c r="B40" s="188">
        <v>0.37725694444444446</v>
      </c>
      <c r="C40" s="19">
        <v>45846</v>
      </c>
      <c r="D40" s="118">
        <v>250708</v>
      </c>
      <c r="E40" s="118">
        <v>0</v>
      </c>
      <c r="F40" s="118">
        <v>745.9</v>
      </c>
      <c r="G40" s="118">
        <v>418.8</v>
      </c>
      <c r="H40" s="118">
        <v>386.6</v>
      </c>
      <c r="I40" s="118">
        <v>251</v>
      </c>
      <c r="J40" s="118">
        <v>0.18</v>
      </c>
      <c r="K40" s="118">
        <v>383</v>
      </c>
      <c r="L40" s="118">
        <v>0.33</v>
      </c>
      <c r="M40" s="118">
        <v>0.32700000000000001</v>
      </c>
      <c r="N40" s="118">
        <v>0.46700000000000003</v>
      </c>
      <c r="O40" s="118">
        <v>95.4</v>
      </c>
      <c r="P40" s="118">
        <v>7.29</v>
      </c>
      <c r="Q40" s="118">
        <v>97.2</v>
      </c>
      <c r="R40" s="118">
        <v>39.748959999999997</v>
      </c>
      <c r="S40" s="118">
        <v>-87.073740000000001</v>
      </c>
      <c r="T40" s="118">
        <v>199.1</v>
      </c>
      <c r="U40" s="118">
        <v>219.3</v>
      </c>
      <c r="V40" s="118">
        <v>7.8</v>
      </c>
      <c r="W40" s="118">
        <v>-82.9</v>
      </c>
      <c r="X40" s="118">
        <v>12</v>
      </c>
      <c r="Y40" s="118">
        <v>0</v>
      </c>
      <c r="Z40" s="118">
        <v>29.36</v>
      </c>
      <c r="AA40" s="118">
        <v>2.98</v>
      </c>
      <c r="AB40" s="118">
        <v>0</v>
      </c>
      <c r="AC40" s="118" t="s">
        <v>1729</v>
      </c>
      <c r="AD40" s="180" t="s">
        <v>1744</v>
      </c>
      <c r="AE40" s="120" t="s">
        <v>698</v>
      </c>
    </row>
    <row r="41" spans="1:31" x14ac:dyDescent="0.25">
      <c r="A41" s="120" t="s">
        <v>699</v>
      </c>
      <c r="B41" s="188">
        <v>0.39475694444444442</v>
      </c>
      <c r="C41" s="19">
        <v>45846</v>
      </c>
      <c r="D41" s="118">
        <v>250708</v>
      </c>
      <c r="E41" s="118">
        <v>0</v>
      </c>
      <c r="F41" s="118">
        <v>745.8</v>
      </c>
      <c r="G41" s="118">
        <v>424.4</v>
      </c>
      <c r="H41" s="118">
        <v>390.5</v>
      </c>
      <c r="I41" s="118">
        <v>254</v>
      </c>
      <c r="J41" s="118">
        <v>0.18</v>
      </c>
      <c r="K41" s="118">
        <v>386.7</v>
      </c>
      <c r="L41" s="118">
        <v>0.28699999999999998</v>
      </c>
      <c r="M41" s="118">
        <v>0.29799999999999999</v>
      </c>
      <c r="N41" s="118">
        <v>0.40699999999999997</v>
      </c>
      <c r="O41" s="118">
        <v>93</v>
      </c>
      <c r="P41" s="118">
        <v>7.08</v>
      </c>
      <c r="Q41" s="118">
        <v>94.8</v>
      </c>
      <c r="R41" s="118">
        <v>39.755240000000001</v>
      </c>
      <c r="S41" s="118">
        <v>-87.056730000000002</v>
      </c>
      <c r="T41" s="118">
        <v>206.1</v>
      </c>
      <c r="U41" s="118">
        <v>184</v>
      </c>
      <c r="V41" s="118">
        <v>7.76</v>
      </c>
      <c r="W41" s="118">
        <v>-80.400000000000006</v>
      </c>
      <c r="X41" s="118">
        <v>11.9</v>
      </c>
      <c r="Y41" s="118">
        <v>0</v>
      </c>
      <c r="Z41" s="118">
        <v>29.55</v>
      </c>
      <c r="AA41" s="118">
        <v>3.76</v>
      </c>
      <c r="AB41" s="118">
        <v>0</v>
      </c>
      <c r="AC41" s="118" t="s">
        <v>1730</v>
      </c>
      <c r="AD41" s="180" t="s">
        <v>1745</v>
      </c>
      <c r="AE41" s="120" t="s">
        <v>699</v>
      </c>
    </row>
    <row r="42" spans="1:31" x14ac:dyDescent="0.25">
      <c r="A42" s="120" t="s">
        <v>700</v>
      </c>
      <c r="B42" s="188">
        <v>0.41921296296296295</v>
      </c>
      <c r="C42" s="19">
        <v>45846</v>
      </c>
      <c r="D42" s="118">
        <v>250708</v>
      </c>
      <c r="E42" s="118">
        <v>0</v>
      </c>
      <c r="F42" s="118">
        <v>745.9</v>
      </c>
      <c r="G42" s="118">
        <v>376.5</v>
      </c>
      <c r="H42" s="118">
        <v>345.5</v>
      </c>
      <c r="I42" s="118">
        <v>225</v>
      </c>
      <c r="J42" s="118">
        <v>0.16</v>
      </c>
      <c r="K42" s="118">
        <v>342.1</v>
      </c>
      <c r="L42" s="118">
        <v>0.44600000000000001</v>
      </c>
      <c r="M42" s="118">
        <v>0.439</v>
      </c>
      <c r="N42" s="118">
        <v>0.63200000000000001</v>
      </c>
      <c r="O42" s="118">
        <v>113.2</v>
      </c>
      <c r="P42" s="118">
        <v>8.59</v>
      </c>
      <c r="Q42" s="118">
        <v>115.4</v>
      </c>
      <c r="R42" s="118">
        <v>39.720759999999999</v>
      </c>
      <c r="S42" s="118">
        <v>-87.070670000000007</v>
      </c>
      <c r="T42" s="118">
        <v>203.6</v>
      </c>
      <c r="U42" s="118">
        <v>175.5</v>
      </c>
      <c r="V42" s="118">
        <v>8.2899999999999991</v>
      </c>
      <c r="W42" s="118">
        <v>-112.3</v>
      </c>
      <c r="X42" s="118">
        <v>11.9</v>
      </c>
      <c r="Y42" s="118">
        <v>0</v>
      </c>
      <c r="Z42" s="118">
        <v>29.699000000000002</v>
      </c>
      <c r="AA42" s="118">
        <v>2.41</v>
      </c>
      <c r="AB42" s="118">
        <v>0</v>
      </c>
      <c r="AC42" s="118" t="s">
        <v>1731</v>
      </c>
      <c r="AD42" s="180" t="s">
        <v>1746</v>
      </c>
      <c r="AE42" s="120" t="s">
        <v>700</v>
      </c>
    </row>
    <row r="43" spans="1:31" x14ac:dyDescent="0.25">
      <c r="A43" s="120" t="s">
        <v>701</v>
      </c>
      <c r="B43" s="188">
        <v>0.44942129629629629</v>
      </c>
      <c r="C43" s="19">
        <v>45846</v>
      </c>
      <c r="D43" s="118">
        <v>250708</v>
      </c>
      <c r="E43" s="118">
        <v>0</v>
      </c>
      <c r="F43" s="118">
        <v>745.9</v>
      </c>
      <c r="G43" s="118">
        <v>368.6</v>
      </c>
      <c r="H43" s="118">
        <v>337.3</v>
      </c>
      <c r="I43" s="118">
        <v>219</v>
      </c>
      <c r="J43" s="118">
        <v>0.16</v>
      </c>
      <c r="K43" s="118">
        <v>333.8</v>
      </c>
      <c r="L43" s="118">
        <v>0.443</v>
      </c>
      <c r="M43" s="118">
        <v>0.44900000000000001</v>
      </c>
      <c r="N43" s="118">
        <v>0.628</v>
      </c>
      <c r="O43" s="118">
        <v>120.5</v>
      </c>
      <c r="P43" s="118">
        <v>9.1199999999999992</v>
      </c>
      <c r="Q43" s="118">
        <v>122.8</v>
      </c>
      <c r="R43" s="118">
        <v>39.737720000000003</v>
      </c>
      <c r="S43" s="118">
        <v>-87.083460000000002</v>
      </c>
      <c r="T43" s="118">
        <v>201.9</v>
      </c>
      <c r="U43" s="118">
        <v>186.6</v>
      </c>
      <c r="V43" s="118">
        <v>8.35</v>
      </c>
      <c r="W43" s="118">
        <v>-116.1</v>
      </c>
      <c r="X43" s="118">
        <v>11.9</v>
      </c>
      <c r="Y43" s="118">
        <v>0</v>
      </c>
      <c r="Z43" s="118">
        <v>29.855</v>
      </c>
      <c r="AA43" s="118">
        <v>2.57</v>
      </c>
      <c r="AB43" s="118">
        <v>0</v>
      </c>
      <c r="AC43" s="118" t="s">
        <v>1732</v>
      </c>
      <c r="AD43" s="180" t="s">
        <v>1747</v>
      </c>
      <c r="AE43" s="120" t="s">
        <v>701</v>
      </c>
    </row>
    <row r="44" spans="1:31" x14ac:dyDescent="0.25">
      <c r="A44" s="120" t="s">
        <v>702</v>
      </c>
      <c r="B44" s="188">
        <v>0.4699652777777778</v>
      </c>
      <c r="C44" s="19">
        <v>45846</v>
      </c>
      <c r="D44" s="118">
        <v>250708</v>
      </c>
      <c r="E44" s="118">
        <v>0</v>
      </c>
      <c r="F44" s="118">
        <v>745.8</v>
      </c>
      <c r="G44" s="118">
        <v>403.2</v>
      </c>
      <c r="H44" s="118">
        <v>368.1</v>
      </c>
      <c r="I44" s="118">
        <v>239</v>
      </c>
      <c r="J44" s="118">
        <v>0.17</v>
      </c>
      <c r="K44" s="118">
        <v>364.2</v>
      </c>
      <c r="L44" s="118">
        <v>0.38200000000000001</v>
      </c>
      <c r="M44" s="118">
        <v>0.39400000000000002</v>
      </c>
      <c r="N44" s="118">
        <v>0.54100000000000004</v>
      </c>
      <c r="O44" s="118">
        <v>113.5</v>
      </c>
      <c r="P44" s="118">
        <v>8.57</v>
      </c>
      <c r="Q44" s="118">
        <v>115.7</v>
      </c>
      <c r="R44" s="118">
        <v>39.732570000000003</v>
      </c>
      <c r="S44" s="118">
        <v>-87.065860000000001</v>
      </c>
      <c r="T44" s="118">
        <v>202.2</v>
      </c>
      <c r="U44" s="118">
        <v>172.8</v>
      </c>
      <c r="V44" s="118">
        <v>8.18</v>
      </c>
      <c r="W44" s="118">
        <v>-105.8</v>
      </c>
      <c r="X44" s="118">
        <v>11.9</v>
      </c>
      <c r="Y44" s="118">
        <v>0</v>
      </c>
      <c r="Z44" s="118">
        <v>29.986999999999998</v>
      </c>
      <c r="AA44" s="118">
        <v>2.2799999999999998</v>
      </c>
      <c r="AB44" s="118">
        <v>0</v>
      </c>
      <c r="AC44" s="118" t="s">
        <v>1733</v>
      </c>
      <c r="AD44" s="180" t="s">
        <v>1748</v>
      </c>
      <c r="AE44" s="120" t="s">
        <v>702</v>
      </c>
    </row>
    <row r="45" spans="1:31" x14ac:dyDescent="0.25">
      <c r="A45" s="120" t="s">
        <v>703</v>
      </c>
      <c r="B45" s="188">
        <v>0.49365740740740743</v>
      </c>
      <c r="C45" s="19">
        <v>45846</v>
      </c>
      <c r="D45" s="118">
        <v>250708</v>
      </c>
      <c r="E45" s="118">
        <v>0</v>
      </c>
      <c r="F45" s="118">
        <v>745.8</v>
      </c>
      <c r="G45" s="118">
        <v>420.7</v>
      </c>
      <c r="H45" s="118">
        <v>384</v>
      </c>
      <c r="I45" s="118">
        <v>250</v>
      </c>
      <c r="J45" s="118">
        <v>0.18</v>
      </c>
      <c r="K45" s="118">
        <v>379.9</v>
      </c>
      <c r="L45" s="118">
        <v>0.28899999999999998</v>
      </c>
      <c r="M45" s="118">
        <v>0.28999999999999998</v>
      </c>
      <c r="N45" s="118">
        <v>0.40899999999999997</v>
      </c>
      <c r="O45" s="118">
        <v>115.8</v>
      </c>
      <c r="P45" s="118">
        <v>8.74</v>
      </c>
      <c r="Q45" s="118">
        <v>118</v>
      </c>
      <c r="R45" s="118">
        <v>39.745519999999999</v>
      </c>
      <c r="S45" s="118">
        <v>-87.067070000000001</v>
      </c>
      <c r="T45" s="118">
        <v>201</v>
      </c>
      <c r="U45" s="118">
        <v>175.9</v>
      </c>
      <c r="V45" s="118">
        <v>8.1199999999999992</v>
      </c>
      <c r="W45" s="118">
        <v>-101.9</v>
      </c>
      <c r="X45" s="118">
        <v>11.9</v>
      </c>
      <c r="Y45" s="118">
        <v>0</v>
      </c>
      <c r="Z45" s="118">
        <v>30.010999999999999</v>
      </c>
      <c r="AA45" s="118">
        <v>3.21</v>
      </c>
      <c r="AB45" s="118">
        <v>0</v>
      </c>
      <c r="AC45" s="118" t="s">
        <v>1734</v>
      </c>
      <c r="AD45" s="180" t="s">
        <v>1749</v>
      </c>
      <c r="AE45" s="120" t="s">
        <v>703</v>
      </c>
    </row>
    <row r="46" spans="1:31" x14ac:dyDescent="0.25">
      <c r="A46" s="121" t="s">
        <v>704</v>
      </c>
      <c r="B46" s="188">
        <v>0.4748263888888889</v>
      </c>
      <c r="C46" s="19">
        <v>45852</v>
      </c>
      <c r="D46" s="118">
        <v>250714</v>
      </c>
      <c r="E46" s="118">
        <v>0</v>
      </c>
      <c r="F46" s="118">
        <v>745.8</v>
      </c>
      <c r="G46" s="118">
        <v>526.9</v>
      </c>
      <c r="H46" s="118">
        <v>484</v>
      </c>
      <c r="I46" s="118">
        <v>315</v>
      </c>
      <c r="J46" s="118">
        <v>0.23</v>
      </c>
      <c r="K46" s="118">
        <v>479.3</v>
      </c>
      <c r="L46" s="118">
        <v>0.39200000000000002</v>
      </c>
      <c r="M46" s="118">
        <v>0.4</v>
      </c>
      <c r="N46" s="118">
        <v>0.55600000000000005</v>
      </c>
      <c r="O46" s="118">
        <v>156.1</v>
      </c>
      <c r="P46" s="118">
        <v>11.86</v>
      </c>
      <c r="Q46" s="118">
        <v>159.30000000000001</v>
      </c>
      <c r="R46" s="118">
        <v>40.823860000000003</v>
      </c>
      <c r="S46" s="118">
        <v>-86.795879999999997</v>
      </c>
      <c r="T46" s="118">
        <v>195.2</v>
      </c>
      <c r="U46" s="118">
        <v>126.7</v>
      </c>
      <c r="V46" s="118">
        <v>8.2799999999999994</v>
      </c>
      <c r="W46" s="118">
        <v>-111.7</v>
      </c>
      <c r="X46" s="118">
        <v>12</v>
      </c>
      <c r="Y46" s="118">
        <v>0</v>
      </c>
      <c r="Z46" s="118">
        <v>29.632999999999999</v>
      </c>
      <c r="AA46" s="118">
        <v>5.54</v>
      </c>
      <c r="AB46" s="118">
        <v>0</v>
      </c>
      <c r="AC46" s="118" t="s">
        <v>1735</v>
      </c>
      <c r="AD46" s="180" t="s">
        <v>1748</v>
      </c>
      <c r="AE46" s="121" t="s">
        <v>704</v>
      </c>
    </row>
    <row r="47" spans="1:31" x14ac:dyDescent="0.25">
      <c r="A47" s="121" t="s">
        <v>705</v>
      </c>
      <c r="B47" s="188">
        <v>0.45851851851851849</v>
      </c>
      <c r="C47" s="19">
        <v>45852</v>
      </c>
      <c r="D47" s="118">
        <v>250714</v>
      </c>
      <c r="E47" s="118">
        <v>0</v>
      </c>
      <c r="F47" s="118">
        <v>745.7</v>
      </c>
      <c r="G47" s="118">
        <v>544.6</v>
      </c>
      <c r="H47" s="118">
        <v>513.70000000000005</v>
      </c>
      <c r="I47" s="118">
        <v>334</v>
      </c>
      <c r="J47" s="118">
        <v>0.25</v>
      </c>
      <c r="K47" s="118">
        <v>510.3</v>
      </c>
      <c r="L47" s="118">
        <v>0.41</v>
      </c>
      <c r="M47" s="118">
        <v>0.40300000000000002</v>
      </c>
      <c r="N47" s="118">
        <v>0.58099999999999996</v>
      </c>
      <c r="O47" s="118">
        <v>179</v>
      </c>
      <c r="P47" s="118">
        <v>13.96</v>
      </c>
      <c r="Q47" s="118">
        <v>182.6</v>
      </c>
      <c r="R47" s="118">
        <v>40.834989999999998</v>
      </c>
      <c r="S47" s="118">
        <v>-86.781850000000006</v>
      </c>
      <c r="T47" s="118">
        <v>197</v>
      </c>
      <c r="U47" s="118">
        <v>143.6</v>
      </c>
      <c r="V47" s="118">
        <v>8.44</v>
      </c>
      <c r="W47" s="118">
        <v>-121</v>
      </c>
      <c r="X47" s="118">
        <v>11.9</v>
      </c>
      <c r="Y47" s="118">
        <v>0</v>
      </c>
      <c r="Z47" s="118">
        <v>28.152000000000001</v>
      </c>
      <c r="AA47" s="118">
        <v>31.16</v>
      </c>
      <c r="AB47" s="118">
        <v>0</v>
      </c>
      <c r="AC47" s="118" t="s">
        <v>1736</v>
      </c>
      <c r="AD47" s="180" t="s">
        <v>1749</v>
      </c>
      <c r="AE47" s="121" t="s">
        <v>705</v>
      </c>
    </row>
    <row r="48" spans="1:31" x14ac:dyDescent="0.25">
      <c r="A48" s="121" t="s">
        <v>706</v>
      </c>
      <c r="B48" s="188">
        <v>0.4377314814814815</v>
      </c>
      <c r="C48" s="19">
        <v>45852</v>
      </c>
      <c r="D48" s="118">
        <v>250714</v>
      </c>
      <c r="E48" s="118">
        <v>0</v>
      </c>
      <c r="F48" s="118">
        <v>745.9</v>
      </c>
      <c r="G48" s="118">
        <v>535.6</v>
      </c>
      <c r="H48" s="118">
        <v>498.8</v>
      </c>
      <c r="I48" s="118">
        <v>324</v>
      </c>
      <c r="J48" s="118">
        <v>0.24</v>
      </c>
      <c r="K48" s="118">
        <v>494.7</v>
      </c>
      <c r="L48" s="118">
        <v>0.38400000000000001</v>
      </c>
      <c r="M48" s="118">
        <v>0.36399999999999999</v>
      </c>
      <c r="N48" s="118">
        <v>0.54400000000000004</v>
      </c>
      <c r="O48" s="118">
        <v>162.5</v>
      </c>
      <c r="P48" s="118">
        <v>12.51</v>
      </c>
      <c r="Q48" s="118">
        <v>165.8</v>
      </c>
      <c r="R48" s="118">
        <v>40.811140000000002</v>
      </c>
      <c r="S48" s="118">
        <v>-86.794380000000004</v>
      </c>
      <c r="T48" s="118">
        <v>198.8</v>
      </c>
      <c r="U48" s="118">
        <v>134.4</v>
      </c>
      <c r="V48" s="118">
        <v>8.35</v>
      </c>
      <c r="W48" s="118">
        <v>-115.5</v>
      </c>
      <c r="X48" s="118">
        <v>12</v>
      </c>
      <c r="Y48" s="118">
        <v>0</v>
      </c>
      <c r="Z48" s="118">
        <v>28.870999999999999</v>
      </c>
      <c r="AA48" s="118">
        <v>25.75</v>
      </c>
      <c r="AB48" s="118">
        <v>0</v>
      </c>
      <c r="AC48" s="118" t="s">
        <v>1737</v>
      </c>
      <c r="AD48" s="180" t="s">
        <v>1750</v>
      </c>
      <c r="AE48" s="121" t="s">
        <v>706</v>
      </c>
    </row>
    <row r="49" spans="1:31" x14ac:dyDescent="0.25">
      <c r="A49" s="121" t="s">
        <v>707</v>
      </c>
      <c r="B49" s="188">
        <v>0.41212962962962962</v>
      </c>
      <c r="C49" s="19">
        <v>45852</v>
      </c>
      <c r="D49" s="118">
        <v>250714</v>
      </c>
      <c r="E49" s="118">
        <v>0</v>
      </c>
      <c r="F49" s="118">
        <v>745.8</v>
      </c>
      <c r="G49" s="118">
        <v>553.20000000000005</v>
      </c>
      <c r="H49" s="118">
        <v>515</v>
      </c>
      <c r="I49" s="118">
        <v>335</v>
      </c>
      <c r="J49" s="118">
        <v>0.25</v>
      </c>
      <c r="K49" s="118">
        <v>510.8</v>
      </c>
      <c r="L49" s="118">
        <v>0.35299999999999998</v>
      </c>
      <c r="M49" s="118">
        <v>0.35099999999999998</v>
      </c>
      <c r="N49" s="118">
        <v>0.5</v>
      </c>
      <c r="O49" s="118">
        <v>129.19999999999999</v>
      </c>
      <c r="P49" s="118">
        <v>9.9499999999999993</v>
      </c>
      <c r="Q49" s="118">
        <v>131.80000000000001</v>
      </c>
      <c r="R49" s="118">
        <v>40.80415</v>
      </c>
      <c r="S49" s="118">
        <v>-86.774829999999994</v>
      </c>
      <c r="T49" s="118">
        <v>198.1</v>
      </c>
      <c r="U49" s="118">
        <v>122.2</v>
      </c>
      <c r="V49" s="118">
        <v>8.07</v>
      </c>
      <c r="W49" s="118">
        <v>-99</v>
      </c>
      <c r="X49" s="118">
        <v>11.9</v>
      </c>
      <c r="Y49" s="118">
        <v>0</v>
      </c>
      <c r="Z49" s="118">
        <v>28.888999999999999</v>
      </c>
      <c r="AA49" s="118">
        <v>11.67</v>
      </c>
      <c r="AB49" s="118">
        <v>0</v>
      </c>
      <c r="AC49" s="118" t="s">
        <v>1739</v>
      </c>
      <c r="AD49" s="180" t="s">
        <v>1751</v>
      </c>
      <c r="AE49" s="121" t="s">
        <v>707</v>
      </c>
    </row>
    <row r="50" spans="1:31" x14ac:dyDescent="0.25">
      <c r="A50" s="121" t="s">
        <v>708</v>
      </c>
      <c r="B50" s="188">
        <v>0.38542824074074072</v>
      </c>
      <c r="C50" s="19">
        <v>45852</v>
      </c>
      <c r="D50" s="118">
        <v>250714</v>
      </c>
      <c r="E50" s="118">
        <v>0</v>
      </c>
      <c r="F50" s="118">
        <v>745.4</v>
      </c>
      <c r="G50" s="118">
        <v>545.6</v>
      </c>
      <c r="H50" s="118">
        <v>506.5</v>
      </c>
      <c r="I50" s="118">
        <v>329</v>
      </c>
      <c r="J50" s="118">
        <v>0.24</v>
      </c>
      <c r="K50" s="118">
        <v>502.2</v>
      </c>
      <c r="L50" s="118">
        <v>0.20200000000000001</v>
      </c>
      <c r="M50" s="118">
        <v>0.21199999999999999</v>
      </c>
      <c r="N50" s="118">
        <v>0.28699999999999998</v>
      </c>
      <c r="O50" s="118">
        <v>130.4</v>
      </c>
      <c r="P50" s="118">
        <v>10.01</v>
      </c>
      <c r="Q50" s="118">
        <v>133.1</v>
      </c>
      <c r="R50" s="118">
        <v>40.79468</v>
      </c>
      <c r="S50" s="118">
        <v>-86.774439999999998</v>
      </c>
      <c r="T50" s="118">
        <v>196.1</v>
      </c>
      <c r="U50" s="118">
        <v>135.19999999999999</v>
      </c>
      <c r="V50" s="118">
        <v>8.1199999999999992</v>
      </c>
      <c r="W50" s="118">
        <v>-102</v>
      </c>
      <c r="X50" s="118">
        <v>12</v>
      </c>
      <c r="Y50" s="118">
        <v>0</v>
      </c>
      <c r="Z50" s="118">
        <v>29.047999999999998</v>
      </c>
      <c r="AA50" s="118">
        <v>13.37</v>
      </c>
      <c r="AB50" s="118">
        <v>0</v>
      </c>
      <c r="AC50" s="118" t="s">
        <v>1741</v>
      </c>
      <c r="AD50" s="180">
        <v>10</v>
      </c>
      <c r="AE50" s="121" t="s">
        <v>708</v>
      </c>
    </row>
    <row r="51" spans="1:31" x14ac:dyDescent="0.25">
      <c r="A51" s="121" t="s">
        <v>709</v>
      </c>
      <c r="B51" s="188">
        <v>0.35517361111111112</v>
      </c>
      <c r="C51" s="19">
        <v>45852</v>
      </c>
      <c r="D51" s="118">
        <v>250714</v>
      </c>
      <c r="E51" s="118">
        <v>0</v>
      </c>
      <c r="F51" s="118">
        <v>745.6</v>
      </c>
      <c r="G51" s="118">
        <v>569.9</v>
      </c>
      <c r="H51" s="118">
        <v>532</v>
      </c>
      <c r="I51" s="118">
        <v>346</v>
      </c>
      <c r="J51" s="118">
        <v>0.25</v>
      </c>
      <c r="K51" s="118">
        <v>527.9</v>
      </c>
      <c r="L51" s="118">
        <v>0.312</v>
      </c>
      <c r="M51" s="118">
        <v>0.32500000000000001</v>
      </c>
      <c r="N51" s="118">
        <v>0.442</v>
      </c>
      <c r="O51" s="118">
        <v>153.19999999999999</v>
      </c>
      <c r="P51" s="118">
        <v>11.83</v>
      </c>
      <c r="Q51" s="118">
        <v>156.30000000000001</v>
      </c>
      <c r="R51" s="118">
        <v>40.78875</v>
      </c>
      <c r="S51" s="118">
        <v>-86.772220000000004</v>
      </c>
      <c r="T51" s="118">
        <v>196.2</v>
      </c>
      <c r="U51" s="118">
        <v>179.3</v>
      </c>
      <c r="V51" s="118">
        <v>8.17</v>
      </c>
      <c r="W51" s="118">
        <v>-104.9</v>
      </c>
      <c r="X51" s="118">
        <v>11.9</v>
      </c>
      <c r="Y51" s="118">
        <v>0</v>
      </c>
      <c r="Z51" s="118">
        <v>28.73</v>
      </c>
      <c r="AA51" s="118">
        <v>7.04</v>
      </c>
      <c r="AB51" s="118">
        <v>0</v>
      </c>
      <c r="AC51" s="118" t="s">
        <v>1742</v>
      </c>
      <c r="AD51" s="180">
        <v>11</v>
      </c>
      <c r="AE51" s="121" t="s">
        <v>709</v>
      </c>
    </row>
    <row r="52" spans="1:31" x14ac:dyDescent="0.25">
      <c r="A52" s="121" t="s">
        <v>710</v>
      </c>
      <c r="B52" s="188">
        <v>0.36962962962962964</v>
      </c>
      <c r="C52" s="19">
        <v>45852</v>
      </c>
      <c r="D52" s="118">
        <v>250714</v>
      </c>
      <c r="E52" s="118">
        <v>0</v>
      </c>
      <c r="F52" s="118">
        <v>745.6</v>
      </c>
      <c r="G52" s="118">
        <v>575.1</v>
      </c>
      <c r="H52" s="118">
        <v>536.1</v>
      </c>
      <c r="I52" s="118">
        <v>348</v>
      </c>
      <c r="J52" s="118">
        <v>0.26</v>
      </c>
      <c r="K52" s="118">
        <v>531.79999999999995</v>
      </c>
      <c r="L52" s="118">
        <v>0.32200000000000001</v>
      </c>
      <c r="M52" s="118">
        <v>0.33100000000000002</v>
      </c>
      <c r="N52" s="118">
        <v>0.45600000000000002</v>
      </c>
      <c r="O52" s="118">
        <v>131.5</v>
      </c>
      <c r="P52" s="118">
        <v>10.130000000000001</v>
      </c>
      <c r="Q52" s="118">
        <v>134.19999999999999</v>
      </c>
      <c r="R52" s="118">
        <v>40.782510000000002</v>
      </c>
      <c r="S52" s="118">
        <v>-86.762129999999999</v>
      </c>
      <c r="T52" s="118">
        <v>198</v>
      </c>
      <c r="U52" s="118">
        <v>89.4</v>
      </c>
      <c r="V52" s="118">
        <v>8.11</v>
      </c>
      <c r="W52" s="118">
        <v>-101.2</v>
      </c>
      <c r="X52" s="118">
        <v>11.9</v>
      </c>
      <c r="Y52" s="118">
        <v>0</v>
      </c>
      <c r="Z52" s="118">
        <v>28.81</v>
      </c>
      <c r="AA52" s="118">
        <v>5.77</v>
      </c>
      <c r="AB52" s="118">
        <v>0</v>
      </c>
      <c r="AC52" s="118" t="s">
        <v>1743</v>
      </c>
      <c r="AD52" s="180">
        <v>12</v>
      </c>
      <c r="AE52" s="121" t="s">
        <v>710</v>
      </c>
    </row>
    <row r="53" spans="1:31" x14ac:dyDescent="0.25">
      <c r="A53" s="121" t="s">
        <v>711</v>
      </c>
      <c r="B53" s="188">
        <v>0.42702546296296295</v>
      </c>
      <c r="C53" s="19">
        <v>45852</v>
      </c>
      <c r="D53" s="118">
        <v>250714</v>
      </c>
      <c r="E53" s="118">
        <v>0</v>
      </c>
      <c r="F53" s="118">
        <v>745.8</v>
      </c>
      <c r="G53" s="118">
        <v>540.29999999999995</v>
      </c>
      <c r="H53" s="118">
        <v>506.6</v>
      </c>
      <c r="I53" s="118">
        <v>329</v>
      </c>
      <c r="J53" s="118">
        <v>0.24</v>
      </c>
      <c r="K53" s="118">
        <v>502.9</v>
      </c>
      <c r="L53" s="118">
        <v>0.27</v>
      </c>
      <c r="M53" s="118">
        <v>0.28499999999999998</v>
      </c>
      <c r="N53" s="118">
        <v>0.38200000000000001</v>
      </c>
      <c r="O53" s="118">
        <v>108.2</v>
      </c>
      <c r="P53" s="118">
        <v>8.39</v>
      </c>
      <c r="Q53" s="118">
        <v>110.4</v>
      </c>
      <c r="R53" s="118">
        <v>40.807360000000003</v>
      </c>
      <c r="S53" s="118">
        <v>-86.785309999999996</v>
      </c>
      <c r="T53" s="118">
        <v>196.6</v>
      </c>
      <c r="U53" s="118">
        <v>120</v>
      </c>
      <c r="V53" s="118">
        <v>7.93</v>
      </c>
      <c r="W53" s="118">
        <v>-90</v>
      </c>
      <c r="X53" s="118">
        <v>11.9</v>
      </c>
      <c r="Y53" s="118">
        <v>0</v>
      </c>
      <c r="Z53" s="118">
        <v>28.478999999999999</v>
      </c>
      <c r="AA53" s="118">
        <v>25.25</v>
      </c>
      <c r="AB53" s="118">
        <v>0</v>
      </c>
      <c r="AC53" s="118" t="s">
        <v>1738</v>
      </c>
      <c r="AD53" s="180">
        <v>14</v>
      </c>
      <c r="AE53" s="121" t="s">
        <v>711</v>
      </c>
    </row>
    <row r="54" spans="1:31" x14ac:dyDescent="0.25">
      <c r="A54" s="121" t="s">
        <v>712</v>
      </c>
      <c r="B54" s="188">
        <v>0.39743055555555556</v>
      </c>
      <c r="C54" s="19">
        <v>45852</v>
      </c>
      <c r="D54" s="118">
        <v>250714</v>
      </c>
      <c r="E54" s="118">
        <v>0</v>
      </c>
      <c r="F54" s="118">
        <v>745.6</v>
      </c>
      <c r="G54" s="118">
        <v>542.9</v>
      </c>
      <c r="H54" s="118">
        <v>506.2</v>
      </c>
      <c r="I54" s="118">
        <v>329</v>
      </c>
      <c r="J54" s="118">
        <v>0.24</v>
      </c>
      <c r="K54" s="118">
        <v>502.2</v>
      </c>
      <c r="L54" s="118">
        <v>0.39900000000000002</v>
      </c>
      <c r="M54" s="118">
        <v>0.38100000000000001</v>
      </c>
      <c r="N54" s="118">
        <v>0.56499999999999995</v>
      </c>
      <c r="O54" s="118">
        <v>122.1</v>
      </c>
      <c r="P54" s="118">
        <v>9.41</v>
      </c>
      <c r="Q54" s="118">
        <v>124.5</v>
      </c>
      <c r="R54" s="118">
        <v>40.799219999999998</v>
      </c>
      <c r="S54" s="118">
        <v>-86.777739999999994</v>
      </c>
      <c r="T54" s="118">
        <v>193.8</v>
      </c>
      <c r="U54" s="118">
        <v>143.9</v>
      </c>
      <c r="V54" s="118">
        <v>8.0500000000000007</v>
      </c>
      <c r="W54" s="118">
        <v>-97.5</v>
      </c>
      <c r="X54" s="118">
        <v>12</v>
      </c>
      <c r="Y54" s="118">
        <v>0</v>
      </c>
      <c r="Z54" s="118">
        <v>28.79</v>
      </c>
      <c r="AA54" s="118">
        <v>15.31</v>
      </c>
      <c r="AB54" s="118">
        <v>0</v>
      </c>
      <c r="AC54" s="118" t="s">
        <v>1740</v>
      </c>
      <c r="AD54" s="180">
        <v>15</v>
      </c>
      <c r="AE54" s="121" t="s">
        <v>712</v>
      </c>
    </row>
    <row r="55" spans="1:31" x14ac:dyDescent="0.25">
      <c r="A55" s="119" t="s">
        <v>713</v>
      </c>
      <c r="B55" s="188">
        <v>0.51621527777777776</v>
      </c>
      <c r="C55" s="19">
        <v>45867</v>
      </c>
      <c r="D55" s="118">
        <v>250729</v>
      </c>
      <c r="E55" s="118">
        <v>0</v>
      </c>
      <c r="F55" s="118">
        <v>743.9</v>
      </c>
      <c r="G55" s="118">
        <v>389.9</v>
      </c>
      <c r="H55" s="118">
        <v>346.1</v>
      </c>
      <c r="I55" s="118">
        <v>225</v>
      </c>
      <c r="J55" s="118">
        <v>0.16</v>
      </c>
      <c r="K55" s="118">
        <v>341.1</v>
      </c>
      <c r="L55" s="118">
        <v>0.28899999999999998</v>
      </c>
      <c r="M55" s="118">
        <v>0.28399999999999997</v>
      </c>
      <c r="N55" s="118">
        <v>0.40899999999999997</v>
      </c>
      <c r="O55" s="118">
        <v>205.5</v>
      </c>
      <c r="P55" s="118">
        <v>15.09</v>
      </c>
      <c r="Q55" s="118">
        <v>209.2</v>
      </c>
      <c r="R55" s="118">
        <v>40.68141</v>
      </c>
      <c r="S55" s="118">
        <v>-85.888509999999997</v>
      </c>
      <c r="T55" s="118">
        <v>223.4</v>
      </c>
      <c r="U55" s="118">
        <v>97.2</v>
      </c>
      <c r="V55" s="118">
        <v>8.9</v>
      </c>
      <c r="W55" s="118">
        <v>-158.30000000000001</v>
      </c>
      <c r="X55" s="118">
        <v>12</v>
      </c>
      <c r="Y55" s="118">
        <v>0</v>
      </c>
      <c r="Z55" s="118">
        <v>31.632999999999999</v>
      </c>
      <c r="AA55" s="118">
        <v>26.61</v>
      </c>
      <c r="AB55" s="118">
        <v>0</v>
      </c>
      <c r="AC55" s="118" t="s">
        <v>1717</v>
      </c>
      <c r="AD55" s="180" t="s">
        <v>1744</v>
      </c>
      <c r="AE55" s="119" t="s">
        <v>713</v>
      </c>
    </row>
    <row r="56" spans="1:31" x14ac:dyDescent="0.25">
      <c r="A56" s="119" t="s">
        <v>714</v>
      </c>
      <c r="B56" s="188">
        <v>0.52935185185185185</v>
      </c>
      <c r="C56" s="19">
        <v>45867</v>
      </c>
      <c r="D56" s="118">
        <v>250729</v>
      </c>
      <c r="E56" s="118">
        <v>0</v>
      </c>
      <c r="F56" s="118">
        <v>743.8</v>
      </c>
      <c r="G56" s="118">
        <v>391.6</v>
      </c>
      <c r="H56" s="118">
        <v>347</v>
      </c>
      <c r="I56" s="118">
        <v>226</v>
      </c>
      <c r="J56" s="118">
        <v>0.16</v>
      </c>
      <c r="K56" s="118">
        <v>342</v>
      </c>
      <c r="L56" s="118">
        <v>0.223</v>
      </c>
      <c r="M56" s="118">
        <v>0.23499999999999999</v>
      </c>
      <c r="N56" s="118">
        <v>0.316</v>
      </c>
      <c r="O56" s="118">
        <v>260.89999999999998</v>
      </c>
      <c r="P56" s="118">
        <v>19.13</v>
      </c>
      <c r="Q56" s="118">
        <v>265.5</v>
      </c>
      <c r="R56" s="118">
        <v>40.676760000000002</v>
      </c>
      <c r="S56" s="118">
        <v>-85.877080000000007</v>
      </c>
      <c r="T56" s="118">
        <v>223.4</v>
      </c>
      <c r="U56" s="118">
        <v>85.6</v>
      </c>
      <c r="V56" s="118">
        <v>9.06</v>
      </c>
      <c r="W56" s="118">
        <v>-168.8</v>
      </c>
      <c r="X56" s="118">
        <v>12</v>
      </c>
      <c r="Y56" s="118">
        <v>0</v>
      </c>
      <c r="Z56" s="118">
        <v>31.73</v>
      </c>
      <c r="AA56" s="118">
        <v>37.090000000000003</v>
      </c>
      <c r="AB56" s="118">
        <v>0</v>
      </c>
      <c r="AC56" s="118" t="s">
        <v>1716</v>
      </c>
      <c r="AD56" s="180" t="s">
        <v>1745</v>
      </c>
      <c r="AE56" s="119" t="s">
        <v>714</v>
      </c>
    </row>
    <row r="57" spans="1:31" x14ac:dyDescent="0.25">
      <c r="A57" s="119" t="s">
        <v>715</v>
      </c>
      <c r="B57" s="188">
        <v>0.54212962962962963</v>
      </c>
      <c r="C57" s="19">
        <v>45867</v>
      </c>
      <c r="D57" s="118">
        <v>250729</v>
      </c>
      <c r="E57" s="118">
        <v>0</v>
      </c>
      <c r="F57" s="118">
        <v>743.8</v>
      </c>
      <c r="G57" s="118">
        <v>417.6</v>
      </c>
      <c r="H57" s="118">
        <v>371.7</v>
      </c>
      <c r="I57" s="118">
        <v>242</v>
      </c>
      <c r="J57" s="118">
        <v>0.17</v>
      </c>
      <c r="K57" s="118">
        <v>366.5</v>
      </c>
      <c r="L57" s="118">
        <v>0.28499999999999998</v>
      </c>
      <c r="M57" s="118">
        <v>0.29299999999999998</v>
      </c>
      <c r="N57" s="118">
        <v>0.40400000000000003</v>
      </c>
      <c r="O57" s="118">
        <v>257.89999999999998</v>
      </c>
      <c r="P57" s="118">
        <v>18.989999999999998</v>
      </c>
      <c r="Q57" s="118">
        <v>262.5</v>
      </c>
      <c r="R57" s="118">
        <v>40.670529999999999</v>
      </c>
      <c r="S57" s="118">
        <v>-85.8703</v>
      </c>
      <c r="T57" s="118">
        <v>224.3</v>
      </c>
      <c r="U57" s="118">
        <v>129.9</v>
      </c>
      <c r="V57" s="118">
        <v>8.9600000000000009</v>
      </c>
      <c r="W57" s="118">
        <v>-162.6</v>
      </c>
      <c r="X57" s="118">
        <v>12</v>
      </c>
      <c r="Y57" s="118">
        <v>0</v>
      </c>
      <c r="Z57" s="118">
        <v>31.465</v>
      </c>
      <c r="AA57" s="118">
        <v>31.53</v>
      </c>
      <c r="AB57" s="118">
        <v>0</v>
      </c>
      <c r="AC57" s="118" t="s">
        <v>1715</v>
      </c>
      <c r="AD57" s="180" t="s">
        <v>1746</v>
      </c>
      <c r="AE57" s="119" t="s">
        <v>715</v>
      </c>
    </row>
    <row r="58" spans="1:31" x14ac:dyDescent="0.25">
      <c r="A58" s="119" t="s">
        <v>716</v>
      </c>
      <c r="B58" s="188">
        <v>0.55318287037037039</v>
      </c>
      <c r="C58" s="19">
        <v>45867</v>
      </c>
      <c r="D58" s="118">
        <v>250729</v>
      </c>
      <c r="E58" s="118">
        <v>0</v>
      </c>
      <c r="F58" s="118">
        <v>743.8</v>
      </c>
      <c r="G58" s="118">
        <v>431.9</v>
      </c>
      <c r="H58" s="118">
        <v>380.9</v>
      </c>
      <c r="I58" s="118">
        <v>248</v>
      </c>
      <c r="J58" s="118">
        <v>0.18</v>
      </c>
      <c r="K58" s="118">
        <v>375.1</v>
      </c>
      <c r="L58" s="118">
        <v>0.248</v>
      </c>
      <c r="M58" s="118">
        <v>0.252</v>
      </c>
      <c r="N58" s="118">
        <v>0.35199999999999998</v>
      </c>
      <c r="O58" s="118">
        <v>324.5</v>
      </c>
      <c r="P58" s="118">
        <v>23.69</v>
      </c>
      <c r="Q58" s="118">
        <v>330.2</v>
      </c>
      <c r="R58" s="118">
        <v>40.662990000000001</v>
      </c>
      <c r="S58" s="118">
        <v>-85.866550000000004</v>
      </c>
      <c r="T58" s="118">
        <v>222.9</v>
      </c>
      <c r="U58" s="118">
        <v>111.9</v>
      </c>
      <c r="V58" s="118">
        <v>9.1</v>
      </c>
      <c r="W58" s="118">
        <v>-171.2</v>
      </c>
      <c r="X58" s="118">
        <v>11.9</v>
      </c>
      <c r="Y58" s="118">
        <v>0</v>
      </c>
      <c r="Z58" s="118">
        <v>32.011000000000003</v>
      </c>
      <c r="AA58" s="118">
        <v>44.4</v>
      </c>
      <c r="AB58" s="118">
        <v>0</v>
      </c>
      <c r="AC58" s="118" t="s">
        <v>1714</v>
      </c>
      <c r="AD58" s="180" t="s">
        <v>1747</v>
      </c>
      <c r="AE58" s="119" t="s">
        <v>716</v>
      </c>
    </row>
    <row r="59" spans="1:31" x14ac:dyDescent="0.25">
      <c r="A59" s="119" t="s">
        <v>717</v>
      </c>
      <c r="B59" s="188">
        <v>0.57125000000000004</v>
      </c>
      <c r="C59" s="19">
        <v>45867</v>
      </c>
      <c r="D59" s="118">
        <v>250729</v>
      </c>
      <c r="E59" s="118">
        <v>0</v>
      </c>
      <c r="F59" s="118">
        <v>743.8</v>
      </c>
      <c r="G59" s="118">
        <v>422.6</v>
      </c>
      <c r="H59" s="118">
        <v>376.5</v>
      </c>
      <c r="I59" s="118">
        <v>245</v>
      </c>
      <c r="J59" s="118">
        <v>0.18</v>
      </c>
      <c r="K59" s="118">
        <v>371.3</v>
      </c>
      <c r="L59" s="118">
        <v>0.23799999999999999</v>
      </c>
      <c r="M59" s="118">
        <v>0.25</v>
      </c>
      <c r="N59" s="118">
        <v>0.33700000000000002</v>
      </c>
      <c r="O59" s="118">
        <v>301.7</v>
      </c>
      <c r="P59" s="118">
        <v>22.24</v>
      </c>
      <c r="Q59" s="118">
        <v>307</v>
      </c>
      <c r="R59" s="118">
        <v>40.668489999999998</v>
      </c>
      <c r="S59" s="118">
        <v>-85.848150000000004</v>
      </c>
      <c r="T59" s="118">
        <v>225.1</v>
      </c>
      <c r="U59" s="118">
        <v>120.7</v>
      </c>
      <c r="V59" s="118">
        <v>9.08</v>
      </c>
      <c r="W59" s="118">
        <v>-170</v>
      </c>
      <c r="X59" s="118">
        <v>11.9</v>
      </c>
      <c r="Y59" s="118">
        <v>0</v>
      </c>
      <c r="Z59" s="118">
        <v>31.411999999999999</v>
      </c>
      <c r="AA59" s="118">
        <v>62.51</v>
      </c>
      <c r="AB59" s="118">
        <v>0</v>
      </c>
      <c r="AC59" s="118" t="s">
        <v>1713</v>
      </c>
      <c r="AD59" s="180" t="s">
        <v>1748</v>
      </c>
      <c r="AE59" s="119" t="s">
        <v>717</v>
      </c>
    </row>
    <row r="60" spans="1:31" x14ac:dyDescent="0.25">
      <c r="A60" s="119" t="s">
        <v>718</v>
      </c>
      <c r="B60" s="188">
        <v>0.59843749999999996</v>
      </c>
      <c r="C60" s="19">
        <v>45867</v>
      </c>
      <c r="D60" s="118">
        <v>250729</v>
      </c>
      <c r="E60" s="118">
        <v>0</v>
      </c>
      <c r="F60" s="118">
        <v>743.9</v>
      </c>
      <c r="G60" s="118">
        <v>443.8</v>
      </c>
      <c r="H60" s="118">
        <v>392.5</v>
      </c>
      <c r="I60" s="118">
        <v>255</v>
      </c>
      <c r="J60" s="118">
        <v>0.18</v>
      </c>
      <c r="K60" s="118">
        <v>386.7</v>
      </c>
      <c r="L60" s="118">
        <v>0.20399999999999999</v>
      </c>
      <c r="M60" s="118">
        <v>0.192</v>
      </c>
      <c r="N60" s="118">
        <v>0.28899999999999998</v>
      </c>
      <c r="O60" s="118">
        <v>354.1</v>
      </c>
      <c r="P60" s="118">
        <v>25.92</v>
      </c>
      <c r="Q60" s="118">
        <v>360.4</v>
      </c>
      <c r="R60" s="118">
        <v>40.67371</v>
      </c>
      <c r="S60" s="118">
        <v>-85.831890000000001</v>
      </c>
      <c r="T60" s="118">
        <v>222.1</v>
      </c>
      <c r="U60" s="118">
        <v>98.5</v>
      </c>
      <c r="V60" s="118">
        <v>9.14</v>
      </c>
      <c r="W60" s="118">
        <v>-173.9</v>
      </c>
      <c r="X60" s="118">
        <v>12</v>
      </c>
      <c r="Y60" s="118">
        <v>0</v>
      </c>
      <c r="Z60" s="118">
        <v>31.838999999999999</v>
      </c>
      <c r="AA60" s="118">
        <v>70.2</v>
      </c>
      <c r="AB60" s="118">
        <v>0</v>
      </c>
      <c r="AC60" s="118" t="s">
        <v>1712</v>
      </c>
      <c r="AD60" s="180" t="s">
        <v>1749</v>
      </c>
      <c r="AE60" s="119" t="s">
        <v>718</v>
      </c>
    </row>
    <row r="61" spans="1:31" x14ac:dyDescent="0.25">
      <c r="A61" s="119" t="s">
        <v>719</v>
      </c>
      <c r="B61" s="188">
        <v>0.38885416666666667</v>
      </c>
      <c r="C61" s="19">
        <v>45867</v>
      </c>
      <c r="D61" s="118">
        <v>250729</v>
      </c>
      <c r="E61" s="118">
        <v>0</v>
      </c>
      <c r="F61" s="118">
        <v>744.3</v>
      </c>
      <c r="G61" s="118">
        <v>382.1</v>
      </c>
      <c r="H61" s="118">
        <v>346.7</v>
      </c>
      <c r="I61" s="118">
        <v>225</v>
      </c>
      <c r="J61" s="118">
        <v>0.16</v>
      </c>
      <c r="K61" s="118">
        <v>342.8</v>
      </c>
      <c r="L61" s="118">
        <v>0.24099999999999999</v>
      </c>
      <c r="M61" s="118">
        <v>0.23400000000000001</v>
      </c>
      <c r="N61" s="118">
        <v>0.34100000000000003</v>
      </c>
      <c r="O61" s="118">
        <v>198.1</v>
      </c>
      <c r="P61" s="118">
        <v>14.87</v>
      </c>
      <c r="Q61" s="118">
        <v>201.6</v>
      </c>
      <c r="R61" s="118">
        <v>40.687800000000003</v>
      </c>
      <c r="S61" s="118">
        <v>-85.896519999999995</v>
      </c>
      <c r="T61" s="118">
        <v>220.6</v>
      </c>
      <c r="U61" s="118">
        <v>222.6</v>
      </c>
      <c r="V61" s="118">
        <v>8.77</v>
      </c>
      <c r="W61" s="118">
        <v>-149.9</v>
      </c>
      <c r="X61" s="118">
        <v>12</v>
      </c>
      <c r="Y61" s="118">
        <v>0</v>
      </c>
      <c r="Z61" s="118">
        <v>30.338000000000001</v>
      </c>
      <c r="AA61" s="118">
        <v>26.58</v>
      </c>
      <c r="AB61" s="118">
        <v>0</v>
      </c>
      <c r="AC61" s="118" t="s">
        <v>1724</v>
      </c>
      <c r="AD61" s="180" t="s">
        <v>1752</v>
      </c>
      <c r="AE61" s="119" t="s">
        <v>719</v>
      </c>
    </row>
    <row r="62" spans="1:31" x14ac:dyDescent="0.25">
      <c r="A62" s="119" t="s">
        <v>720</v>
      </c>
      <c r="B62" s="188">
        <v>0.40739583333333335</v>
      </c>
      <c r="C62" s="19">
        <v>45867</v>
      </c>
      <c r="D62" s="118">
        <v>250729</v>
      </c>
      <c r="E62" s="118">
        <v>0</v>
      </c>
      <c r="F62" s="118">
        <v>744.1</v>
      </c>
      <c r="G62" s="118">
        <v>380.5</v>
      </c>
      <c r="H62" s="118">
        <v>345.4</v>
      </c>
      <c r="I62" s="118">
        <v>225</v>
      </c>
      <c r="J62" s="118">
        <v>0.16</v>
      </c>
      <c r="K62" s="118">
        <v>341.5</v>
      </c>
      <c r="L62" s="118">
        <v>0.316</v>
      </c>
      <c r="M62" s="118">
        <v>0.32600000000000001</v>
      </c>
      <c r="N62" s="118">
        <v>0.44700000000000001</v>
      </c>
      <c r="O62" s="118">
        <v>174.3</v>
      </c>
      <c r="P62" s="118">
        <v>13.1</v>
      </c>
      <c r="Q62" s="118">
        <v>177.4</v>
      </c>
      <c r="R62" s="118">
        <v>40.69173</v>
      </c>
      <c r="S62" s="118">
        <v>-85.908259999999999</v>
      </c>
      <c r="T62" s="118">
        <v>229.4</v>
      </c>
      <c r="U62" s="118">
        <v>162.1</v>
      </c>
      <c r="V62" s="118">
        <v>8.7799999999999994</v>
      </c>
      <c r="W62" s="118">
        <v>-150.69999999999999</v>
      </c>
      <c r="X62" s="118">
        <v>12</v>
      </c>
      <c r="Y62" s="118">
        <v>0</v>
      </c>
      <c r="Z62" s="118">
        <v>30.317</v>
      </c>
      <c r="AA62" s="118">
        <v>18.95</v>
      </c>
      <c r="AB62" s="118">
        <v>0</v>
      </c>
      <c r="AC62" s="118" t="s">
        <v>1722</v>
      </c>
      <c r="AD62" s="180" t="s">
        <v>1750</v>
      </c>
      <c r="AE62" s="119" t="s">
        <v>720</v>
      </c>
    </row>
    <row r="63" spans="1:31" x14ac:dyDescent="0.25">
      <c r="A63" s="119" t="s">
        <v>721</v>
      </c>
      <c r="B63" s="188">
        <v>0.43927083333333333</v>
      </c>
      <c r="C63" s="19">
        <v>45867</v>
      </c>
      <c r="D63" s="118">
        <v>250729</v>
      </c>
      <c r="E63" s="118">
        <v>0</v>
      </c>
      <c r="F63" s="118">
        <v>743.2</v>
      </c>
      <c r="G63" s="118">
        <v>372.2</v>
      </c>
      <c r="H63" s="118">
        <v>336.1</v>
      </c>
      <c r="I63" s="118">
        <v>218</v>
      </c>
      <c r="J63" s="118">
        <v>0.16</v>
      </c>
      <c r="K63" s="118">
        <v>332.1</v>
      </c>
      <c r="L63" s="118">
        <v>0.20699999999999999</v>
      </c>
      <c r="M63" s="118">
        <v>0.192</v>
      </c>
      <c r="N63" s="118">
        <v>0.29299999999999998</v>
      </c>
      <c r="O63" s="118">
        <v>169.9</v>
      </c>
      <c r="P63" s="118">
        <v>12.69</v>
      </c>
      <c r="Q63" s="118">
        <v>172.9</v>
      </c>
      <c r="R63" s="118">
        <v>40.704459999999997</v>
      </c>
      <c r="S63" s="118">
        <v>-85.930430000000001</v>
      </c>
      <c r="T63" s="118">
        <v>220.6</v>
      </c>
      <c r="U63" s="118">
        <v>134.19999999999999</v>
      </c>
      <c r="V63" s="118">
        <v>8.8800000000000008</v>
      </c>
      <c r="W63" s="118">
        <v>-156.80000000000001</v>
      </c>
      <c r="X63" s="118">
        <v>11.9</v>
      </c>
      <c r="Y63" s="118">
        <v>0</v>
      </c>
      <c r="Z63" s="118">
        <v>30.617999999999999</v>
      </c>
      <c r="AA63" s="118">
        <v>15.56</v>
      </c>
      <c r="AB63" s="118">
        <v>0</v>
      </c>
      <c r="AC63" s="118" t="s">
        <v>1718</v>
      </c>
      <c r="AD63" s="180" t="s">
        <v>1751</v>
      </c>
      <c r="AE63" s="119" t="s">
        <v>721</v>
      </c>
    </row>
    <row r="64" spans="1:31" x14ac:dyDescent="0.25">
      <c r="A64" s="119" t="s">
        <v>722</v>
      </c>
      <c r="B64" s="188">
        <v>0.42021990740740739</v>
      </c>
      <c r="C64" s="19">
        <v>45867</v>
      </c>
      <c r="D64" s="118">
        <v>250729</v>
      </c>
      <c r="E64" s="118">
        <v>0</v>
      </c>
      <c r="F64" s="118">
        <v>743.8</v>
      </c>
      <c r="G64" s="118">
        <v>380.4</v>
      </c>
      <c r="H64" s="118">
        <v>346.1</v>
      </c>
      <c r="I64" s="118">
        <v>225</v>
      </c>
      <c r="J64" s="118">
        <v>0.16</v>
      </c>
      <c r="K64" s="118">
        <v>342.3</v>
      </c>
      <c r="L64" s="118">
        <v>0.14299999999999999</v>
      </c>
      <c r="M64" s="118">
        <v>0.13800000000000001</v>
      </c>
      <c r="N64" s="118">
        <v>0.20300000000000001</v>
      </c>
      <c r="O64" s="118">
        <v>167.6</v>
      </c>
      <c r="P64" s="118">
        <v>12.62</v>
      </c>
      <c r="Q64" s="118">
        <v>170.6</v>
      </c>
      <c r="R64" s="118">
        <v>40.693289999999998</v>
      </c>
      <c r="S64" s="118">
        <v>-85.920230000000004</v>
      </c>
      <c r="T64" s="118">
        <v>220.9</v>
      </c>
      <c r="U64" s="118">
        <v>153.19999999999999</v>
      </c>
      <c r="V64" s="118">
        <v>8.77</v>
      </c>
      <c r="W64" s="118">
        <v>-149.80000000000001</v>
      </c>
      <c r="X64" s="118">
        <v>12</v>
      </c>
      <c r="Y64" s="118">
        <v>0</v>
      </c>
      <c r="Z64" s="118">
        <v>30.183</v>
      </c>
      <c r="AA64" s="118">
        <v>18.72</v>
      </c>
      <c r="AB64" s="118">
        <v>0</v>
      </c>
      <c r="AC64" s="118" t="s">
        <v>1725</v>
      </c>
      <c r="AD64" s="180">
        <v>10</v>
      </c>
      <c r="AE64" s="119" t="s">
        <v>722</v>
      </c>
    </row>
    <row r="65" spans="1:31" x14ac:dyDescent="0.25">
      <c r="A65" s="119" t="s">
        <v>723</v>
      </c>
      <c r="B65" s="188">
        <v>0.44982638888888887</v>
      </c>
      <c r="C65" s="19">
        <v>45867</v>
      </c>
      <c r="D65" s="118">
        <v>250729</v>
      </c>
      <c r="E65" s="118">
        <v>0</v>
      </c>
      <c r="F65" s="118">
        <v>743.5</v>
      </c>
      <c r="G65" s="118">
        <v>374.7</v>
      </c>
      <c r="H65" s="118">
        <v>339.7</v>
      </c>
      <c r="I65" s="118">
        <v>221</v>
      </c>
      <c r="J65" s="118">
        <v>0.16</v>
      </c>
      <c r="K65" s="118">
        <v>335.8</v>
      </c>
      <c r="L65" s="118">
        <v>0.17499999999999999</v>
      </c>
      <c r="M65" s="118">
        <v>0.158</v>
      </c>
      <c r="N65" s="118">
        <v>0.247</v>
      </c>
      <c r="O65" s="118">
        <v>165.6</v>
      </c>
      <c r="P65" s="118">
        <v>12.42</v>
      </c>
      <c r="Q65" s="118">
        <v>168.5</v>
      </c>
      <c r="R65" s="118">
        <v>40.710889999999999</v>
      </c>
      <c r="S65" s="118">
        <v>-85.938289999999995</v>
      </c>
      <c r="T65" s="118">
        <v>224.3</v>
      </c>
      <c r="U65" s="118">
        <v>136</v>
      </c>
      <c r="V65" s="118">
        <v>8.84</v>
      </c>
      <c r="W65" s="118">
        <v>-154</v>
      </c>
      <c r="X65" s="118">
        <v>12</v>
      </c>
      <c r="Y65" s="118">
        <v>0</v>
      </c>
      <c r="Z65" s="118">
        <v>30.39</v>
      </c>
      <c r="AA65" s="118">
        <v>17.260000000000002</v>
      </c>
      <c r="AB65" s="118">
        <v>0</v>
      </c>
      <c r="AC65" s="118" t="s">
        <v>1719</v>
      </c>
      <c r="AD65" s="180">
        <v>11</v>
      </c>
      <c r="AE65" s="119" t="s">
        <v>723</v>
      </c>
    </row>
    <row r="66" spans="1:31" x14ac:dyDescent="0.25">
      <c r="A66" s="119" t="s">
        <v>724</v>
      </c>
      <c r="B66" s="188">
        <v>0.46525462962962966</v>
      </c>
      <c r="C66" s="19">
        <v>45867</v>
      </c>
      <c r="D66" s="118">
        <v>250729</v>
      </c>
      <c r="E66" s="118">
        <v>0</v>
      </c>
      <c r="F66" s="118">
        <v>743.5</v>
      </c>
      <c r="G66" s="118">
        <v>371.7</v>
      </c>
      <c r="H66" s="118">
        <v>340.4</v>
      </c>
      <c r="I66" s="118">
        <v>221</v>
      </c>
      <c r="J66" s="118">
        <v>0.16</v>
      </c>
      <c r="K66" s="118">
        <v>336.9</v>
      </c>
      <c r="L66" s="118">
        <v>0.36199999999999999</v>
      </c>
      <c r="M66" s="118">
        <v>0.36499999999999999</v>
      </c>
      <c r="N66" s="118">
        <v>0.51300000000000001</v>
      </c>
      <c r="O66" s="118">
        <v>169.2</v>
      </c>
      <c r="P66" s="118">
        <v>12.81</v>
      </c>
      <c r="Q66" s="118">
        <v>172.2</v>
      </c>
      <c r="R66" s="118">
        <v>40.711689999999997</v>
      </c>
      <c r="S66" s="118">
        <v>-85.951260000000005</v>
      </c>
      <c r="T66" s="118">
        <v>221.9</v>
      </c>
      <c r="U66" s="118">
        <v>130.80000000000001</v>
      </c>
      <c r="V66" s="118">
        <v>8.8699999999999992</v>
      </c>
      <c r="W66" s="118">
        <v>-156.19999999999999</v>
      </c>
      <c r="X66" s="118">
        <v>12</v>
      </c>
      <c r="Y66" s="118">
        <v>0</v>
      </c>
      <c r="Z66" s="118">
        <v>29.809000000000001</v>
      </c>
      <c r="AA66" s="118">
        <v>17.18</v>
      </c>
      <c r="AB66" s="118">
        <v>0</v>
      </c>
      <c r="AC66" s="118" t="s">
        <v>1720</v>
      </c>
      <c r="AD66" s="180">
        <v>12</v>
      </c>
      <c r="AE66" s="119" t="s">
        <v>724</v>
      </c>
    </row>
    <row r="67" spans="1:31" x14ac:dyDescent="0.25">
      <c r="A67" s="119" t="s">
        <v>725</v>
      </c>
      <c r="B67" s="188">
        <v>0.58478009259259256</v>
      </c>
      <c r="C67" s="19">
        <v>45867</v>
      </c>
      <c r="D67" s="118">
        <v>250729</v>
      </c>
      <c r="E67" s="118">
        <v>0</v>
      </c>
      <c r="F67" s="118">
        <v>743.8</v>
      </c>
      <c r="G67" s="118">
        <v>452.2</v>
      </c>
      <c r="H67" s="118">
        <v>403.5</v>
      </c>
      <c r="I67" s="118">
        <v>262</v>
      </c>
      <c r="J67" s="118">
        <v>0.19</v>
      </c>
      <c r="K67" s="118">
        <v>398</v>
      </c>
      <c r="L67" s="118">
        <v>0.26700000000000002</v>
      </c>
      <c r="M67" s="118">
        <v>0.26300000000000001</v>
      </c>
      <c r="N67" s="118">
        <v>0.378</v>
      </c>
      <c r="O67" s="118">
        <v>302.60000000000002</v>
      </c>
      <c r="P67" s="118">
        <v>22.35</v>
      </c>
      <c r="Q67" s="118">
        <v>308</v>
      </c>
      <c r="R67" s="118">
        <v>40.672339999999998</v>
      </c>
      <c r="S67" s="118">
        <v>-85.8416</v>
      </c>
      <c r="T67" s="118">
        <v>228.2</v>
      </c>
      <c r="U67" s="118">
        <v>96</v>
      </c>
      <c r="V67" s="118">
        <v>8.98</v>
      </c>
      <c r="W67" s="118">
        <v>-163.4</v>
      </c>
      <c r="X67" s="118">
        <v>11.9</v>
      </c>
      <c r="Y67" s="118">
        <v>0</v>
      </c>
      <c r="Z67" s="118">
        <v>31.33</v>
      </c>
      <c r="AA67" s="118">
        <v>52.23</v>
      </c>
      <c r="AB67" s="118">
        <v>0</v>
      </c>
      <c r="AC67" s="118" t="s">
        <v>1721</v>
      </c>
      <c r="AD67" s="180">
        <v>13</v>
      </c>
      <c r="AE67" s="119" t="s">
        <v>725</v>
      </c>
    </row>
    <row r="68" spans="1:31" x14ac:dyDescent="0.25">
      <c r="A68" s="122" t="s">
        <v>726</v>
      </c>
      <c r="B68" s="188">
        <v>0.52818287037037037</v>
      </c>
      <c r="C68" s="19">
        <v>45874</v>
      </c>
      <c r="D68" s="118">
        <v>250805</v>
      </c>
      <c r="E68" s="118">
        <v>0</v>
      </c>
      <c r="F68" s="118">
        <v>749.2</v>
      </c>
      <c r="G68" s="118">
        <v>541.5</v>
      </c>
      <c r="H68" s="118">
        <v>526.29999999999995</v>
      </c>
      <c r="I68" s="118">
        <v>342</v>
      </c>
      <c r="J68" s="118">
        <v>0.25</v>
      </c>
      <c r="K68" s="118">
        <v>524.70000000000005</v>
      </c>
      <c r="L68" s="118">
        <v>0.33300000000000002</v>
      </c>
      <c r="M68" s="118">
        <v>0.32600000000000001</v>
      </c>
      <c r="N68" s="118">
        <v>0.47299999999999998</v>
      </c>
      <c r="O68" s="118">
        <v>191.5</v>
      </c>
      <c r="P68" s="118">
        <v>15.37</v>
      </c>
      <c r="Q68" s="118">
        <v>194.4</v>
      </c>
      <c r="R68" s="118">
        <v>40.824129999999997</v>
      </c>
      <c r="S68" s="118">
        <v>-86.796130000000005</v>
      </c>
      <c r="T68" s="118">
        <v>195.9</v>
      </c>
      <c r="U68" s="118">
        <v>134.80000000000001</v>
      </c>
      <c r="V68" s="118">
        <v>8.5500000000000007</v>
      </c>
      <c r="W68" s="118">
        <v>-126.9</v>
      </c>
      <c r="X68" s="118">
        <v>11.9</v>
      </c>
      <c r="Y68" s="118">
        <v>0</v>
      </c>
      <c r="Z68" s="118">
        <v>26.513000000000002</v>
      </c>
      <c r="AA68" s="118">
        <v>8.2899999999999991</v>
      </c>
      <c r="AB68" s="118">
        <v>0</v>
      </c>
      <c r="AC68" s="118" t="s">
        <v>1735</v>
      </c>
      <c r="AD68" s="180" t="s">
        <v>1748</v>
      </c>
      <c r="AE68" s="122" t="s">
        <v>726</v>
      </c>
    </row>
    <row r="69" spans="1:31" x14ac:dyDescent="0.25">
      <c r="A69" s="122" t="s">
        <v>727</v>
      </c>
      <c r="B69" s="188">
        <v>0.51245370370370369</v>
      </c>
      <c r="C69" s="19">
        <v>45874</v>
      </c>
      <c r="D69" s="118">
        <v>250805</v>
      </c>
      <c r="E69" s="118">
        <v>0</v>
      </c>
      <c r="F69" s="118">
        <v>749</v>
      </c>
      <c r="G69" s="118">
        <v>634.20000000000005</v>
      </c>
      <c r="H69" s="118">
        <v>631.20000000000005</v>
      </c>
      <c r="I69" s="118">
        <v>410</v>
      </c>
      <c r="J69" s="118">
        <v>0.31</v>
      </c>
      <c r="K69" s="118">
        <v>630.9</v>
      </c>
      <c r="L69" s="118">
        <v>0.46800000000000003</v>
      </c>
      <c r="M69" s="118">
        <v>0.47599999999999998</v>
      </c>
      <c r="N69" s="118">
        <v>0.66400000000000003</v>
      </c>
      <c r="O69" s="118">
        <v>100.1</v>
      </c>
      <c r="P69" s="118">
        <v>8.2200000000000006</v>
      </c>
      <c r="Q69" s="118">
        <v>101.7</v>
      </c>
      <c r="R69" s="118">
        <v>40.835070000000002</v>
      </c>
      <c r="S69" s="118">
        <v>-86.781970000000001</v>
      </c>
      <c r="T69" s="118">
        <v>193.8</v>
      </c>
      <c r="U69" s="118">
        <v>167.9</v>
      </c>
      <c r="V69" s="118">
        <v>8.06</v>
      </c>
      <c r="W69" s="118">
        <v>-97.1</v>
      </c>
      <c r="X69" s="118">
        <v>11.9</v>
      </c>
      <c r="Y69" s="118">
        <v>0</v>
      </c>
      <c r="Z69" s="118">
        <v>25.248000000000001</v>
      </c>
      <c r="AA69" s="118">
        <v>2.8</v>
      </c>
      <c r="AB69" s="118">
        <v>0</v>
      </c>
      <c r="AC69" s="118" t="s">
        <v>1736</v>
      </c>
      <c r="AD69" s="180" t="s">
        <v>1749</v>
      </c>
      <c r="AE69" s="122" t="s">
        <v>727</v>
      </c>
    </row>
    <row r="70" spans="1:31" x14ac:dyDescent="0.25">
      <c r="A70" s="122" t="s">
        <v>728</v>
      </c>
      <c r="B70" s="188">
        <v>0.49406250000000002</v>
      </c>
      <c r="C70" s="19">
        <v>45874</v>
      </c>
      <c r="D70" s="118">
        <v>250805</v>
      </c>
      <c r="E70" s="118">
        <v>0</v>
      </c>
      <c r="F70" s="118">
        <v>749.2</v>
      </c>
      <c r="G70" s="118">
        <v>611.9</v>
      </c>
      <c r="H70" s="118">
        <v>599.9</v>
      </c>
      <c r="I70" s="118">
        <v>390</v>
      </c>
      <c r="J70" s="118">
        <v>0.28999999999999998</v>
      </c>
      <c r="K70" s="118">
        <v>598.70000000000005</v>
      </c>
      <c r="L70" s="118">
        <v>0.29399999999999998</v>
      </c>
      <c r="M70" s="118">
        <v>0.31</v>
      </c>
      <c r="N70" s="118">
        <v>0.41699999999999998</v>
      </c>
      <c r="O70" s="118">
        <v>116.9</v>
      </c>
      <c r="P70" s="118">
        <v>9.4600000000000009</v>
      </c>
      <c r="Q70" s="118">
        <v>118.7</v>
      </c>
      <c r="R70" s="118">
        <v>40.811199999999999</v>
      </c>
      <c r="S70" s="118">
        <v>-86.794460000000001</v>
      </c>
      <c r="T70" s="118">
        <v>199.3</v>
      </c>
      <c r="U70" s="118">
        <v>160.1</v>
      </c>
      <c r="V70" s="118">
        <v>8.07</v>
      </c>
      <c r="W70" s="118">
        <v>-97.8</v>
      </c>
      <c r="X70" s="118">
        <v>11.9</v>
      </c>
      <c r="Y70" s="118">
        <v>0</v>
      </c>
      <c r="Z70" s="118">
        <v>26.044</v>
      </c>
      <c r="AA70" s="118">
        <v>5.68</v>
      </c>
      <c r="AB70" s="118">
        <v>0</v>
      </c>
      <c r="AC70" s="118" t="s">
        <v>1737</v>
      </c>
      <c r="AD70" s="180" t="s">
        <v>1750</v>
      </c>
      <c r="AE70" s="122" t="s">
        <v>728</v>
      </c>
    </row>
    <row r="71" spans="1:31" x14ac:dyDescent="0.25">
      <c r="A71" s="122" t="s">
        <v>729</v>
      </c>
      <c r="B71" s="188">
        <v>0.43707175925925928</v>
      </c>
      <c r="C71" s="19">
        <v>45874</v>
      </c>
      <c r="D71" s="118">
        <v>250805</v>
      </c>
      <c r="E71" s="118">
        <v>0</v>
      </c>
      <c r="F71" s="118">
        <v>749.5</v>
      </c>
      <c r="G71" s="118">
        <v>594.4</v>
      </c>
      <c r="H71" s="118">
        <v>585</v>
      </c>
      <c r="I71" s="118">
        <v>380</v>
      </c>
      <c r="J71" s="118">
        <v>0.28000000000000003</v>
      </c>
      <c r="K71" s="118">
        <v>584.1</v>
      </c>
      <c r="L71" s="118">
        <v>0.39300000000000002</v>
      </c>
      <c r="M71" s="118">
        <v>0.39900000000000002</v>
      </c>
      <c r="N71" s="118">
        <v>0.55800000000000005</v>
      </c>
      <c r="O71" s="118">
        <v>155.30000000000001</v>
      </c>
      <c r="P71" s="118">
        <v>12.62</v>
      </c>
      <c r="Q71" s="118">
        <v>157.69999999999999</v>
      </c>
      <c r="R71" s="118">
        <v>40.804259999999999</v>
      </c>
      <c r="S71" s="118">
        <v>-86.774799999999999</v>
      </c>
      <c r="T71" s="118">
        <v>197</v>
      </c>
      <c r="U71" s="118">
        <v>152.80000000000001</v>
      </c>
      <c r="V71" s="118">
        <v>8.4</v>
      </c>
      <c r="W71" s="118">
        <v>-117.6</v>
      </c>
      <c r="X71" s="118">
        <v>11.9</v>
      </c>
      <c r="Y71" s="118">
        <v>0</v>
      </c>
      <c r="Z71" s="118">
        <v>25.837</v>
      </c>
      <c r="AA71" s="118">
        <v>4.99</v>
      </c>
      <c r="AB71" s="118">
        <v>0</v>
      </c>
      <c r="AC71" s="118" t="s">
        <v>1739</v>
      </c>
      <c r="AD71" s="180" t="s">
        <v>1751</v>
      </c>
      <c r="AE71" s="122" t="s">
        <v>729</v>
      </c>
    </row>
    <row r="72" spans="1:31" x14ac:dyDescent="0.25">
      <c r="A72" s="122" t="s">
        <v>730</v>
      </c>
      <c r="B72" s="188">
        <v>0.40949074074074077</v>
      </c>
      <c r="C72" s="19">
        <v>45874</v>
      </c>
      <c r="D72" s="118">
        <v>250805</v>
      </c>
      <c r="E72" s="118">
        <v>0</v>
      </c>
      <c r="F72" s="118">
        <v>749.4</v>
      </c>
      <c r="G72" s="118">
        <v>601.5</v>
      </c>
      <c r="H72" s="118">
        <v>590.29999999999995</v>
      </c>
      <c r="I72" s="118">
        <v>384</v>
      </c>
      <c r="J72" s="118">
        <v>0.28000000000000003</v>
      </c>
      <c r="K72" s="118">
        <v>589.1</v>
      </c>
      <c r="L72" s="118">
        <v>0.40400000000000003</v>
      </c>
      <c r="M72" s="118">
        <v>0.41799999999999998</v>
      </c>
      <c r="N72" s="118">
        <v>0.57199999999999995</v>
      </c>
      <c r="O72" s="118">
        <v>157.80000000000001</v>
      </c>
      <c r="P72" s="118">
        <v>12.78</v>
      </c>
      <c r="Q72" s="118">
        <v>160.19999999999999</v>
      </c>
      <c r="R72" s="118">
        <v>40.79477</v>
      </c>
      <c r="S72" s="118">
        <v>-86.774969999999996</v>
      </c>
      <c r="T72" s="118">
        <v>198.5</v>
      </c>
      <c r="U72" s="118">
        <v>159.69999999999999</v>
      </c>
      <c r="V72" s="118">
        <v>8.39</v>
      </c>
      <c r="W72" s="118">
        <v>-117.1</v>
      </c>
      <c r="X72" s="118">
        <v>12</v>
      </c>
      <c r="Y72" s="118">
        <v>0</v>
      </c>
      <c r="Z72" s="118">
        <v>25.994</v>
      </c>
      <c r="AA72" s="118">
        <v>5.16</v>
      </c>
      <c r="AB72" s="118">
        <v>0</v>
      </c>
      <c r="AC72" s="118" t="s">
        <v>1741</v>
      </c>
      <c r="AD72" s="180">
        <v>10</v>
      </c>
      <c r="AE72" s="122" t="s">
        <v>730</v>
      </c>
    </row>
    <row r="73" spans="1:31" x14ac:dyDescent="0.25">
      <c r="A73" s="122" t="s">
        <v>731</v>
      </c>
      <c r="B73" s="188">
        <v>0.37253472222222223</v>
      </c>
      <c r="C73" s="19">
        <v>45874</v>
      </c>
      <c r="D73" s="118">
        <v>250805</v>
      </c>
      <c r="E73" s="118">
        <v>0</v>
      </c>
      <c r="F73" s="118">
        <v>749.1</v>
      </c>
      <c r="G73" s="118">
        <v>609.6</v>
      </c>
      <c r="H73" s="118">
        <v>599.1</v>
      </c>
      <c r="I73" s="118">
        <v>389</v>
      </c>
      <c r="J73" s="118">
        <v>0.28999999999999998</v>
      </c>
      <c r="K73" s="118">
        <v>598</v>
      </c>
      <c r="L73" s="118">
        <v>0.40400000000000003</v>
      </c>
      <c r="M73" s="118">
        <v>0.4</v>
      </c>
      <c r="N73" s="118">
        <v>0.57299999999999995</v>
      </c>
      <c r="O73" s="118">
        <v>118.2</v>
      </c>
      <c r="P73" s="118">
        <v>9.59</v>
      </c>
      <c r="Q73" s="118">
        <v>120</v>
      </c>
      <c r="R73" s="118">
        <v>40.788620000000002</v>
      </c>
      <c r="S73" s="118">
        <v>-86.772189999999995</v>
      </c>
      <c r="T73" s="118">
        <v>197.1</v>
      </c>
      <c r="U73" s="118">
        <v>222.9</v>
      </c>
      <c r="V73" s="118">
        <v>8.0299999999999994</v>
      </c>
      <c r="W73" s="118">
        <v>-95.2</v>
      </c>
      <c r="X73" s="118">
        <v>11.9</v>
      </c>
      <c r="Y73" s="118">
        <v>0</v>
      </c>
      <c r="Z73" s="118">
        <v>25.922000000000001</v>
      </c>
      <c r="AA73" s="118">
        <v>5.44</v>
      </c>
      <c r="AB73" s="118">
        <v>0</v>
      </c>
      <c r="AC73" s="118" t="s">
        <v>1742</v>
      </c>
      <c r="AD73" s="180">
        <v>11</v>
      </c>
      <c r="AE73" s="122" t="s">
        <v>731</v>
      </c>
    </row>
    <row r="74" spans="1:31" x14ac:dyDescent="0.25">
      <c r="A74" s="122" t="s">
        <v>732</v>
      </c>
      <c r="B74" s="188">
        <v>0.39146990740740739</v>
      </c>
      <c r="C74" s="19">
        <v>45874</v>
      </c>
      <c r="D74" s="118">
        <v>250805</v>
      </c>
      <c r="E74" s="118">
        <v>0</v>
      </c>
      <c r="F74" s="118">
        <v>749.2</v>
      </c>
      <c r="G74" s="118">
        <v>610.1</v>
      </c>
      <c r="H74" s="118">
        <v>600.79999999999995</v>
      </c>
      <c r="I74" s="118">
        <v>391</v>
      </c>
      <c r="J74" s="118">
        <v>0.28999999999999998</v>
      </c>
      <c r="K74" s="118">
        <v>599.9</v>
      </c>
      <c r="L74" s="118">
        <v>0.43</v>
      </c>
      <c r="M74" s="118">
        <v>0.41799999999999998</v>
      </c>
      <c r="N74" s="118">
        <v>0.61</v>
      </c>
      <c r="O74" s="118">
        <v>112.2</v>
      </c>
      <c r="P74" s="118">
        <v>9.1199999999999992</v>
      </c>
      <c r="Q74" s="118">
        <v>113.9</v>
      </c>
      <c r="R74" s="118">
        <v>40.782400000000003</v>
      </c>
      <c r="S74" s="118">
        <v>-86.762469999999993</v>
      </c>
      <c r="T74" s="118">
        <v>197</v>
      </c>
      <c r="U74" s="118">
        <v>193.6</v>
      </c>
      <c r="V74" s="118">
        <v>7.96</v>
      </c>
      <c r="W74" s="118">
        <v>-91.3</v>
      </c>
      <c r="X74" s="118">
        <v>11.9</v>
      </c>
      <c r="Y74" s="118">
        <v>0</v>
      </c>
      <c r="Z74" s="118">
        <v>25.81</v>
      </c>
      <c r="AA74" s="118">
        <v>4.04</v>
      </c>
      <c r="AB74" s="118">
        <v>0</v>
      </c>
      <c r="AC74" s="118" t="s">
        <v>1743</v>
      </c>
      <c r="AD74" s="180">
        <v>12</v>
      </c>
      <c r="AE74" s="122" t="s">
        <v>732</v>
      </c>
    </row>
    <row r="75" spans="1:31" x14ac:dyDescent="0.25">
      <c r="A75" s="122" t="s">
        <v>733</v>
      </c>
      <c r="B75" s="188">
        <v>0.45210648148148147</v>
      </c>
      <c r="C75" s="19">
        <v>45874</v>
      </c>
      <c r="D75" s="118">
        <v>250805</v>
      </c>
      <c r="E75" s="118">
        <v>0</v>
      </c>
      <c r="F75" s="118">
        <v>749.4</v>
      </c>
      <c r="G75" s="118">
        <v>598.9</v>
      </c>
      <c r="H75" s="118">
        <v>590.70000000000005</v>
      </c>
      <c r="I75" s="118">
        <v>384</v>
      </c>
      <c r="J75" s="118">
        <v>0.28000000000000003</v>
      </c>
      <c r="K75" s="118">
        <v>589.9</v>
      </c>
      <c r="L75" s="118">
        <v>0.33500000000000002</v>
      </c>
      <c r="M75" s="118">
        <v>0.34399999999999997</v>
      </c>
      <c r="N75" s="118">
        <v>0.47399999999999998</v>
      </c>
      <c r="O75" s="118">
        <v>130.5</v>
      </c>
      <c r="P75" s="118">
        <v>10.62</v>
      </c>
      <c r="Q75" s="118">
        <v>132.4</v>
      </c>
      <c r="R75" s="118">
        <v>40.80742</v>
      </c>
      <c r="S75" s="118">
        <v>-86.785690000000002</v>
      </c>
      <c r="T75" s="118">
        <v>196.9</v>
      </c>
      <c r="U75" s="118">
        <v>143.80000000000001</v>
      </c>
      <c r="V75" s="118">
        <v>8.19</v>
      </c>
      <c r="W75" s="118">
        <v>-104.7</v>
      </c>
      <c r="X75" s="118">
        <v>11.9</v>
      </c>
      <c r="Y75" s="118">
        <v>0</v>
      </c>
      <c r="Z75" s="118">
        <v>25.725000000000001</v>
      </c>
      <c r="AA75" s="118">
        <v>5.62</v>
      </c>
      <c r="AB75" s="118">
        <v>0</v>
      </c>
      <c r="AC75" s="118" t="s">
        <v>1738</v>
      </c>
      <c r="AD75" s="180">
        <v>14</v>
      </c>
      <c r="AE75" s="122" t="s">
        <v>733</v>
      </c>
    </row>
    <row r="76" spans="1:31" x14ac:dyDescent="0.25">
      <c r="A76" s="122" t="s">
        <v>734</v>
      </c>
      <c r="B76" s="188">
        <v>0.42295138888888889</v>
      </c>
      <c r="C76" s="19">
        <v>45874</v>
      </c>
      <c r="D76" s="118">
        <v>250805</v>
      </c>
      <c r="E76" s="118">
        <v>0</v>
      </c>
      <c r="F76" s="118">
        <v>749.4</v>
      </c>
      <c r="G76" s="118">
        <v>600.70000000000005</v>
      </c>
      <c r="H76" s="118">
        <v>591.70000000000005</v>
      </c>
      <c r="I76" s="118">
        <v>385</v>
      </c>
      <c r="J76" s="118">
        <v>0.28999999999999998</v>
      </c>
      <c r="K76" s="118">
        <v>590.79999999999995</v>
      </c>
      <c r="L76" s="118">
        <v>0.42499999999999999</v>
      </c>
      <c r="M76" s="118">
        <v>0.434</v>
      </c>
      <c r="N76" s="118">
        <v>0.60299999999999998</v>
      </c>
      <c r="O76" s="118">
        <v>138.5</v>
      </c>
      <c r="P76" s="118">
        <v>11.26</v>
      </c>
      <c r="Q76" s="118">
        <v>140.6</v>
      </c>
      <c r="R76" s="118">
        <v>40.799349999999997</v>
      </c>
      <c r="S76" s="118">
        <v>-86.777889999999999</v>
      </c>
      <c r="T76" s="118">
        <v>200.8</v>
      </c>
      <c r="U76" s="118">
        <v>120.5</v>
      </c>
      <c r="V76" s="118">
        <v>8.24</v>
      </c>
      <c r="W76" s="118">
        <v>-108.1</v>
      </c>
      <c r="X76" s="118">
        <v>12</v>
      </c>
      <c r="Y76" s="118">
        <v>0</v>
      </c>
      <c r="Z76" s="118">
        <v>25.79</v>
      </c>
      <c r="AA76" s="118">
        <v>7.52</v>
      </c>
      <c r="AB76" s="118">
        <v>0</v>
      </c>
      <c r="AC76" s="118" t="s">
        <v>1740</v>
      </c>
      <c r="AD76" s="180">
        <v>15</v>
      </c>
      <c r="AE76" s="122" t="s">
        <v>734</v>
      </c>
    </row>
    <row r="77" spans="1:31" x14ac:dyDescent="0.25">
      <c r="A77" s="122" t="s">
        <v>735</v>
      </c>
      <c r="AE77" s="122" t="s">
        <v>735</v>
      </c>
    </row>
    <row r="78" spans="1:31" x14ac:dyDescent="0.25">
      <c r="A78" s="119" t="s">
        <v>736</v>
      </c>
      <c r="B78" s="188">
        <v>0.51550925925925928</v>
      </c>
      <c r="C78" s="19">
        <v>45875</v>
      </c>
      <c r="D78" s="118">
        <v>250806</v>
      </c>
      <c r="E78" s="118">
        <v>0</v>
      </c>
      <c r="F78" s="118">
        <v>747.4</v>
      </c>
      <c r="G78" s="118">
        <v>416.6</v>
      </c>
      <c r="H78" s="118">
        <v>397.7</v>
      </c>
      <c r="I78" s="118">
        <v>259</v>
      </c>
      <c r="J78" s="118">
        <v>0.19</v>
      </c>
      <c r="K78" s="118">
        <v>395.7</v>
      </c>
      <c r="L78" s="118">
        <v>0.33</v>
      </c>
      <c r="M78" s="118">
        <v>0.32100000000000001</v>
      </c>
      <c r="N78" s="118">
        <v>0.46700000000000003</v>
      </c>
      <c r="O78" s="118">
        <v>86.5</v>
      </c>
      <c r="P78" s="118">
        <v>6.82</v>
      </c>
      <c r="Q78" s="118">
        <v>87.6</v>
      </c>
      <c r="R78" s="118">
        <v>40.681690000000003</v>
      </c>
      <c r="S78" s="118">
        <v>-85.888819999999996</v>
      </c>
      <c r="T78" s="118">
        <v>228.2</v>
      </c>
      <c r="U78" s="118">
        <v>67.599999999999994</v>
      </c>
      <c r="V78" s="118">
        <v>8.0500000000000007</v>
      </c>
      <c r="W78" s="118">
        <v>-98.4</v>
      </c>
      <c r="X78" s="118">
        <v>11.9</v>
      </c>
      <c r="Y78" s="118">
        <v>0</v>
      </c>
      <c r="Z78" s="118">
        <v>27.489000000000001</v>
      </c>
      <c r="AA78" s="118">
        <v>9.5</v>
      </c>
      <c r="AB78" s="118">
        <v>0</v>
      </c>
      <c r="AC78" s="118" t="s">
        <v>1717</v>
      </c>
      <c r="AD78" s="180" t="s">
        <v>1744</v>
      </c>
      <c r="AE78" s="119" t="s">
        <v>736</v>
      </c>
    </row>
    <row r="79" spans="1:31" x14ac:dyDescent="0.25">
      <c r="A79" s="119" t="s">
        <v>737</v>
      </c>
      <c r="B79" s="188">
        <v>0.53166666666666662</v>
      </c>
      <c r="C79" s="19">
        <v>45875</v>
      </c>
      <c r="D79" s="118">
        <v>250806</v>
      </c>
      <c r="E79" s="118">
        <v>0</v>
      </c>
      <c r="F79" s="118">
        <v>747.4</v>
      </c>
      <c r="G79" s="118">
        <v>406.1</v>
      </c>
      <c r="H79" s="118">
        <v>394.8</v>
      </c>
      <c r="I79" s="118">
        <v>257</v>
      </c>
      <c r="J79" s="118">
        <v>0.19</v>
      </c>
      <c r="K79" s="118">
        <v>393.6</v>
      </c>
      <c r="L79" s="118">
        <v>0.73599999999999999</v>
      </c>
      <c r="M79" s="118">
        <v>0.74399999999999999</v>
      </c>
      <c r="N79" s="118">
        <v>1.044</v>
      </c>
      <c r="O79" s="118">
        <v>101.8</v>
      </c>
      <c r="P79" s="118">
        <v>8.17</v>
      </c>
      <c r="Q79" s="118">
        <v>103.2</v>
      </c>
      <c r="R79" s="118">
        <v>40.67689</v>
      </c>
      <c r="S79" s="118">
        <v>-85.877089999999995</v>
      </c>
      <c r="T79" s="118">
        <v>220.3</v>
      </c>
      <c r="U79" s="118">
        <v>118.7</v>
      </c>
      <c r="V79" s="118">
        <v>8.17</v>
      </c>
      <c r="W79" s="118">
        <v>-105.7</v>
      </c>
      <c r="X79" s="118">
        <v>11.9</v>
      </c>
      <c r="Y79" s="118">
        <v>0</v>
      </c>
      <c r="Z79" s="118">
        <v>26.501000000000001</v>
      </c>
      <c r="AA79" s="118">
        <v>9.8000000000000007</v>
      </c>
      <c r="AB79" s="118">
        <v>0</v>
      </c>
      <c r="AC79" s="118" t="s">
        <v>1716</v>
      </c>
      <c r="AD79" s="180" t="s">
        <v>1745</v>
      </c>
      <c r="AE79" s="119" t="s">
        <v>737</v>
      </c>
    </row>
    <row r="80" spans="1:31" x14ac:dyDescent="0.25">
      <c r="A80" s="119" t="s">
        <v>738</v>
      </c>
      <c r="B80" s="188">
        <v>0.54459490740740746</v>
      </c>
      <c r="C80" s="19">
        <v>45875</v>
      </c>
      <c r="D80" s="118">
        <v>250806</v>
      </c>
      <c r="E80" s="118">
        <v>0</v>
      </c>
      <c r="F80" s="118">
        <v>747.4</v>
      </c>
      <c r="G80" s="118">
        <v>396.7</v>
      </c>
      <c r="H80" s="118">
        <v>374.8</v>
      </c>
      <c r="I80" s="118">
        <v>244</v>
      </c>
      <c r="J80" s="118">
        <v>0.18</v>
      </c>
      <c r="K80" s="118">
        <v>372.5</v>
      </c>
      <c r="L80" s="118">
        <v>0.496</v>
      </c>
      <c r="M80" s="118">
        <v>0.48699999999999999</v>
      </c>
      <c r="N80" s="118">
        <v>0.70299999999999996</v>
      </c>
      <c r="O80" s="118">
        <v>196.9</v>
      </c>
      <c r="P80" s="118">
        <v>15.38</v>
      </c>
      <c r="Q80" s="118">
        <v>199.6</v>
      </c>
      <c r="R80" s="118">
        <v>40.670870000000001</v>
      </c>
      <c r="S80" s="118">
        <v>-85.870350000000002</v>
      </c>
      <c r="T80" s="118">
        <v>220.9</v>
      </c>
      <c r="U80" s="118">
        <v>113.4</v>
      </c>
      <c r="V80" s="118">
        <v>8.89</v>
      </c>
      <c r="W80" s="118">
        <v>-149.6</v>
      </c>
      <c r="X80" s="118">
        <v>12</v>
      </c>
      <c r="Y80" s="118">
        <v>0</v>
      </c>
      <c r="Z80" s="118">
        <v>28.06</v>
      </c>
      <c r="AA80" s="118">
        <v>19.440000000000001</v>
      </c>
      <c r="AB80" s="118">
        <v>0</v>
      </c>
      <c r="AC80" s="118" t="s">
        <v>1715</v>
      </c>
      <c r="AD80" s="180" t="s">
        <v>1746</v>
      </c>
      <c r="AE80" s="119" t="s">
        <v>738</v>
      </c>
    </row>
    <row r="81" spans="1:31" x14ac:dyDescent="0.25">
      <c r="A81" s="119" t="s">
        <v>739</v>
      </c>
      <c r="B81" s="188">
        <v>0.56322916666666667</v>
      </c>
      <c r="C81" s="19">
        <v>45875</v>
      </c>
      <c r="D81" s="118">
        <v>250806</v>
      </c>
      <c r="E81" s="118">
        <v>0</v>
      </c>
      <c r="F81" s="118">
        <v>747.3</v>
      </c>
      <c r="G81" s="118">
        <v>388.5</v>
      </c>
      <c r="H81" s="118">
        <v>361.3</v>
      </c>
      <c r="I81" s="118">
        <v>235</v>
      </c>
      <c r="J81" s="118">
        <v>0.17</v>
      </c>
      <c r="K81" s="118">
        <v>358.4</v>
      </c>
      <c r="L81" s="118">
        <v>0.47599999999999998</v>
      </c>
      <c r="M81" s="118">
        <v>0.49399999999999999</v>
      </c>
      <c r="N81" s="118">
        <v>0.67500000000000004</v>
      </c>
      <c r="O81" s="118">
        <v>235.7</v>
      </c>
      <c r="P81" s="118">
        <v>18.14</v>
      </c>
      <c r="Q81" s="118">
        <v>239</v>
      </c>
      <c r="R81" s="118">
        <v>40.663409999999999</v>
      </c>
      <c r="S81" s="118">
        <v>-85.866100000000003</v>
      </c>
      <c r="T81" s="118">
        <v>217.4</v>
      </c>
      <c r="U81" s="118">
        <v>108</v>
      </c>
      <c r="V81" s="118">
        <v>9.11</v>
      </c>
      <c r="W81" s="118">
        <v>-162.80000000000001</v>
      </c>
      <c r="X81" s="118">
        <v>12</v>
      </c>
      <c r="Y81" s="118">
        <v>0</v>
      </c>
      <c r="Z81" s="118">
        <v>28.934999999999999</v>
      </c>
      <c r="AA81" s="118">
        <v>22.32</v>
      </c>
      <c r="AB81" s="118">
        <v>0</v>
      </c>
      <c r="AC81" s="118" t="s">
        <v>1714</v>
      </c>
      <c r="AD81" s="180" t="s">
        <v>1747</v>
      </c>
      <c r="AE81" s="119" t="s">
        <v>739</v>
      </c>
    </row>
    <row r="82" spans="1:31" x14ac:dyDescent="0.25">
      <c r="A82" s="119" t="s">
        <v>740</v>
      </c>
      <c r="B82" s="188">
        <v>0.60628472222222218</v>
      </c>
      <c r="C82" s="19">
        <v>45875</v>
      </c>
      <c r="D82" s="118">
        <v>250806</v>
      </c>
      <c r="E82" s="118">
        <v>0</v>
      </c>
      <c r="F82" s="118">
        <v>746.8</v>
      </c>
      <c r="G82" s="118">
        <v>369.7</v>
      </c>
      <c r="H82" s="118">
        <v>354.9</v>
      </c>
      <c r="I82" s="118">
        <v>231</v>
      </c>
      <c r="J82" s="118">
        <v>0.17</v>
      </c>
      <c r="K82" s="118">
        <v>353.3</v>
      </c>
      <c r="L82" s="118">
        <v>0.48199999999999998</v>
      </c>
      <c r="M82" s="118">
        <v>0.48699999999999999</v>
      </c>
      <c r="N82" s="118">
        <v>0.68300000000000005</v>
      </c>
      <c r="O82" s="118">
        <v>209.3</v>
      </c>
      <c r="P82" s="118">
        <v>16.61</v>
      </c>
      <c r="Q82" s="118">
        <v>212.2</v>
      </c>
      <c r="R82" s="118">
        <v>40.668640000000003</v>
      </c>
      <c r="S82" s="118">
        <v>-85.847740000000002</v>
      </c>
      <c r="T82" s="118">
        <v>222.4</v>
      </c>
      <c r="U82" s="118">
        <v>113.9</v>
      </c>
      <c r="V82" s="118">
        <v>9.0399999999999991</v>
      </c>
      <c r="W82" s="118">
        <v>-158</v>
      </c>
      <c r="X82" s="118">
        <v>11.9</v>
      </c>
      <c r="Y82" s="118">
        <v>0</v>
      </c>
      <c r="Z82" s="118">
        <v>27.189</v>
      </c>
      <c r="AA82" s="118">
        <v>26.39</v>
      </c>
      <c r="AB82" s="118">
        <v>0</v>
      </c>
      <c r="AC82" s="118" t="s">
        <v>1713</v>
      </c>
      <c r="AD82" s="180" t="s">
        <v>1748</v>
      </c>
      <c r="AE82" s="119" t="s">
        <v>740</v>
      </c>
    </row>
    <row r="83" spans="1:31" x14ac:dyDescent="0.25">
      <c r="A83" s="119" t="s">
        <v>741</v>
      </c>
      <c r="B83" s="188">
        <v>0.64549768518518513</v>
      </c>
      <c r="C83" s="19">
        <v>45875</v>
      </c>
      <c r="D83" s="118">
        <v>250806</v>
      </c>
      <c r="E83" s="118">
        <v>0</v>
      </c>
      <c r="F83" s="118">
        <v>746.4</v>
      </c>
      <c r="G83" s="118">
        <v>359.9</v>
      </c>
      <c r="H83" s="118">
        <v>332</v>
      </c>
      <c r="I83" s="118">
        <v>216</v>
      </c>
      <c r="J83" s="118">
        <v>0.16</v>
      </c>
      <c r="K83" s="118">
        <v>328.9</v>
      </c>
      <c r="L83" s="118">
        <v>0.41499999999999998</v>
      </c>
      <c r="M83" s="118">
        <v>0.40300000000000002</v>
      </c>
      <c r="N83" s="118">
        <v>0.58799999999999997</v>
      </c>
      <c r="O83" s="118">
        <v>315.3</v>
      </c>
      <c r="P83" s="118">
        <v>24.06</v>
      </c>
      <c r="Q83" s="118">
        <v>319.60000000000002</v>
      </c>
      <c r="R83" s="118">
        <v>40.673740000000002</v>
      </c>
      <c r="S83" s="118">
        <v>-85.831599999999995</v>
      </c>
      <c r="T83" s="118">
        <v>226</v>
      </c>
      <c r="U83" s="118">
        <v>73.8</v>
      </c>
      <c r="V83" s="118">
        <v>9.44</v>
      </c>
      <c r="W83" s="118">
        <v>-183.4</v>
      </c>
      <c r="X83" s="118">
        <v>12</v>
      </c>
      <c r="Y83" s="118">
        <v>0</v>
      </c>
      <c r="Z83" s="118">
        <v>29.402999999999999</v>
      </c>
      <c r="AA83" s="118">
        <v>39.520000000000003</v>
      </c>
      <c r="AB83" s="118">
        <v>0</v>
      </c>
      <c r="AC83" s="118" t="s">
        <v>1712</v>
      </c>
      <c r="AD83" s="180" t="s">
        <v>1749</v>
      </c>
      <c r="AE83" s="119" t="s">
        <v>741</v>
      </c>
    </row>
    <row r="84" spans="1:31" x14ac:dyDescent="0.25">
      <c r="A84" s="119" t="s">
        <v>742</v>
      </c>
      <c r="B84" s="188">
        <v>0.38340277777777776</v>
      </c>
      <c r="C84" s="19">
        <v>45875</v>
      </c>
      <c r="D84" s="118">
        <v>250806</v>
      </c>
      <c r="E84" s="118">
        <v>0</v>
      </c>
      <c r="F84" s="118">
        <v>748</v>
      </c>
      <c r="G84" s="118">
        <v>405.9</v>
      </c>
      <c r="H84" s="118">
        <v>394.6</v>
      </c>
      <c r="I84" s="118">
        <v>257</v>
      </c>
      <c r="J84" s="118">
        <v>0.19</v>
      </c>
      <c r="K84" s="118">
        <v>393.4</v>
      </c>
      <c r="L84" s="118">
        <v>0.58699999999999997</v>
      </c>
      <c r="M84" s="118">
        <v>0.59</v>
      </c>
      <c r="N84" s="118">
        <v>0.83299999999999996</v>
      </c>
      <c r="O84" s="118">
        <v>89.9</v>
      </c>
      <c r="P84" s="118">
        <v>7.22</v>
      </c>
      <c r="Q84" s="118">
        <v>91.1</v>
      </c>
      <c r="R84" s="118">
        <v>40.68779</v>
      </c>
      <c r="S84" s="118">
        <v>-85.896730000000005</v>
      </c>
      <c r="T84" s="118">
        <v>221.3</v>
      </c>
      <c r="U84" s="118">
        <v>206</v>
      </c>
      <c r="V84" s="118">
        <v>8.07</v>
      </c>
      <c r="W84" s="118">
        <v>-99.4</v>
      </c>
      <c r="X84" s="118">
        <v>12</v>
      </c>
      <c r="Y84" s="118">
        <v>0</v>
      </c>
      <c r="Z84" s="118">
        <v>26.498000000000001</v>
      </c>
      <c r="AA84" s="118">
        <v>10.16</v>
      </c>
      <c r="AB84" s="118">
        <v>0</v>
      </c>
      <c r="AC84" s="118" t="s">
        <v>1724</v>
      </c>
      <c r="AD84" s="180" t="s">
        <v>1752</v>
      </c>
      <c r="AE84" s="119" t="s">
        <v>742</v>
      </c>
    </row>
    <row r="85" spans="1:31" x14ac:dyDescent="0.25">
      <c r="A85" s="119" t="s">
        <v>743</v>
      </c>
      <c r="B85" s="188">
        <v>0.39868055555555554</v>
      </c>
      <c r="C85" s="19">
        <v>45875</v>
      </c>
      <c r="D85" s="118">
        <v>250806</v>
      </c>
      <c r="E85" s="118">
        <v>0</v>
      </c>
      <c r="F85" s="118">
        <v>747.7</v>
      </c>
      <c r="G85" s="118">
        <v>407.9</v>
      </c>
      <c r="H85" s="118">
        <v>394</v>
      </c>
      <c r="I85" s="118">
        <v>256</v>
      </c>
      <c r="J85" s="118">
        <v>0.19</v>
      </c>
      <c r="K85" s="118">
        <v>392.6</v>
      </c>
      <c r="L85" s="118">
        <v>0.49099999999999999</v>
      </c>
      <c r="M85" s="118">
        <v>0.499</v>
      </c>
      <c r="N85" s="118">
        <v>0.69599999999999995</v>
      </c>
      <c r="O85" s="118">
        <v>109.1</v>
      </c>
      <c r="P85" s="118">
        <v>8.7100000000000009</v>
      </c>
      <c r="Q85" s="118">
        <v>110.7</v>
      </c>
      <c r="R85" s="118">
        <v>40.691760000000002</v>
      </c>
      <c r="S85" s="118">
        <v>-85.908410000000003</v>
      </c>
      <c r="T85" s="118">
        <v>226.3</v>
      </c>
      <c r="U85" s="118">
        <v>117.3</v>
      </c>
      <c r="V85" s="118">
        <v>8.14</v>
      </c>
      <c r="W85" s="118">
        <v>-103.6</v>
      </c>
      <c r="X85" s="118">
        <v>12</v>
      </c>
      <c r="Y85" s="118">
        <v>0</v>
      </c>
      <c r="Z85" s="118">
        <v>26.844999999999999</v>
      </c>
      <c r="AA85" s="118">
        <v>10.98</v>
      </c>
      <c r="AB85" s="118">
        <v>0</v>
      </c>
      <c r="AC85" s="118" t="s">
        <v>1722</v>
      </c>
      <c r="AD85" s="180" t="s">
        <v>1750</v>
      </c>
      <c r="AE85" s="119" t="s">
        <v>743</v>
      </c>
    </row>
    <row r="86" spans="1:31" x14ac:dyDescent="0.25">
      <c r="A86" s="119" t="s">
        <v>744</v>
      </c>
      <c r="B86" s="188">
        <v>0.42429398148148151</v>
      </c>
      <c r="C86" s="19">
        <v>45875</v>
      </c>
      <c r="D86" s="118">
        <v>250806</v>
      </c>
      <c r="E86" s="118">
        <v>0</v>
      </c>
      <c r="F86" s="118">
        <v>747.6</v>
      </c>
      <c r="G86" s="118">
        <v>396.1</v>
      </c>
      <c r="H86" s="118">
        <v>380</v>
      </c>
      <c r="I86" s="118">
        <v>247</v>
      </c>
      <c r="J86" s="118">
        <v>0.18</v>
      </c>
      <c r="K86" s="118">
        <v>378.3</v>
      </c>
      <c r="L86" s="118">
        <v>0.48099999999999998</v>
      </c>
      <c r="M86" s="118">
        <v>0.497</v>
      </c>
      <c r="N86" s="118">
        <v>0.68200000000000005</v>
      </c>
      <c r="O86" s="118">
        <v>123.4</v>
      </c>
      <c r="P86" s="118">
        <v>9.7799999999999994</v>
      </c>
      <c r="Q86" s="118">
        <v>125.1</v>
      </c>
      <c r="R86" s="118">
        <v>40.7042</v>
      </c>
      <c r="S86" s="118">
        <v>-85.930080000000004</v>
      </c>
      <c r="T86" s="118">
        <v>225.1</v>
      </c>
      <c r="U86" s="118">
        <v>119.2</v>
      </c>
      <c r="V86" s="118">
        <v>8.5299999999999994</v>
      </c>
      <c r="W86" s="118">
        <v>-127.2</v>
      </c>
      <c r="X86" s="118">
        <v>11.9</v>
      </c>
      <c r="Y86" s="118">
        <v>0</v>
      </c>
      <c r="Z86" s="118">
        <v>27.216000000000001</v>
      </c>
      <c r="AA86" s="118">
        <v>11.33</v>
      </c>
      <c r="AB86" s="118">
        <v>0</v>
      </c>
      <c r="AC86" s="118" t="s">
        <v>1718</v>
      </c>
      <c r="AD86" s="180" t="s">
        <v>1751</v>
      </c>
      <c r="AE86" s="119" t="s">
        <v>744</v>
      </c>
    </row>
    <row r="87" spans="1:31" x14ac:dyDescent="0.25">
      <c r="A87" s="119" t="s">
        <v>745</v>
      </c>
      <c r="B87" s="188">
        <v>0.40899305555555554</v>
      </c>
      <c r="C87" s="19">
        <v>45875</v>
      </c>
      <c r="D87" s="118">
        <v>250806</v>
      </c>
      <c r="E87" s="118">
        <v>0</v>
      </c>
      <c r="F87" s="118">
        <v>747.7</v>
      </c>
      <c r="G87" s="118">
        <v>402.4</v>
      </c>
      <c r="H87" s="118">
        <v>388.3</v>
      </c>
      <c r="I87" s="118">
        <v>252</v>
      </c>
      <c r="J87" s="118">
        <v>0.18</v>
      </c>
      <c r="K87" s="118">
        <v>386.8</v>
      </c>
      <c r="L87" s="118">
        <v>0.52800000000000002</v>
      </c>
      <c r="M87" s="118">
        <v>0.54200000000000004</v>
      </c>
      <c r="N87" s="118">
        <v>0.748</v>
      </c>
      <c r="O87" s="118">
        <v>107.9</v>
      </c>
      <c r="P87" s="118">
        <v>8.6</v>
      </c>
      <c r="Q87" s="118">
        <v>109.4</v>
      </c>
      <c r="R87" s="118">
        <v>40.693359999999998</v>
      </c>
      <c r="S87" s="118">
        <v>-85.920379999999994</v>
      </c>
      <c r="T87" s="118">
        <v>223.1</v>
      </c>
      <c r="U87" s="118">
        <v>119</v>
      </c>
      <c r="V87" s="118">
        <v>8.1999999999999993</v>
      </c>
      <c r="W87" s="118">
        <v>-107.3</v>
      </c>
      <c r="X87" s="118">
        <v>12</v>
      </c>
      <c r="Y87" s="118">
        <v>0</v>
      </c>
      <c r="Z87" s="118">
        <v>26.907</v>
      </c>
      <c r="AA87" s="118">
        <v>11.96</v>
      </c>
      <c r="AB87" s="118">
        <v>0</v>
      </c>
      <c r="AC87" s="118" t="s">
        <v>1725</v>
      </c>
      <c r="AD87" s="180">
        <v>10</v>
      </c>
      <c r="AE87" s="119" t="s">
        <v>745</v>
      </c>
    </row>
    <row r="88" spans="1:31" x14ac:dyDescent="0.25">
      <c r="A88" s="119" t="s">
        <v>746</v>
      </c>
      <c r="B88" s="188">
        <v>0.43648148148148147</v>
      </c>
      <c r="C88" s="19">
        <v>45875</v>
      </c>
      <c r="D88" s="118">
        <v>250806</v>
      </c>
      <c r="E88" s="118">
        <v>0</v>
      </c>
      <c r="F88" s="118">
        <v>747.7</v>
      </c>
      <c r="G88" s="118">
        <v>392.7</v>
      </c>
      <c r="H88" s="118">
        <v>376.1</v>
      </c>
      <c r="I88" s="118">
        <v>244</v>
      </c>
      <c r="J88" s="118">
        <v>0.18</v>
      </c>
      <c r="K88" s="118">
        <v>374.3</v>
      </c>
      <c r="L88" s="118">
        <v>0.48099999999999998</v>
      </c>
      <c r="M88" s="118">
        <v>0.501</v>
      </c>
      <c r="N88" s="118">
        <v>0.68200000000000005</v>
      </c>
      <c r="O88" s="118">
        <v>120.8</v>
      </c>
      <c r="P88" s="118">
        <v>9.57</v>
      </c>
      <c r="Q88" s="118">
        <v>122.5</v>
      </c>
      <c r="R88" s="118">
        <v>40.711069999999999</v>
      </c>
      <c r="S88" s="118">
        <v>-85.938760000000002</v>
      </c>
      <c r="T88" s="118">
        <v>219.5</v>
      </c>
      <c r="U88" s="118">
        <v>103</v>
      </c>
      <c r="V88" s="118">
        <v>8.5299999999999994</v>
      </c>
      <c r="W88" s="118">
        <v>-127.4</v>
      </c>
      <c r="X88" s="118">
        <v>12</v>
      </c>
      <c r="Y88" s="118">
        <v>0</v>
      </c>
      <c r="Z88" s="118">
        <v>27.311</v>
      </c>
      <c r="AA88" s="118">
        <v>11.6</v>
      </c>
      <c r="AB88" s="118">
        <v>0</v>
      </c>
      <c r="AC88" s="118" t="s">
        <v>1719</v>
      </c>
      <c r="AD88" s="180">
        <v>11</v>
      </c>
      <c r="AE88" s="119" t="s">
        <v>746</v>
      </c>
    </row>
    <row r="89" spans="1:31" x14ac:dyDescent="0.25">
      <c r="A89" s="119" t="s">
        <v>747</v>
      </c>
      <c r="B89" s="188">
        <v>0.46106481481481482</v>
      </c>
      <c r="C89" s="19">
        <v>45875</v>
      </c>
      <c r="D89" s="118">
        <v>250806</v>
      </c>
      <c r="E89" s="118">
        <v>0</v>
      </c>
      <c r="F89" s="118">
        <v>747.7</v>
      </c>
      <c r="G89" s="118">
        <v>26.5</v>
      </c>
      <c r="H89" s="118">
        <v>26.1</v>
      </c>
      <c r="I89" s="118">
        <v>17</v>
      </c>
      <c r="J89" s="118">
        <v>0.01</v>
      </c>
      <c r="K89" s="118">
        <v>26</v>
      </c>
      <c r="L89" s="118">
        <v>0.152</v>
      </c>
      <c r="M89" s="118">
        <v>0.16400000000000001</v>
      </c>
      <c r="N89" s="118">
        <v>0.215</v>
      </c>
      <c r="O89" s="118">
        <v>94.2</v>
      </c>
      <c r="P89" s="118">
        <v>7.68</v>
      </c>
      <c r="Q89" s="118">
        <v>95.5</v>
      </c>
      <c r="R89" s="118">
        <v>40.711709999999997</v>
      </c>
      <c r="S89" s="118">
        <v>-85.951179999999994</v>
      </c>
      <c r="T89" s="118">
        <v>226.4</v>
      </c>
      <c r="U89" s="118">
        <v>135.4</v>
      </c>
      <c r="V89" s="118">
        <v>8.64</v>
      </c>
      <c r="W89" s="118">
        <v>-133.69999999999999</v>
      </c>
      <c r="X89" s="118">
        <v>12</v>
      </c>
      <c r="Y89" s="118">
        <v>0</v>
      </c>
      <c r="Z89" s="118">
        <v>25.748999999999999</v>
      </c>
      <c r="AA89" s="118">
        <v>17.739999999999998</v>
      </c>
      <c r="AB89" s="118">
        <v>0</v>
      </c>
      <c r="AC89" s="118" t="s">
        <v>1720</v>
      </c>
      <c r="AD89" s="180">
        <v>12</v>
      </c>
      <c r="AE89" s="119" t="s">
        <v>747</v>
      </c>
    </row>
    <row r="90" spans="1:31" x14ac:dyDescent="0.25">
      <c r="A90" s="119" t="s">
        <v>748</v>
      </c>
      <c r="B90" s="188">
        <v>0.62141203703703707</v>
      </c>
      <c r="C90" s="19">
        <v>45875</v>
      </c>
      <c r="D90" s="118">
        <v>250806</v>
      </c>
      <c r="E90" s="118">
        <v>0</v>
      </c>
      <c r="F90" s="118">
        <v>746.6</v>
      </c>
      <c r="G90" s="118">
        <v>367.1</v>
      </c>
      <c r="H90" s="118">
        <v>336</v>
      </c>
      <c r="I90" s="118">
        <v>218</v>
      </c>
      <c r="J90" s="118">
        <v>0.16</v>
      </c>
      <c r="K90" s="118">
        <v>332.5</v>
      </c>
      <c r="L90" s="118">
        <v>0.45</v>
      </c>
      <c r="M90" s="118">
        <v>0.45100000000000001</v>
      </c>
      <c r="N90" s="118">
        <v>0.63700000000000001</v>
      </c>
      <c r="O90" s="118">
        <v>330.9</v>
      </c>
      <c r="P90" s="118">
        <v>25.05</v>
      </c>
      <c r="Q90" s="118">
        <v>335.5</v>
      </c>
      <c r="R90" s="118">
        <v>40.67295</v>
      </c>
      <c r="S90" s="118">
        <v>-85.841160000000002</v>
      </c>
      <c r="T90" s="118">
        <v>221.5</v>
      </c>
      <c r="U90" s="118">
        <v>55.7</v>
      </c>
      <c r="V90" s="118">
        <v>9.5</v>
      </c>
      <c r="W90" s="118">
        <v>-187.1</v>
      </c>
      <c r="X90" s="118">
        <v>11.9</v>
      </c>
      <c r="Y90" s="118">
        <v>0</v>
      </c>
      <c r="Z90" s="118">
        <v>29.853999999999999</v>
      </c>
      <c r="AA90" s="118">
        <v>48.09</v>
      </c>
      <c r="AB90" s="118">
        <v>0</v>
      </c>
      <c r="AC90" s="118" t="s">
        <v>1721</v>
      </c>
      <c r="AD90" s="180">
        <v>13</v>
      </c>
      <c r="AE90" s="119" t="s">
        <v>748</v>
      </c>
    </row>
    <row r="91" spans="1:31" x14ac:dyDescent="0.25">
      <c r="A91" s="119" t="s">
        <v>749</v>
      </c>
      <c r="B91" s="188">
        <v>0.44814814814814813</v>
      </c>
      <c r="C91" s="19">
        <v>45875</v>
      </c>
      <c r="D91" s="118">
        <v>250806</v>
      </c>
      <c r="E91" s="118">
        <v>0</v>
      </c>
      <c r="F91" s="118">
        <v>747.7</v>
      </c>
      <c r="G91" s="118">
        <v>389.1</v>
      </c>
      <c r="H91" s="118">
        <v>370.5</v>
      </c>
      <c r="I91" s="118">
        <v>241</v>
      </c>
      <c r="J91" s="118">
        <v>0.18</v>
      </c>
      <c r="K91" s="118">
        <v>368.5</v>
      </c>
      <c r="L91" s="118">
        <v>0.41699999999999998</v>
      </c>
      <c r="M91" s="118">
        <v>0.41299999999999998</v>
      </c>
      <c r="N91" s="118">
        <v>0.59099999999999997</v>
      </c>
      <c r="O91" s="118">
        <v>126.7</v>
      </c>
      <c r="P91" s="118">
        <v>9.9700000000000006</v>
      </c>
      <c r="Q91" s="118">
        <v>128.4</v>
      </c>
      <c r="R91" s="118">
        <v>40.715580000000003</v>
      </c>
      <c r="S91" s="118">
        <v>-85.950789999999998</v>
      </c>
      <c r="T91" s="118">
        <v>225.9</v>
      </c>
      <c r="U91" s="118">
        <v>161.80000000000001</v>
      </c>
      <c r="V91" s="118">
        <v>8.4700000000000006</v>
      </c>
      <c r="W91" s="118">
        <v>-123.7</v>
      </c>
      <c r="X91" s="118">
        <v>12</v>
      </c>
      <c r="Y91" s="118">
        <v>0</v>
      </c>
      <c r="Z91" s="118">
        <v>27.634</v>
      </c>
      <c r="AA91" s="118">
        <v>12.98</v>
      </c>
      <c r="AB91" s="118">
        <v>0</v>
      </c>
      <c r="AC91" s="118" t="s">
        <v>1726</v>
      </c>
      <c r="AD91" s="180">
        <v>14</v>
      </c>
      <c r="AE91" s="119" t="s">
        <v>749</v>
      </c>
    </row>
    <row r="92" spans="1:31" x14ac:dyDescent="0.25">
      <c r="A92" s="119" t="s">
        <v>750</v>
      </c>
      <c r="B92" s="188">
        <v>0.57785879629629633</v>
      </c>
      <c r="C92" s="19">
        <v>45875</v>
      </c>
      <c r="D92" s="118">
        <v>250806</v>
      </c>
      <c r="E92" s="118">
        <v>0</v>
      </c>
      <c r="F92" s="118">
        <v>747.3</v>
      </c>
      <c r="G92" s="118">
        <v>380.1</v>
      </c>
      <c r="H92" s="118">
        <v>359.5</v>
      </c>
      <c r="I92" s="118">
        <v>234</v>
      </c>
      <c r="J92" s="118">
        <v>0.17</v>
      </c>
      <c r="K92" s="118">
        <v>357.2</v>
      </c>
      <c r="L92" s="118">
        <v>0.498</v>
      </c>
      <c r="M92" s="118">
        <v>0.52800000000000002</v>
      </c>
      <c r="N92" s="118">
        <v>0.70599999999999996</v>
      </c>
      <c r="O92" s="118">
        <v>228.1</v>
      </c>
      <c r="P92" s="118">
        <v>17.829999999999998</v>
      </c>
      <c r="Q92" s="118">
        <v>231.2</v>
      </c>
      <c r="R92" s="118">
        <v>40.663760000000003</v>
      </c>
      <c r="S92" s="118">
        <v>-85.855019999999996</v>
      </c>
      <c r="T92" s="118">
        <v>221.9</v>
      </c>
      <c r="U92" s="118">
        <v>73.8</v>
      </c>
      <c r="V92" s="118">
        <v>9.06</v>
      </c>
      <c r="W92" s="118">
        <v>-159.5</v>
      </c>
      <c r="X92" s="118">
        <v>11.9</v>
      </c>
      <c r="Y92" s="118">
        <v>0</v>
      </c>
      <c r="Z92" s="118">
        <v>28.001000000000001</v>
      </c>
      <c r="AA92" s="118">
        <v>21.84</v>
      </c>
      <c r="AB92" s="118">
        <v>0</v>
      </c>
      <c r="AC92" s="118" t="s">
        <v>1727</v>
      </c>
      <c r="AD92" s="180">
        <v>15</v>
      </c>
      <c r="AE92" s="119" t="s">
        <v>750</v>
      </c>
    </row>
    <row r="93" spans="1:31" x14ac:dyDescent="0.25">
      <c r="A93" s="119" t="s">
        <v>751</v>
      </c>
      <c r="B93" s="188">
        <v>0.63658564814814811</v>
      </c>
      <c r="C93" s="19">
        <v>45875</v>
      </c>
      <c r="D93" s="118">
        <v>250806</v>
      </c>
      <c r="E93" s="118">
        <v>0</v>
      </c>
      <c r="F93" s="118">
        <v>746.5</v>
      </c>
      <c r="G93" s="118">
        <v>350.9</v>
      </c>
      <c r="H93" s="118">
        <v>337.1</v>
      </c>
      <c r="I93" s="118">
        <v>219</v>
      </c>
      <c r="J93" s="118">
        <v>0.16</v>
      </c>
      <c r="K93" s="118">
        <v>335.7</v>
      </c>
      <c r="L93" s="118">
        <v>0.46500000000000002</v>
      </c>
      <c r="M93" s="118">
        <v>0.46300000000000002</v>
      </c>
      <c r="N93" s="118">
        <v>0.66</v>
      </c>
      <c r="O93" s="118">
        <v>302.7</v>
      </c>
      <c r="P93" s="118">
        <v>24.03</v>
      </c>
      <c r="Q93" s="118">
        <v>306.8</v>
      </c>
      <c r="R93" s="118">
        <v>40.673180000000002</v>
      </c>
      <c r="S93" s="118">
        <v>-85.835279999999997</v>
      </c>
      <c r="T93" s="118">
        <v>217</v>
      </c>
      <c r="U93" s="118">
        <v>65.599999999999994</v>
      </c>
      <c r="V93" s="118">
        <v>9.41</v>
      </c>
      <c r="W93" s="118">
        <v>-180</v>
      </c>
      <c r="X93" s="118">
        <v>11.9</v>
      </c>
      <c r="Y93" s="118">
        <v>0</v>
      </c>
      <c r="Z93" s="118">
        <v>27.138000000000002</v>
      </c>
      <c r="AA93" s="118">
        <v>40.28</v>
      </c>
      <c r="AB93" s="118">
        <v>0</v>
      </c>
      <c r="AC93" s="118" t="s">
        <v>1728</v>
      </c>
      <c r="AD93" s="180">
        <v>16</v>
      </c>
      <c r="AE93" s="119" t="s">
        <v>751</v>
      </c>
    </row>
    <row r="94" spans="1:31" x14ac:dyDescent="0.25">
      <c r="B94" s="188">
        <v>0.53166666666666662</v>
      </c>
      <c r="C94" s="19">
        <v>45875</v>
      </c>
      <c r="D94" s="118">
        <v>250806</v>
      </c>
      <c r="E94" s="118">
        <v>0</v>
      </c>
      <c r="F94" s="118">
        <v>747.4</v>
      </c>
      <c r="G94" s="118">
        <v>406.1</v>
      </c>
      <c r="H94" s="118">
        <v>394.8</v>
      </c>
      <c r="I94" s="118">
        <v>257</v>
      </c>
      <c r="J94" s="118">
        <v>0.19</v>
      </c>
      <c r="K94" s="118">
        <v>393.6</v>
      </c>
      <c r="L94" s="118">
        <v>0.73599999999999999</v>
      </c>
      <c r="M94" s="118">
        <v>0.74399999999999999</v>
      </c>
      <c r="N94" s="118">
        <v>1.044</v>
      </c>
      <c r="O94" s="118">
        <v>101.8</v>
      </c>
      <c r="P94" s="118">
        <v>8.17</v>
      </c>
      <c r="Q94" s="118">
        <v>103.2</v>
      </c>
      <c r="R94" s="118">
        <v>40.67689</v>
      </c>
      <c r="S94" s="118">
        <v>-85.877089999999995</v>
      </c>
      <c r="T94" s="118">
        <v>220.3</v>
      </c>
      <c r="U94" s="118">
        <v>118.7</v>
      </c>
      <c r="V94" s="118">
        <v>8.17</v>
      </c>
      <c r="W94" s="118">
        <v>-105.7</v>
      </c>
      <c r="X94" s="118">
        <v>11.9</v>
      </c>
      <c r="Y94" s="118">
        <v>0</v>
      </c>
      <c r="Z94" s="118">
        <v>26.501000000000001</v>
      </c>
      <c r="AA94" s="118">
        <v>9.8000000000000007</v>
      </c>
      <c r="AB94" s="118">
        <v>0</v>
      </c>
      <c r="AC94" s="118" t="s">
        <v>1723</v>
      </c>
      <c r="AD94" s="180">
        <v>17</v>
      </c>
    </row>
    <row r="95" spans="1:31" x14ac:dyDescent="0.25">
      <c r="A95" s="124" t="s">
        <v>782</v>
      </c>
      <c r="B95" s="188">
        <v>0.38333333333333336</v>
      </c>
      <c r="C95" s="19">
        <v>45882</v>
      </c>
      <c r="D95" s="118">
        <v>250813</v>
      </c>
      <c r="E95" s="118">
        <v>0</v>
      </c>
      <c r="F95" s="118">
        <v>740.5</v>
      </c>
      <c r="G95" s="118">
        <v>368.3</v>
      </c>
      <c r="H95" s="118">
        <v>344.2</v>
      </c>
      <c r="I95" s="118">
        <v>223.73</v>
      </c>
      <c r="J95" s="118">
        <v>0.19</v>
      </c>
      <c r="K95" s="118"/>
      <c r="L95" s="118">
        <v>0.25</v>
      </c>
      <c r="M95" s="118">
        <v>0.25</v>
      </c>
      <c r="N95" s="118"/>
      <c r="O95" s="118">
        <v>160.1</v>
      </c>
      <c r="P95" s="118">
        <v>14.248900000000001</v>
      </c>
      <c r="Q95" s="118"/>
      <c r="R95" s="118">
        <v>40.681714999999997</v>
      </c>
      <c r="S95" s="118">
        <v>-85.888788000000005</v>
      </c>
      <c r="T95" s="118"/>
      <c r="U95" s="118"/>
      <c r="V95" s="118">
        <v>8.81</v>
      </c>
      <c r="W95" s="118"/>
      <c r="X95" s="118"/>
      <c r="Y95" s="118"/>
      <c r="Z95" s="118">
        <v>28.67</v>
      </c>
      <c r="AA95" s="118">
        <v>25.6</v>
      </c>
      <c r="AB95" s="118">
        <v>0</v>
      </c>
      <c r="AC95" s="118" t="s">
        <v>1717</v>
      </c>
      <c r="AD95" s="180" t="s">
        <v>1744</v>
      </c>
      <c r="AE95" s="124" t="s">
        <v>782</v>
      </c>
    </row>
    <row r="96" spans="1:31" x14ac:dyDescent="0.25">
      <c r="A96" s="124" t="s">
        <v>783</v>
      </c>
      <c r="B96" s="188">
        <v>0.40122685185185186</v>
      </c>
      <c r="C96" s="19">
        <v>45882</v>
      </c>
      <c r="D96" s="118">
        <v>250813</v>
      </c>
      <c r="E96" s="118">
        <v>0</v>
      </c>
      <c r="F96" s="118">
        <v>740.5</v>
      </c>
      <c r="G96" s="118">
        <v>358.9</v>
      </c>
      <c r="H96" s="118">
        <v>334.2</v>
      </c>
      <c r="I96" s="118">
        <v>217.23</v>
      </c>
      <c r="J96" s="118">
        <v>0.19</v>
      </c>
      <c r="K96" s="118"/>
      <c r="L96" s="118">
        <v>0.16800000000000001</v>
      </c>
      <c r="M96" s="118">
        <v>0.16800000000000001</v>
      </c>
      <c r="N96" s="118"/>
      <c r="O96" s="118">
        <v>186.1</v>
      </c>
      <c r="P96" s="118">
        <v>16.562899999999999</v>
      </c>
      <c r="Q96" s="118"/>
      <c r="R96" s="118">
        <v>40.677154000000002</v>
      </c>
      <c r="S96" s="118">
        <v>-85.877200999999999</v>
      </c>
      <c r="T96" s="118"/>
      <c r="U96" s="118"/>
      <c r="V96" s="118">
        <v>8.9700000000000006</v>
      </c>
      <c r="W96" s="118"/>
      <c r="X96" s="118"/>
      <c r="Y96" s="118"/>
      <c r="Z96" s="118">
        <v>28.861999999999998</v>
      </c>
      <c r="AA96" s="118">
        <v>27.84</v>
      </c>
      <c r="AB96" s="118">
        <v>0</v>
      </c>
      <c r="AC96" s="118" t="s">
        <v>1716</v>
      </c>
      <c r="AD96" s="180" t="s">
        <v>1745</v>
      </c>
      <c r="AE96" s="124" t="s">
        <v>783</v>
      </c>
    </row>
    <row r="97" spans="1:31" x14ac:dyDescent="0.25">
      <c r="A97" s="124" t="s">
        <v>784</v>
      </c>
      <c r="B97" s="188">
        <v>0.41111111111111109</v>
      </c>
      <c r="C97" s="19">
        <v>45882</v>
      </c>
      <c r="D97" s="118">
        <v>250813</v>
      </c>
      <c r="E97" s="118">
        <v>0</v>
      </c>
      <c r="F97" s="118">
        <v>740.5</v>
      </c>
      <c r="G97" s="118">
        <v>363.3</v>
      </c>
      <c r="H97" s="118">
        <v>338.9</v>
      </c>
      <c r="I97" s="118">
        <v>220.285</v>
      </c>
      <c r="J97" s="118">
        <v>0.19</v>
      </c>
      <c r="K97" s="118"/>
      <c r="L97" s="118">
        <v>0.25</v>
      </c>
      <c r="M97" s="118">
        <v>0.25</v>
      </c>
      <c r="N97" s="118"/>
      <c r="O97" s="118">
        <v>177.4</v>
      </c>
      <c r="P97" s="118">
        <v>15.788600000000001</v>
      </c>
      <c r="Q97" s="118"/>
      <c r="R97" s="118">
        <v>40.670718999999998</v>
      </c>
      <c r="S97" s="118">
        <v>-85.870287000000005</v>
      </c>
      <c r="T97" s="118"/>
      <c r="U97" s="118"/>
      <c r="V97" s="118">
        <v>8.93</v>
      </c>
      <c r="W97" s="118"/>
      <c r="X97" s="118"/>
      <c r="Y97" s="118"/>
      <c r="Z97" s="118">
        <v>28.77</v>
      </c>
      <c r="AA97" s="118">
        <v>28.17</v>
      </c>
      <c r="AB97" s="118">
        <v>0</v>
      </c>
      <c r="AC97" s="118" t="s">
        <v>1715</v>
      </c>
      <c r="AD97" s="180" t="s">
        <v>1746</v>
      </c>
      <c r="AE97" s="124" t="s">
        <v>784</v>
      </c>
    </row>
    <row r="98" spans="1:31" x14ac:dyDescent="0.25">
      <c r="A98" s="124" t="s">
        <v>785</v>
      </c>
      <c r="B98" s="188">
        <v>0.42152777777777778</v>
      </c>
      <c r="C98" s="19">
        <v>45882</v>
      </c>
      <c r="D98" s="118">
        <v>250813</v>
      </c>
      <c r="E98" s="118">
        <v>0</v>
      </c>
      <c r="F98" s="118">
        <v>740.5</v>
      </c>
      <c r="G98" s="118">
        <v>365.3</v>
      </c>
      <c r="H98" s="118">
        <v>343.1</v>
      </c>
      <c r="I98" s="118">
        <v>223.01499999999999</v>
      </c>
      <c r="J98" s="118">
        <v>0.19</v>
      </c>
      <c r="K98" s="118"/>
      <c r="L98" s="118">
        <v>0.12</v>
      </c>
      <c r="M98" s="118">
        <v>0.12</v>
      </c>
      <c r="N98" s="118"/>
      <c r="O98" s="118">
        <v>163.1</v>
      </c>
      <c r="P98" s="118">
        <v>14.5159</v>
      </c>
      <c r="Q98" s="118"/>
      <c r="R98" s="118">
        <v>40.663286999999997</v>
      </c>
      <c r="S98" s="118">
        <v>-85.866485999999995</v>
      </c>
      <c r="T98" s="118"/>
      <c r="U98" s="118"/>
      <c r="V98" s="118">
        <v>8.8699999999999992</v>
      </c>
      <c r="W98" s="118"/>
      <c r="X98" s="118"/>
      <c r="Y98" s="118"/>
      <c r="Z98" s="118">
        <v>28.39</v>
      </c>
      <c r="AA98" s="118">
        <v>18.149999999999999</v>
      </c>
      <c r="AB98" s="118">
        <v>0</v>
      </c>
      <c r="AC98" s="118" t="s">
        <v>1714</v>
      </c>
      <c r="AD98" s="180" t="s">
        <v>1747</v>
      </c>
      <c r="AE98" s="124" t="s">
        <v>785</v>
      </c>
    </row>
    <row r="99" spans="1:31" x14ac:dyDescent="0.25">
      <c r="A99" s="124" t="s">
        <v>786</v>
      </c>
      <c r="B99" s="188">
        <v>0.44583333333333336</v>
      </c>
      <c r="C99" s="19">
        <v>45882</v>
      </c>
      <c r="D99" s="118">
        <v>250813</v>
      </c>
      <c r="E99" s="118">
        <v>0</v>
      </c>
      <c r="F99" s="118">
        <v>740.5</v>
      </c>
      <c r="G99" s="118">
        <v>359.1</v>
      </c>
      <c r="H99" s="118">
        <v>333.6</v>
      </c>
      <c r="I99" s="118">
        <v>216.84</v>
      </c>
      <c r="J99" s="118">
        <v>0.19</v>
      </c>
      <c r="K99" s="118"/>
      <c r="L99" s="118">
        <v>0.21</v>
      </c>
      <c r="M99" s="118">
        <v>0.21</v>
      </c>
      <c r="N99" s="118"/>
      <c r="O99" s="118">
        <v>183.6</v>
      </c>
      <c r="P99" s="118">
        <v>16.340399999999999</v>
      </c>
      <c r="Q99" s="118"/>
      <c r="R99" s="118">
        <v>40.668571999999998</v>
      </c>
      <c r="S99" s="118">
        <v>-85.847962999999993</v>
      </c>
      <c r="T99" s="118"/>
      <c r="U99" s="118"/>
      <c r="V99" s="118">
        <v>8.9600000000000009</v>
      </c>
      <c r="W99" s="118"/>
      <c r="X99" s="118"/>
      <c r="Y99" s="118"/>
      <c r="Z99" s="118">
        <v>29</v>
      </c>
      <c r="AA99" s="118">
        <v>21.34</v>
      </c>
      <c r="AB99" s="118">
        <v>0</v>
      </c>
      <c r="AC99" s="118" t="s">
        <v>1713</v>
      </c>
      <c r="AD99" s="180" t="s">
        <v>1748</v>
      </c>
      <c r="AE99" s="124" t="s">
        <v>786</v>
      </c>
    </row>
    <row r="100" spans="1:31" x14ac:dyDescent="0.25">
      <c r="A100" s="124" t="s">
        <v>787</v>
      </c>
      <c r="B100" s="188">
        <v>0.46666666666666667</v>
      </c>
      <c r="C100" s="19">
        <v>45882</v>
      </c>
      <c r="D100" s="118"/>
      <c r="E100" s="118"/>
      <c r="F100" s="118"/>
      <c r="G100" s="118">
        <v>338.1</v>
      </c>
      <c r="H100" s="118">
        <v>312</v>
      </c>
      <c r="I100" s="118">
        <v>202.8</v>
      </c>
      <c r="J100" s="118">
        <v>0.19</v>
      </c>
      <c r="K100" s="118"/>
      <c r="L100" s="118">
        <v>0.21</v>
      </c>
      <c r="M100" s="118">
        <v>0.21</v>
      </c>
      <c r="N100" s="118"/>
      <c r="O100" s="118">
        <v>241.9</v>
      </c>
      <c r="P100" s="118">
        <v>21.5291</v>
      </c>
      <c r="Q100" s="118"/>
      <c r="R100" s="118">
        <v>40.673721999999998</v>
      </c>
      <c r="S100" s="118">
        <v>-85.831861000000004</v>
      </c>
      <c r="T100" s="118"/>
      <c r="U100" s="118"/>
      <c r="V100" s="118">
        <v>9.2100000000000009</v>
      </c>
      <c r="W100" s="118"/>
      <c r="X100" s="118"/>
      <c r="Y100" s="118"/>
      <c r="Z100" s="118">
        <v>29.38</v>
      </c>
      <c r="AA100" s="118">
        <v>49.6</v>
      </c>
      <c r="AB100" s="118">
        <v>0</v>
      </c>
      <c r="AC100" s="118" t="s">
        <v>1712</v>
      </c>
      <c r="AD100" s="180" t="s">
        <v>1749</v>
      </c>
      <c r="AE100" s="124" t="s">
        <v>787</v>
      </c>
    </row>
    <row r="101" spans="1:31" x14ac:dyDescent="0.25">
      <c r="A101" s="124" t="s">
        <v>788</v>
      </c>
      <c r="B101" s="188">
        <v>0.58194444444444449</v>
      </c>
      <c r="C101" s="19">
        <v>45882</v>
      </c>
      <c r="D101" s="118">
        <v>250813</v>
      </c>
      <c r="E101" s="118">
        <v>0</v>
      </c>
      <c r="F101" s="118">
        <v>740.5</v>
      </c>
      <c r="G101" s="118">
        <v>367.9</v>
      </c>
      <c r="H101" s="118">
        <v>340</v>
      </c>
      <c r="I101" s="118">
        <v>221</v>
      </c>
      <c r="J101" s="118">
        <v>0.19</v>
      </c>
      <c r="K101" s="118"/>
      <c r="L101" s="118">
        <v>0.2</v>
      </c>
      <c r="M101" s="118">
        <v>0.2</v>
      </c>
      <c r="N101" s="118"/>
      <c r="O101" s="118">
        <v>190</v>
      </c>
      <c r="P101" s="118">
        <v>16.91</v>
      </c>
      <c r="Q101" s="118"/>
      <c r="R101" s="118">
        <v>40.687837999999999</v>
      </c>
      <c r="S101" s="118">
        <v>-85.896393000000003</v>
      </c>
      <c r="T101" s="118"/>
      <c r="U101" s="118"/>
      <c r="V101" s="118">
        <v>8.9</v>
      </c>
      <c r="W101" s="118"/>
      <c r="X101" s="118"/>
      <c r="Y101" s="118"/>
      <c r="Z101" s="118">
        <v>29.3</v>
      </c>
      <c r="AA101" s="118">
        <v>28.7</v>
      </c>
      <c r="AB101" s="118">
        <v>0</v>
      </c>
      <c r="AC101" s="118" t="s">
        <v>1724</v>
      </c>
      <c r="AD101" s="180" t="s">
        <v>1752</v>
      </c>
      <c r="AE101" s="124" t="s">
        <v>788</v>
      </c>
    </row>
    <row r="102" spans="1:31" x14ac:dyDescent="0.25">
      <c r="A102" s="124" t="s">
        <v>789</v>
      </c>
      <c r="B102" s="188">
        <v>0.57152777777777775</v>
      </c>
      <c r="C102" s="19">
        <v>45882</v>
      </c>
      <c r="D102" s="118">
        <v>250813</v>
      </c>
      <c r="E102" s="118">
        <v>0</v>
      </c>
      <c r="F102" s="118">
        <v>740.5</v>
      </c>
      <c r="G102" s="118">
        <v>365.8</v>
      </c>
      <c r="H102" s="118">
        <v>338</v>
      </c>
      <c r="I102" s="118">
        <v>219.7</v>
      </c>
      <c r="J102" s="118">
        <v>0.19</v>
      </c>
      <c r="K102" s="118"/>
      <c r="L102" s="118">
        <v>0.31</v>
      </c>
      <c r="M102" s="118">
        <v>0.31</v>
      </c>
      <c r="N102" s="118"/>
      <c r="O102" s="118">
        <v>212</v>
      </c>
      <c r="P102" s="118">
        <v>18.867999999999999</v>
      </c>
      <c r="Q102" s="118"/>
      <c r="R102" s="118">
        <v>40.691437000000001</v>
      </c>
      <c r="S102" s="118">
        <v>-85.907788999999994</v>
      </c>
      <c r="T102" s="118"/>
      <c r="U102" s="118"/>
      <c r="V102" s="118">
        <v>9.1</v>
      </c>
      <c r="W102" s="118"/>
      <c r="X102" s="118"/>
      <c r="Y102" s="118"/>
      <c r="Z102" s="118">
        <v>29.3</v>
      </c>
      <c r="AA102" s="118">
        <v>29.6</v>
      </c>
      <c r="AB102" s="118">
        <v>0</v>
      </c>
      <c r="AC102" s="118" t="s">
        <v>1722</v>
      </c>
      <c r="AD102" s="180" t="s">
        <v>1750</v>
      </c>
      <c r="AE102" s="124" t="s">
        <v>789</v>
      </c>
    </row>
    <row r="103" spans="1:31" x14ac:dyDescent="0.25">
      <c r="A103" s="124" t="s">
        <v>790</v>
      </c>
      <c r="B103" s="188">
        <v>0.54652777777777772</v>
      </c>
      <c r="C103" s="19">
        <v>45882</v>
      </c>
      <c r="D103" s="118">
        <v>250813</v>
      </c>
      <c r="E103" s="118">
        <v>0</v>
      </c>
      <c r="F103" s="118">
        <v>740.5</v>
      </c>
      <c r="G103" s="118">
        <v>374.8</v>
      </c>
      <c r="H103" s="118">
        <v>347</v>
      </c>
      <c r="I103" s="118">
        <v>225.55</v>
      </c>
      <c r="J103" s="118">
        <v>0.19</v>
      </c>
      <c r="K103" s="118"/>
      <c r="L103" s="118">
        <v>0.28999999999999998</v>
      </c>
      <c r="M103" s="118">
        <v>0.28999999999999998</v>
      </c>
      <c r="N103" s="118"/>
      <c r="O103" s="118">
        <v>174</v>
      </c>
      <c r="P103" s="118">
        <v>15.486000000000001</v>
      </c>
      <c r="Q103" s="118"/>
      <c r="R103" s="118">
        <v>40.704236000000002</v>
      </c>
      <c r="S103" s="118">
        <v>-85.930099999999996</v>
      </c>
      <c r="T103" s="118"/>
      <c r="U103" s="118"/>
      <c r="V103" s="118">
        <v>8.9</v>
      </c>
      <c r="W103" s="118"/>
      <c r="X103" s="118"/>
      <c r="Y103" s="118"/>
      <c r="Z103" s="118">
        <v>29.2</v>
      </c>
      <c r="AA103" s="118">
        <v>21.8</v>
      </c>
      <c r="AB103" s="118">
        <v>0</v>
      </c>
      <c r="AC103" s="118" t="s">
        <v>1718</v>
      </c>
      <c r="AD103" s="180" t="s">
        <v>1751</v>
      </c>
      <c r="AE103" s="124" t="s">
        <v>790</v>
      </c>
    </row>
    <row r="104" spans="1:31" x14ac:dyDescent="0.25">
      <c r="A104" s="124" t="s">
        <v>791</v>
      </c>
      <c r="B104" s="188">
        <v>0.55555555555555558</v>
      </c>
      <c r="C104" s="19">
        <v>45882</v>
      </c>
      <c r="D104" s="118">
        <v>250813</v>
      </c>
      <c r="E104" s="118">
        <v>0</v>
      </c>
      <c r="F104" s="118">
        <v>740.5</v>
      </c>
      <c r="G104" s="118">
        <v>375.5</v>
      </c>
      <c r="H104" s="118">
        <v>347</v>
      </c>
      <c r="I104" s="118">
        <v>225.55</v>
      </c>
      <c r="J104" s="118">
        <v>0.19</v>
      </c>
      <c r="K104" s="118"/>
      <c r="L104" s="118">
        <v>0.27</v>
      </c>
      <c r="M104" s="118">
        <v>0.27</v>
      </c>
      <c r="N104" s="118"/>
      <c r="O104" s="118">
        <v>166</v>
      </c>
      <c r="P104" s="118">
        <v>14.773999999999999</v>
      </c>
      <c r="Q104" s="118"/>
      <c r="R104" s="118">
        <v>40.693064999999997</v>
      </c>
      <c r="S104" s="118">
        <v>-85.919984999999997</v>
      </c>
      <c r="T104" s="118"/>
      <c r="U104" s="118"/>
      <c r="V104" s="118">
        <v>8.8800000000000008</v>
      </c>
      <c r="W104" s="118"/>
      <c r="X104" s="118"/>
      <c r="Y104" s="118"/>
      <c r="Z104" s="118">
        <v>29.3</v>
      </c>
      <c r="AA104" s="118">
        <v>21.1</v>
      </c>
      <c r="AB104" s="118">
        <v>0</v>
      </c>
      <c r="AC104" s="118" t="s">
        <v>1725</v>
      </c>
      <c r="AD104" s="180">
        <v>10</v>
      </c>
      <c r="AE104" s="124" t="s">
        <v>791</v>
      </c>
    </row>
    <row r="105" spans="1:31" x14ac:dyDescent="0.25">
      <c r="A105" s="124" t="s">
        <v>792</v>
      </c>
      <c r="B105" s="188">
        <v>0.53263888888888888</v>
      </c>
      <c r="C105" s="19">
        <v>45882</v>
      </c>
      <c r="D105" s="118">
        <v>250813</v>
      </c>
      <c r="E105" s="118">
        <v>0</v>
      </c>
      <c r="F105" s="118">
        <v>740.5</v>
      </c>
      <c r="G105" s="118">
        <v>378.5</v>
      </c>
      <c r="H105" s="118">
        <v>351</v>
      </c>
      <c r="I105" s="118">
        <v>228.15</v>
      </c>
      <c r="J105" s="118">
        <v>0.19</v>
      </c>
      <c r="K105" s="118"/>
      <c r="L105" s="118">
        <v>0.24</v>
      </c>
      <c r="M105" s="118">
        <v>0.24</v>
      </c>
      <c r="N105" s="118"/>
      <c r="O105" s="118">
        <v>151</v>
      </c>
      <c r="P105" s="118">
        <v>13.439</v>
      </c>
      <c r="Q105" s="118"/>
      <c r="R105" s="118">
        <v>40.710979000000002</v>
      </c>
      <c r="S105" s="118">
        <v>-85.938685000000007</v>
      </c>
      <c r="T105" s="118"/>
      <c r="U105" s="118"/>
      <c r="V105" s="118">
        <v>8.86</v>
      </c>
      <c r="W105" s="118"/>
      <c r="X105" s="118"/>
      <c r="Y105" s="118"/>
      <c r="Z105" s="118">
        <v>29.1</v>
      </c>
      <c r="AA105" s="118">
        <v>16.8</v>
      </c>
      <c r="AB105" s="118">
        <v>0</v>
      </c>
      <c r="AC105" s="118" t="s">
        <v>1719</v>
      </c>
      <c r="AD105" s="180">
        <v>11</v>
      </c>
      <c r="AE105" s="124" t="s">
        <v>792</v>
      </c>
    </row>
    <row r="106" spans="1:31" x14ac:dyDescent="0.25">
      <c r="A106" s="124" t="s">
        <v>793</v>
      </c>
      <c r="AE106" s="124" t="s">
        <v>793</v>
      </c>
    </row>
    <row r="107" spans="1:31" x14ac:dyDescent="0.25">
      <c r="A107" s="124" t="s">
        <v>794</v>
      </c>
      <c r="B107" s="188">
        <v>0.45624999999999999</v>
      </c>
      <c r="C107" s="19">
        <v>45882</v>
      </c>
      <c r="D107" s="118"/>
      <c r="E107" s="118"/>
      <c r="F107" s="118"/>
      <c r="G107" s="118">
        <v>350.6</v>
      </c>
      <c r="H107" s="118">
        <v>325</v>
      </c>
      <c r="I107" s="118">
        <v>211.25</v>
      </c>
      <c r="J107" s="118">
        <v>0.19</v>
      </c>
      <c r="K107" s="118"/>
      <c r="L107" s="118">
        <v>0.36</v>
      </c>
      <c r="M107" s="118">
        <v>0.36</v>
      </c>
      <c r="N107" s="118"/>
      <c r="O107" s="118">
        <v>215</v>
      </c>
      <c r="P107" s="118">
        <v>19.135000000000002</v>
      </c>
      <c r="Q107" s="118"/>
      <c r="R107" s="118">
        <v>40.672573999999997</v>
      </c>
      <c r="S107" s="118">
        <v>-85.841449999999995</v>
      </c>
      <c r="T107" s="118"/>
      <c r="U107" s="118"/>
      <c r="V107" s="118">
        <v>9.1</v>
      </c>
      <c r="W107" s="118"/>
      <c r="X107" s="118"/>
      <c r="Y107" s="118"/>
      <c r="Z107" s="118">
        <v>29.12</v>
      </c>
      <c r="AA107" s="118">
        <v>32.299999999999997</v>
      </c>
      <c r="AB107" s="118">
        <v>0</v>
      </c>
      <c r="AC107" s="118" t="s">
        <v>1721</v>
      </c>
      <c r="AD107" s="180">
        <v>13</v>
      </c>
      <c r="AE107" s="124" t="s">
        <v>794</v>
      </c>
    </row>
    <row r="108" spans="1:31" x14ac:dyDescent="0.25">
      <c r="A108" s="124" t="s">
        <v>795</v>
      </c>
      <c r="B108" s="188">
        <v>0.4375</v>
      </c>
      <c r="C108" s="19">
        <v>45882</v>
      </c>
      <c r="D108" s="118">
        <v>250813</v>
      </c>
      <c r="E108" s="118">
        <v>0</v>
      </c>
      <c r="F108" s="118">
        <v>740.5</v>
      </c>
      <c r="G108" s="118">
        <v>361.6</v>
      </c>
      <c r="H108" s="118">
        <v>337.7</v>
      </c>
      <c r="I108" s="118">
        <v>219.505</v>
      </c>
      <c r="J108" s="118">
        <v>0.19</v>
      </c>
      <c r="K108" s="118"/>
      <c r="L108" s="118">
        <v>0.12</v>
      </c>
      <c r="M108" s="118">
        <v>0.12</v>
      </c>
      <c r="N108" s="118"/>
      <c r="O108" s="118">
        <v>179.6</v>
      </c>
      <c r="P108" s="118">
        <v>15.984400000000001</v>
      </c>
      <c r="Q108" s="118"/>
      <c r="R108" s="118">
        <v>40.663148999999997</v>
      </c>
      <c r="S108" s="118">
        <v>-85.855344000000002</v>
      </c>
      <c r="T108" s="118"/>
      <c r="U108" s="118"/>
      <c r="V108" s="118">
        <v>8.94</v>
      </c>
      <c r="W108" s="118"/>
      <c r="X108" s="118"/>
      <c r="Y108" s="118"/>
      <c r="Z108" s="118">
        <v>28.71</v>
      </c>
      <c r="AA108" s="118">
        <v>23.97</v>
      </c>
      <c r="AB108" s="118">
        <v>0</v>
      </c>
      <c r="AC108" s="118" t="s">
        <v>1727</v>
      </c>
      <c r="AD108" s="180">
        <v>15</v>
      </c>
      <c r="AE108" s="124" t="s">
        <v>795</v>
      </c>
    </row>
    <row r="109" spans="1:31" x14ac:dyDescent="0.25">
      <c r="A109" s="124" t="s">
        <v>796</v>
      </c>
      <c r="B109" s="188">
        <v>0.49305555555555558</v>
      </c>
      <c r="C109" s="19">
        <v>45882</v>
      </c>
      <c r="D109" s="118"/>
      <c r="E109" s="118"/>
      <c r="F109" s="118"/>
      <c r="G109" s="118">
        <v>360.6</v>
      </c>
      <c r="H109" s="118">
        <v>335</v>
      </c>
      <c r="I109" s="118">
        <v>217.75</v>
      </c>
      <c r="J109" s="118">
        <v>0.19</v>
      </c>
      <c r="K109" s="118"/>
      <c r="L109" s="118">
        <v>0.36</v>
      </c>
      <c r="M109" s="118">
        <v>0.36</v>
      </c>
      <c r="N109" s="118"/>
      <c r="O109" s="118">
        <v>203</v>
      </c>
      <c r="P109" s="118">
        <v>18.067</v>
      </c>
      <c r="Q109" s="118"/>
      <c r="R109" s="118">
        <v>40.677225999999997</v>
      </c>
      <c r="S109" s="118">
        <v>-85.876429000000002</v>
      </c>
      <c r="T109" s="118"/>
      <c r="U109" s="118"/>
      <c r="V109" s="118">
        <v>9.0500000000000007</v>
      </c>
      <c r="W109" s="118"/>
      <c r="X109" s="118"/>
      <c r="Y109" s="118"/>
      <c r="Z109" s="118">
        <v>29</v>
      </c>
      <c r="AA109" s="118">
        <v>32.159999999999997</v>
      </c>
      <c r="AB109" s="118">
        <v>0</v>
      </c>
      <c r="AC109" s="118" t="s">
        <v>1723</v>
      </c>
      <c r="AD109" s="180">
        <v>17</v>
      </c>
      <c r="AE109" s="124" t="s">
        <v>796</v>
      </c>
    </row>
    <row r="110" spans="1:31" x14ac:dyDescent="0.25">
      <c r="A110" s="123" t="s">
        <v>752</v>
      </c>
      <c r="B110" s="188">
        <v>0.50302083333333336</v>
      </c>
      <c r="C110" s="19">
        <v>45891</v>
      </c>
      <c r="D110" s="118">
        <v>250822</v>
      </c>
      <c r="E110" s="118">
        <v>0</v>
      </c>
      <c r="F110" s="118">
        <v>743.7</v>
      </c>
      <c r="G110" s="118">
        <v>377.5</v>
      </c>
      <c r="H110" s="118">
        <v>365.6</v>
      </c>
      <c r="I110" s="118">
        <v>238</v>
      </c>
      <c r="J110" s="118">
        <v>0.17</v>
      </c>
      <c r="K110" s="118">
        <v>364.4</v>
      </c>
      <c r="L110" s="118">
        <v>0.44500000000000001</v>
      </c>
      <c r="M110" s="118">
        <v>0.41699999999999998</v>
      </c>
      <c r="N110" s="118">
        <v>0.63</v>
      </c>
      <c r="O110" s="118">
        <v>80.8</v>
      </c>
      <c r="P110" s="118">
        <v>6.47</v>
      </c>
      <c r="Q110" s="118">
        <v>82.3</v>
      </c>
      <c r="R110" s="118">
        <v>40.681730000000002</v>
      </c>
      <c r="S110" s="118">
        <v>-85.888900000000007</v>
      </c>
      <c r="T110" s="118">
        <v>225.6</v>
      </c>
      <c r="U110" s="118">
        <v>121.4</v>
      </c>
      <c r="V110" s="118">
        <v>8.49</v>
      </c>
      <c r="W110" s="118">
        <v>-121.8</v>
      </c>
      <c r="X110" s="118">
        <v>11.9</v>
      </c>
      <c r="Y110" s="118">
        <v>0</v>
      </c>
      <c r="Z110" s="118">
        <v>26.7</v>
      </c>
      <c r="AA110" s="118">
        <v>15.65</v>
      </c>
      <c r="AB110" s="118">
        <v>0</v>
      </c>
      <c r="AC110" s="118" t="s">
        <v>1717</v>
      </c>
      <c r="AD110" s="180" t="s">
        <v>1744</v>
      </c>
      <c r="AE110" s="123" t="s">
        <v>752</v>
      </c>
    </row>
    <row r="111" spans="1:31" x14ac:dyDescent="0.25">
      <c r="A111" s="123" t="s">
        <v>753</v>
      </c>
      <c r="B111" s="188">
        <v>0.4635185185185185</v>
      </c>
      <c r="C111" s="19">
        <v>45891</v>
      </c>
      <c r="D111" s="118">
        <v>250822</v>
      </c>
      <c r="E111" s="118">
        <v>0</v>
      </c>
      <c r="F111" s="118">
        <v>743.8</v>
      </c>
      <c r="G111" s="118">
        <v>375.6</v>
      </c>
      <c r="H111" s="118">
        <v>364.5</v>
      </c>
      <c r="I111" s="118">
        <v>237</v>
      </c>
      <c r="J111" s="118">
        <v>0.17</v>
      </c>
      <c r="K111" s="118">
        <v>363.3</v>
      </c>
      <c r="L111" s="118">
        <v>0.36199999999999999</v>
      </c>
      <c r="M111" s="118">
        <v>0.36899999999999999</v>
      </c>
      <c r="N111" s="118">
        <v>0.51300000000000001</v>
      </c>
      <c r="O111" s="118">
        <v>80.099999999999994</v>
      </c>
      <c r="P111" s="118">
        <v>6.42</v>
      </c>
      <c r="Q111" s="118">
        <v>81.599999999999994</v>
      </c>
      <c r="R111" s="118">
        <v>40.676659999999998</v>
      </c>
      <c r="S111" s="118">
        <v>-85.877430000000004</v>
      </c>
      <c r="T111" s="118">
        <v>226.3</v>
      </c>
      <c r="U111" s="118">
        <v>160</v>
      </c>
      <c r="V111" s="118">
        <v>8.4499999999999993</v>
      </c>
      <c r="W111" s="118">
        <v>-119.4</v>
      </c>
      <c r="X111" s="118">
        <v>12</v>
      </c>
      <c r="Y111" s="118">
        <v>0</v>
      </c>
      <c r="Z111" s="118">
        <v>26.600999999999999</v>
      </c>
      <c r="AA111" s="118">
        <v>18.27</v>
      </c>
      <c r="AB111" s="118">
        <v>0</v>
      </c>
      <c r="AC111" s="118" t="s">
        <v>1716</v>
      </c>
      <c r="AD111" s="180" t="s">
        <v>1745</v>
      </c>
      <c r="AE111" s="123" t="s">
        <v>753</v>
      </c>
    </row>
    <row r="112" spans="1:31" x14ac:dyDescent="0.25">
      <c r="A112" s="123" t="s">
        <v>754</v>
      </c>
      <c r="B112" s="188">
        <v>0.45114583333333336</v>
      </c>
      <c r="C112" s="19">
        <v>45891</v>
      </c>
      <c r="D112" s="118">
        <v>250822</v>
      </c>
      <c r="E112" s="118">
        <v>0</v>
      </c>
      <c r="F112" s="118">
        <v>743.9</v>
      </c>
      <c r="G112" s="118">
        <v>370.2</v>
      </c>
      <c r="H112" s="118">
        <v>359.5</v>
      </c>
      <c r="I112" s="118">
        <v>234</v>
      </c>
      <c r="J112" s="118">
        <v>0.17</v>
      </c>
      <c r="K112" s="118">
        <v>358.4</v>
      </c>
      <c r="L112" s="118">
        <v>0.39900000000000002</v>
      </c>
      <c r="M112" s="118">
        <v>0.39400000000000002</v>
      </c>
      <c r="N112" s="118">
        <v>0.56599999999999995</v>
      </c>
      <c r="O112" s="118">
        <v>89.9</v>
      </c>
      <c r="P112" s="118">
        <v>7.21</v>
      </c>
      <c r="Q112" s="118">
        <v>91.6</v>
      </c>
      <c r="R112" s="118">
        <v>40.670760000000001</v>
      </c>
      <c r="S112" s="118">
        <v>-85.870580000000004</v>
      </c>
      <c r="T112" s="118">
        <v>218.8</v>
      </c>
      <c r="U112" s="118">
        <v>153</v>
      </c>
      <c r="V112" s="118">
        <v>8.6</v>
      </c>
      <c r="W112" s="118">
        <v>-128.19999999999999</v>
      </c>
      <c r="X112" s="118">
        <v>12</v>
      </c>
      <c r="Y112" s="118">
        <v>0</v>
      </c>
      <c r="Z112" s="118">
        <v>26.56</v>
      </c>
      <c r="AA112" s="118">
        <v>20.149999999999999</v>
      </c>
      <c r="AB112" s="118">
        <v>0</v>
      </c>
      <c r="AC112" s="118" t="s">
        <v>1715</v>
      </c>
      <c r="AD112" s="180" t="s">
        <v>1746</v>
      </c>
      <c r="AE112" s="123" t="s">
        <v>754</v>
      </c>
    </row>
    <row r="113" spans="1:31" x14ac:dyDescent="0.25">
      <c r="A113" s="123" t="s">
        <v>755</v>
      </c>
      <c r="B113" s="188">
        <v>0.43929398148148147</v>
      </c>
      <c r="C113" s="19">
        <v>45891</v>
      </c>
      <c r="D113" s="118">
        <v>250822</v>
      </c>
      <c r="E113" s="118">
        <v>0</v>
      </c>
      <c r="F113" s="118">
        <v>744</v>
      </c>
      <c r="G113" s="118">
        <v>369.7</v>
      </c>
      <c r="H113" s="118">
        <v>357.6</v>
      </c>
      <c r="I113" s="118">
        <v>232</v>
      </c>
      <c r="J113" s="118">
        <v>0.17</v>
      </c>
      <c r="K113" s="118">
        <v>356.3</v>
      </c>
      <c r="L113" s="118">
        <v>0.28599999999999998</v>
      </c>
      <c r="M113" s="118">
        <v>0.26300000000000001</v>
      </c>
      <c r="N113" s="118">
        <v>0.40600000000000003</v>
      </c>
      <c r="O113" s="118">
        <v>98</v>
      </c>
      <c r="P113" s="118">
        <v>7.83</v>
      </c>
      <c r="Q113" s="118">
        <v>99.8</v>
      </c>
      <c r="R113" s="118">
        <v>40.663110000000003</v>
      </c>
      <c r="S113" s="118">
        <v>-85.866550000000004</v>
      </c>
      <c r="T113" s="118">
        <v>215.5</v>
      </c>
      <c r="U113" s="118">
        <v>140.1</v>
      </c>
      <c r="V113" s="118">
        <v>8.67</v>
      </c>
      <c r="W113" s="118">
        <v>-132.5</v>
      </c>
      <c r="X113" s="118">
        <v>11.9</v>
      </c>
      <c r="Y113" s="118">
        <v>0</v>
      </c>
      <c r="Z113" s="118">
        <v>26.771000000000001</v>
      </c>
      <c r="AA113" s="118">
        <v>24.72</v>
      </c>
      <c r="AB113" s="118">
        <v>0</v>
      </c>
      <c r="AC113" s="118" t="s">
        <v>1714</v>
      </c>
      <c r="AD113" s="180" t="s">
        <v>1747</v>
      </c>
      <c r="AE113" s="123" t="s">
        <v>755</v>
      </c>
    </row>
    <row r="114" spans="1:31" x14ac:dyDescent="0.25">
      <c r="A114" s="123" t="s">
        <v>756</v>
      </c>
      <c r="B114" s="188">
        <v>0.40866898148148151</v>
      </c>
      <c r="C114" s="19">
        <v>45891</v>
      </c>
      <c r="D114" s="118">
        <v>250822</v>
      </c>
      <c r="E114" s="118">
        <v>0</v>
      </c>
      <c r="F114" s="118">
        <v>744.1</v>
      </c>
      <c r="G114" s="118">
        <v>380.2</v>
      </c>
      <c r="H114" s="118">
        <v>368.9</v>
      </c>
      <c r="I114" s="118">
        <v>240</v>
      </c>
      <c r="J114" s="118">
        <v>0.18</v>
      </c>
      <c r="K114" s="118">
        <v>367.7</v>
      </c>
      <c r="L114" s="118">
        <v>0.34</v>
      </c>
      <c r="M114" s="118">
        <v>0.34399999999999997</v>
      </c>
      <c r="N114" s="118">
        <v>0.48099999999999998</v>
      </c>
      <c r="O114" s="118">
        <v>97.6</v>
      </c>
      <c r="P114" s="118">
        <v>7.82</v>
      </c>
      <c r="Q114" s="118">
        <v>99.4</v>
      </c>
      <c r="R114" s="118">
        <v>40.668750000000003</v>
      </c>
      <c r="S114" s="118">
        <v>-85.847790000000003</v>
      </c>
      <c r="T114" s="118">
        <v>223.9</v>
      </c>
      <c r="U114" s="118">
        <v>126.5</v>
      </c>
      <c r="V114" s="118">
        <v>8.59</v>
      </c>
      <c r="W114" s="118">
        <v>-127.4</v>
      </c>
      <c r="X114" s="118">
        <v>11.9</v>
      </c>
      <c r="Y114" s="118">
        <v>0</v>
      </c>
      <c r="Z114" s="118">
        <v>26.603000000000002</v>
      </c>
      <c r="AA114" s="118">
        <v>25.56</v>
      </c>
      <c r="AB114" s="118">
        <v>0</v>
      </c>
      <c r="AC114" s="118" t="s">
        <v>1713</v>
      </c>
      <c r="AD114" s="180" t="s">
        <v>1748</v>
      </c>
      <c r="AE114" s="123" t="s">
        <v>756</v>
      </c>
    </row>
    <row r="115" spans="1:31" x14ac:dyDescent="0.25">
      <c r="A115" s="123" t="s">
        <v>757</v>
      </c>
      <c r="B115" s="188">
        <v>0.3903240740740741</v>
      </c>
      <c r="C115" s="19">
        <v>45891</v>
      </c>
      <c r="D115" s="118">
        <v>250822</v>
      </c>
      <c r="E115" s="118">
        <v>0</v>
      </c>
      <c r="F115" s="118">
        <v>743.9</v>
      </c>
      <c r="G115" s="118">
        <v>400.6</v>
      </c>
      <c r="H115" s="118">
        <v>389.1</v>
      </c>
      <c r="I115" s="118">
        <v>253</v>
      </c>
      <c r="J115" s="118">
        <v>0.18</v>
      </c>
      <c r="K115" s="118">
        <v>387.8</v>
      </c>
      <c r="L115" s="118">
        <v>0.37</v>
      </c>
      <c r="M115" s="118">
        <v>0.36799999999999999</v>
      </c>
      <c r="N115" s="118">
        <v>0.52500000000000002</v>
      </c>
      <c r="O115" s="118">
        <v>75.400000000000006</v>
      </c>
      <c r="P115" s="118">
        <v>6.05</v>
      </c>
      <c r="Q115" s="118">
        <v>76.8</v>
      </c>
      <c r="R115" s="118">
        <v>40.673499999999997</v>
      </c>
      <c r="S115" s="118">
        <v>-85.832070000000002</v>
      </c>
      <c r="T115" s="118">
        <v>222.2</v>
      </c>
      <c r="U115" s="118">
        <v>150.6</v>
      </c>
      <c r="V115" s="118">
        <v>8.2100000000000009</v>
      </c>
      <c r="W115" s="118">
        <v>-104.5</v>
      </c>
      <c r="X115" s="118">
        <v>11.9</v>
      </c>
      <c r="Y115" s="118">
        <v>0</v>
      </c>
      <c r="Z115" s="118">
        <v>26.558</v>
      </c>
      <c r="AA115" s="118">
        <v>28.4</v>
      </c>
      <c r="AB115" s="118">
        <v>0</v>
      </c>
      <c r="AC115" s="118" t="s">
        <v>1712</v>
      </c>
      <c r="AD115" s="180" t="s">
        <v>1749</v>
      </c>
      <c r="AE115" s="123" t="s">
        <v>757</v>
      </c>
    </row>
    <row r="116" spans="1:31" x14ac:dyDescent="0.25">
      <c r="A116" s="123" t="s">
        <v>758</v>
      </c>
      <c r="B116" s="188">
        <v>0.35283564814814816</v>
      </c>
      <c r="C116" s="19">
        <v>45891</v>
      </c>
      <c r="D116" s="118">
        <v>250822</v>
      </c>
      <c r="E116" s="118">
        <v>0</v>
      </c>
      <c r="F116" s="118">
        <v>744.1</v>
      </c>
      <c r="G116" s="118">
        <v>375.1</v>
      </c>
      <c r="H116" s="118">
        <v>366.3</v>
      </c>
      <c r="I116" s="118">
        <v>238</v>
      </c>
      <c r="J116" s="118">
        <v>0.17</v>
      </c>
      <c r="K116" s="118">
        <v>365.3</v>
      </c>
      <c r="L116" s="118">
        <v>0.26100000000000001</v>
      </c>
      <c r="M116" s="118">
        <v>0.25700000000000001</v>
      </c>
      <c r="N116" s="118">
        <v>0.37</v>
      </c>
      <c r="O116" s="118">
        <v>70.5</v>
      </c>
      <c r="P116" s="118">
        <v>5.68</v>
      </c>
      <c r="Q116" s="118">
        <v>71.8</v>
      </c>
      <c r="R116" s="118">
        <v>40.687359999999998</v>
      </c>
      <c r="S116" s="118">
        <v>-85.89716</v>
      </c>
      <c r="T116" s="118">
        <v>225.5</v>
      </c>
      <c r="U116" s="118">
        <v>206.7</v>
      </c>
      <c r="V116" s="118">
        <v>8.0299999999999994</v>
      </c>
      <c r="W116" s="118">
        <v>-94</v>
      </c>
      <c r="X116" s="118">
        <v>11.9</v>
      </c>
      <c r="Y116" s="118">
        <v>0</v>
      </c>
      <c r="Z116" s="118">
        <v>26.265999999999998</v>
      </c>
      <c r="AA116" s="118">
        <v>13.62</v>
      </c>
      <c r="AB116" s="118">
        <v>0</v>
      </c>
      <c r="AC116" s="118" t="s">
        <v>1724</v>
      </c>
      <c r="AD116" s="180" t="s">
        <v>1752</v>
      </c>
      <c r="AE116" s="123" t="s">
        <v>758</v>
      </c>
    </row>
    <row r="117" spans="1:31" x14ac:dyDescent="0.25">
      <c r="A117" s="123" t="s">
        <v>759</v>
      </c>
      <c r="B117" s="188">
        <v>0.52255787037037038</v>
      </c>
      <c r="C117" s="19">
        <v>45891</v>
      </c>
      <c r="D117" s="118">
        <v>250822</v>
      </c>
      <c r="E117" s="118">
        <v>0</v>
      </c>
      <c r="F117" s="118">
        <v>743.6</v>
      </c>
      <c r="G117" s="118">
        <v>376</v>
      </c>
      <c r="H117" s="118">
        <v>365.5</v>
      </c>
      <c r="I117" s="118">
        <v>238</v>
      </c>
      <c r="J117" s="118">
        <v>0.17</v>
      </c>
      <c r="K117" s="118">
        <v>364.4</v>
      </c>
      <c r="L117" s="118">
        <v>0.35199999999999998</v>
      </c>
      <c r="M117" s="118">
        <v>0.36399999999999999</v>
      </c>
      <c r="N117" s="118">
        <v>0.499</v>
      </c>
      <c r="O117" s="118">
        <v>84.8</v>
      </c>
      <c r="P117" s="118">
        <v>6.81</v>
      </c>
      <c r="Q117" s="118">
        <v>86.4</v>
      </c>
      <c r="R117" s="118">
        <v>40.691769999999998</v>
      </c>
      <c r="S117" s="118">
        <v>-85.908330000000007</v>
      </c>
      <c r="T117" s="118">
        <v>221.7</v>
      </c>
      <c r="U117" s="118">
        <v>130.69999999999999</v>
      </c>
      <c r="V117" s="118">
        <v>8.5500000000000007</v>
      </c>
      <c r="W117" s="118">
        <v>-125.2</v>
      </c>
      <c r="X117" s="118">
        <v>11.9</v>
      </c>
      <c r="Y117" s="118">
        <v>0</v>
      </c>
      <c r="Z117" s="118">
        <v>26.5</v>
      </c>
      <c r="AA117" s="118">
        <v>15.12</v>
      </c>
      <c r="AB117" s="118">
        <v>0</v>
      </c>
      <c r="AC117" s="118" t="s">
        <v>1722</v>
      </c>
      <c r="AD117" s="180" t="s">
        <v>1750</v>
      </c>
      <c r="AE117" s="123" t="s">
        <v>759</v>
      </c>
    </row>
    <row r="118" spans="1:31" x14ac:dyDescent="0.25">
      <c r="A118" s="123" t="s">
        <v>760</v>
      </c>
      <c r="B118" s="188">
        <v>0.56024305555555554</v>
      </c>
      <c r="C118" s="19">
        <v>45891</v>
      </c>
      <c r="D118" s="118">
        <v>250822</v>
      </c>
      <c r="E118" s="118">
        <v>0</v>
      </c>
      <c r="F118" s="118">
        <v>743.4</v>
      </c>
      <c r="G118" s="118">
        <v>374.6</v>
      </c>
      <c r="H118" s="118">
        <v>361.5</v>
      </c>
      <c r="I118" s="118">
        <v>235</v>
      </c>
      <c r="J118" s="118">
        <v>0.17</v>
      </c>
      <c r="K118" s="118">
        <v>360.1</v>
      </c>
      <c r="L118" s="118">
        <v>0.33300000000000002</v>
      </c>
      <c r="M118" s="118">
        <v>0.374</v>
      </c>
      <c r="N118" s="118">
        <v>0.47099999999999997</v>
      </c>
      <c r="O118" s="118">
        <v>105.6</v>
      </c>
      <c r="P118" s="118">
        <v>8.43</v>
      </c>
      <c r="Q118" s="118">
        <v>107.6</v>
      </c>
      <c r="R118" s="118">
        <v>40.704219999999999</v>
      </c>
      <c r="S118" s="118">
        <v>-85.929969999999997</v>
      </c>
      <c r="T118" s="118">
        <v>220.8</v>
      </c>
      <c r="U118" s="118">
        <v>80.8</v>
      </c>
      <c r="V118" s="118">
        <v>8.76</v>
      </c>
      <c r="W118" s="118">
        <v>-138.1</v>
      </c>
      <c r="X118" s="118">
        <v>11.9</v>
      </c>
      <c r="Y118" s="118">
        <v>0</v>
      </c>
      <c r="Z118" s="118">
        <v>26.89</v>
      </c>
      <c r="AA118" s="118">
        <v>16.899999999999999</v>
      </c>
      <c r="AB118" s="118">
        <v>0</v>
      </c>
      <c r="AC118" s="118" t="s">
        <v>1718</v>
      </c>
      <c r="AD118" s="180" t="s">
        <v>1751</v>
      </c>
      <c r="AE118" s="123" t="s">
        <v>760</v>
      </c>
    </row>
    <row r="119" spans="1:31" x14ac:dyDescent="0.25">
      <c r="A119" s="123" t="s">
        <v>761</v>
      </c>
      <c r="B119" s="188">
        <v>0.53844907407407405</v>
      </c>
      <c r="C119" s="19">
        <v>45891</v>
      </c>
      <c r="D119" s="118">
        <v>250822</v>
      </c>
      <c r="E119" s="118">
        <v>0</v>
      </c>
      <c r="F119" s="118">
        <v>743.4</v>
      </c>
      <c r="G119" s="118">
        <v>374.7</v>
      </c>
      <c r="H119" s="118">
        <v>361.9</v>
      </c>
      <c r="I119" s="118">
        <v>235</v>
      </c>
      <c r="J119" s="118">
        <v>0.17</v>
      </c>
      <c r="K119" s="118">
        <v>360.5</v>
      </c>
      <c r="L119" s="118">
        <v>0.32700000000000001</v>
      </c>
      <c r="M119" s="118">
        <v>0.34300000000000003</v>
      </c>
      <c r="N119" s="118">
        <v>0.46400000000000002</v>
      </c>
      <c r="O119" s="118">
        <v>96.6</v>
      </c>
      <c r="P119" s="118">
        <v>7.71</v>
      </c>
      <c r="Q119" s="118">
        <v>98.4</v>
      </c>
      <c r="R119" s="118">
        <v>40.693460000000002</v>
      </c>
      <c r="S119" s="118">
        <v>-85.920270000000002</v>
      </c>
      <c r="T119" s="118">
        <v>224.3</v>
      </c>
      <c r="U119" s="118">
        <v>149</v>
      </c>
      <c r="V119" s="118">
        <v>8.6</v>
      </c>
      <c r="W119" s="118">
        <v>-128.6</v>
      </c>
      <c r="X119" s="118">
        <v>12</v>
      </c>
      <c r="Y119" s="118">
        <v>0</v>
      </c>
      <c r="Z119" s="118">
        <v>26.861000000000001</v>
      </c>
      <c r="AA119" s="118">
        <v>22.26</v>
      </c>
      <c r="AB119" s="118">
        <v>0</v>
      </c>
      <c r="AC119" s="118" t="s">
        <v>1725</v>
      </c>
      <c r="AD119" s="180">
        <v>10</v>
      </c>
      <c r="AE119" s="123" t="s">
        <v>761</v>
      </c>
    </row>
    <row r="120" spans="1:31" x14ac:dyDescent="0.25">
      <c r="A120" s="123" t="s">
        <v>762</v>
      </c>
      <c r="B120" s="188">
        <v>0.57420138888888894</v>
      </c>
      <c r="C120" s="19">
        <v>45891</v>
      </c>
      <c r="D120" s="118">
        <v>250822</v>
      </c>
      <c r="E120" s="118">
        <v>0</v>
      </c>
      <c r="F120" s="118">
        <v>743.2</v>
      </c>
      <c r="G120" s="118">
        <v>381.2</v>
      </c>
      <c r="H120" s="118">
        <v>366.4</v>
      </c>
      <c r="I120" s="118">
        <v>238</v>
      </c>
      <c r="J120" s="118">
        <v>0.17</v>
      </c>
      <c r="K120" s="118">
        <v>364.8</v>
      </c>
      <c r="L120" s="118">
        <v>0.38900000000000001</v>
      </c>
      <c r="M120" s="118">
        <v>0.39400000000000002</v>
      </c>
      <c r="N120" s="118">
        <v>0.55100000000000005</v>
      </c>
      <c r="O120" s="118">
        <v>95.4</v>
      </c>
      <c r="P120" s="118">
        <v>7.58</v>
      </c>
      <c r="Q120" s="118">
        <v>97.2</v>
      </c>
      <c r="R120" s="118">
        <v>40.710859999999997</v>
      </c>
      <c r="S120" s="118">
        <v>-85.938559999999995</v>
      </c>
      <c r="T120" s="118">
        <v>218.8</v>
      </c>
      <c r="U120" s="118">
        <v>73</v>
      </c>
      <c r="V120" s="118">
        <v>8.65</v>
      </c>
      <c r="W120" s="118">
        <v>-131.19999999999999</v>
      </c>
      <c r="X120" s="118">
        <v>11.9</v>
      </c>
      <c r="Y120" s="118">
        <v>0</v>
      </c>
      <c r="Z120" s="118">
        <v>27.120999999999999</v>
      </c>
      <c r="AA120" s="118">
        <v>13.71</v>
      </c>
      <c r="AB120" s="118">
        <v>0</v>
      </c>
      <c r="AC120" s="118" t="s">
        <v>1719</v>
      </c>
      <c r="AD120" s="180">
        <v>11</v>
      </c>
      <c r="AE120" s="123" t="s">
        <v>762</v>
      </c>
    </row>
    <row r="121" spans="1:31" x14ac:dyDescent="0.25">
      <c r="A121" s="123" t="s">
        <v>763</v>
      </c>
      <c r="B121" s="188">
        <v>0.59285879629629634</v>
      </c>
      <c r="C121" s="19">
        <v>45891</v>
      </c>
      <c r="D121" s="118">
        <v>250822</v>
      </c>
      <c r="E121" s="118">
        <v>0</v>
      </c>
      <c r="F121" s="118">
        <v>743.1</v>
      </c>
      <c r="G121" s="118">
        <v>379.3</v>
      </c>
      <c r="H121" s="118">
        <v>364.8</v>
      </c>
      <c r="I121" s="118">
        <v>237</v>
      </c>
      <c r="J121" s="118">
        <v>0.17</v>
      </c>
      <c r="K121" s="118">
        <v>363.3</v>
      </c>
      <c r="L121" s="118">
        <v>0.29799999999999999</v>
      </c>
      <c r="M121" s="118">
        <v>0.312</v>
      </c>
      <c r="N121" s="118">
        <v>0.42199999999999999</v>
      </c>
      <c r="O121" s="118">
        <v>101.5</v>
      </c>
      <c r="P121" s="118">
        <v>8.07</v>
      </c>
      <c r="Q121" s="118">
        <v>103.4</v>
      </c>
      <c r="R121" s="118">
        <v>40.711620000000003</v>
      </c>
      <c r="S121" s="118">
        <v>-85.950739999999996</v>
      </c>
      <c r="T121" s="118">
        <v>226.5</v>
      </c>
      <c r="U121" s="118">
        <v>91.4</v>
      </c>
      <c r="V121" s="118">
        <v>8.6999999999999993</v>
      </c>
      <c r="W121" s="118">
        <v>-134.5</v>
      </c>
      <c r="X121" s="118">
        <v>11.9</v>
      </c>
      <c r="Y121" s="118">
        <v>0</v>
      </c>
      <c r="Z121" s="118">
        <v>27.074999999999999</v>
      </c>
      <c r="AA121" s="118">
        <v>13.75</v>
      </c>
      <c r="AB121" s="118">
        <v>0</v>
      </c>
      <c r="AC121" s="118" t="s">
        <v>1720</v>
      </c>
      <c r="AD121" s="180">
        <v>12</v>
      </c>
      <c r="AE121" s="123" t="s">
        <v>763</v>
      </c>
    </row>
    <row r="122" spans="1:31" x14ac:dyDescent="0.25">
      <c r="A122" s="123" t="s">
        <v>764</v>
      </c>
      <c r="B122" s="188">
        <v>0.42196759259259259</v>
      </c>
      <c r="C122" s="19">
        <v>45891</v>
      </c>
      <c r="D122" s="118">
        <v>250822</v>
      </c>
      <c r="E122" s="118">
        <v>0</v>
      </c>
      <c r="F122" s="118">
        <v>744</v>
      </c>
      <c r="G122" s="118">
        <v>391.2</v>
      </c>
      <c r="H122" s="118">
        <v>379.1</v>
      </c>
      <c r="I122" s="118">
        <v>246</v>
      </c>
      <c r="J122" s="118">
        <v>0.18</v>
      </c>
      <c r="K122" s="118">
        <v>377.8</v>
      </c>
      <c r="L122" s="118">
        <v>0.23899999999999999</v>
      </c>
      <c r="M122" s="118">
        <v>0.253</v>
      </c>
      <c r="N122" s="118">
        <v>0.33900000000000002</v>
      </c>
      <c r="O122" s="118">
        <v>97.4</v>
      </c>
      <c r="P122" s="118">
        <v>7.8</v>
      </c>
      <c r="Q122" s="118">
        <v>99.3</v>
      </c>
      <c r="R122" s="118">
        <v>40.672559999999997</v>
      </c>
      <c r="S122" s="118">
        <v>-85.841610000000003</v>
      </c>
      <c r="T122" s="118">
        <v>220.7</v>
      </c>
      <c r="U122" s="118">
        <v>152.4</v>
      </c>
      <c r="V122" s="118">
        <v>8.49</v>
      </c>
      <c r="W122" s="118">
        <v>-121.8</v>
      </c>
      <c r="X122" s="118">
        <v>12</v>
      </c>
      <c r="Y122" s="118">
        <v>0</v>
      </c>
      <c r="Z122" s="118">
        <v>26.681000000000001</v>
      </c>
      <c r="AA122" s="118">
        <v>26.73</v>
      </c>
      <c r="AB122" s="118">
        <v>0</v>
      </c>
      <c r="AC122" s="118" t="s">
        <v>1721</v>
      </c>
      <c r="AD122" s="180">
        <v>13</v>
      </c>
      <c r="AE122" s="123" t="s">
        <v>764</v>
      </c>
    </row>
    <row r="123" spans="1:31" x14ac:dyDescent="0.25">
      <c r="B123" s="188">
        <v>0.52255787037037038</v>
      </c>
      <c r="C123" s="19">
        <v>45891</v>
      </c>
      <c r="D123" s="118">
        <v>250822</v>
      </c>
      <c r="E123" s="118">
        <v>0</v>
      </c>
      <c r="F123" s="118">
        <v>743.6</v>
      </c>
      <c r="G123" s="118">
        <v>376</v>
      </c>
      <c r="H123" s="118">
        <v>365.5</v>
      </c>
      <c r="I123" s="118">
        <v>238</v>
      </c>
      <c r="J123" s="118">
        <v>0.17</v>
      </c>
      <c r="K123" s="118">
        <v>364.4</v>
      </c>
      <c r="L123" s="118">
        <v>0.35199999999999998</v>
      </c>
      <c r="M123" s="118">
        <v>0.36399999999999999</v>
      </c>
      <c r="N123" s="118">
        <v>0.499</v>
      </c>
      <c r="O123" s="118">
        <v>84.8</v>
      </c>
      <c r="P123" s="118">
        <v>6.81</v>
      </c>
      <c r="Q123" s="118">
        <v>86.4</v>
      </c>
      <c r="R123" s="118">
        <v>40.691769999999998</v>
      </c>
      <c r="S123" s="118">
        <v>-85.908330000000007</v>
      </c>
      <c r="T123" s="118">
        <v>221.7</v>
      </c>
      <c r="U123" s="118">
        <v>130.69999999999999</v>
      </c>
      <c r="V123" s="118">
        <v>8.5500000000000007</v>
      </c>
      <c r="W123" s="118">
        <v>-125.2</v>
      </c>
      <c r="X123" s="118">
        <v>11.9</v>
      </c>
      <c r="Y123" s="118">
        <v>0</v>
      </c>
      <c r="Z123" s="118">
        <v>26.5</v>
      </c>
      <c r="AA123" s="118">
        <v>15.12</v>
      </c>
      <c r="AB123" s="118">
        <v>0</v>
      </c>
      <c r="AC123" s="118" t="s">
        <v>1726</v>
      </c>
      <c r="AD123" s="180">
        <v>14</v>
      </c>
    </row>
    <row r="124" spans="1:31" x14ac:dyDescent="0.25">
      <c r="A124" s="119" t="s">
        <v>765</v>
      </c>
      <c r="B124" s="188">
        <v>0.49682870370370369</v>
      </c>
      <c r="C124" s="19">
        <v>45915</v>
      </c>
      <c r="D124" s="118">
        <v>250915</v>
      </c>
      <c r="E124" s="118">
        <v>0</v>
      </c>
      <c r="F124" s="118">
        <v>745.8</v>
      </c>
      <c r="G124" s="118">
        <v>368.4</v>
      </c>
      <c r="H124" s="118">
        <v>381.6</v>
      </c>
      <c r="I124" s="118">
        <v>248</v>
      </c>
      <c r="J124" s="118">
        <v>0.18</v>
      </c>
      <c r="K124" s="118">
        <v>382.9</v>
      </c>
      <c r="L124" s="118">
        <v>0.41899999999999998</v>
      </c>
      <c r="M124" s="118">
        <v>0.46400000000000002</v>
      </c>
      <c r="N124" s="118">
        <v>0.59399999999999997</v>
      </c>
      <c r="O124" s="118">
        <v>137.1</v>
      </c>
      <c r="P124" s="118">
        <v>11.71</v>
      </c>
      <c r="Q124" s="118">
        <v>139.5</v>
      </c>
      <c r="R124" s="118">
        <v>40.681719999999999</v>
      </c>
      <c r="S124" s="118">
        <v>-85.888990000000007</v>
      </c>
      <c r="T124" s="118">
        <v>227.6</v>
      </c>
      <c r="U124" s="118">
        <v>145.6</v>
      </c>
      <c r="V124" s="118">
        <v>8.77</v>
      </c>
      <c r="W124" s="118">
        <v>-140.1</v>
      </c>
      <c r="X124" s="118">
        <v>11.9</v>
      </c>
      <c r="Y124" s="118">
        <v>0</v>
      </c>
      <c r="Z124" s="118">
        <v>23.184999999999999</v>
      </c>
      <c r="AA124" s="118">
        <v>17.05</v>
      </c>
      <c r="AB124" s="118">
        <v>0</v>
      </c>
      <c r="AC124" s="118" t="s">
        <v>1717</v>
      </c>
      <c r="AD124" s="180" t="s">
        <v>1744</v>
      </c>
      <c r="AE124" s="119" t="s">
        <v>765</v>
      </c>
    </row>
    <row r="125" spans="1:31" x14ac:dyDescent="0.25">
      <c r="A125" s="119" t="s">
        <v>766</v>
      </c>
      <c r="B125" s="188">
        <v>0.51194444444444442</v>
      </c>
      <c r="C125" s="19">
        <v>45915</v>
      </c>
      <c r="D125" s="118">
        <v>250915</v>
      </c>
      <c r="E125" s="118">
        <v>0</v>
      </c>
      <c r="F125" s="118">
        <v>745.6</v>
      </c>
      <c r="G125" s="118">
        <v>369.9</v>
      </c>
      <c r="H125" s="118">
        <v>377.1</v>
      </c>
      <c r="I125" s="118">
        <v>245</v>
      </c>
      <c r="J125" s="118">
        <v>0.18</v>
      </c>
      <c r="K125" s="118">
        <v>377.9</v>
      </c>
      <c r="L125" s="118">
        <v>0.29699999999999999</v>
      </c>
      <c r="M125" s="118">
        <v>0.30499999999999999</v>
      </c>
      <c r="N125" s="118">
        <v>0.42099999999999999</v>
      </c>
      <c r="O125" s="118">
        <v>174.9</v>
      </c>
      <c r="P125" s="118">
        <v>14.71</v>
      </c>
      <c r="Q125" s="118">
        <v>177.9</v>
      </c>
      <c r="R125" s="118">
        <v>40.67698</v>
      </c>
      <c r="S125" s="118">
        <v>-85.877269999999996</v>
      </c>
      <c r="T125" s="118">
        <v>226.1</v>
      </c>
      <c r="U125" s="118">
        <v>144.9</v>
      </c>
      <c r="V125" s="118">
        <v>9</v>
      </c>
      <c r="W125" s="118">
        <v>-154.4</v>
      </c>
      <c r="X125" s="118">
        <v>12</v>
      </c>
      <c r="Y125" s="118">
        <v>0</v>
      </c>
      <c r="Z125" s="118">
        <v>24</v>
      </c>
      <c r="AA125" s="118">
        <v>27.35</v>
      </c>
      <c r="AB125" s="118">
        <v>0</v>
      </c>
      <c r="AC125" s="118" t="s">
        <v>1716</v>
      </c>
      <c r="AD125" s="180" t="s">
        <v>1745</v>
      </c>
      <c r="AE125" s="119" t="s">
        <v>766</v>
      </c>
    </row>
    <row r="126" spans="1:31" x14ac:dyDescent="0.25">
      <c r="A126" s="119" t="s">
        <v>767</v>
      </c>
      <c r="B126" s="188">
        <v>0.52479166666666666</v>
      </c>
      <c r="C126" s="19">
        <v>45915</v>
      </c>
      <c r="D126" s="118">
        <v>250915</v>
      </c>
      <c r="E126" s="118">
        <v>0</v>
      </c>
      <c r="F126" s="118">
        <v>745.6</v>
      </c>
      <c r="G126" s="118">
        <v>365.2</v>
      </c>
      <c r="H126" s="118">
        <v>378.6</v>
      </c>
      <c r="I126" s="118">
        <v>246</v>
      </c>
      <c r="J126" s="118">
        <v>0.18</v>
      </c>
      <c r="K126" s="118">
        <v>379.9</v>
      </c>
      <c r="L126" s="118">
        <v>0.33300000000000002</v>
      </c>
      <c r="M126" s="118">
        <v>0.32700000000000001</v>
      </c>
      <c r="N126" s="118">
        <v>0.47299999999999998</v>
      </c>
      <c r="O126" s="118">
        <v>153.69999999999999</v>
      </c>
      <c r="P126" s="118">
        <v>13.13</v>
      </c>
      <c r="Q126" s="118">
        <v>156.4</v>
      </c>
      <c r="R126" s="118">
        <v>40.670549999999999</v>
      </c>
      <c r="S126" s="118">
        <v>-85.870670000000004</v>
      </c>
      <c r="T126" s="118">
        <v>222.4</v>
      </c>
      <c r="U126" s="118">
        <v>149.9</v>
      </c>
      <c r="V126" s="118">
        <v>8.89</v>
      </c>
      <c r="W126" s="118">
        <v>-147.30000000000001</v>
      </c>
      <c r="X126" s="118">
        <v>12</v>
      </c>
      <c r="Y126" s="118">
        <v>0</v>
      </c>
      <c r="Z126" s="118">
        <v>23.155000000000001</v>
      </c>
      <c r="AA126" s="118">
        <v>19.510000000000002</v>
      </c>
      <c r="AB126" s="118">
        <v>0</v>
      </c>
      <c r="AC126" s="118" t="s">
        <v>1715</v>
      </c>
      <c r="AD126" s="180" t="s">
        <v>1746</v>
      </c>
      <c r="AE126" s="119" t="s">
        <v>767</v>
      </c>
    </row>
    <row r="127" spans="1:31" x14ac:dyDescent="0.25">
      <c r="A127" s="119" t="s">
        <v>768</v>
      </c>
      <c r="B127" s="188">
        <v>0.53408564814814818</v>
      </c>
      <c r="C127" s="19">
        <v>45915</v>
      </c>
      <c r="D127" s="118">
        <v>250915</v>
      </c>
      <c r="E127" s="118">
        <v>0</v>
      </c>
      <c r="F127" s="118">
        <v>745.5</v>
      </c>
      <c r="G127" s="118">
        <v>374</v>
      </c>
      <c r="H127" s="118">
        <v>386.1</v>
      </c>
      <c r="I127" s="118">
        <v>251</v>
      </c>
      <c r="J127" s="118">
        <v>0.18</v>
      </c>
      <c r="K127" s="118">
        <v>387.4</v>
      </c>
      <c r="L127" s="118">
        <v>0.32500000000000001</v>
      </c>
      <c r="M127" s="118">
        <v>0.309</v>
      </c>
      <c r="N127" s="118">
        <v>0.46100000000000002</v>
      </c>
      <c r="O127" s="118">
        <v>148</v>
      </c>
      <c r="P127" s="118">
        <v>12.6</v>
      </c>
      <c r="Q127" s="118">
        <v>150.6</v>
      </c>
      <c r="R127" s="118">
        <v>40.663269999999997</v>
      </c>
      <c r="S127" s="118">
        <v>-85.866810000000001</v>
      </c>
      <c r="T127" s="118">
        <v>223.7</v>
      </c>
      <c r="U127" s="118">
        <v>174</v>
      </c>
      <c r="V127" s="118">
        <v>8.8699999999999992</v>
      </c>
      <c r="W127" s="118">
        <v>-146</v>
      </c>
      <c r="X127" s="118">
        <v>12</v>
      </c>
      <c r="Y127" s="118">
        <v>0</v>
      </c>
      <c r="Z127" s="118">
        <v>23.355</v>
      </c>
      <c r="AA127" s="118">
        <v>20.04</v>
      </c>
      <c r="AB127" s="118">
        <v>0</v>
      </c>
      <c r="AC127" s="118" t="s">
        <v>1714</v>
      </c>
      <c r="AD127" s="180" t="s">
        <v>1747</v>
      </c>
      <c r="AE127" s="119" t="s">
        <v>768</v>
      </c>
    </row>
    <row r="128" spans="1:31" x14ac:dyDescent="0.25">
      <c r="A128" s="119" t="s">
        <v>769</v>
      </c>
      <c r="B128" s="188">
        <v>0.55596064814814816</v>
      </c>
      <c r="C128" s="19">
        <v>45915</v>
      </c>
      <c r="D128" s="118">
        <v>250915</v>
      </c>
      <c r="E128" s="118">
        <v>0</v>
      </c>
      <c r="F128" s="118">
        <v>745.2</v>
      </c>
      <c r="G128" s="118">
        <v>384.7</v>
      </c>
      <c r="H128" s="118">
        <v>395.9</v>
      </c>
      <c r="I128" s="118">
        <v>257</v>
      </c>
      <c r="J128" s="118">
        <v>0.19</v>
      </c>
      <c r="K128" s="118">
        <v>397</v>
      </c>
      <c r="L128" s="118">
        <v>0.438</v>
      </c>
      <c r="M128" s="118">
        <v>0.47199999999999998</v>
      </c>
      <c r="N128" s="118">
        <v>0.622</v>
      </c>
      <c r="O128" s="118">
        <v>161.6</v>
      </c>
      <c r="P128" s="118">
        <v>13.72</v>
      </c>
      <c r="Q128" s="118">
        <v>164.5</v>
      </c>
      <c r="R128" s="118">
        <v>40.668039999999998</v>
      </c>
      <c r="S128" s="118">
        <v>-85.848079999999996</v>
      </c>
      <c r="T128" s="118">
        <v>223.6</v>
      </c>
      <c r="U128" s="118">
        <v>125</v>
      </c>
      <c r="V128" s="118">
        <v>8.92</v>
      </c>
      <c r="W128" s="118">
        <v>-149.4</v>
      </c>
      <c r="X128" s="118">
        <v>11.9</v>
      </c>
      <c r="Y128" s="118">
        <v>0</v>
      </c>
      <c r="Z128" s="118">
        <v>23.52</v>
      </c>
      <c r="AA128" s="118">
        <v>27.16</v>
      </c>
      <c r="AB128" s="118">
        <v>0</v>
      </c>
      <c r="AC128" s="118" t="s">
        <v>1713</v>
      </c>
      <c r="AD128" s="180" t="s">
        <v>1748</v>
      </c>
      <c r="AE128" s="119" t="s">
        <v>769</v>
      </c>
    </row>
    <row r="129" spans="1:31" x14ac:dyDescent="0.25">
      <c r="A129" s="119" t="s">
        <v>770</v>
      </c>
      <c r="B129" s="188">
        <v>0.58282407407407411</v>
      </c>
      <c r="C129" s="19">
        <v>45915</v>
      </c>
      <c r="D129" s="118">
        <v>250915</v>
      </c>
      <c r="E129" s="118">
        <v>0</v>
      </c>
      <c r="F129" s="118">
        <v>745</v>
      </c>
      <c r="G129" s="118">
        <v>378.9</v>
      </c>
      <c r="H129" s="118">
        <v>394.1</v>
      </c>
      <c r="I129" s="118">
        <v>256</v>
      </c>
      <c r="J129" s="118">
        <v>0.19</v>
      </c>
      <c r="K129" s="118">
        <v>395.6</v>
      </c>
      <c r="L129" s="118">
        <v>0.39600000000000002</v>
      </c>
      <c r="M129" s="118">
        <v>0.374</v>
      </c>
      <c r="N129" s="118">
        <v>0.56299999999999994</v>
      </c>
      <c r="O129" s="118">
        <v>172.1</v>
      </c>
      <c r="P129" s="118">
        <v>14.75</v>
      </c>
      <c r="Q129" s="118">
        <v>175.1</v>
      </c>
      <c r="R129" s="118">
        <v>40.673540000000003</v>
      </c>
      <c r="S129" s="118">
        <v>-85.832179999999994</v>
      </c>
      <c r="T129" s="118">
        <v>227</v>
      </c>
      <c r="U129" s="118">
        <v>130.69999999999999</v>
      </c>
      <c r="V129" s="118">
        <v>8.99</v>
      </c>
      <c r="W129" s="118">
        <v>-153.19999999999999</v>
      </c>
      <c r="X129" s="118">
        <v>12</v>
      </c>
      <c r="Y129" s="118">
        <v>0</v>
      </c>
      <c r="Z129" s="118">
        <v>22.99</v>
      </c>
      <c r="AA129" s="118">
        <v>27.75</v>
      </c>
      <c r="AB129" s="118">
        <v>0</v>
      </c>
      <c r="AC129" s="118" t="s">
        <v>1712</v>
      </c>
      <c r="AD129" s="180" t="s">
        <v>1749</v>
      </c>
      <c r="AE129" s="119" t="s">
        <v>770</v>
      </c>
    </row>
    <row r="130" spans="1:31" x14ac:dyDescent="0.25">
      <c r="A130" s="119" t="s">
        <v>771</v>
      </c>
      <c r="B130" s="188">
        <v>0.36648148148148146</v>
      </c>
      <c r="C130" s="19">
        <v>45915</v>
      </c>
      <c r="D130" s="118">
        <v>250915</v>
      </c>
      <c r="E130" s="118">
        <v>0</v>
      </c>
      <c r="F130" s="118">
        <v>745.7</v>
      </c>
      <c r="G130" s="118">
        <v>366.5</v>
      </c>
      <c r="H130" s="118">
        <v>389</v>
      </c>
      <c r="I130" s="118">
        <v>253</v>
      </c>
      <c r="J130" s="118">
        <v>0.19</v>
      </c>
      <c r="K130" s="118">
        <v>391.1</v>
      </c>
      <c r="L130" s="118">
        <v>0.46300000000000002</v>
      </c>
      <c r="M130" s="118">
        <v>0.46300000000000002</v>
      </c>
      <c r="N130" s="118">
        <v>0.65600000000000003</v>
      </c>
      <c r="O130" s="118">
        <v>67.599999999999994</v>
      </c>
      <c r="P130" s="118">
        <v>5.91</v>
      </c>
      <c r="Q130" s="118">
        <v>68.8</v>
      </c>
      <c r="R130" s="118">
        <v>40.687640000000002</v>
      </c>
      <c r="S130" s="118">
        <v>-85.89716</v>
      </c>
      <c r="T130" s="118">
        <v>222.6</v>
      </c>
      <c r="U130" s="118">
        <v>218</v>
      </c>
      <c r="V130" s="118">
        <v>7.34</v>
      </c>
      <c r="W130" s="118">
        <v>-54.5</v>
      </c>
      <c r="X130" s="118">
        <v>11.9</v>
      </c>
      <c r="Y130" s="118">
        <v>0</v>
      </c>
      <c r="Z130" s="118">
        <v>21.977</v>
      </c>
      <c r="AA130" s="118">
        <v>5.09</v>
      </c>
      <c r="AB130" s="118">
        <v>0</v>
      </c>
      <c r="AC130" s="118" t="s">
        <v>1724</v>
      </c>
      <c r="AD130" s="180" t="s">
        <v>1752</v>
      </c>
      <c r="AE130" s="119" t="s">
        <v>771</v>
      </c>
    </row>
    <row r="131" spans="1:31" x14ac:dyDescent="0.25">
      <c r="A131" s="119" t="s">
        <v>772</v>
      </c>
      <c r="AE131" s="119" t="s">
        <v>772</v>
      </c>
    </row>
    <row r="132" spans="1:31" x14ac:dyDescent="0.25">
      <c r="A132" s="119" t="s">
        <v>773</v>
      </c>
      <c r="B132" s="188">
        <v>0.40969907407407408</v>
      </c>
      <c r="C132" s="19">
        <v>45915</v>
      </c>
      <c r="D132" s="118">
        <v>250915</v>
      </c>
      <c r="E132" s="118">
        <v>0</v>
      </c>
      <c r="F132" s="118">
        <v>745.8</v>
      </c>
      <c r="G132" s="118">
        <v>367.1</v>
      </c>
      <c r="H132" s="118">
        <v>384.9</v>
      </c>
      <c r="I132" s="118">
        <v>250</v>
      </c>
      <c r="J132" s="118">
        <v>0.18</v>
      </c>
      <c r="K132" s="118">
        <v>386.6</v>
      </c>
      <c r="L132" s="118">
        <v>0.40699999999999997</v>
      </c>
      <c r="M132" s="118">
        <v>0.41499999999999998</v>
      </c>
      <c r="N132" s="118">
        <v>0.57799999999999996</v>
      </c>
      <c r="O132" s="118">
        <v>97.6</v>
      </c>
      <c r="P132" s="118">
        <v>8.44</v>
      </c>
      <c r="Q132" s="118">
        <v>99.4</v>
      </c>
      <c r="R132" s="118">
        <v>40.704149999999998</v>
      </c>
      <c r="S132" s="118">
        <v>-85.930189999999996</v>
      </c>
      <c r="T132" s="118">
        <v>227.5</v>
      </c>
      <c r="U132" s="118">
        <v>156.19999999999999</v>
      </c>
      <c r="V132" s="118">
        <v>8.2100000000000009</v>
      </c>
      <c r="W132" s="118">
        <v>-106.2</v>
      </c>
      <c r="X132" s="118">
        <v>12</v>
      </c>
      <c r="Y132" s="118">
        <v>0</v>
      </c>
      <c r="Z132" s="118">
        <v>22.574000000000002</v>
      </c>
      <c r="AA132" s="118">
        <v>4.53</v>
      </c>
      <c r="AB132" s="118">
        <v>0</v>
      </c>
      <c r="AC132" s="118" t="s">
        <v>1718</v>
      </c>
      <c r="AD132" s="180" t="s">
        <v>1751</v>
      </c>
      <c r="AE132" s="119" t="s">
        <v>773</v>
      </c>
    </row>
    <row r="133" spans="1:31" x14ac:dyDescent="0.25">
      <c r="A133" s="119" t="s">
        <v>774</v>
      </c>
      <c r="B133" s="188">
        <v>0.39359953703703704</v>
      </c>
      <c r="C133" s="19">
        <v>45915</v>
      </c>
      <c r="D133" s="118">
        <v>250915</v>
      </c>
      <c r="E133" s="118">
        <v>0</v>
      </c>
      <c r="F133" s="118">
        <v>745.7</v>
      </c>
      <c r="G133" s="118">
        <v>367.1</v>
      </c>
      <c r="H133" s="118">
        <v>388.1</v>
      </c>
      <c r="I133" s="118">
        <v>252</v>
      </c>
      <c r="J133" s="118">
        <v>0.19</v>
      </c>
      <c r="K133" s="118">
        <v>390.2</v>
      </c>
      <c r="L133" s="118">
        <v>0.35299999999999998</v>
      </c>
      <c r="M133" s="118">
        <v>0.35899999999999999</v>
      </c>
      <c r="N133" s="118">
        <v>0.502</v>
      </c>
      <c r="O133" s="118">
        <v>76.400000000000006</v>
      </c>
      <c r="P133" s="118">
        <v>6.65</v>
      </c>
      <c r="Q133" s="118">
        <v>77.8</v>
      </c>
      <c r="R133" s="118">
        <v>40.693359999999998</v>
      </c>
      <c r="S133" s="118">
        <v>-85.920649999999995</v>
      </c>
      <c r="T133" s="118">
        <v>224.9</v>
      </c>
      <c r="U133" s="118">
        <v>169.2</v>
      </c>
      <c r="V133" s="118">
        <v>7.86</v>
      </c>
      <c r="W133" s="118">
        <v>-85.4</v>
      </c>
      <c r="X133" s="118">
        <v>12</v>
      </c>
      <c r="Y133" s="118">
        <v>0</v>
      </c>
      <c r="Z133" s="118">
        <v>22.170999999999999</v>
      </c>
      <c r="AA133" s="118">
        <v>5.45</v>
      </c>
      <c r="AB133" s="118">
        <v>0</v>
      </c>
      <c r="AC133" s="118" t="s">
        <v>1725</v>
      </c>
      <c r="AD133" s="180">
        <v>10</v>
      </c>
      <c r="AE133" s="119" t="s">
        <v>774</v>
      </c>
    </row>
    <row r="134" spans="1:31" x14ac:dyDescent="0.25">
      <c r="A134" s="119" t="s">
        <v>775</v>
      </c>
      <c r="B134" s="188">
        <v>0.42269675925925926</v>
      </c>
      <c r="C134" s="19">
        <v>45915</v>
      </c>
      <c r="D134" s="118">
        <v>250915</v>
      </c>
      <c r="E134" s="118">
        <v>0</v>
      </c>
      <c r="F134" s="118">
        <v>745.8</v>
      </c>
      <c r="G134" s="118">
        <v>366</v>
      </c>
      <c r="H134" s="118">
        <v>380.7</v>
      </c>
      <c r="I134" s="118">
        <v>247</v>
      </c>
      <c r="J134" s="118">
        <v>0.18</v>
      </c>
      <c r="K134" s="118">
        <v>382.1</v>
      </c>
      <c r="L134" s="118">
        <v>0.438</v>
      </c>
      <c r="M134" s="118">
        <v>0.45700000000000002</v>
      </c>
      <c r="N134" s="118">
        <v>0.621</v>
      </c>
      <c r="O134" s="118">
        <v>119.9</v>
      </c>
      <c r="P134" s="118">
        <v>10.28</v>
      </c>
      <c r="Q134" s="118">
        <v>122</v>
      </c>
      <c r="R134" s="118">
        <v>40.710990000000002</v>
      </c>
      <c r="S134" s="118">
        <v>-85.938969999999998</v>
      </c>
      <c r="T134" s="118">
        <v>222.9</v>
      </c>
      <c r="U134" s="118">
        <v>162.6</v>
      </c>
      <c r="V134" s="118">
        <v>8.52</v>
      </c>
      <c r="W134" s="118">
        <v>-125.3</v>
      </c>
      <c r="X134" s="118">
        <v>12</v>
      </c>
      <c r="Y134" s="118">
        <v>0</v>
      </c>
      <c r="Z134" s="118">
        <v>22.984000000000002</v>
      </c>
      <c r="AA134" s="118">
        <v>6.62</v>
      </c>
      <c r="AB134" s="118">
        <v>0</v>
      </c>
      <c r="AC134" s="118" t="s">
        <v>1719</v>
      </c>
      <c r="AD134" s="180">
        <v>11</v>
      </c>
      <c r="AE134" s="119" t="s">
        <v>775</v>
      </c>
    </row>
    <row r="135" spans="1:31" x14ac:dyDescent="0.25">
      <c r="A135" s="119" t="s">
        <v>776</v>
      </c>
      <c r="B135" s="188">
        <v>0.45729166666666665</v>
      </c>
      <c r="C135" s="19">
        <v>45915</v>
      </c>
      <c r="D135" s="118">
        <v>250915</v>
      </c>
      <c r="E135" s="118">
        <v>0</v>
      </c>
      <c r="F135" s="118">
        <v>745.8</v>
      </c>
      <c r="G135" s="118">
        <v>369.7</v>
      </c>
      <c r="H135" s="118">
        <v>380.4</v>
      </c>
      <c r="I135" s="118">
        <v>247</v>
      </c>
      <c r="J135" s="118">
        <v>0.18</v>
      </c>
      <c r="K135" s="118">
        <v>381.5</v>
      </c>
      <c r="L135" s="118">
        <v>0.36</v>
      </c>
      <c r="M135" s="118">
        <v>0.36399999999999999</v>
      </c>
      <c r="N135" s="118">
        <v>0.51100000000000001</v>
      </c>
      <c r="O135" s="118">
        <v>125.9</v>
      </c>
      <c r="P135" s="118">
        <v>10.68</v>
      </c>
      <c r="Q135" s="118">
        <v>128.1</v>
      </c>
      <c r="R135" s="118">
        <v>40.711640000000003</v>
      </c>
      <c r="S135" s="118">
        <v>-85.95147</v>
      </c>
      <c r="T135" s="118">
        <v>226</v>
      </c>
      <c r="U135" s="118">
        <v>126.1</v>
      </c>
      <c r="V135" s="118">
        <v>8.59</v>
      </c>
      <c r="W135" s="118">
        <v>-129.80000000000001</v>
      </c>
      <c r="X135" s="118">
        <v>11.9</v>
      </c>
      <c r="Y135" s="118">
        <v>0</v>
      </c>
      <c r="Z135" s="118">
        <v>23.526</v>
      </c>
      <c r="AA135" s="118">
        <v>7.34</v>
      </c>
      <c r="AB135" s="118">
        <v>0</v>
      </c>
      <c r="AC135" s="118" t="s">
        <v>1720</v>
      </c>
      <c r="AD135" s="180">
        <v>12</v>
      </c>
      <c r="AE135" s="119" t="s">
        <v>776</v>
      </c>
    </row>
    <row r="136" spans="1:31" x14ac:dyDescent="0.25">
      <c r="A136" s="119" t="s">
        <v>777</v>
      </c>
      <c r="B136" s="188">
        <v>0.56967592592592597</v>
      </c>
      <c r="C136" s="19">
        <v>45915</v>
      </c>
      <c r="D136" s="118">
        <v>250915</v>
      </c>
      <c r="E136" s="118">
        <v>0</v>
      </c>
      <c r="F136" s="118">
        <v>745</v>
      </c>
      <c r="G136" s="118">
        <v>383.9</v>
      </c>
      <c r="H136" s="118">
        <v>394.6</v>
      </c>
      <c r="I136" s="118">
        <v>256</v>
      </c>
      <c r="J136" s="118">
        <v>0.19</v>
      </c>
      <c r="K136" s="118">
        <v>395.7</v>
      </c>
      <c r="L136" s="118">
        <v>0.499</v>
      </c>
      <c r="M136" s="118">
        <v>0.49399999999999999</v>
      </c>
      <c r="N136" s="118">
        <v>0.70699999999999996</v>
      </c>
      <c r="O136" s="118">
        <v>172.3</v>
      </c>
      <c r="P136" s="118">
        <v>14.6</v>
      </c>
      <c r="Q136" s="118">
        <v>175.3</v>
      </c>
      <c r="R136" s="118">
        <v>40.672449999999998</v>
      </c>
      <c r="S136" s="118">
        <v>-85.84205</v>
      </c>
      <c r="T136" s="118">
        <v>221</v>
      </c>
      <c r="U136" s="118">
        <v>151.6</v>
      </c>
      <c r="V136" s="118">
        <v>8.9700000000000006</v>
      </c>
      <c r="W136" s="118">
        <v>-152.4</v>
      </c>
      <c r="X136" s="118">
        <v>12</v>
      </c>
      <c r="Y136" s="118">
        <v>0</v>
      </c>
      <c r="Z136" s="118">
        <v>23.576000000000001</v>
      </c>
      <c r="AA136" s="118">
        <v>28.43</v>
      </c>
      <c r="AB136" s="118">
        <v>0</v>
      </c>
      <c r="AC136" s="118" t="s">
        <v>1721</v>
      </c>
      <c r="AD136" s="180">
        <v>13</v>
      </c>
      <c r="AE136" s="119" t="s">
        <v>777</v>
      </c>
    </row>
  </sheetData>
  <sortState xmlns:xlrd2="http://schemas.microsoft.com/office/spreadsheetml/2017/richdata2" ref="B2:AD133">
    <sortCondition ref="C2:C133"/>
    <sortCondition ref="AD2:AD133"/>
    <sortCondition ref="AC2:AC13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7234-EF3E-4C7C-9F25-321BD4929C20}">
  <dimension ref="A1:M8"/>
  <sheetViews>
    <sheetView workbookViewId="0">
      <selection activeCell="I23" sqref="I22:I23"/>
    </sheetView>
  </sheetViews>
  <sheetFormatPr defaultRowHeight="15" x14ac:dyDescent="0.25"/>
  <sheetData>
    <row r="1" spans="1:13" s="118" customFormat="1" ht="60.75" thickBot="1" x14ac:dyDescent="0.3">
      <c r="A1" s="182"/>
      <c r="B1" s="183"/>
      <c r="C1" s="183"/>
      <c r="D1" s="183"/>
      <c r="E1" s="184" t="s">
        <v>582</v>
      </c>
      <c r="F1" s="184" t="s">
        <v>583</v>
      </c>
      <c r="G1" s="184" t="s">
        <v>584</v>
      </c>
      <c r="H1" s="185" t="s">
        <v>585</v>
      </c>
      <c r="I1" s="186" t="s">
        <v>592</v>
      </c>
      <c r="J1" s="184" t="s">
        <v>629</v>
      </c>
      <c r="K1" s="184" t="s">
        <v>630</v>
      </c>
      <c r="L1" s="184" t="s">
        <v>679</v>
      </c>
      <c r="M1" s="187" t="s">
        <v>678</v>
      </c>
    </row>
    <row r="2" spans="1:13" ht="15" customHeight="1" x14ac:dyDescent="0.25">
      <c r="A2" s="239" t="s">
        <v>778</v>
      </c>
      <c r="B2" s="240"/>
      <c r="C2" s="241"/>
      <c r="D2" s="53" t="s">
        <v>644</v>
      </c>
      <c r="E2" s="89">
        <v>0</v>
      </c>
      <c r="F2" s="89">
        <v>0</v>
      </c>
      <c r="G2" s="89">
        <v>0</v>
      </c>
      <c r="H2" s="89">
        <v>0</v>
      </c>
      <c r="I2" s="167">
        <v>13</v>
      </c>
      <c r="J2" s="89">
        <v>0</v>
      </c>
      <c r="K2" s="89">
        <v>0</v>
      </c>
      <c r="L2" s="89">
        <v>108</v>
      </c>
      <c r="M2" s="90">
        <v>108</v>
      </c>
    </row>
    <row r="3" spans="1:13" x14ac:dyDescent="0.25">
      <c r="A3" s="242"/>
      <c r="B3" s="243"/>
      <c r="C3" s="244"/>
      <c r="D3" s="54" t="s">
        <v>645</v>
      </c>
      <c r="E3" s="91">
        <v>93</v>
      </c>
      <c r="F3" s="91">
        <v>93</v>
      </c>
      <c r="G3" s="91">
        <v>93</v>
      </c>
      <c r="H3" s="91">
        <v>93</v>
      </c>
      <c r="I3" s="168">
        <v>80</v>
      </c>
      <c r="J3" s="91">
        <v>93</v>
      </c>
      <c r="K3" s="92">
        <v>93</v>
      </c>
      <c r="L3" s="92"/>
      <c r="M3" s="92"/>
    </row>
    <row r="4" spans="1:13" ht="15.75" thickBot="1" x14ac:dyDescent="0.3">
      <c r="A4" s="242"/>
      <c r="B4" s="243"/>
      <c r="C4" s="244"/>
      <c r="D4" s="55" t="s">
        <v>642</v>
      </c>
      <c r="E4" s="93">
        <v>93</v>
      </c>
      <c r="F4" s="93">
        <v>93</v>
      </c>
      <c r="G4" s="93">
        <v>93</v>
      </c>
      <c r="H4" s="93">
        <v>93</v>
      </c>
      <c r="I4" s="169">
        <v>93</v>
      </c>
      <c r="J4" s="93">
        <v>93</v>
      </c>
      <c r="K4" s="93">
        <v>93</v>
      </c>
      <c r="L4" s="93">
        <v>93</v>
      </c>
      <c r="M4" s="94">
        <v>93</v>
      </c>
    </row>
    <row r="5" spans="1:13" ht="30.75" thickBot="1" x14ac:dyDescent="0.3">
      <c r="A5" s="242"/>
      <c r="B5" s="243"/>
      <c r="C5" s="244"/>
      <c r="D5" s="86" t="s">
        <v>648</v>
      </c>
      <c r="E5" s="87">
        <v>1</v>
      </c>
      <c r="F5" s="87">
        <v>1</v>
      </c>
      <c r="G5" s="87">
        <v>1</v>
      </c>
      <c r="H5" s="87">
        <v>1</v>
      </c>
      <c r="I5" s="170">
        <v>0.86021505376344087</v>
      </c>
      <c r="J5" s="87">
        <v>1</v>
      </c>
      <c r="K5" s="88">
        <v>1</v>
      </c>
      <c r="L5" s="88">
        <v>0</v>
      </c>
      <c r="M5" s="88">
        <v>0</v>
      </c>
    </row>
    <row r="6" spans="1:13" ht="30.75" thickBot="1" x14ac:dyDescent="0.3">
      <c r="A6" s="242"/>
      <c r="B6" s="243"/>
      <c r="C6" s="244"/>
      <c r="D6" s="57" t="s">
        <v>646</v>
      </c>
      <c r="E6" s="58"/>
      <c r="F6" s="58"/>
      <c r="G6" s="58"/>
      <c r="H6" s="58"/>
      <c r="I6" s="171"/>
      <c r="J6" s="58"/>
      <c r="K6" s="59"/>
      <c r="L6" s="59"/>
      <c r="M6" s="59"/>
    </row>
    <row r="7" spans="1:13" ht="15.75" thickBot="1" x14ac:dyDescent="0.3">
      <c r="A7" s="242"/>
      <c r="B7" s="243"/>
      <c r="C7" s="244"/>
      <c r="D7" s="60" t="s">
        <v>647</v>
      </c>
      <c r="E7" s="61">
        <v>0</v>
      </c>
      <c r="F7" s="61">
        <v>0</v>
      </c>
      <c r="G7" s="61">
        <v>0</v>
      </c>
      <c r="H7" s="61">
        <v>0</v>
      </c>
      <c r="I7" s="172">
        <v>0</v>
      </c>
      <c r="J7" s="61">
        <v>0</v>
      </c>
      <c r="K7" s="62">
        <v>0</v>
      </c>
      <c r="L7" s="62">
        <v>0</v>
      </c>
      <c r="M7" s="62">
        <v>0</v>
      </c>
    </row>
    <row r="8" spans="1:13" ht="30.75" thickBot="1" x14ac:dyDescent="0.3">
      <c r="A8" s="245"/>
      <c r="B8" s="246"/>
      <c r="C8" s="247"/>
      <c r="D8" s="99" t="s">
        <v>649</v>
      </c>
      <c r="E8" s="100">
        <v>93</v>
      </c>
      <c r="F8" s="100">
        <v>93</v>
      </c>
      <c r="G8" s="100">
        <v>93</v>
      </c>
      <c r="H8" s="100">
        <v>93</v>
      </c>
      <c r="I8" s="173">
        <v>80</v>
      </c>
      <c r="J8" s="100">
        <v>93</v>
      </c>
      <c r="K8" s="101">
        <v>93</v>
      </c>
      <c r="L8" s="101">
        <v>0</v>
      </c>
      <c r="M8" s="101">
        <v>0</v>
      </c>
    </row>
  </sheetData>
  <mergeCells count="1">
    <mergeCell ref="A2:C8"/>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F3EE-E912-4238-B2EC-32C191662699}">
  <dimension ref="A1:K33"/>
  <sheetViews>
    <sheetView workbookViewId="0">
      <selection activeCell="N14" sqref="N14"/>
    </sheetView>
  </sheetViews>
  <sheetFormatPr defaultRowHeight="15" x14ac:dyDescent="0.25"/>
  <sheetData>
    <row r="1" spans="1:11" x14ac:dyDescent="0.25">
      <c r="A1" s="158" t="s">
        <v>1644</v>
      </c>
      <c r="B1" s="158" t="s">
        <v>1645</v>
      </c>
      <c r="C1" s="158"/>
      <c r="D1" s="158" t="s">
        <v>1644</v>
      </c>
      <c r="E1" s="158" t="s">
        <v>1645</v>
      </c>
      <c r="F1" s="158"/>
      <c r="G1" s="158" t="s">
        <v>1646</v>
      </c>
      <c r="H1" s="158" t="s">
        <v>1647</v>
      </c>
      <c r="I1" s="158"/>
      <c r="J1" s="158" t="s">
        <v>1646</v>
      </c>
      <c r="K1" s="158" t="s">
        <v>1647</v>
      </c>
    </row>
    <row r="2" spans="1:11" x14ac:dyDescent="0.25">
      <c r="A2" s="248">
        <v>45869</v>
      </c>
      <c r="B2" s="249"/>
      <c r="C2" s="27"/>
      <c r="D2" s="248">
        <v>45877</v>
      </c>
      <c r="E2" s="249"/>
      <c r="F2" s="27"/>
      <c r="G2" s="248">
        <v>45896</v>
      </c>
      <c r="H2" s="249"/>
      <c r="I2" s="27"/>
      <c r="J2" s="248">
        <v>45917</v>
      </c>
      <c r="K2" s="248"/>
    </row>
    <row r="3" spans="1:11" x14ac:dyDescent="0.25">
      <c r="A3" s="27" t="s">
        <v>1648</v>
      </c>
      <c r="B3" s="157">
        <v>0.22402208413351465</v>
      </c>
      <c r="C3" s="27"/>
      <c r="D3" s="27" t="s">
        <v>1649</v>
      </c>
      <c r="E3" s="157">
        <v>8.6565158546017013E-2</v>
      </c>
      <c r="F3" s="27"/>
      <c r="G3" s="27" t="s">
        <v>1650</v>
      </c>
      <c r="H3" s="159">
        <v>8.0011879444832292</v>
      </c>
      <c r="I3" s="27"/>
      <c r="J3" s="27" t="s">
        <v>1650</v>
      </c>
      <c r="K3" s="159">
        <v>1.6524895777997091</v>
      </c>
    </row>
    <row r="4" spans="1:11" x14ac:dyDescent="0.25">
      <c r="A4" s="27" t="s">
        <v>1651</v>
      </c>
      <c r="B4" s="157">
        <v>0.21002272021687676</v>
      </c>
      <c r="C4" s="27"/>
      <c r="D4" s="27" t="s">
        <v>1652</v>
      </c>
      <c r="E4" s="157">
        <v>0.10600338135726661</v>
      </c>
      <c r="F4" s="27"/>
      <c r="G4" s="27" t="s">
        <v>1653</v>
      </c>
      <c r="H4" s="159">
        <v>9.0868404622847763</v>
      </c>
      <c r="I4" s="27"/>
      <c r="J4" s="27" t="s">
        <v>1654</v>
      </c>
      <c r="K4" s="159">
        <v>1.6528653439756402</v>
      </c>
    </row>
    <row r="5" spans="1:11" x14ac:dyDescent="0.25">
      <c r="A5" s="27" t="s">
        <v>1655</v>
      </c>
      <c r="B5" s="157">
        <v>0.23801925111522509</v>
      </c>
      <c r="C5" s="27"/>
      <c r="D5" s="27" t="s">
        <v>1656</v>
      </c>
      <c r="E5" s="157">
        <v>0.12459179569057922</v>
      </c>
      <c r="F5" s="27"/>
      <c r="G5" s="27" t="s">
        <v>1657</v>
      </c>
      <c r="H5" s="159">
        <v>12.642950430707868</v>
      </c>
      <c r="I5" s="27"/>
      <c r="J5" s="27" t="s">
        <v>1653</v>
      </c>
      <c r="K5" s="159">
        <v>1.6156287861916412</v>
      </c>
    </row>
    <row r="6" spans="1:11" x14ac:dyDescent="0.25">
      <c r="A6" s="27" t="s">
        <v>1658</v>
      </c>
      <c r="B6" s="157">
        <v>0.22812475283512729</v>
      </c>
      <c r="C6" s="27"/>
      <c r="D6" s="27" t="s">
        <v>1659</v>
      </c>
      <c r="E6" s="157">
        <v>9.9759047696412945E-2</v>
      </c>
      <c r="F6" s="27"/>
      <c r="G6" s="27" t="s">
        <v>1660</v>
      </c>
      <c r="H6" s="159">
        <v>77.600044431279599</v>
      </c>
      <c r="I6" s="27"/>
      <c r="J6" s="27" t="s">
        <v>1657</v>
      </c>
      <c r="K6" s="159">
        <v>1.624851860685721</v>
      </c>
    </row>
    <row r="7" spans="1:11" x14ac:dyDescent="0.25">
      <c r="A7" s="27" t="s">
        <v>1661</v>
      </c>
      <c r="B7" s="157">
        <v>0.22542531461380969</v>
      </c>
      <c r="C7" s="27"/>
      <c r="D7" s="27" t="s">
        <v>1662</v>
      </c>
      <c r="E7" s="157">
        <v>4.8061729706757372E-2</v>
      </c>
      <c r="F7" s="27"/>
      <c r="G7" s="27" t="s">
        <v>1663</v>
      </c>
      <c r="H7" s="159">
        <v>8.9113968244513693</v>
      </c>
      <c r="I7" s="27"/>
      <c r="J7" s="27" t="s">
        <v>1660</v>
      </c>
      <c r="K7" s="159">
        <v>1.6307697200029669</v>
      </c>
    </row>
    <row r="8" spans="1:11" x14ac:dyDescent="0.25">
      <c r="A8" s="27" t="s">
        <v>1664</v>
      </c>
      <c r="B8" s="157">
        <v>0.2236629464686449</v>
      </c>
      <c r="C8" s="27"/>
      <c r="D8" s="27" t="s">
        <v>1665</v>
      </c>
      <c r="E8" s="157">
        <v>1.1205437841262735E-2</v>
      </c>
      <c r="F8" s="27"/>
      <c r="G8" s="27" t="s">
        <v>1666</v>
      </c>
      <c r="H8" s="159">
        <v>18.765361270474745</v>
      </c>
      <c r="I8" s="27"/>
      <c r="J8" s="27" t="s">
        <v>1663</v>
      </c>
      <c r="K8" s="159">
        <v>1.6463543265581251</v>
      </c>
    </row>
    <row r="9" spans="1:11" x14ac:dyDescent="0.25">
      <c r="A9" s="27" t="s">
        <v>1652</v>
      </c>
      <c r="B9" s="157">
        <v>0.20009214555477556</v>
      </c>
      <c r="C9" s="27"/>
      <c r="D9" s="27" t="s">
        <v>1667</v>
      </c>
      <c r="E9" s="157">
        <v>2.2101318552837895E-2</v>
      </c>
      <c r="F9" s="27"/>
      <c r="G9" s="27" t="s">
        <v>1668</v>
      </c>
      <c r="H9" s="159">
        <v>36.942343009478705</v>
      </c>
      <c r="I9" s="27"/>
      <c r="J9" s="27" t="s">
        <v>1669</v>
      </c>
      <c r="K9" s="159">
        <v>2.4990939440739828</v>
      </c>
    </row>
    <row r="10" spans="1:11" x14ac:dyDescent="0.25">
      <c r="A10" s="27" t="s">
        <v>1670</v>
      </c>
      <c r="B10" s="157">
        <v>0.19869153359422648</v>
      </c>
      <c r="C10" s="27"/>
      <c r="D10" s="27" t="s">
        <v>1671</v>
      </c>
      <c r="E10" s="157">
        <v>2.1606101635545535E-2</v>
      </c>
      <c r="F10" s="27"/>
      <c r="G10" s="27" t="s">
        <v>1672</v>
      </c>
      <c r="H10" s="159">
        <v>11.985002794193836</v>
      </c>
      <c r="I10" s="27"/>
      <c r="J10" s="27" t="s">
        <v>1668</v>
      </c>
      <c r="K10" s="159">
        <v>2.3816026053273145</v>
      </c>
    </row>
    <row r="11" spans="1:11" x14ac:dyDescent="0.25">
      <c r="A11" s="27" t="s">
        <v>1659</v>
      </c>
      <c r="B11" s="157">
        <v>0.23145600201519695</v>
      </c>
      <c r="C11" s="27"/>
      <c r="D11" s="27" t="s">
        <v>1673</v>
      </c>
      <c r="E11" s="157">
        <v>2.4054773503116262E-2</v>
      </c>
      <c r="F11" s="27"/>
      <c r="G11" s="27" t="s">
        <v>1674</v>
      </c>
      <c r="H11" s="159">
        <v>15.315237764120635</v>
      </c>
      <c r="I11" s="27"/>
      <c r="J11" s="27" t="s">
        <v>1672</v>
      </c>
      <c r="K11" s="159">
        <v>2.2515134035772446</v>
      </c>
    </row>
    <row r="12" spans="1:11" x14ac:dyDescent="0.25">
      <c r="A12" s="27" t="s">
        <v>1662</v>
      </c>
      <c r="B12" s="157">
        <v>0.20369248900200457</v>
      </c>
      <c r="C12" s="27"/>
      <c r="D12" s="27" t="s">
        <v>1675</v>
      </c>
      <c r="E12" s="157">
        <v>1.4352425024491869E-2</v>
      </c>
      <c r="F12" s="27"/>
      <c r="G12" s="27" t="s">
        <v>1669</v>
      </c>
      <c r="H12" s="159">
        <v>9.7943096225457005</v>
      </c>
      <c r="I12" s="27"/>
      <c r="J12" s="27" t="s">
        <v>1674</v>
      </c>
      <c r="K12" s="159">
        <v>2.0811452544483529</v>
      </c>
    </row>
    <row r="13" spans="1:11" x14ac:dyDescent="0.25">
      <c r="A13" s="27" t="s">
        <v>1665</v>
      </c>
      <c r="B13" s="157">
        <v>0.19175098466259977</v>
      </c>
      <c r="C13" s="27"/>
      <c r="D13" s="27" t="s">
        <v>1650</v>
      </c>
      <c r="E13" s="157">
        <v>0.86033688276884446</v>
      </c>
      <c r="F13" s="27"/>
      <c r="G13" s="27" t="s">
        <v>1676</v>
      </c>
      <c r="H13" s="159">
        <v>61.749651519375483</v>
      </c>
      <c r="I13" s="27"/>
      <c r="J13" s="27" t="s">
        <v>1666</v>
      </c>
      <c r="K13" s="159">
        <v>1.7950490097297731</v>
      </c>
    </row>
    <row r="14" spans="1:11" x14ac:dyDescent="0.25">
      <c r="A14" s="27" t="s">
        <v>1667</v>
      </c>
      <c r="B14" s="157">
        <v>0.20814581515688318</v>
      </c>
      <c r="C14" s="27"/>
      <c r="D14" s="27" t="s">
        <v>1654</v>
      </c>
      <c r="E14" s="157">
        <v>1.7680698419797252</v>
      </c>
      <c r="F14" s="27"/>
      <c r="G14" s="27" t="s">
        <v>1677</v>
      </c>
      <c r="H14" s="159">
        <v>33.967216062965448</v>
      </c>
      <c r="I14" s="27"/>
      <c r="J14" s="27" t="s">
        <v>1676</v>
      </c>
      <c r="K14" s="159">
        <v>1.8154174846398596</v>
      </c>
    </row>
    <row r="15" spans="1:11" x14ac:dyDescent="0.25">
      <c r="A15" s="27" t="s">
        <v>1671</v>
      </c>
      <c r="B15" s="157">
        <v>0.2122328005489108</v>
      </c>
      <c r="C15" s="27"/>
      <c r="D15" s="27" t="s">
        <v>1653</v>
      </c>
      <c r="E15" s="157">
        <v>4.2411015815085129</v>
      </c>
      <c r="F15" s="27"/>
      <c r="G15" s="27" t="s">
        <v>1654</v>
      </c>
      <c r="H15" s="159">
        <v>2.2134573069111489</v>
      </c>
      <c r="I15" s="27"/>
      <c r="J15" s="27" t="s">
        <v>1677</v>
      </c>
      <c r="K15" s="159">
        <v>1.6284328957916983</v>
      </c>
    </row>
    <row r="16" spans="1:11" x14ac:dyDescent="0.25">
      <c r="A16" s="27" t="s">
        <v>1673</v>
      </c>
      <c r="B16" s="157">
        <v>0.19863449005674516</v>
      </c>
      <c r="C16" s="27"/>
      <c r="D16" s="27" t="s">
        <v>1657</v>
      </c>
      <c r="E16" s="157">
        <v>5.5714740490006394</v>
      </c>
      <c r="F16" s="27"/>
      <c r="G16" s="27" t="s">
        <v>1669</v>
      </c>
      <c r="H16" s="159">
        <v>31.485576760324999</v>
      </c>
      <c r="I16" s="27"/>
      <c r="J16" s="27"/>
      <c r="K16" s="27"/>
    </row>
    <row r="17" spans="1:11" x14ac:dyDescent="0.25">
      <c r="A17" s="27" t="s">
        <v>1678</v>
      </c>
      <c r="B17" s="157">
        <v>0.18701800870362817</v>
      </c>
      <c r="C17" s="27"/>
      <c r="D17" s="27" t="s">
        <v>1660</v>
      </c>
      <c r="E17" s="157">
        <v>17.208245614035068</v>
      </c>
      <c r="F17" s="27"/>
      <c r="G17" s="27" t="s">
        <v>1650</v>
      </c>
      <c r="H17" s="159">
        <v>10.626481042654</v>
      </c>
      <c r="I17" s="27"/>
      <c r="J17" s="27"/>
      <c r="K17" s="27"/>
    </row>
    <row r="18" spans="1:11" x14ac:dyDescent="0.25">
      <c r="A18" s="27" t="s">
        <v>1650</v>
      </c>
      <c r="B18" s="157">
        <v>6.1273674800581563</v>
      </c>
      <c r="C18" s="27"/>
      <c r="D18" s="27" t="s">
        <v>1663</v>
      </c>
      <c r="E18" s="157">
        <v>2.7970289455246098</v>
      </c>
      <c r="F18" s="27"/>
      <c r="G18" s="27" t="s">
        <v>1654</v>
      </c>
      <c r="H18" s="159">
        <v>7.6487853822717575</v>
      </c>
      <c r="I18" s="27"/>
      <c r="J18" s="27"/>
      <c r="K18" s="27"/>
    </row>
    <row r="19" spans="1:11" x14ac:dyDescent="0.25">
      <c r="A19" s="27" t="s">
        <v>1654</v>
      </c>
      <c r="B19" s="157">
        <v>4.3226195981707001</v>
      </c>
      <c r="C19" s="27"/>
      <c r="D19" s="27" t="s">
        <v>1669</v>
      </c>
      <c r="E19" s="157">
        <v>1.3693918010752686</v>
      </c>
      <c r="F19" s="27"/>
      <c r="G19" s="27" t="s">
        <v>1653</v>
      </c>
      <c r="H19" s="159">
        <v>7.600441786987032</v>
      </c>
      <c r="I19" s="27"/>
      <c r="J19" s="27"/>
      <c r="K19" s="27"/>
    </row>
    <row r="20" spans="1:11" x14ac:dyDescent="0.25">
      <c r="A20" s="27" t="s">
        <v>1653</v>
      </c>
      <c r="B20" s="157">
        <v>3.7605838473957682</v>
      </c>
      <c r="C20" s="27"/>
      <c r="D20" s="27" t="s">
        <v>1668</v>
      </c>
      <c r="E20" s="157">
        <v>2.896629635598944</v>
      </c>
      <c r="F20" s="27"/>
      <c r="G20" s="27" t="s">
        <v>1657</v>
      </c>
      <c r="H20" s="159">
        <v>14.861617542809336</v>
      </c>
      <c r="I20" s="27"/>
      <c r="J20" s="27"/>
      <c r="K20" s="27"/>
    </row>
    <row r="21" spans="1:11" x14ac:dyDescent="0.25">
      <c r="A21" s="27" t="s">
        <v>1657</v>
      </c>
      <c r="B21" s="157">
        <v>4.0186423074459414</v>
      </c>
      <c r="C21" s="27"/>
      <c r="D21" s="27" t="s">
        <v>1672</v>
      </c>
      <c r="E21" s="157">
        <v>0.94858271687434892</v>
      </c>
      <c r="F21" s="27"/>
      <c r="G21" s="27" t="s">
        <v>1660</v>
      </c>
      <c r="H21" s="159">
        <v>34.663553271373097</v>
      </c>
      <c r="I21" s="27"/>
      <c r="J21" s="27"/>
      <c r="K21" s="27"/>
    </row>
    <row r="22" spans="1:11" x14ac:dyDescent="0.25">
      <c r="A22" s="27" t="s">
        <v>1660</v>
      </c>
      <c r="B22" s="157">
        <v>7.5066708620492992</v>
      </c>
      <c r="C22" s="27"/>
      <c r="D22" s="27" t="s">
        <v>1674</v>
      </c>
      <c r="E22" s="157">
        <v>0.88943773946360127</v>
      </c>
      <c r="F22" s="27"/>
      <c r="G22" s="27" t="s">
        <v>1663</v>
      </c>
      <c r="H22" s="159">
        <v>5.3597756888687318</v>
      </c>
      <c r="I22" s="27"/>
      <c r="J22" s="27"/>
      <c r="K22" s="27"/>
    </row>
    <row r="23" spans="1:11" x14ac:dyDescent="0.25">
      <c r="A23" s="27" t="s">
        <v>1663</v>
      </c>
      <c r="B23" s="157">
        <v>6.541611986778916</v>
      </c>
      <c r="C23" s="27"/>
      <c r="D23" s="27" t="s">
        <v>1666</v>
      </c>
      <c r="E23" s="157">
        <v>3.0986287053841499</v>
      </c>
      <c r="F23" s="27"/>
      <c r="G23" s="27" t="s">
        <v>1669</v>
      </c>
      <c r="H23" s="159">
        <v>6.2652703411983524</v>
      </c>
      <c r="I23" s="27"/>
      <c r="J23" s="27"/>
      <c r="K23" s="27"/>
    </row>
    <row r="24" spans="1:11" x14ac:dyDescent="0.25">
      <c r="A24" s="27" t="s">
        <v>1669</v>
      </c>
      <c r="B24" s="157">
        <v>6.5205117476864345</v>
      </c>
      <c r="C24" s="27"/>
      <c r="D24" s="27" t="s">
        <v>1676</v>
      </c>
      <c r="E24" s="157">
        <v>5.7449378444763912</v>
      </c>
      <c r="F24" s="27"/>
      <c r="G24" s="27" t="s">
        <v>1668</v>
      </c>
      <c r="H24" s="159">
        <v>6.447831562244204</v>
      </c>
      <c r="I24" s="27"/>
      <c r="J24" s="27"/>
      <c r="K24" s="27"/>
    </row>
    <row r="25" spans="1:11" x14ac:dyDescent="0.25">
      <c r="A25" s="27" t="s">
        <v>1668</v>
      </c>
      <c r="B25" s="157">
        <v>2.4275055617547205</v>
      </c>
      <c r="C25" s="27"/>
      <c r="D25" s="27" t="s">
        <v>1677</v>
      </c>
      <c r="E25" s="157">
        <v>2.68</v>
      </c>
      <c r="F25" s="27"/>
      <c r="G25" s="27" t="s">
        <v>1672</v>
      </c>
      <c r="H25" s="159">
        <v>21.856923684530333</v>
      </c>
      <c r="I25" s="27"/>
      <c r="J25" s="27"/>
      <c r="K25" s="27"/>
    </row>
    <row r="26" spans="1:11" x14ac:dyDescent="0.25">
      <c r="A26" s="27" t="s">
        <v>1672</v>
      </c>
      <c r="B26" s="157">
        <v>2.8003603807983963</v>
      </c>
      <c r="C26" s="27"/>
      <c r="D26" s="27" t="s">
        <v>1679</v>
      </c>
      <c r="E26" s="157">
        <v>0.57160256410256427</v>
      </c>
      <c r="F26" s="27"/>
      <c r="G26" s="27" t="s">
        <v>1674</v>
      </c>
      <c r="H26" s="159">
        <v>7.1267007025449516</v>
      </c>
      <c r="I26" s="27"/>
      <c r="J26" s="27"/>
      <c r="K26" s="27"/>
    </row>
    <row r="27" spans="1:11" x14ac:dyDescent="0.25">
      <c r="A27" s="27" t="s">
        <v>1674</v>
      </c>
      <c r="B27" s="157">
        <v>2.4692941734532896</v>
      </c>
      <c r="C27" s="27"/>
      <c r="D27" s="27" t="s">
        <v>1680</v>
      </c>
      <c r="E27" s="157">
        <v>1.9071859310656059</v>
      </c>
      <c r="F27" s="27"/>
      <c r="G27" s="27" t="s">
        <v>1666</v>
      </c>
      <c r="H27" s="159">
        <v>6.1885851167172001</v>
      </c>
      <c r="I27" s="27"/>
      <c r="J27" s="27"/>
      <c r="K27" s="27"/>
    </row>
    <row r="28" spans="1:11" x14ac:dyDescent="0.25">
      <c r="A28" s="27" t="s">
        <v>1666</v>
      </c>
      <c r="B28" s="157">
        <v>2.9700248876708955</v>
      </c>
      <c r="C28" s="27"/>
      <c r="D28" s="27" t="s">
        <v>1681</v>
      </c>
      <c r="E28" s="157">
        <v>12.49546071953009</v>
      </c>
      <c r="F28" s="27"/>
      <c r="G28" s="27" t="s">
        <v>1676</v>
      </c>
      <c r="H28" s="159">
        <v>5.9302892575756285</v>
      </c>
      <c r="I28" s="27"/>
      <c r="J28" s="27"/>
      <c r="K28" s="27"/>
    </row>
    <row r="29" spans="1:11" x14ac:dyDescent="0.25">
      <c r="A29" s="27" t="s">
        <v>1676</v>
      </c>
      <c r="B29" s="157">
        <v>3.5788915923308413</v>
      </c>
      <c r="C29" s="27"/>
      <c r="D29" s="27" t="s">
        <v>1682</v>
      </c>
      <c r="E29" s="157">
        <v>1.9863242009132414</v>
      </c>
      <c r="F29" s="27"/>
      <c r="G29" s="27" t="s">
        <v>1677</v>
      </c>
      <c r="H29" s="159">
        <v>8.6605883516711515</v>
      </c>
      <c r="I29" s="27"/>
      <c r="J29" s="27"/>
      <c r="K29" s="27"/>
    </row>
    <row r="30" spans="1:11" x14ac:dyDescent="0.25">
      <c r="A30" s="27" t="s">
        <v>1677</v>
      </c>
      <c r="B30" s="157">
        <v>3.699732798931195</v>
      </c>
      <c r="C30" s="27"/>
      <c r="D30" s="27" t="s">
        <v>1649</v>
      </c>
      <c r="E30" s="157">
        <v>-2.8621563917800939E-2</v>
      </c>
      <c r="F30" s="27"/>
      <c r="G30" s="27" t="s">
        <v>1680</v>
      </c>
      <c r="H30" s="159">
        <v>10.92005277324521</v>
      </c>
      <c r="I30" s="27"/>
      <c r="J30" s="27"/>
      <c r="K30" s="27"/>
    </row>
    <row r="31" spans="1:11" x14ac:dyDescent="0.25">
      <c r="A31" s="27" t="s">
        <v>1649</v>
      </c>
      <c r="B31" s="157">
        <v>0.20247031465087009</v>
      </c>
      <c r="C31" s="27"/>
      <c r="D31" s="27"/>
      <c r="E31" s="27"/>
      <c r="F31" s="27"/>
      <c r="G31" s="27" t="s">
        <v>1683</v>
      </c>
      <c r="H31" s="159">
        <v>5.9364592000499457</v>
      </c>
      <c r="I31" s="27"/>
      <c r="J31" s="27"/>
      <c r="K31" s="27"/>
    </row>
    <row r="32" spans="1:11" x14ac:dyDescent="0.25">
      <c r="A32" s="27" t="s">
        <v>1656</v>
      </c>
      <c r="B32" s="157">
        <v>0.18845327227478342</v>
      </c>
      <c r="C32" s="27"/>
      <c r="D32" s="27"/>
      <c r="E32" s="27"/>
      <c r="F32" s="27"/>
      <c r="G32" s="27"/>
      <c r="H32" s="27"/>
      <c r="I32" s="27"/>
      <c r="J32" s="27"/>
      <c r="K32" s="27"/>
    </row>
    <row r="33" spans="1:11" x14ac:dyDescent="0.25">
      <c r="A33" s="27"/>
      <c r="B33" s="27"/>
      <c r="C33" s="27"/>
      <c r="D33" s="27"/>
      <c r="E33" s="27"/>
      <c r="F33" s="27"/>
      <c r="G33" s="27"/>
      <c r="H33" s="27"/>
      <c r="I33" s="27"/>
      <c r="J33" s="27"/>
      <c r="K33" s="27"/>
    </row>
  </sheetData>
  <mergeCells count="4">
    <mergeCell ref="A2:B2"/>
    <mergeCell ref="D2:E2"/>
    <mergeCell ref="G2:H2"/>
    <mergeCell ref="J2:K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ACC0F-CE83-46BE-9D8F-EDB4E2044F1F}">
  <dimension ref="A1"/>
  <sheetViews>
    <sheetView workbookViewId="0">
      <selection activeCell="E10" sqref="E10"/>
    </sheetView>
  </sheetViews>
  <sheetFormatPr defaultRowHeight="15" x14ac:dyDescent="0.25"/>
  <sheetData/>
  <pageMargins left="0.7" right="0.7" top="0.75" bottom="0.75" header="0.3" footer="0.3"/>
  <pageSetup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E0C6-F30C-4777-9CE3-5ACF1160912F}">
  <dimension ref="A1:H109"/>
  <sheetViews>
    <sheetView topLeftCell="A70" workbookViewId="0">
      <selection activeCell="A89" sqref="A89:G89"/>
    </sheetView>
  </sheetViews>
  <sheetFormatPr defaultRowHeight="15" x14ac:dyDescent="0.25"/>
  <cols>
    <col min="1" max="1" width="18.42578125" style="118" bestFit="1" customWidth="1"/>
    <col min="2" max="2" width="11.28515625" bestFit="1" customWidth="1"/>
    <col min="3" max="3" width="11.28515625" style="118" customWidth="1"/>
  </cols>
  <sheetData>
    <row r="1" spans="1:8" s="118" customFormat="1" x14ac:dyDescent="0.25">
      <c r="B1" s="118" t="s">
        <v>652</v>
      </c>
      <c r="D1" s="118" t="s">
        <v>653</v>
      </c>
      <c r="E1" s="118" t="s">
        <v>655</v>
      </c>
      <c r="F1" s="118" t="s">
        <v>654</v>
      </c>
      <c r="G1" s="118" t="s">
        <v>656</v>
      </c>
    </row>
    <row r="2" spans="1:8" x14ac:dyDescent="0.25">
      <c r="A2" s="131" t="s">
        <v>685</v>
      </c>
      <c r="B2" s="63" t="s">
        <v>847</v>
      </c>
      <c r="C2" s="63" t="str">
        <f t="shared" ref="C2:C10" si="0">RIGHT(B2,1)</f>
        <v>1</v>
      </c>
      <c r="D2" s="63" t="s">
        <v>797</v>
      </c>
      <c r="E2" s="63" t="s">
        <v>673</v>
      </c>
      <c r="F2" s="63">
        <v>0.105</v>
      </c>
      <c r="G2" s="63">
        <v>3.9188000000000001E-2</v>
      </c>
      <c r="H2">
        <v>1</v>
      </c>
    </row>
    <row r="3" spans="1:8" x14ac:dyDescent="0.25">
      <c r="A3" s="119" t="s">
        <v>686</v>
      </c>
      <c r="B3" s="63" t="s">
        <v>845</v>
      </c>
      <c r="C3" s="63" t="str">
        <f t="shared" si="0"/>
        <v>2</v>
      </c>
      <c r="D3" s="63" t="s">
        <v>797</v>
      </c>
      <c r="E3" s="63" t="s">
        <v>673</v>
      </c>
      <c r="F3" s="63">
        <v>4.7E-2</v>
      </c>
      <c r="G3" s="63">
        <v>2.1184000000000001E-2</v>
      </c>
      <c r="H3" s="63">
        <v>1</v>
      </c>
    </row>
    <row r="4" spans="1:8" x14ac:dyDescent="0.25">
      <c r="A4" s="119" t="s">
        <v>687</v>
      </c>
      <c r="B4" s="63" t="s">
        <v>843</v>
      </c>
      <c r="C4" s="63" t="str">
        <f t="shared" si="0"/>
        <v>3</v>
      </c>
      <c r="D4" s="63" t="s">
        <v>797</v>
      </c>
      <c r="E4" s="63" t="s">
        <v>673</v>
      </c>
      <c r="F4" s="63">
        <v>4.4999999999999998E-2</v>
      </c>
      <c r="G4" s="63">
        <v>2.053E-2</v>
      </c>
      <c r="H4" s="118">
        <v>1</v>
      </c>
    </row>
    <row r="5" spans="1:8" x14ac:dyDescent="0.25">
      <c r="A5" s="119" t="s">
        <v>688</v>
      </c>
      <c r="B5" s="63" t="s">
        <v>848</v>
      </c>
      <c r="C5" s="63" t="str">
        <f t="shared" si="0"/>
        <v>4</v>
      </c>
      <c r="D5" s="63" t="s">
        <v>797</v>
      </c>
      <c r="E5" s="63" t="s">
        <v>673</v>
      </c>
      <c r="F5" s="63">
        <v>5.8000000000000003E-2</v>
      </c>
      <c r="G5" s="63">
        <v>2.4719999999999999E-2</v>
      </c>
      <c r="H5" s="63">
        <v>1</v>
      </c>
    </row>
    <row r="6" spans="1:8" x14ac:dyDescent="0.25">
      <c r="A6" s="119" t="s">
        <v>689</v>
      </c>
      <c r="B6" s="63" t="s">
        <v>850</v>
      </c>
      <c r="C6" s="63" t="str">
        <f t="shared" si="0"/>
        <v>5</v>
      </c>
      <c r="D6" s="63" t="s">
        <v>797</v>
      </c>
      <c r="E6" s="63" t="s">
        <v>673</v>
      </c>
      <c r="F6" s="63">
        <v>9.8000000000000004E-2</v>
      </c>
      <c r="G6" s="63">
        <v>3.6895999999999998E-2</v>
      </c>
      <c r="H6" s="118">
        <v>1</v>
      </c>
    </row>
    <row r="7" spans="1:8" x14ac:dyDescent="0.25">
      <c r="A7" s="119" t="s">
        <v>690</v>
      </c>
      <c r="B7" s="63" t="s">
        <v>979</v>
      </c>
      <c r="C7" s="63" t="str">
        <f t="shared" si="0"/>
        <v>6</v>
      </c>
      <c r="D7" s="63" t="s">
        <v>797</v>
      </c>
      <c r="E7" s="63" t="s">
        <v>673</v>
      </c>
      <c r="F7" s="63">
        <v>0.08</v>
      </c>
      <c r="G7" s="63">
        <v>3.1451E-2</v>
      </c>
      <c r="H7" s="63">
        <v>1</v>
      </c>
    </row>
    <row r="8" spans="1:8" x14ac:dyDescent="0.25">
      <c r="A8" s="119" t="s">
        <v>691</v>
      </c>
      <c r="B8" s="63" t="s">
        <v>842</v>
      </c>
      <c r="C8" s="63" t="str">
        <f t="shared" si="0"/>
        <v>7</v>
      </c>
      <c r="D8" s="63" t="s">
        <v>797</v>
      </c>
      <c r="E8" s="63" t="s">
        <v>673</v>
      </c>
      <c r="F8" s="63">
        <v>0.13200000000000001</v>
      </c>
      <c r="G8" s="63">
        <v>4.7477999999999999E-2</v>
      </c>
      <c r="H8" s="118">
        <v>1</v>
      </c>
    </row>
    <row r="9" spans="1:8" x14ac:dyDescent="0.25">
      <c r="A9" s="119" t="s">
        <v>692</v>
      </c>
      <c r="B9" s="63" t="s">
        <v>851</v>
      </c>
      <c r="C9" s="63" t="str">
        <f t="shared" si="0"/>
        <v>8</v>
      </c>
      <c r="D9" s="63" t="s">
        <v>797</v>
      </c>
      <c r="E9" s="63" t="s">
        <v>673</v>
      </c>
      <c r="F9" s="63">
        <v>0.151</v>
      </c>
      <c r="G9" s="63">
        <v>5.3294000000000001E-2</v>
      </c>
      <c r="H9" s="63">
        <v>1</v>
      </c>
    </row>
    <row r="10" spans="1:8" x14ac:dyDescent="0.25">
      <c r="A10" s="119" t="s">
        <v>693</v>
      </c>
      <c r="B10" s="63" t="s">
        <v>978</v>
      </c>
      <c r="C10" s="63" t="str">
        <f t="shared" si="0"/>
        <v>9</v>
      </c>
      <c r="D10" s="63" t="s">
        <v>797</v>
      </c>
      <c r="E10" s="63" t="s">
        <v>673</v>
      </c>
      <c r="F10" s="63">
        <v>0.186</v>
      </c>
      <c r="G10" s="63">
        <v>6.4080999999999999E-2</v>
      </c>
      <c r="H10" s="118">
        <v>1</v>
      </c>
    </row>
    <row r="11" spans="1:8" x14ac:dyDescent="0.25">
      <c r="A11" s="119" t="s">
        <v>694</v>
      </c>
      <c r="B11" s="63" t="s">
        <v>977</v>
      </c>
      <c r="C11" s="63">
        <v>10</v>
      </c>
      <c r="D11" s="63" t="s">
        <v>797</v>
      </c>
      <c r="E11" s="63" t="s">
        <v>673</v>
      </c>
      <c r="F11" s="63">
        <v>0.16600000000000001</v>
      </c>
      <c r="G11" s="63">
        <v>5.7970000000000001E-2</v>
      </c>
      <c r="H11" s="63">
        <v>1</v>
      </c>
    </row>
    <row r="12" spans="1:8" x14ac:dyDescent="0.25">
      <c r="A12" s="119" t="s">
        <v>695</v>
      </c>
      <c r="B12" s="63" t="s">
        <v>844</v>
      </c>
      <c r="C12" s="63">
        <v>11</v>
      </c>
      <c r="D12" s="63" t="s">
        <v>797</v>
      </c>
      <c r="E12" s="63" t="s">
        <v>673</v>
      </c>
      <c r="F12" s="63">
        <v>0.20200000000000001</v>
      </c>
      <c r="G12" s="63">
        <v>6.9153000000000006E-2</v>
      </c>
      <c r="H12" s="118">
        <v>1</v>
      </c>
    </row>
    <row r="13" spans="1:8" x14ac:dyDescent="0.25">
      <c r="A13" s="119" t="s">
        <v>696</v>
      </c>
      <c r="B13" s="63" t="s">
        <v>849</v>
      </c>
      <c r="C13" s="63">
        <v>12</v>
      </c>
      <c r="D13" s="63" t="s">
        <v>797</v>
      </c>
      <c r="E13" s="63" t="s">
        <v>673</v>
      </c>
      <c r="F13" s="63">
        <v>0.20799999999999999</v>
      </c>
      <c r="G13" s="63">
        <v>7.0965E-2</v>
      </c>
      <c r="H13" s="63">
        <v>1</v>
      </c>
    </row>
    <row r="14" spans="1:8" x14ac:dyDescent="0.25">
      <c r="A14" s="119" t="s">
        <v>697</v>
      </c>
      <c r="B14" s="63" t="s">
        <v>846</v>
      </c>
      <c r="C14" s="63">
        <v>13</v>
      </c>
      <c r="D14" s="63" t="s">
        <v>797</v>
      </c>
      <c r="E14" s="63" t="s">
        <v>673</v>
      </c>
      <c r="F14" s="63">
        <v>8.2000000000000003E-2</v>
      </c>
      <c r="G14" s="63">
        <v>3.2216000000000002E-2</v>
      </c>
      <c r="H14" s="118">
        <v>1</v>
      </c>
    </row>
    <row r="15" spans="1:8" x14ac:dyDescent="0.25">
      <c r="A15" s="120" t="s">
        <v>698</v>
      </c>
      <c r="B15" s="118" t="s">
        <v>1009</v>
      </c>
      <c r="C15" s="63" t="str">
        <f t="shared" ref="C15:C24" si="1">RIGHT(B15,1)</f>
        <v>1</v>
      </c>
      <c r="D15" s="118" t="s">
        <v>797</v>
      </c>
      <c r="E15" s="118" t="s">
        <v>673</v>
      </c>
      <c r="F15" s="118">
        <v>1.9E-2</v>
      </c>
      <c r="G15" s="118">
        <v>1.2501999999999999E-2</v>
      </c>
      <c r="H15" s="63">
        <v>2</v>
      </c>
    </row>
    <row r="16" spans="1:8" x14ac:dyDescent="0.25">
      <c r="A16" s="120" t="s">
        <v>699</v>
      </c>
      <c r="B16" s="118" t="s">
        <v>1012</v>
      </c>
      <c r="C16" s="63" t="str">
        <f t="shared" si="1"/>
        <v>2</v>
      </c>
      <c r="D16" s="118" t="s">
        <v>797</v>
      </c>
      <c r="E16" s="118" t="s">
        <v>673</v>
      </c>
      <c r="F16" s="118">
        <v>2.8000000000000001E-2</v>
      </c>
      <c r="G16" s="118">
        <v>1.5519E-2</v>
      </c>
      <c r="H16" s="63">
        <v>2</v>
      </c>
    </row>
    <row r="17" spans="1:8" x14ac:dyDescent="0.25">
      <c r="A17" s="120" t="s">
        <v>700</v>
      </c>
      <c r="B17" s="118" t="s">
        <v>1013</v>
      </c>
      <c r="C17" s="63" t="str">
        <f t="shared" si="1"/>
        <v>3</v>
      </c>
      <c r="D17" s="118" t="s">
        <v>797</v>
      </c>
      <c r="E17" s="118" t="s">
        <v>673</v>
      </c>
      <c r="F17" s="118">
        <v>1.2E-2</v>
      </c>
      <c r="G17" s="118">
        <v>1.0579E-2</v>
      </c>
      <c r="H17" s="63">
        <v>2</v>
      </c>
    </row>
    <row r="18" spans="1:8" x14ac:dyDescent="0.25">
      <c r="A18" s="120" t="s">
        <v>701</v>
      </c>
      <c r="B18" s="118" t="s">
        <v>1008</v>
      </c>
      <c r="C18" s="63" t="str">
        <f t="shared" si="1"/>
        <v>4</v>
      </c>
      <c r="D18" s="118" t="s">
        <v>797</v>
      </c>
      <c r="E18" s="118" t="s">
        <v>673</v>
      </c>
      <c r="F18" s="118">
        <v>1.4E-2</v>
      </c>
      <c r="G18" s="118">
        <v>1.1050000000000001E-2</v>
      </c>
      <c r="H18" s="63">
        <v>2</v>
      </c>
    </row>
    <row r="19" spans="1:8" x14ac:dyDescent="0.25">
      <c r="A19" s="120" t="s">
        <v>702</v>
      </c>
      <c r="B19" s="118" t="s">
        <v>1011</v>
      </c>
      <c r="C19" s="63" t="str">
        <f t="shared" si="1"/>
        <v>5</v>
      </c>
      <c r="D19" s="118" t="s">
        <v>797</v>
      </c>
      <c r="E19" s="118" t="s">
        <v>673</v>
      </c>
      <c r="F19" s="118">
        <v>0.01</v>
      </c>
      <c r="G19" s="118">
        <v>1.0016000000000001E-2</v>
      </c>
      <c r="H19" s="63">
        <v>2</v>
      </c>
    </row>
    <row r="20" spans="1:8" x14ac:dyDescent="0.25">
      <c r="A20" s="120" t="s">
        <v>703</v>
      </c>
      <c r="B20" s="118" t="s">
        <v>1010</v>
      </c>
      <c r="C20" s="63" t="str">
        <f t="shared" si="1"/>
        <v>6</v>
      </c>
      <c r="D20" s="118" t="s">
        <v>797</v>
      </c>
      <c r="E20" s="118" t="s">
        <v>673</v>
      </c>
      <c r="F20" s="118">
        <v>2.4E-2</v>
      </c>
      <c r="G20" s="118">
        <v>1.4329E-2</v>
      </c>
      <c r="H20" s="63">
        <v>2</v>
      </c>
    </row>
    <row r="21" spans="1:8" x14ac:dyDescent="0.25">
      <c r="A21" s="121" t="s">
        <v>704</v>
      </c>
      <c r="B21" s="118" t="s">
        <v>992</v>
      </c>
      <c r="C21" s="63" t="str">
        <f t="shared" si="1"/>
        <v>5</v>
      </c>
      <c r="D21" s="118" t="s">
        <v>797</v>
      </c>
      <c r="E21" s="118" t="s">
        <v>673</v>
      </c>
      <c r="F21" s="118">
        <v>0.153</v>
      </c>
      <c r="G21" s="118">
        <v>5.3809000000000003E-2</v>
      </c>
      <c r="H21" s="63">
        <v>3</v>
      </c>
    </row>
    <row r="22" spans="1:8" x14ac:dyDescent="0.25">
      <c r="A22" s="121" t="s">
        <v>705</v>
      </c>
      <c r="B22" s="118" t="s">
        <v>994</v>
      </c>
      <c r="C22" s="63" t="str">
        <f t="shared" si="1"/>
        <v>6</v>
      </c>
      <c r="D22" s="118" t="s">
        <v>797</v>
      </c>
      <c r="E22" s="118" t="s">
        <v>673</v>
      </c>
      <c r="F22" s="118">
        <v>0.13400000000000001</v>
      </c>
      <c r="G22" s="118">
        <v>4.7951000000000001E-2</v>
      </c>
      <c r="H22" s="63">
        <v>3</v>
      </c>
    </row>
    <row r="23" spans="1:8" x14ac:dyDescent="0.25">
      <c r="A23" s="121" t="s">
        <v>706</v>
      </c>
      <c r="B23" s="118" t="s">
        <v>991</v>
      </c>
      <c r="C23" s="63" t="str">
        <f t="shared" si="1"/>
        <v>8</v>
      </c>
      <c r="D23" s="118" t="s">
        <v>797</v>
      </c>
      <c r="E23" s="118" t="s">
        <v>673</v>
      </c>
      <c r="F23" s="118">
        <v>0.16900000000000001</v>
      </c>
      <c r="G23" s="118">
        <v>5.8791999999999997E-2</v>
      </c>
      <c r="H23" s="63">
        <v>3</v>
      </c>
    </row>
    <row r="24" spans="1:8" x14ac:dyDescent="0.25">
      <c r="A24" s="121" t="s">
        <v>707</v>
      </c>
      <c r="B24" s="118" t="s">
        <v>993</v>
      </c>
      <c r="C24" s="63" t="str">
        <f t="shared" si="1"/>
        <v>9</v>
      </c>
      <c r="D24" s="118" t="s">
        <v>797</v>
      </c>
      <c r="E24" s="118" t="s">
        <v>673</v>
      </c>
      <c r="F24" s="118">
        <v>0.109</v>
      </c>
      <c r="G24" s="118">
        <v>4.0267999999999998E-2</v>
      </c>
      <c r="H24" s="63">
        <v>3</v>
      </c>
    </row>
    <row r="25" spans="1:8" x14ac:dyDescent="0.25">
      <c r="A25" s="121" t="s">
        <v>708</v>
      </c>
      <c r="B25" s="118" t="s">
        <v>989</v>
      </c>
      <c r="C25" s="63">
        <v>10</v>
      </c>
      <c r="D25" s="118" t="s">
        <v>797</v>
      </c>
      <c r="E25" s="118" t="s">
        <v>673</v>
      </c>
      <c r="F25" s="118">
        <v>0.158</v>
      </c>
      <c r="G25" s="118">
        <v>5.5487000000000002E-2</v>
      </c>
      <c r="H25" s="63">
        <v>3</v>
      </c>
    </row>
    <row r="26" spans="1:8" x14ac:dyDescent="0.25">
      <c r="A26" s="121" t="s">
        <v>709</v>
      </c>
      <c r="B26" s="118" t="s">
        <v>990</v>
      </c>
      <c r="C26" s="63">
        <v>11</v>
      </c>
      <c r="D26" s="118" t="s">
        <v>797</v>
      </c>
      <c r="E26" s="118" t="s">
        <v>673</v>
      </c>
      <c r="F26" s="118">
        <v>0.11600000000000001</v>
      </c>
      <c r="G26" s="118">
        <v>4.2589000000000002E-2</v>
      </c>
      <c r="H26" s="63">
        <v>3</v>
      </c>
    </row>
    <row r="27" spans="1:8" x14ac:dyDescent="0.25">
      <c r="A27" s="121" t="s">
        <v>710</v>
      </c>
      <c r="B27" s="118" t="s">
        <v>986</v>
      </c>
      <c r="C27" s="63">
        <v>12</v>
      </c>
      <c r="D27" s="118" t="s">
        <v>797</v>
      </c>
      <c r="E27" s="118" t="s">
        <v>673</v>
      </c>
      <c r="F27" s="118">
        <v>7.6999999999999999E-2</v>
      </c>
      <c r="G27" s="118">
        <v>3.0374999999999999E-2</v>
      </c>
      <c r="H27" s="63">
        <v>3</v>
      </c>
    </row>
    <row r="28" spans="1:8" x14ac:dyDescent="0.25">
      <c r="A28" s="121" t="s">
        <v>711</v>
      </c>
      <c r="B28" s="118" t="s">
        <v>988</v>
      </c>
      <c r="C28" s="63">
        <v>14</v>
      </c>
      <c r="D28" s="118" t="s">
        <v>797</v>
      </c>
      <c r="E28" s="118" t="s">
        <v>673</v>
      </c>
      <c r="F28" s="118">
        <v>0.17799999999999999</v>
      </c>
      <c r="G28" s="118">
        <v>6.1553999999999998E-2</v>
      </c>
      <c r="H28" s="63">
        <v>3</v>
      </c>
    </row>
    <row r="29" spans="1:8" x14ac:dyDescent="0.25">
      <c r="A29" s="121" t="s">
        <v>712</v>
      </c>
      <c r="B29" s="118" t="s">
        <v>987</v>
      </c>
      <c r="C29" s="63">
        <v>15</v>
      </c>
      <c r="D29" s="118" t="s">
        <v>797</v>
      </c>
      <c r="E29" s="118" t="s">
        <v>673</v>
      </c>
      <c r="F29" s="118">
        <v>0.14599999999999999</v>
      </c>
      <c r="G29" s="118">
        <v>5.1678000000000002E-2</v>
      </c>
      <c r="H29" s="63">
        <v>3</v>
      </c>
    </row>
    <row r="30" spans="1:8" x14ac:dyDescent="0.25">
      <c r="A30" s="119" t="s">
        <v>713</v>
      </c>
      <c r="B30" s="118" t="s">
        <v>996</v>
      </c>
      <c r="C30" s="63" t="str">
        <f t="shared" ref="C30:C38" si="2">RIGHT(B30,1)</f>
        <v>1</v>
      </c>
      <c r="D30" s="118" t="s">
        <v>797</v>
      </c>
      <c r="E30" s="118" t="s">
        <v>673</v>
      </c>
      <c r="F30" s="118">
        <v>4.5999999999999999E-2</v>
      </c>
      <c r="G30" s="118">
        <v>2.1104000000000001E-2</v>
      </c>
      <c r="H30" s="63">
        <v>4</v>
      </c>
    </row>
    <row r="31" spans="1:8" x14ac:dyDescent="0.25">
      <c r="A31" s="119" t="s">
        <v>714</v>
      </c>
      <c r="B31" s="118" t="s">
        <v>1007</v>
      </c>
      <c r="C31" s="63" t="str">
        <f t="shared" si="2"/>
        <v>2</v>
      </c>
      <c r="D31" s="118" t="s">
        <v>797</v>
      </c>
      <c r="E31" s="118" t="s">
        <v>673</v>
      </c>
      <c r="F31" s="118">
        <v>7.8E-2</v>
      </c>
      <c r="G31" s="118">
        <v>3.0693999999999999E-2</v>
      </c>
      <c r="H31" s="63">
        <v>4</v>
      </c>
    </row>
    <row r="32" spans="1:8" x14ac:dyDescent="0.25">
      <c r="A32" s="119" t="s">
        <v>715</v>
      </c>
      <c r="B32" s="118" t="s">
        <v>997</v>
      </c>
      <c r="C32" s="63" t="str">
        <f t="shared" si="2"/>
        <v>3</v>
      </c>
      <c r="D32" s="118" t="s">
        <v>797</v>
      </c>
      <c r="E32" s="118" t="s">
        <v>673</v>
      </c>
      <c r="F32" s="118">
        <v>9.1999999999999998E-2</v>
      </c>
      <c r="G32" s="118">
        <v>3.5182999999999999E-2</v>
      </c>
      <c r="H32" s="63">
        <v>4</v>
      </c>
    </row>
    <row r="33" spans="1:8" x14ac:dyDescent="0.25">
      <c r="A33" s="119" t="s">
        <v>716</v>
      </c>
      <c r="B33" s="118" t="s">
        <v>1003</v>
      </c>
      <c r="C33" s="63" t="str">
        <f t="shared" si="2"/>
        <v>4</v>
      </c>
      <c r="D33" s="118" t="s">
        <v>797</v>
      </c>
      <c r="E33" s="118" t="s">
        <v>673</v>
      </c>
      <c r="F33" s="118">
        <v>0.14699999999999999</v>
      </c>
      <c r="G33" s="118">
        <v>5.2170000000000001E-2</v>
      </c>
      <c r="H33" s="63">
        <v>4</v>
      </c>
    </row>
    <row r="34" spans="1:8" x14ac:dyDescent="0.25">
      <c r="A34" s="119" t="s">
        <v>717</v>
      </c>
      <c r="B34" s="118" t="s">
        <v>1000</v>
      </c>
      <c r="C34" s="63" t="str">
        <f t="shared" si="2"/>
        <v>5</v>
      </c>
      <c r="D34" s="118" t="s">
        <v>797</v>
      </c>
      <c r="E34" s="118" t="s">
        <v>673</v>
      </c>
      <c r="F34" s="118">
        <v>0.246</v>
      </c>
      <c r="G34" s="118">
        <v>8.2716999999999999E-2</v>
      </c>
      <c r="H34" s="63">
        <v>4</v>
      </c>
    </row>
    <row r="35" spans="1:8" x14ac:dyDescent="0.25">
      <c r="A35" s="119" t="s">
        <v>718</v>
      </c>
      <c r="B35" s="118" t="s">
        <v>999</v>
      </c>
      <c r="C35" s="63" t="str">
        <f t="shared" si="2"/>
        <v>6</v>
      </c>
      <c r="D35" s="118" t="s">
        <v>797</v>
      </c>
      <c r="E35" s="118" t="s">
        <v>673</v>
      </c>
      <c r="F35" s="118">
        <v>0.21199999999999999</v>
      </c>
      <c r="G35" s="118">
        <v>7.2237999999999997E-2</v>
      </c>
      <c r="H35" s="63">
        <v>4</v>
      </c>
    </row>
    <row r="36" spans="1:8" x14ac:dyDescent="0.25">
      <c r="A36" s="119" t="s">
        <v>719</v>
      </c>
      <c r="B36" s="118" t="s">
        <v>995</v>
      </c>
      <c r="C36" s="63" t="str">
        <f t="shared" si="2"/>
        <v>7</v>
      </c>
      <c r="D36" s="118" t="s">
        <v>797</v>
      </c>
      <c r="E36" s="118" t="s">
        <v>673</v>
      </c>
      <c r="F36" s="118">
        <v>4.8000000000000001E-2</v>
      </c>
      <c r="G36" s="118">
        <v>2.1475000000000001E-2</v>
      </c>
      <c r="H36" s="63">
        <v>4</v>
      </c>
    </row>
    <row r="37" spans="1:8" x14ac:dyDescent="0.25">
      <c r="A37" s="119" t="s">
        <v>720</v>
      </c>
      <c r="B37" s="118" t="s">
        <v>1004</v>
      </c>
      <c r="C37" s="63" t="str">
        <f t="shared" si="2"/>
        <v>8</v>
      </c>
      <c r="D37" s="118" t="s">
        <v>797</v>
      </c>
      <c r="E37" s="118" t="s">
        <v>673</v>
      </c>
      <c r="F37" s="118">
        <v>3.9E-2</v>
      </c>
      <c r="G37" s="118">
        <v>1.8735999999999999E-2</v>
      </c>
      <c r="H37" s="63">
        <v>4</v>
      </c>
    </row>
    <row r="38" spans="1:8" x14ac:dyDescent="0.25">
      <c r="A38" s="119" t="s">
        <v>721</v>
      </c>
      <c r="B38" s="118" t="s">
        <v>998</v>
      </c>
      <c r="C38" s="63" t="str">
        <f t="shared" si="2"/>
        <v>9</v>
      </c>
      <c r="D38" s="118" t="s">
        <v>797</v>
      </c>
      <c r="E38" s="118" t="s">
        <v>673</v>
      </c>
      <c r="F38" s="118">
        <v>2.7E-2</v>
      </c>
      <c r="G38" s="118">
        <v>1.5162E-2</v>
      </c>
      <c r="H38" s="63">
        <v>4</v>
      </c>
    </row>
    <row r="39" spans="1:8" x14ac:dyDescent="0.25">
      <c r="A39" s="119" t="s">
        <v>722</v>
      </c>
      <c r="B39" s="118" t="s">
        <v>1006</v>
      </c>
      <c r="C39" s="63">
        <v>10</v>
      </c>
      <c r="D39" s="118" t="s">
        <v>797</v>
      </c>
      <c r="E39" s="118" t="s">
        <v>673</v>
      </c>
      <c r="F39" s="118">
        <v>0.03</v>
      </c>
      <c r="G39" s="118">
        <v>1.6067000000000001E-2</v>
      </c>
      <c r="H39" s="63">
        <v>4</v>
      </c>
    </row>
    <row r="40" spans="1:8" x14ac:dyDescent="0.25">
      <c r="A40" s="119" t="s">
        <v>723</v>
      </c>
      <c r="B40" s="118" t="s">
        <v>1005</v>
      </c>
      <c r="C40" s="63">
        <v>11</v>
      </c>
      <c r="D40" s="118" t="s">
        <v>797</v>
      </c>
      <c r="E40" s="118" t="s">
        <v>673</v>
      </c>
      <c r="F40" s="118">
        <v>2.9000000000000001E-2</v>
      </c>
      <c r="G40" s="118">
        <v>1.5741000000000002E-2</v>
      </c>
      <c r="H40" s="63">
        <v>4</v>
      </c>
    </row>
    <row r="41" spans="1:8" x14ac:dyDescent="0.25">
      <c r="A41" s="119" t="s">
        <v>724</v>
      </c>
      <c r="B41" s="118" t="s">
        <v>1002</v>
      </c>
      <c r="C41" s="63">
        <v>12</v>
      </c>
      <c r="D41" s="118" t="s">
        <v>797</v>
      </c>
      <c r="E41" s="118" t="s">
        <v>673</v>
      </c>
      <c r="F41" s="118">
        <v>2.1000000000000001E-2</v>
      </c>
      <c r="G41" s="118">
        <v>1.3270000000000001E-2</v>
      </c>
      <c r="H41" s="63">
        <v>4</v>
      </c>
    </row>
    <row r="42" spans="1:8" x14ac:dyDescent="0.25">
      <c r="A42" s="119" t="s">
        <v>725</v>
      </c>
      <c r="B42" s="118" t="s">
        <v>1001</v>
      </c>
      <c r="C42" s="63">
        <v>13</v>
      </c>
      <c r="D42" s="118" t="s">
        <v>797</v>
      </c>
      <c r="E42" s="118" t="s">
        <v>673</v>
      </c>
      <c r="F42" s="118">
        <v>0.16500000000000001</v>
      </c>
      <c r="G42" s="118">
        <v>5.7625000000000003E-2</v>
      </c>
      <c r="H42" s="63">
        <v>4</v>
      </c>
    </row>
    <row r="43" spans="1:8" x14ac:dyDescent="0.25">
      <c r="A43" s="122" t="s">
        <v>726</v>
      </c>
      <c r="B43" s="118" t="s">
        <v>984</v>
      </c>
      <c r="C43" s="63" t="str">
        <f>RIGHT(B43,1)</f>
        <v>5</v>
      </c>
      <c r="D43" s="118" t="s">
        <v>797</v>
      </c>
      <c r="E43" s="118" t="s">
        <v>673</v>
      </c>
      <c r="F43" s="118">
        <v>0.13</v>
      </c>
      <c r="G43" s="118">
        <v>4.6729E-2</v>
      </c>
      <c r="H43" s="63">
        <v>5</v>
      </c>
    </row>
    <row r="44" spans="1:8" x14ac:dyDescent="0.25">
      <c r="A44" s="122" t="s">
        <v>727</v>
      </c>
      <c r="B44" s="118" t="s">
        <v>981</v>
      </c>
      <c r="C44" s="63" t="str">
        <f>RIGHT(B44,1)</f>
        <v>6</v>
      </c>
      <c r="D44" s="118" t="s">
        <v>797</v>
      </c>
      <c r="E44" s="118" t="s">
        <v>673</v>
      </c>
      <c r="F44" s="118">
        <v>5.1999999999999998E-2</v>
      </c>
      <c r="G44" s="118">
        <v>2.2852999999999998E-2</v>
      </c>
      <c r="H44" s="63">
        <v>5</v>
      </c>
    </row>
    <row r="45" spans="1:8" x14ac:dyDescent="0.25">
      <c r="A45" s="122" t="s">
        <v>728</v>
      </c>
      <c r="B45" s="118" t="s">
        <v>799</v>
      </c>
      <c r="C45" s="63" t="str">
        <f>RIGHT(B45,1)</f>
        <v>8</v>
      </c>
      <c r="D45" s="118" t="s">
        <v>797</v>
      </c>
      <c r="E45" s="118" t="s">
        <v>673</v>
      </c>
      <c r="F45" s="118">
        <v>0.106</v>
      </c>
      <c r="G45" s="118">
        <v>3.9428999999999999E-2</v>
      </c>
      <c r="H45" s="63">
        <v>5</v>
      </c>
    </row>
    <row r="46" spans="1:8" x14ac:dyDescent="0.25">
      <c r="A46" s="122" t="s">
        <v>729</v>
      </c>
      <c r="B46" s="118" t="s">
        <v>800</v>
      </c>
      <c r="C46" s="63" t="str">
        <f>RIGHT(B46,1)</f>
        <v>9</v>
      </c>
      <c r="D46" s="118" t="s">
        <v>797</v>
      </c>
      <c r="E46" s="118" t="s">
        <v>673</v>
      </c>
      <c r="F46" s="118">
        <v>0.106</v>
      </c>
      <c r="G46" s="118">
        <v>3.9476999999999998E-2</v>
      </c>
      <c r="H46" s="63">
        <v>5</v>
      </c>
    </row>
    <row r="47" spans="1:8" x14ac:dyDescent="0.25">
      <c r="A47" s="122" t="s">
        <v>730</v>
      </c>
      <c r="B47" s="118" t="s">
        <v>983</v>
      </c>
      <c r="C47" s="63">
        <v>10</v>
      </c>
      <c r="D47" s="118" t="s">
        <v>797</v>
      </c>
      <c r="E47" s="118" t="s">
        <v>673</v>
      </c>
      <c r="F47" s="118">
        <v>0.10299999999999999</v>
      </c>
      <c r="G47" s="118">
        <v>3.8670000000000003E-2</v>
      </c>
      <c r="H47" s="63">
        <v>5</v>
      </c>
    </row>
    <row r="48" spans="1:8" x14ac:dyDescent="0.25">
      <c r="A48" s="122" t="s">
        <v>731</v>
      </c>
      <c r="B48" s="118" t="s">
        <v>982</v>
      </c>
      <c r="C48" s="63">
        <v>11</v>
      </c>
      <c r="D48" s="118" t="s">
        <v>797</v>
      </c>
      <c r="E48" s="118" t="s">
        <v>673</v>
      </c>
      <c r="F48" s="118">
        <v>0.12</v>
      </c>
      <c r="G48" s="118">
        <v>4.3677000000000001E-2</v>
      </c>
      <c r="H48" s="63">
        <v>5</v>
      </c>
    </row>
    <row r="49" spans="1:8" x14ac:dyDescent="0.25">
      <c r="A49" s="122" t="s">
        <v>732</v>
      </c>
      <c r="B49" s="118" t="s">
        <v>985</v>
      </c>
      <c r="C49" s="63">
        <v>12</v>
      </c>
      <c r="D49" s="118" t="s">
        <v>797</v>
      </c>
      <c r="E49" s="118" t="s">
        <v>673</v>
      </c>
      <c r="F49" s="118">
        <v>9.4E-2</v>
      </c>
      <c r="G49" s="118">
        <v>3.5808E-2</v>
      </c>
      <c r="H49" s="63">
        <v>5</v>
      </c>
    </row>
    <row r="50" spans="1:8" x14ac:dyDescent="0.25">
      <c r="A50" s="122" t="s">
        <v>733</v>
      </c>
      <c r="B50" s="118" t="s">
        <v>801</v>
      </c>
      <c r="C50" s="63">
        <v>14</v>
      </c>
      <c r="D50" s="118" t="s">
        <v>797</v>
      </c>
      <c r="E50" s="118" t="s">
        <v>673</v>
      </c>
      <c r="F50" s="118">
        <v>0.11</v>
      </c>
      <c r="G50" s="118">
        <v>4.0744000000000002E-2</v>
      </c>
      <c r="H50" s="63">
        <v>5</v>
      </c>
    </row>
    <row r="51" spans="1:8" x14ac:dyDescent="0.25">
      <c r="A51" s="122" t="s">
        <v>734</v>
      </c>
      <c r="B51" s="118" t="s">
        <v>980</v>
      </c>
      <c r="C51" s="63">
        <v>15</v>
      </c>
      <c r="D51" s="118" t="s">
        <v>797</v>
      </c>
      <c r="E51" s="118" t="s">
        <v>673</v>
      </c>
      <c r="F51" s="118">
        <v>0.108</v>
      </c>
      <c r="G51" s="118">
        <v>3.9999E-2</v>
      </c>
      <c r="H51" s="63">
        <v>5</v>
      </c>
    </row>
    <row r="52" spans="1:8" x14ac:dyDescent="0.25">
      <c r="A52" s="122" t="s">
        <v>735</v>
      </c>
      <c r="B52" s="118" t="s">
        <v>798</v>
      </c>
      <c r="C52" s="63">
        <v>16</v>
      </c>
      <c r="D52" s="118" t="s">
        <v>797</v>
      </c>
      <c r="E52" s="118" t="s">
        <v>673</v>
      </c>
      <c r="F52" s="118">
        <v>9.0999999999999998E-2</v>
      </c>
      <c r="G52" s="118">
        <v>3.4765999999999998E-2</v>
      </c>
      <c r="H52" s="63">
        <v>5</v>
      </c>
    </row>
    <row r="53" spans="1:8" x14ac:dyDescent="0.25">
      <c r="A53" s="119" t="s">
        <v>736</v>
      </c>
      <c r="B53" s="118" t="s">
        <v>1018</v>
      </c>
      <c r="C53" s="63">
        <v>1</v>
      </c>
      <c r="D53" s="118" t="s">
        <v>797</v>
      </c>
      <c r="E53" s="118" t="s">
        <v>673</v>
      </c>
      <c r="F53" s="118">
        <v>5.2999999999999999E-2</v>
      </c>
      <c r="G53" s="118">
        <v>2.3061999999999999E-2</v>
      </c>
      <c r="H53" s="63">
        <v>6</v>
      </c>
    </row>
    <row r="54" spans="1:8" x14ac:dyDescent="0.25">
      <c r="A54" s="119" t="s">
        <v>737</v>
      </c>
      <c r="B54" s="118" t="s">
        <v>831</v>
      </c>
      <c r="C54" s="63" t="str">
        <f t="shared" ref="C54:C61" si="3">RIGHT(B54,1)</f>
        <v>2</v>
      </c>
      <c r="D54" s="118" t="s">
        <v>797</v>
      </c>
      <c r="E54" s="118" t="s">
        <v>673</v>
      </c>
      <c r="F54" s="118">
        <v>0.09</v>
      </c>
      <c r="G54" s="118">
        <v>3.4585999999999999E-2</v>
      </c>
      <c r="H54" s="63">
        <v>6</v>
      </c>
    </row>
    <row r="55" spans="1:8" x14ac:dyDescent="0.25">
      <c r="A55" s="119" t="s">
        <v>738</v>
      </c>
      <c r="B55" s="118" t="s">
        <v>829</v>
      </c>
      <c r="C55" s="63" t="str">
        <f t="shared" si="3"/>
        <v>3</v>
      </c>
      <c r="D55" s="118" t="s">
        <v>797</v>
      </c>
      <c r="E55" s="118" t="s">
        <v>673</v>
      </c>
      <c r="F55" s="118">
        <v>0.11</v>
      </c>
      <c r="G55" s="118">
        <v>4.0682999999999997E-2</v>
      </c>
      <c r="H55" s="63">
        <v>6</v>
      </c>
    </row>
    <row r="56" spans="1:8" x14ac:dyDescent="0.25">
      <c r="A56" s="119" t="s">
        <v>739</v>
      </c>
      <c r="B56" s="118" t="s">
        <v>839</v>
      </c>
      <c r="C56" s="63" t="str">
        <f t="shared" si="3"/>
        <v>4</v>
      </c>
      <c r="D56" s="118" t="s">
        <v>797</v>
      </c>
      <c r="E56" s="118" t="s">
        <v>673</v>
      </c>
      <c r="F56" s="118">
        <v>0.24199999999999999</v>
      </c>
      <c r="G56" s="118">
        <v>8.1478999999999996E-2</v>
      </c>
      <c r="H56" s="63">
        <v>6</v>
      </c>
    </row>
    <row r="57" spans="1:8" x14ac:dyDescent="0.25">
      <c r="A57" s="119" t="s">
        <v>740</v>
      </c>
      <c r="B57" s="118" t="s">
        <v>838</v>
      </c>
      <c r="C57" s="63" t="str">
        <f t="shared" si="3"/>
        <v>5</v>
      </c>
      <c r="D57" s="118" t="s">
        <v>797</v>
      </c>
      <c r="E57" s="118" t="s">
        <v>673</v>
      </c>
      <c r="F57" s="118">
        <v>0.17699999999999999</v>
      </c>
      <c r="G57" s="118">
        <v>6.1365000000000003E-2</v>
      </c>
      <c r="H57" s="63">
        <v>6</v>
      </c>
    </row>
    <row r="58" spans="1:8" x14ac:dyDescent="0.25">
      <c r="A58" s="119" t="s">
        <v>741</v>
      </c>
      <c r="B58" s="118" t="s">
        <v>835</v>
      </c>
      <c r="C58" s="63" t="str">
        <f t="shared" si="3"/>
        <v>6</v>
      </c>
      <c r="D58" s="118" t="s">
        <v>797</v>
      </c>
      <c r="E58" s="118" t="s">
        <v>673</v>
      </c>
      <c r="F58" s="118">
        <v>0.29299999999999998</v>
      </c>
      <c r="G58" s="118">
        <v>9.6975000000000006E-2</v>
      </c>
      <c r="H58" s="63">
        <v>6</v>
      </c>
    </row>
    <row r="59" spans="1:8" x14ac:dyDescent="0.25">
      <c r="A59" s="119" t="s">
        <v>742</v>
      </c>
      <c r="B59" s="118" t="s">
        <v>833</v>
      </c>
      <c r="C59" s="63" t="str">
        <f t="shared" si="3"/>
        <v>7</v>
      </c>
      <c r="D59" s="118" t="s">
        <v>797</v>
      </c>
      <c r="E59" s="118" t="s">
        <v>673</v>
      </c>
      <c r="F59" s="118">
        <v>5.2999999999999999E-2</v>
      </c>
      <c r="G59" s="118">
        <v>2.3066E-2</v>
      </c>
      <c r="H59" s="63">
        <v>6</v>
      </c>
    </row>
    <row r="60" spans="1:8" x14ac:dyDescent="0.25">
      <c r="A60" s="119" t="s">
        <v>743</v>
      </c>
      <c r="B60" s="118" t="s">
        <v>841</v>
      </c>
      <c r="C60" s="63" t="str">
        <f t="shared" si="3"/>
        <v>8</v>
      </c>
      <c r="D60" s="118" t="s">
        <v>797</v>
      </c>
      <c r="E60" s="118" t="s">
        <v>673</v>
      </c>
      <c r="F60" s="118">
        <v>6.8000000000000005E-2</v>
      </c>
      <c r="G60" s="118">
        <v>2.7649E-2</v>
      </c>
      <c r="H60" s="63">
        <v>6</v>
      </c>
    </row>
    <row r="61" spans="1:8" x14ac:dyDescent="0.25">
      <c r="A61" s="119" t="s">
        <v>744</v>
      </c>
      <c r="B61" s="118" t="s">
        <v>840</v>
      </c>
      <c r="C61" s="63" t="str">
        <f t="shared" si="3"/>
        <v>9</v>
      </c>
      <c r="D61" s="118" t="s">
        <v>797</v>
      </c>
      <c r="E61" s="118" t="s">
        <v>673</v>
      </c>
      <c r="F61" s="118">
        <v>3.2000000000000001E-2</v>
      </c>
      <c r="G61" s="118">
        <v>1.6694000000000001E-2</v>
      </c>
      <c r="H61" s="63">
        <v>6</v>
      </c>
    </row>
    <row r="62" spans="1:8" x14ac:dyDescent="0.25">
      <c r="A62" s="119" t="s">
        <v>745</v>
      </c>
      <c r="B62" s="118" t="s">
        <v>830</v>
      </c>
      <c r="C62" s="63">
        <v>10</v>
      </c>
      <c r="D62" s="118" t="s">
        <v>797</v>
      </c>
      <c r="E62" s="118" t="s">
        <v>673</v>
      </c>
      <c r="F62" s="118">
        <v>0.05</v>
      </c>
      <c r="G62" s="118">
        <v>2.2200999999999999E-2</v>
      </c>
      <c r="H62" s="63">
        <v>6</v>
      </c>
    </row>
    <row r="63" spans="1:8" x14ac:dyDescent="0.25">
      <c r="A63" s="119" t="s">
        <v>746</v>
      </c>
      <c r="B63" s="118" t="s">
        <v>834</v>
      </c>
      <c r="C63" s="63">
        <v>11</v>
      </c>
      <c r="D63" s="118" t="s">
        <v>797</v>
      </c>
      <c r="E63" s="118" t="s">
        <v>673</v>
      </c>
      <c r="F63" s="118">
        <v>3.5000000000000003E-2</v>
      </c>
      <c r="G63" s="118">
        <v>1.7655000000000001E-2</v>
      </c>
      <c r="H63" s="63">
        <v>6</v>
      </c>
    </row>
    <row r="64" spans="1:8" x14ac:dyDescent="0.25">
      <c r="A64" s="119" t="s">
        <v>747</v>
      </c>
      <c r="B64" s="118" t="s">
        <v>837</v>
      </c>
      <c r="C64" s="63">
        <v>12</v>
      </c>
      <c r="D64" s="118" t="s">
        <v>797</v>
      </c>
      <c r="E64" s="118" t="s">
        <v>673</v>
      </c>
      <c r="F64" s="118">
        <v>3.2000000000000001E-2</v>
      </c>
      <c r="G64" s="118">
        <v>1.6695000000000002E-2</v>
      </c>
      <c r="H64" s="63">
        <v>6</v>
      </c>
    </row>
    <row r="65" spans="1:8" x14ac:dyDescent="0.25">
      <c r="A65" s="119" t="s">
        <v>748</v>
      </c>
      <c r="B65" s="118" t="s">
        <v>802</v>
      </c>
      <c r="C65" s="63">
        <v>13</v>
      </c>
      <c r="D65" s="118" t="s">
        <v>797</v>
      </c>
      <c r="E65" s="118" t="s">
        <v>673</v>
      </c>
      <c r="F65" s="118">
        <v>0.39600000000000002</v>
      </c>
      <c r="G65" s="118">
        <v>0.12875600000000001</v>
      </c>
      <c r="H65" s="63">
        <v>6</v>
      </c>
    </row>
    <row r="66" spans="1:8" x14ac:dyDescent="0.25">
      <c r="A66" s="119" t="s">
        <v>749</v>
      </c>
      <c r="B66" s="118" t="s">
        <v>836</v>
      </c>
      <c r="C66" s="63">
        <v>14</v>
      </c>
      <c r="D66" s="118" t="s">
        <v>797</v>
      </c>
      <c r="E66" s="118" t="s">
        <v>673</v>
      </c>
      <c r="F66" s="118">
        <v>3.5000000000000003E-2</v>
      </c>
      <c r="G66" s="118">
        <v>1.7496000000000001E-2</v>
      </c>
      <c r="H66" s="63">
        <v>6</v>
      </c>
    </row>
    <row r="67" spans="1:8" x14ac:dyDescent="0.25">
      <c r="A67" s="119" t="s">
        <v>750</v>
      </c>
      <c r="B67" s="118" t="s">
        <v>832</v>
      </c>
      <c r="C67" s="63">
        <v>15</v>
      </c>
      <c r="D67" s="118" t="s">
        <v>797</v>
      </c>
      <c r="E67" s="118" t="s">
        <v>673</v>
      </c>
      <c r="F67" s="118">
        <v>0.114</v>
      </c>
      <c r="G67" s="118">
        <v>4.2056000000000003E-2</v>
      </c>
      <c r="H67" s="63">
        <v>6</v>
      </c>
    </row>
    <row r="68" spans="1:8" x14ac:dyDescent="0.25">
      <c r="A68" s="119" t="s">
        <v>751</v>
      </c>
      <c r="B68" s="118" t="s">
        <v>828</v>
      </c>
      <c r="C68" s="63">
        <v>16</v>
      </c>
      <c r="D68" s="118" t="s">
        <v>797</v>
      </c>
      <c r="E68" s="118" t="s">
        <v>673</v>
      </c>
      <c r="F68" s="118">
        <v>0.314</v>
      </c>
      <c r="G68" s="118">
        <v>0.103671</v>
      </c>
      <c r="H68" s="63">
        <v>6</v>
      </c>
    </row>
    <row r="69" spans="1:8" x14ac:dyDescent="0.25">
      <c r="A69" s="124" t="s">
        <v>782</v>
      </c>
      <c r="B69" s="118" t="s">
        <v>852</v>
      </c>
      <c r="C69" s="63" t="str">
        <f t="shared" ref="C69:C77" si="4">RIGHT(B69,1)</f>
        <v>1</v>
      </c>
      <c r="D69" s="118" t="s">
        <v>797</v>
      </c>
      <c r="E69" s="118" t="s">
        <v>673</v>
      </c>
      <c r="F69" s="118">
        <v>6.3E-2</v>
      </c>
      <c r="G69" s="118">
        <v>2.6272E-2</v>
      </c>
      <c r="H69" s="63">
        <v>7</v>
      </c>
    </row>
    <row r="70" spans="1:8" x14ac:dyDescent="0.25">
      <c r="A70" s="124" t="s">
        <v>783</v>
      </c>
      <c r="B70" s="118" t="s">
        <v>853</v>
      </c>
      <c r="C70" s="63" t="str">
        <f t="shared" si="4"/>
        <v>2</v>
      </c>
      <c r="D70" s="118" t="s">
        <v>797</v>
      </c>
      <c r="E70" s="118" t="s">
        <v>673</v>
      </c>
      <c r="F70" s="118">
        <v>0.06</v>
      </c>
      <c r="G70" s="118">
        <v>2.5177000000000001E-2</v>
      </c>
      <c r="H70" s="63">
        <v>7</v>
      </c>
    </row>
    <row r="71" spans="1:8" x14ac:dyDescent="0.25">
      <c r="A71" s="124" t="s">
        <v>784</v>
      </c>
      <c r="B71" s="118" t="s">
        <v>854</v>
      </c>
      <c r="C71" s="63" t="str">
        <f t="shared" si="4"/>
        <v>3</v>
      </c>
      <c r="D71" s="118" t="s">
        <v>797</v>
      </c>
      <c r="E71" s="118" t="s">
        <v>673</v>
      </c>
      <c r="F71" s="118">
        <v>6.3E-2</v>
      </c>
      <c r="G71" s="118">
        <v>2.6123E-2</v>
      </c>
      <c r="H71" s="63">
        <v>7</v>
      </c>
    </row>
    <row r="72" spans="1:8" x14ac:dyDescent="0.25">
      <c r="A72" s="124" t="s">
        <v>785</v>
      </c>
      <c r="B72" s="118" t="s">
        <v>855</v>
      </c>
      <c r="C72" s="63" t="str">
        <f t="shared" si="4"/>
        <v>4</v>
      </c>
      <c r="D72" s="118" t="s">
        <v>797</v>
      </c>
      <c r="E72" s="118" t="s">
        <v>673</v>
      </c>
      <c r="F72" s="118">
        <v>5.7000000000000002E-2</v>
      </c>
      <c r="G72" s="118">
        <v>2.4417000000000001E-2</v>
      </c>
      <c r="H72" s="63">
        <v>7</v>
      </c>
    </row>
    <row r="73" spans="1:8" x14ac:dyDescent="0.25">
      <c r="A73" s="124" t="s">
        <v>786</v>
      </c>
      <c r="B73" s="118" t="s">
        <v>856</v>
      </c>
      <c r="C73" s="63" t="str">
        <f t="shared" si="4"/>
        <v>5</v>
      </c>
      <c r="D73" s="118" t="s">
        <v>797</v>
      </c>
      <c r="E73" s="118" t="s">
        <v>673</v>
      </c>
      <c r="F73" s="118">
        <v>7.0000000000000007E-2</v>
      </c>
      <c r="G73" s="118">
        <v>2.8421999999999999E-2</v>
      </c>
      <c r="H73" s="63">
        <v>7</v>
      </c>
    </row>
    <row r="74" spans="1:8" x14ac:dyDescent="0.25">
      <c r="A74" s="124" t="s">
        <v>787</v>
      </c>
      <c r="B74" s="118" t="s">
        <v>857</v>
      </c>
      <c r="C74" s="63" t="str">
        <f t="shared" si="4"/>
        <v>6</v>
      </c>
      <c r="D74" s="118" t="s">
        <v>797</v>
      </c>
      <c r="E74" s="118" t="s">
        <v>673</v>
      </c>
      <c r="F74" s="118">
        <v>0.17</v>
      </c>
      <c r="G74" s="118">
        <v>5.9062000000000003E-2</v>
      </c>
      <c r="H74" s="63">
        <v>7</v>
      </c>
    </row>
    <row r="75" spans="1:8" x14ac:dyDescent="0.25">
      <c r="A75" s="124" t="s">
        <v>788</v>
      </c>
      <c r="B75" s="118" t="s">
        <v>858</v>
      </c>
      <c r="C75" s="63" t="str">
        <f t="shared" si="4"/>
        <v>7</v>
      </c>
      <c r="D75" s="118" t="s">
        <v>797</v>
      </c>
      <c r="E75" s="118" t="s">
        <v>673</v>
      </c>
      <c r="F75" s="118">
        <v>6.8000000000000005E-2</v>
      </c>
      <c r="G75" s="118">
        <v>2.7656E-2</v>
      </c>
      <c r="H75" s="63">
        <v>7</v>
      </c>
    </row>
    <row r="76" spans="1:8" x14ac:dyDescent="0.25">
      <c r="A76" s="124" t="s">
        <v>789</v>
      </c>
      <c r="B76" s="118" t="s">
        <v>859</v>
      </c>
      <c r="C76" s="63" t="str">
        <f t="shared" si="4"/>
        <v>8</v>
      </c>
      <c r="D76" s="118" t="s">
        <v>797</v>
      </c>
      <c r="E76" s="118" t="s">
        <v>673</v>
      </c>
      <c r="F76" s="118">
        <v>4.9000000000000002E-2</v>
      </c>
      <c r="G76" s="118">
        <v>2.1847999999999999E-2</v>
      </c>
      <c r="H76" s="63">
        <v>7</v>
      </c>
    </row>
    <row r="77" spans="1:8" x14ac:dyDescent="0.25">
      <c r="A77" s="124" t="s">
        <v>790</v>
      </c>
      <c r="B77" s="118" t="s">
        <v>860</v>
      </c>
      <c r="C77" s="63" t="str">
        <f t="shared" si="4"/>
        <v>9</v>
      </c>
      <c r="D77" s="118" t="s">
        <v>797</v>
      </c>
      <c r="E77" s="118" t="s">
        <v>673</v>
      </c>
      <c r="F77" s="118">
        <v>3.2000000000000001E-2</v>
      </c>
      <c r="G77" s="118">
        <v>1.6514000000000001E-2</v>
      </c>
      <c r="H77" s="63">
        <v>7</v>
      </c>
    </row>
    <row r="78" spans="1:8" x14ac:dyDescent="0.25">
      <c r="A78" s="124" t="s">
        <v>791</v>
      </c>
      <c r="B78" s="118" t="s">
        <v>861</v>
      </c>
      <c r="C78" s="63">
        <v>10</v>
      </c>
      <c r="D78" s="118" t="s">
        <v>797</v>
      </c>
      <c r="E78" s="118" t="s">
        <v>673</v>
      </c>
      <c r="F78" s="118">
        <v>5.8000000000000003E-2</v>
      </c>
      <c r="G78" s="118">
        <v>2.4570000000000002E-2</v>
      </c>
      <c r="H78" s="63">
        <v>7</v>
      </c>
    </row>
    <row r="79" spans="1:8" x14ac:dyDescent="0.25">
      <c r="A79" s="124" t="s">
        <v>792</v>
      </c>
      <c r="B79" s="118" t="s">
        <v>862</v>
      </c>
      <c r="C79" s="63">
        <v>11</v>
      </c>
      <c r="D79" s="118" t="s">
        <v>797</v>
      </c>
      <c r="E79" s="118" t="s">
        <v>673</v>
      </c>
      <c r="F79" s="118">
        <v>2.4E-2</v>
      </c>
      <c r="G79" s="118">
        <v>1.4260999999999999E-2</v>
      </c>
      <c r="H79" s="63">
        <v>7</v>
      </c>
    </row>
    <row r="80" spans="1:8" x14ac:dyDescent="0.25">
      <c r="A80" s="124" t="s">
        <v>793</v>
      </c>
      <c r="B80" s="118" t="s">
        <v>863</v>
      </c>
      <c r="C80" s="63">
        <v>12</v>
      </c>
      <c r="D80" s="118" t="s">
        <v>797</v>
      </c>
      <c r="E80" s="118" t="s">
        <v>673</v>
      </c>
      <c r="F80" s="118">
        <v>2.3E-2</v>
      </c>
      <c r="G80" s="118">
        <v>1.3794000000000001E-2</v>
      </c>
      <c r="H80" s="63">
        <v>7</v>
      </c>
    </row>
    <row r="81" spans="1:8" x14ac:dyDescent="0.25">
      <c r="A81" s="124" t="s">
        <v>794</v>
      </c>
      <c r="B81" s="118" t="s">
        <v>864</v>
      </c>
      <c r="C81" s="63">
        <v>13</v>
      </c>
      <c r="D81" s="118" t="s">
        <v>797</v>
      </c>
      <c r="E81" s="118" t="s">
        <v>673</v>
      </c>
      <c r="F81" s="118">
        <v>0.11600000000000001</v>
      </c>
      <c r="G81" s="118">
        <v>4.2487999999999998E-2</v>
      </c>
      <c r="H81" s="63">
        <v>7</v>
      </c>
    </row>
    <row r="82" spans="1:8" x14ac:dyDescent="0.25">
      <c r="A82" s="124" t="s">
        <v>795</v>
      </c>
      <c r="B82" s="118" t="s">
        <v>865</v>
      </c>
      <c r="C82" s="63">
        <v>15</v>
      </c>
      <c r="D82" s="118" t="s">
        <v>797</v>
      </c>
      <c r="E82" s="118" t="s">
        <v>673</v>
      </c>
      <c r="F82" s="118">
        <v>6.7000000000000004E-2</v>
      </c>
      <c r="G82" s="118">
        <v>2.7452000000000001E-2</v>
      </c>
      <c r="H82" s="63">
        <v>7</v>
      </c>
    </row>
    <row r="83" spans="1:8" x14ac:dyDescent="0.25">
      <c r="A83" s="124" t="s">
        <v>796</v>
      </c>
      <c r="B83" s="118" t="s">
        <v>866</v>
      </c>
      <c r="C83" s="63">
        <v>17</v>
      </c>
      <c r="D83" s="118" t="s">
        <v>797</v>
      </c>
      <c r="E83" s="118" t="s">
        <v>673</v>
      </c>
      <c r="F83" s="118">
        <v>0.128</v>
      </c>
      <c r="G83" s="118">
        <v>4.6200999999999999E-2</v>
      </c>
      <c r="H83" s="63">
        <v>7</v>
      </c>
    </row>
    <row r="84" spans="1:8" x14ac:dyDescent="0.25">
      <c r="A84" s="123" t="s">
        <v>752</v>
      </c>
      <c r="B84" s="118" t="s">
        <v>827</v>
      </c>
      <c r="C84" s="63" t="str">
        <f t="shared" ref="C84:C92" si="5">RIGHT(B84,1)</f>
        <v>1</v>
      </c>
      <c r="D84" s="118" t="s">
        <v>797</v>
      </c>
      <c r="E84" s="118" t="s">
        <v>673</v>
      </c>
      <c r="F84" s="118">
        <v>5.8999999999999997E-2</v>
      </c>
      <c r="G84" s="118">
        <v>2.4938999999999999E-2</v>
      </c>
      <c r="H84" s="63">
        <v>8</v>
      </c>
    </row>
    <row r="85" spans="1:8" x14ac:dyDescent="0.25">
      <c r="A85" s="123" t="s">
        <v>753</v>
      </c>
      <c r="B85" s="118" t="s">
        <v>813</v>
      </c>
      <c r="C85" s="63" t="str">
        <f t="shared" si="5"/>
        <v>1</v>
      </c>
      <c r="D85" s="118" t="s">
        <v>797</v>
      </c>
      <c r="E85" s="118" t="s">
        <v>673</v>
      </c>
      <c r="F85" s="118">
        <v>6.7000000000000004E-2</v>
      </c>
      <c r="G85" s="118">
        <v>2.734E-2</v>
      </c>
      <c r="H85" s="63">
        <v>8</v>
      </c>
    </row>
    <row r="86" spans="1:8" x14ac:dyDescent="0.25">
      <c r="A86" s="123" t="s">
        <v>754</v>
      </c>
      <c r="B86" s="118" t="s">
        <v>820</v>
      </c>
      <c r="C86" s="63" t="str">
        <f t="shared" si="5"/>
        <v>2</v>
      </c>
      <c r="D86" s="118" t="s">
        <v>797</v>
      </c>
      <c r="E86" s="118" t="s">
        <v>673</v>
      </c>
      <c r="F86" s="118">
        <v>5.8999999999999997E-2</v>
      </c>
      <c r="G86" s="118">
        <v>2.4996000000000001E-2</v>
      </c>
      <c r="H86" s="63">
        <v>8</v>
      </c>
    </row>
    <row r="87" spans="1:8" x14ac:dyDescent="0.25">
      <c r="A87" s="123" t="s">
        <v>755</v>
      </c>
      <c r="B87" s="118" t="s">
        <v>823</v>
      </c>
      <c r="C87" s="63" t="str">
        <f t="shared" si="5"/>
        <v>3</v>
      </c>
      <c r="D87" s="118" t="s">
        <v>797</v>
      </c>
      <c r="E87" s="118" t="s">
        <v>673</v>
      </c>
      <c r="F87" s="118">
        <v>7.8E-2</v>
      </c>
      <c r="G87" s="118">
        <v>3.0845999999999998E-2</v>
      </c>
      <c r="H87" s="63">
        <v>8</v>
      </c>
    </row>
    <row r="88" spans="1:8" x14ac:dyDescent="0.25">
      <c r="A88" s="123" t="s">
        <v>756</v>
      </c>
      <c r="B88" s="118" t="s">
        <v>804</v>
      </c>
      <c r="C88" s="63" t="str">
        <f t="shared" si="5"/>
        <v>4</v>
      </c>
      <c r="D88" s="118" t="s">
        <v>797</v>
      </c>
      <c r="E88" s="118" t="s">
        <v>673</v>
      </c>
      <c r="F88" s="118">
        <v>9.5000000000000001E-2</v>
      </c>
      <c r="G88" s="118">
        <v>3.6222999999999998E-2</v>
      </c>
      <c r="H88" s="63">
        <v>8</v>
      </c>
    </row>
    <row r="89" spans="1:8" x14ac:dyDescent="0.25">
      <c r="A89" s="123" t="s">
        <v>757</v>
      </c>
      <c r="B89" s="118" t="s">
        <v>803</v>
      </c>
      <c r="C89" s="63" t="str">
        <f t="shared" si="5"/>
        <v>6</v>
      </c>
      <c r="D89" s="118" t="s">
        <v>797</v>
      </c>
      <c r="E89" s="118" t="s">
        <v>673</v>
      </c>
      <c r="F89" s="118">
        <v>0.129</v>
      </c>
      <c r="G89" s="118">
        <v>4.6542E-2</v>
      </c>
      <c r="H89" s="63">
        <v>8</v>
      </c>
    </row>
    <row r="90" spans="1:8" x14ac:dyDescent="0.25">
      <c r="A90" s="123" t="s">
        <v>758</v>
      </c>
      <c r="B90" s="118" t="s">
        <v>826</v>
      </c>
      <c r="C90" s="63" t="str">
        <f t="shared" si="5"/>
        <v>7</v>
      </c>
      <c r="D90" s="118" t="s">
        <v>797</v>
      </c>
      <c r="E90" s="118" t="s">
        <v>673</v>
      </c>
      <c r="F90" s="118">
        <v>4.2000000000000003E-2</v>
      </c>
      <c r="G90" s="118">
        <v>1.985E-2</v>
      </c>
      <c r="H90" s="63">
        <v>8</v>
      </c>
    </row>
    <row r="91" spans="1:8" x14ac:dyDescent="0.25">
      <c r="A91" s="123" t="s">
        <v>759</v>
      </c>
      <c r="B91" s="118" t="s">
        <v>819</v>
      </c>
      <c r="C91" s="63" t="str">
        <f t="shared" si="5"/>
        <v>8</v>
      </c>
      <c r="D91" s="118" t="s">
        <v>797</v>
      </c>
      <c r="E91" s="118" t="s">
        <v>673</v>
      </c>
      <c r="F91" s="118">
        <v>4.7E-2</v>
      </c>
      <c r="G91" s="118">
        <v>2.1291999999999998E-2</v>
      </c>
      <c r="H91" s="63">
        <v>8</v>
      </c>
    </row>
    <row r="92" spans="1:8" x14ac:dyDescent="0.25">
      <c r="A92" s="123" t="s">
        <v>760</v>
      </c>
      <c r="B92" s="118" t="s">
        <v>805</v>
      </c>
      <c r="C92" s="63" t="str">
        <f t="shared" si="5"/>
        <v>9</v>
      </c>
      <c r="D92" s="118" t="s">
        <v>797</v>
      </c>
      <c r="E92" s="118" t="s">
        <v>673</v>
      </c>
      <c r="F92" s="118">
        <v>4.7E-2</v>
      </c>
      <c r="G92" s="118">
        <v>2.1246999999999999E-2</v>
      </c>
      <c r="H92" s="63">
        <v>8</v>
      </c>
    </row>
    <row r="93" spans="1:8" x14ac:dyDescent="0.25">
      <c r="A93" s="123" t="s">
        <v>761</v>
      </c>
      <c r="B93" s="118" t="s">
        <v>821</v>
      </c>
      <c r="C93" s="63">
        <v>10</v>
      </c>
      <c r="D93" s="118" t="s">
        <v>797</v>
      </c>
      <c r="E93" s="118" t="s">
        <v>673</v>
      </c>
      <c r="F93" s="118">
        <v>4.3999999999999997E-2</v>
      </c>
      <c r="G93" s="118">
        <v>2.0374E-2</v>
      </c>
      <c r="H93" s="63">
        <v>8</v>
      </c>
    </row>
    <row r="94" spans="1:8" x14ac:dyDescent="0.25">
      <c r="A94" s="123" t="s">
        <v>762</v>
      </c>
      <c r="B94" s="118" t="s">
        <v>825</v>
      </c>
      <c r="C94" s="63">
        <v>11</v>
      </c>
      <c r="D94" s="118" t="s">
        <v>797</v>
      </c>
      <c r="E94" s="118" t="s">
        <v>673</v>
      </c>
      <c r="F94" s="118">
        <v>4.8000000000000001E-2</v>
      </c>
      <c r="G94" s="118">
        <v>2.1576999999999999E-2</v>
      </c>
      <c r="H94" s="63">
        <v>8</v>
      </c>
    </row>
    <row r="95" spans="1:8" x14ac:dyDescent="0.25">
      <c r="A95" s="123" t="s">
        <v>763</v>
      </c>
      <c r="B95" s="118" t="s">
        <v>824</v>
      </c>
      <c r="C95" s="63">
        <v>12</v>
      </c>
      <c r="D95" s="118" t="s">
        <v>797</v>
      </c>
      <c r="E95" s="118" t="s">
        <v>673</v>
      </c>
      <c r="F95" s="118">
        <v>6.4000000000000001E-2</v>
      </c>
      <c r="G95" s="118">
        <v>2.6498000000000001E-2</v>
      </c>
      <c r="H95" s="63">
        <v>8</v>
      </c>
    </row>
    <row r="96" spans="1:8" x14ac:dyDescent="0.25">
      <c r="A96" s="123" t="s">
        <v>764</v>
      </c>
      <c r="B96" s="118" t="s">
        <v>822</v>
      </c>
      <c r="C96" s="63">
        <v>13</v>
      </c>
      <c r="D96" s="118" t="s">
        <v>797</v>
      </c>
      <c r="E96" s="118" t="s">
        <v>673</v>
      </c>
      <c r="F96" s="118">
        <v>0.115</v>
      </c>
      <c r="G96" s="118">
        <v>4.2132000000000003E-2</v>
      </c>
      <c r="H96" s="63">
        <v>8</v>
      </c>
    </row>
    <row r="97" spans="1:8" x14ac:dyDescent="0.25">
      <c r="A97" s="119" t="s">
        <v>765</v>
      </c>
      <c r="B97" s="118" t="s">
        <v>810</v>
      </c>
      <c r="C97" s="63" t="str">
        <f t="shared" ref="C97:C105" si="6">RIGHT(B97,1)</f>
        <v>2</v>
      </c>
      <c r="D97" s="118" t="s">
        <v>797</v>
      </c>
      <c r="E97" s="118" t="s">
        <v>673</v>
      </c>
      <c r="F97" s="118">
        <v>0.11799999999999999</v>
      </c>
      <c r="G97" s="118">
        <v>4.3215999999999997E-2</v>
      </c>
      <c r="H97" s="63">
        <v>9</v>
      </c>
    </row>
    <row r="98" spans="1:8" x14ac:dyDescent="0.25">
      <c r="A98" s="119" t="s">
        <v>766</v>
      </c>
      <c r="B98" s="118" t="s">
        <v>808</v>
      </c>
      <c r="C98" s="63" t="str">
        <f t="shared" si="6"/>
        <v>3</v>
      </c>
      <c r="D98" s="118" t="s">
        <v>797</v>
      </c>
      <c r="E98" s="118" t="s">
        <v>673</v>
      </c>
      <c r="F98" s="118">
        <v>7.2999999999999995E-2</v>
      </c>
      <c r="G98" s="118">
        <v>2.9294000000000001E-2</v>
      </c>
      <c r="H98" s="63">
        <v>9</v>
      </c>
    </row>
    <row r="99" spans="1:8" x14ac:dyDescent="0.25">
      <c r="A99" s="119" t="s">
        <v>767</v>
      </c>
      <c r="B99" s="118" t="s">
        <v>817</v>
      </c>
      <c r="C99" s="63" t="str">
        <f t="shared" si="6"/>
        <v>4</v>
      </c>
      <c r="D99" s="118" t="s">
        <v>797</v>
      </c>
      <c r="E99" s="118" t="s">
        <v>673</v>
      </c>
      <c r="F99" s="118">
        <v>7.0000000000000007E-2</v>
      </c>
      <c r="G99" s="118">
        <v>2.8426E-2</v>
      </c>
      <c r="H99" s="63">
        <v>9</v>
      </c>
    </row>
    <row r="100" spans="1:8" x14ac:dyDescent="0.25">
      <c r="A100" s="119" t="s">
        <v>768</v>
      </c>
      <c r="B100" s="118" t="s">
        <v>806</v>
      </c>
      <c r="C100" s="63" t="str">
        <f t="shared" si="6"/>
        <v>5</v>
      </c>
      <c r="D100" s="118" t="s">
        <v>797</v>
      </c>
      <c r="E100" s="118" t="s">
        <v>673</v>
      </c>
      <c r="F100" s="118">
        <v>0.11700000000000001</v>
      </c>
      <c r="G100" s="118">
        <v>4.2762000000000001E-2</v>
      </c>
      <c r="H100" s="63">
        <v>9</v>
      </c>
    </row>
    <row r="101" spans="1:8" x14ac:dyDescent="0.25">
      <c r="A101" s="119" t="s">
        <v>769</v>
      </c>
      <c r="B101" s="118" t="s">
        <v>806</v>
      </c>
      <c r="C101" s="63" t="str">
        <f t="shared" si="6"/>
        <v>5</v>
      </c>
      <c r="D101" s="118" t="s">
        <v>797</v>
      </c>
      <c r="E101" s="118" t="s">
        <v>673</v>
      </c>
      <c r="F101" s="118">
        <v>0.112</v>
      </c>
      <c r="G101" s="118">
        <v>4.1291000000000001E-2</v>
      </c>
      <c r="H101" s="63">
        <v>9</v>
      </c>
    </row>
    <row r="102" spans="1:8" x14ac:dyDescent="0.25">
      <c r="A102" s="119" t="s">
        <v>770</v>
      </c>
      <c r="B102" s="118" t="s">
        <v>812</v>
      </c>
      <c r="C102" s="63" t="str">
        <f t="shared" si="6"/>
        <v>6</v>
      </c>
      <c r="D102" s="118" t="s">
        <v>797</v>
      </c>
      <c r="E102" s="118" t="s">
        <v>673</v>
      </c>
      <c r="F102" s="118">
        <v>0.121</v>
      </c>
      <c r="G102" s="118">
        <v>4.4054000000000003E-2</v>
      </c>
      <c r="H102" s="63">
        <v>9</v>
      </c>
    </row>
    <row r="103" spans="1:8" x14ac:dyDescent="0.25">
      <c r="A103" s="119" t="s">
        <v>771</v>
      </c>
      <c r="B103" s="118" t="s">
        <v>818</v>
      </c>
      <c r="C103" s="63" t="str">
        <f t="shared" si="6"/>
        <v>7</v>
      </c>
      <c r="D103" s="118" t="s">
        <v>797</v>
      </c>
      <c r="E103" s="118" t="s">
        <v>673</v>
      </c>
      <c r="F103" s="118">
        <v>4.8000000000000001E-2</v>
      </c>
      <c r="G103" s="118">
        <v>2.1510000000000001E-2</v>
      </c>
      <c r="H103" s="63">
        <v>9</v>
      </c>
    </row>
    <row r="104" spans="1:8" x14ac:dyDescent="0.25">
      <c r="A104" s="119" t="s">
        <v>772</v>
      </c>
      <c r="B104" s="118" t="s">
        <v>811</v>
      </c>
      <c r="C104" s="63" t="str">
        <f t="shared" si="6"/>
        <v>8</v>
      </c>
      <c r="D104" s="118" t="s">
        <v>797</v>
      </c>
      <c r="E104" s="118" t="s">
        <v>673</v>
      </c>
      <c r="F104" s="118">
        <v>0.04</v>
      </c>
      <c r="G104" s="118">
        <v>1.9071000000000001E-2</v>
      </c>
      <c r="H104" s="63">
        <v>9</v>
      </c>
    </row>
    <row r="105" spans="1:8" x14ac:dyDescent="0.25">
      <c r="A105" s="119" t="s">
        <v>773</v>
      </c>
      <c r="B105" s="118" t="s">
        <v>816</v>
      </c>
      <c r="C105" s="63" t="str">
        <f t="shared" si="6"/>
        <v>9</v>
      </c>
      <c r="D105" s="118" t="s">
        <v>797</v>
      </c>
      <c r="E105" s="118" t="s">
        <v>673</v>
      </c>
      <c r="F105" s="118">
        <v>4.2000000000000003E-2</v>
      </c>
      <c r="G105" s="118">
        <v>1.9665999999999999E-2</v>
      </c>
      <c r="H105" s="63">
        <v>9</v>
      </c>
    </row>
    <row r="106" spans="1:8" x14ac:dyDescent="0.25">
      <c r="A106" s="119" t="s">
        <v>774</v>
      </c>
      <c r="B106" s="118" t="s">
        <v>814</v>
      </c>
      <c r="C106" s="63">
        <v>10</v>
      </c>
      <c r="D106" s="118" t="s">
        <v>797</v>
      </c>
      <c r="E106" s="118" t="s">
        <v>673</v>
      </c>
      <c r="F106" s="118">
        <v>3.7999999999999999E-2</v>
      </c>
      <c r="G106" s="118">
        <v>1.8544999999999999E-2</v>
      </c>
      <c r="H106" s="63">
        <v>9</v>
      </c>
    </row>
    <row r="107" spans="1:8" x14ac:dyDescent="0.25">
      <c r="A107" s="119" t="s">
        <v>775</v>
      </c>
      <c r="B107" s="118" t="s">
        <v>809</v>
      </c>
      <c r="C107" s="63">
        <v>11</v>
      </c>
      <c r="D107" s="118" t="s">
        <v>797</v>
      </c>
      <c r="E107" s="118" t="s">
        <v>673</v>
      </c>
      <c r="F107" s="118">
        <v>4.2000000000000003E-2</v>
      </c>
      <c r="G107" s="118">
        <v>1.9665999999999999E-2</v>
      </c>
      <c r="H107" s="63">
        <v>9</v>
      </c>
    </row>
    <row r="108" spans="1:8" x14ac:dyDescent="0.25">
      <c r="A108" s="119" t="s">
        <v>776</v>
      </c>
      <c r="B108" s="118" t="s">
        <v>815</v>
      </c>
      <c r="C108" s="63">
        <v>12</v>
      </c>
      <c r="D108" s="118" t="s">
        <v>797</v>
      </c>
      <c r="E108" s="118" t="s">
        <v>673</v>
      </c>
      <c r="F108" s="118">
        <v>4.4999999999999998E-2</v>
      </c>
      <c r="G108" s="118">
        <v>2.0618999999999998E-2</v>
      </c>
      <c r="H108" s="63">
        <v>9</v>
      </c>
    </row>
    <row r="109" spans="1:8" x14ac:dyDescent="0.25">
      <c r="A109" s="119" t="s">
        <v>777</v>
      </c>
      <c r="B109" s="118" t="s">
        <v>807</v>
      </c>
      <c r="C109" s="63">
        <v>13</v>
      </c>
      <c r="D109" s="118" t="s">
        <v>797</v>
      </c>
      <c r="E109" s="118" t="s">
        <v>673</v>
      </c>
      <c r="F109" s="118">
        <v>0.111</v>
      </c>
      <c r="G109" s="118">
        <v>4.0889000000000002E-2</v>
      </c>
      <c r="H109" s="63">
        <v>9</v>
      </c>
    </row>
  </sheetData>
  <sortState xmlns:xlrd2="http://schemas.microsoft.com/office/spreadsheetml/2017/richdata2" ref="B2:H109">
    <sortCondition ref="H2:H109"/>
    <sortCondition ref="C2:C109"/>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591F8-691E-4362-8B13-772786BE50C2}">
  <dimension ref="A7:T23"/>
  <sheetViews>
    <sheetView workbookViewId="0">
      <selection activeCell="K25" sqref="K25"/>
    </sheetView>
  </sheetViews>
  <sheetFormatPr defaultRowHeight="15" x14ac:dyDescent="0.25"/>
  <cols>
    <col min="1" max="2" width="9.140625" style="118"/>
  </cols>
  <sheetData>
    <row r="7" spans="1:20" x14ac:dyDescent="0.25">
      <c r="A7" s="118" t="s">
        <v>1014</v>
      </c>
      <c r="B7" s="118" t="s">
        <v>1015</v>
      </c>
      <c r="M7" s="250" t="s">
        <v>1017</v>
      </c>
      <c r="N7" s="250"/>
      <c r="O7" s="250"/>
      <c r="P7" s="250"/>
      <c r="Q7" s="250"/>
      <c r="R7" s="250"/>
      <c r="S7" s="250"/>
      <c r="T7" s="250"/>
    </row>
    <row r="8" spans="1:20" x14ac:dyDescent="0.25">
      <c r="A8" s="118">
        <v>1</v>
      </c>
      <c r="B8" s="118">
        <v>13</v>
      </c>
      <c r="C8" s="63" t="s">
        <v>802</v>
      </c>
      <c r="D8" s="63" t="s">
        <v>797</v>
      </c>
      <c r="E8" s="63" t="s">
        <v>673</v>
      </c>
      <c r="F8" s="63">
        <v>0.39600000000000002</v>
      </c>
      <c r="G8" s="63">
        <v>0.12875600000000001</v>
      </c>
      <c r="H8" s="137">
        <v>45930.415937500002</v>
      </c>
      <c r="I8" s="63">
        <v>1</v>
      </c>
      <c r="J8" s="63">
        <v>1</v>
      </c>
      <c r="L8" s="118"/>
      <c r="M8" s="250"/>
      <c r="N8" s="250"/>
      <c r="O8" s="250"/>
      <c r="P8" s="250"/>
      <c r="Q8" s="250"/>
      <c r="R8" s="250"/>
      <c r="S8" s="250"/>
      <c r="T8" s="250"/>
    </row>
    <row r="9" spans="1:20" x14ac:dyDescent="0.25">
      <c r="A9" s="118">
        <v>2</v>
      </c>
      <c r="B9" s="118">
        <v>13</v>
      </c>
      <c r="C9" s="63" t="s">
        <v>802</v>
      </c>
      <c r="D9" s="63" t="s">
        <v>797</v>
      </c>
      <c r="E9" s="63" t="s">
        <v>673</v>
      </c>
      <c r="F9" s="63">
        <v>5.2999999999999999E-2</v>
      </c>
      <c r="G9" s="63">
        <v>2.3061999999999999E-2</v>
      </c>
      <c r="H9" s="137">
        <v>45930.444282407407</v>
      </c>
      <c r="I9" s="63">
        <v>1</v>
      </c>
      <c r="J9" s="63">
        <v>1</v>
      </c>
      <c r="K9" t="s">
        <v>1016</v>
      </c>
      <c r="L9" s="118"/>
      <c r="M9" s="250"/>
      <c r="N9" s="250"/>
      <c r="O9" s="250"/>
      <c r="P9" s="250"/>
      <c r="Q9" s="250"/>
      <c r="R9" s="250"/>
      <c r="S9" s="250"/>
      <c r="T9" s="250"/>
    </row>
    <row r="10" spans="1:20" x14ac:dyDescent="0.25">
      <c r="A10" s="118">
        <v>3</v>
      </c>
      <c r="B10" s="118">
        <v>16</v>
      </c>
      <c r="C10" s="63" t="s">
        <v>828</v>
      </c>
      <c r="D10" s="63" t="s">
        <v>797</v>
      </c>
      <c r="E10" s="63" t="s">
        <v>673</v>
      </c>
      <c r="F10" s="63">
        <v>0.314</v>
      </c>
      <c r="G10" s="63">
        <v>0.103671</v>
      </c>
      <c r="H10" s="137">
        <v>45930.445196759261</v>
      </c>
      <c r="I10" s="63">
        <v>1</v>
      </c>
      <c r="J10" s="63">
        <v>1</v>
      </c>
      <c r="L10" s="118"/>
      <c r="M10" s="250"/>
      <c r="N10" s="250"/>
      <c r="O10" s="250"/>
      <c r="P10" s="250"/>
      <c r="Q10" s="250"/>
      <c r="R10" s="250"/>
      <c r="S10" s="250"/>
      <c r="T10" s="250"/>
    </row>
    <row r="11" spans="1:20" x14ac:dyDescent="0.25">
      <c r="A11" s="118">
        <v>4</v>
      </c>
      <c r="B11" s="118">
        <v>3</v>
      </c>
      <c r="C11" s="63" t="s">
        <v>829</v>
      </c>
      <c r="D11" s="63" t="s">
        <v>797</v>
      </c>
      <c r="E11" s="63" t="s">
        <v>673</v>
      </c>
      <c r="F11" s="63">
        <v>0.11</v>
      </c>
      <c r="G11" s="63">
        <v>4.0682999999999997E-2</v>
      </c>
      <c r="H11" s="137">
        <v>45930.446111111109</v>
      </c>
      <c r="I11" s="63">
        <v>1</v>
      </c>
      <c r="J11" s="63">
        <v>1</v>
      </c>
      <c r="L11" s="118"/>
      <c r="M11" s="250"/>
      <c r="N11" s="250"/>
      <c r="O11" s="250"/>
      <c r="P11" s="250"/>
      <c r="Q11" s="250"/>
      <c r="R11" s="250"/>
      <c r="S11" s="250"/>
      <c r="T11" s="250"/>
    </row>
    <row r="12" spans="1:20" x14ac:dyDescent="0.25">
      <c r="A12" s="118">
        <v>5</v>
      </c>
      <c r="B12" s="118">
        <v>10</v>
      </c>
      <c r="C12" s="63" t="s">
        <v>830</v>
      </c>
      <c r="D12" s="63" t="s">
        <v>797</v>
      </c>
      <c r="E12" s="63" t="s">
        <v>673</v>
      </c>
      <c r="F12" s="63">
        <v>0.05</v>
      </c>
      <c r="G12" s="63">
        <v>2.2200999999999999E-2</v>
      </c>
      <c r="H12" s="137">
        <v>45930.447048611109</v>
      </c>
      <c r="I12" s="63">
        <v>1</v>
      </c>
      <c r="J12" s="63">
        <v>1</v>
      </c>
      <c r="L12" s="118"/>
      <c r="M12" s="250"/>
      <c r="N12" s="250"/>
      <c r="O12" s="250"/>
      <c r="P12" s="250"/>
      <c r="Q12" s="250"/>
      <c r="R12" s="250"/>
      <c r="S12" s="250"/>
      <c r="T12" s="250"/>
    </row>
    <row r="13" spans="1:20" x14ac:dyDescent="0.25">
      <c r="A13" s="118">
        <v>6</v>
      </c>
      <c r="B13" s="118">
        <v>2</v>
      </c>
      <c r="C13" s="63" t="s">
        <v>831</v>
      </c>
      <c r="D13" s="63" t="s">
        <v>797</v>
      </c>
      <c r="E13" s="63" t="s">
        <v>673</v>
      </c>
      <c r="F13" s="63">
        <v>0.09</v>
      </c>
      <c r="G13" s="63">
        <v>3.4585999999999999E-2</v>
      </c>
      <c r="H13" s="137">
        <v>45930.447974537034</v>
      </c>
      <c r="I13" s="63">
        <v>1</v>
      </c>
      <c r="J13" s="63">
        <v>1</v>
      </c>
      <c r="L13" s="118"/>
      <c r="M13" s="250"/>
      <c r="N13" s="250"/>
      <c r="O13" s="250"/>
      <c r="P13" s="250"/>
      <c r="Q13" s="250"/>
      <c r="R13" s="250"/>
      <c r="S13" s="250"/>
      <c r="T13" s="250"/>
    </row>
    <row r="14" spans="1:20" x14ac:dyDescent="0.25">
      <c r="A14" s="118">
        <v>7</v>
      </c>
      <c r="B14" s="118">
        <v>15</v>
      </c>
      <c r="C14" s="63" t="s">
        <v>832</v>
      </c>
      <c r="D14" s="63" t="s">
        <v>797</v>
      </c>
      <c r="E14" s="63" t="s">
        <v>673</v>
      </c>
      <c r="F14" s="63">
        <v>0.114</v>
      </c>
      <c r="G14" s="63">
        <v>4.2056000000000003E-2</v>
      </c>
      <c r="H14" s="137">
        <v>45930.448888888888</v>
      </c>
      <c r="I14" s="63">
        <v>1</v>
      </c>
      <c r="J14" s="63">
        <v>1</v>
      </c>
      <c r="L14" s="118"/>
      <c r="M14" s="250"/>
      <c r="N14" s="250"/>
      <c r="O14" s="250"/>
      <c r="P14" s="250"/>
      <c r="Q14" s="250"/>
      <c r="R14" s="250"/>
      <c r="S14" s="250"/>
      <c r="T14" s="250"/>
    </row>
    <row r="15" spans="1:20" x14ac:dyDescent="0.25">
      <c r="A15" s="118">
        <v>8</v>
      </c>
      <c r="B15" s="118">
        <v>7</v>
      </c>
      <c r="C15" s="63" t="s">
        <v>833</v>
      </c>
      <c r="D15" s="63" t="s">
        <v>797</v>
      </c>
      <c r="E15" s="63" t="s">
        <v>673</v>
      </c>
      <c r="F15" s="63">
        <v>5.2999999999999999E-2</v>
      </c>
      <c r="G15" s="63">
        <v>2.3066E-2</v>
      </c>
      <c r="H15" s="137">
        <v>45930.449803240743</v>
      </c>
      <c r="I15" s="63">
        <v>1</v>
      </c>
      <c r="J15" s="63">
        <v>1</v>
      </c>
      <c r="L15" s="118"/>
      <c r="M15" s="250"/>
      <c r="N15" s="250"/>
      <c r="O15" s="250"/>
      <c r="P15" s="250"/>
      <c r="Q15" s="250"/>
      <c r="R15" s="250"/>
      <c r="S15" s="250"/>
      <c r="T15" s="250"/>
    </row>
    <row r="16" spans="1:20" x14ac:dyDescent="0.25">
      <c r="A16" s="118">
        <v>9</v>
      </c>
      <c r="B16" s="118">
        <v>11</v>
      </c>
      <c r="C16" s="63" t="s">
        <v>834</v>
      </c>
      <c r="D16" s="63" t="s">
        <v>797</v>
      </c>
      <c r="E16" s="63" t="s">
        <v>673</v>
      </c>
      <c r="F16" s="63">
        <v>3.5000000000000003E-2</v>
      </c>
      <c r="G16" s="63">
        <v>1.7655000000000001E-2</v>
      </c>
      <c r="H16" s="137">
        <v>45930.45071759259</v>
      </c>
      <c r="I16" s="63">
        <v>1</v>
      </c>
      <c r="J16" s="63">
        <v>1</v>
      </c>
      <c r="L16" s="118"/>
      <c r="M16" s="250"/>
      <c r="N16" s="250"/>
      <c r="O16" s="250"/>
      <c r="P16" s="250"/>
      <c r="Q16" s="250"/>
      <c r="R16" s="250"/>
      <c r="S16" s="250"/>
      <c r="T16" s="250"/>
    </row>
    <row r="17" spans="1:20" x14ac:dyDescent="0.25">
      <c r="A17" s="118">
        <v>10</v>
      </c>
      <c r="B17" s="118">
        <v>6</v>
      </c>
      <c r="C17" s="63" t="s">
        <v>835</v>
      </c>
      <c r="D17" s="63" t="s">
        <v>797</v>
      </c>
      <c r="E17" s="63" t="s">
        <v>673</v>
      </c>
      <c r="F17" s="63">
        <v>0.29299999999999998</v>
      </c>
      <c r="G17" s="63">
        <v>9.6975000000000006E-2</v>
      </c>
      <c r="H17" s="137">
        <v>45930.451631944445</v>
      </c>
      <c r="I17" s="63">
        <v>1</v>
      </c>
      <c r="J17" s="63">
        <v>1</v>
      </c>
      <c r="L17" s="118"/>
      <c r="M17" s="250"/>
      <c r="N17" s="250"/>
      <c r="O17" s="250"/>
      <c r="P17" s="250"/>
      <c r="Q17" s="250"/>
      <c r="R17" s="250"/>
      <c r="S17" s="250"/>
      <c r="T17" s="250"/>
    </row>
    <row r="18" spans="1:20" x14ac:dyDescent="0.25">
      <c r="A18" s="118">
        <v>11</v>
      </c>
      <c r="B18" s="118">
        <v>14</v>
      </c>
      <c r="C18" s="63" t="s">
        <v>836</v>
      </c>
      <c r="D18" s="63" t="s">
        <v>797</v>
      </c>
      <c r="E18" s="63" t="s">
        <v>673</v>
      </c>
      <c r="F18" s="63">
        <v>3.5000000000000003E-2</v>
      </c>
      <c r="G18" s="63">
        <v>1.7496000000000001E-2</v>
      </c>
      <c r="H18" s="137">
        <v>45930.452557870369</v>
      </c>
      <c r="I18" s="63">
        <v>1</v>
      </c>
      <c r="J18" s="63">
        <v>1</v>
      </c>
      <c r="L18" s="118"/>
      <c r="M18" s="250"/>
      <c r="N18" s="250"/>
      <c r="O18" s="250"/>
      <c r="P18" s="250"/>
      <c r="Q18" s="250"/>
      <c r="R18" s="250"/>
      <c r="S18" s="250"/>
      <c r="T18" s="250"/>
    </row>
    <row r="19" spans="1:20" x14ac:dyDescent="0.25">
      <c r="A19" s="118">
        <v>12</v>
      </c>
      <c r="B19" s="118">
        <v>12</v>
      </c>
      <c r="C19" s="63" t="s">
        <v>837</v>
      </c>
      <c r="D19" s="63" t="s">
        <v>797</v>
      </c>
      <c r="E19" s="63" t="s">
        <v>673</v>
      </c>
      <c r="F19" s="63">
        <v>3.2000000000000001E-2</v>
      </c>
      <c r="G19" s="63">
        <v>1.6695000000000002E-2</v>
      </c>
      <c r="H19" s="137">
        <v>45930.453472222223</v>
      </c>
      <c r="I19" s="63">
        <v>1</v>
      </c>
      <c r="J19" s="63">
        <v>1</v>
      </c>
      <c r="L19" s="118"/>
      <c r="M19" s="250"/>
      <c r="N19" s="250"/>
      <c r="O19" s="250"/>
      <c r="P19" s="250"/>
      <c r="Q19" s="250"/>
      <c r="R19" s="250"/>
      <c r="S19" s="250"/>
      <c r="T19" s="250"/>
    </row>
    <row r="20" spans="1:20" x14ac:dyDescent="0.25">
      <c r="A20" s="118">
        <v>13</v>
      </c>
      <c r="B20" s="118">
        <v>5</v>
      </c>
      <c r="C20" s="63" t="s">
        <v>838</v>
      </c>
      <c r="D20" s="63" t="s">
        <v>797</v>
      </c>
      <c r="E20" s="63" t="s">
        <v>673</v>
      </c>
      <c r="F20" s="63">
        <v>0.17699999999999999</v>
      </c>
      <c r="G20" s="63">
        <v>6.1365000000000003E-2</v>
      </c>
      <c r="H20" s="137">
        <v>45930.454386574071</v>
      </c>
      <c r="I20" s="63">
        <v>1</v>
      </c>
      <c r="J20" s="63">
        <v>1</v>
      </c>
      <c r="L20" s="118"/>
      <c r="M20" s="250"/>
      <c r="N20" s="250"/>
      <c r="O20" s="250"/>
      <c r="P20" s="250"/>
      <c r="Q20" s="250"/>
      <c r="R20" s="250"/>
      <c r="S20" s="250"/>
      <c r="T20" s="250"/>
    </row>
    <row r="21" spans="1:20" x14ac:dyDescent="0.25">
      <c r="A21" s="118">
        <v>14</v>
      </c>
      <c r="B21" s="118">
        <v>4</v>
      </c>
      <c r="C21" s="63" t="s">
        <v>839</v>
      </c>
      <c r="D21" s="63" t="s">
        <v>797</v>
      </c>
      <c r="E21" s="63" t="s">
        <v>673</v>
      </c>
      <c r="F21" s="63">
        <v>0.24199999999999999</v>
      </c>
      <c r="G21" s="63">
        <v>8.1478999999999996E-2</v>
      </c>
      <c r="H21" s="137">
        <v>45930.455312500002</v>
      </c>
      <c r="I21" s="63">
        <v>1</v>
      </c>
      <c r="J21" s="63">
        <v>1</v>
      </c>
      <c r="L21" s="118"/>
      <c r="M21" s="250"/>
      <c r="N21" s="250"/>
      <c r="O21" s="250"/>
      <c r="P21" s="250"/>
      <c r="Q21" s="250"/>
      <c r="R21" s="250"/>
      <c r="S21" s="250"/>
      <c r="T21" s="250"/>
    </row>
    <row r="22" spans="1:20" x14ac:dyDescent="0.25">
      <c r="A22" s="118">
        <v>15</v>
      </c>
      <c r="B22" s="118">
        <v>9</v>
      </c>
      <c r="C22" s="63" t="s">
        <v>840</v>
      </c>
      <c r="D22" s="63" t="s">
        <v>797</v>
      </c>
      <c r="E22" s="63" t="s">
        <v>673</v>
      </c>
      <c r="F22" s="63">
        <v>3.2000000000000001E-2</v>
      </c>
      <c r="G22" s="63">
        <v>1.6694000000000001E-2</v>
      </c>
      <c r="H22" s="137">
        <v>45930.456226851849</v>
      </c>
      <c r="I22" s="63">
        <v>1</v>
      </c>
      <c r="J22" s="63">
        <v>1</v>
      </c>
      <c r="L22" s="118"/>
      <c r="M22" s="250"/>
      <c r="N22" s="250"/>
      <c r="O22" s="250"/>
      <c r="P22" s="250"/>
      <c r="Q22" s="250"/>
      <c r="R22" s="250"/>
      <c r="S22" s="250"/>
      <c r="T22" s="250"/>
    </row>
    <row r="23" spans="1:20" x14ac:dyDescent="0.25">
      <c r="A23" s="118">
        <v>16</v>
      </c>
      <c r="B23" s="118">
        <v>8</v>
      </c>
      <c r="C23" s="63" t="s">
        <v>841</v>
      </c>
      <c r="D23" s="63" t="s">
        <v>797</v>
      </c>
      <c r="E23" s="63" t="s">
        <v>673</v>
      </c>
      <c r="F23" s="63">
        <v>6.8000000000000005E-2</v>
      </c>
      <c r="G23" s="63">
        <v>2.7649E-2</v>
      </c>
      <c r="H23" s="137">
        <v>45930.459016203706</v>
      </c>
      <c r="I23" s="63">
        <v>1</v>
      </c>
      <c r="J23" s="63">
        <v>1</v>
      </c>
      <c r="L23" s="118"/>
    </row>
  </sheetData>
  <sortState xmlns:xlrd2="http://schemas.microsoft.com/office/spreadsheetml/2017/richdata2" ref="L8:L23">
    <sortCondition ref="L8:L23"/>
  </sortState>
  <mergeCells count="1">
    <mergeCell ref="M7:T2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A01AC-1B2F-4E7E-B31C-2E49A408899B}">
  <dimension ref="A1:AA391"/>
  <sheetViews>
    <sheetView topLeftCell="A76" zoomScale="85" zoomScaleNormal="85" workbookViewId="0">
      <selection activeCell="V2" sqref="V2:V109"/>
    </sheetView>
  </sheetViews>
  <sheetFormatPr defaultRowHeight="15" x14ac:dyDescent="0.25"/>
  <cols>
    <col min="1" max="1" width="13.7109375" bestFit="1" customWidth="1"/>
    <col min="2" max="2" width="10.85546875" customWidth="1"/>
    <col min="6" max="6" width="14.85546875" bestFit="1" customWidth="1"/>
    <col min="22" max="22" width="18.42578125" bestFit="1" customWidth="1"/>
  </cols>
  <sheetData>
    <row r="1" spans="1:27" ht="30" x14ac:dyDescent="0.25">
      <c r="A1" s="118" t="s">
        <v>652</v>
      </c>
      <c r="B1" s="118" t="s">
        <v>653</v>
      </c>
      <c r="C1" s="118" t="s">
        <v>655</v>
      </c>
      <c r="D1" s="118" t="s">
        <v>654</v>
      </c>
      <c r="E1" s="118" t="s">
        <v>656</v>
      </c>
      <c r="F1" s="118" t="s">
        <v>657</v>
      </c>
      <c r="H1" s="118" t="s">
        <v>652</v>
      </c>
      <c r="I1" s="118" t="s">
        <v>653</v>
      </c>
      <c r="J1" s="118" t="s">
        <v>655</v>
      </c>
      <c r="K1" s="118" t="s">
        <v>654</v>
      </c>
      <c r="L1" s="118" t="s">
        <v>656</v>
      </c>
      <c r="M1" s="118" t="s">
        <v>657</v>
      </c>
      <c r="O1" s="118" t="s">
        <v>652</v>
      </c>
      <c r="P1" s="118" t="s">
        <v>653</v>
      </c>
      <c r="Q1" s="118" t="s">
        <v>655</v>
      </c>
      <c r="R1" s="118" t="s">
        <v>654</v>
      </c>
      <c r="S1" s="118" t="s">
        <v>656</v>
      </c>
      <c r="T1" s="118" t="s">
        <v>657</v>
      </c>
      <c r="X1" s="32" t="s">
        <v>582</v>
      </c>
      <c r="Y1" s="32" t="s">
        <v>583</v>
      </c>
      <c r="Z1" s="32" t="s">
        <v>584</v>
      </c>
      <c r="AA1" s="32" t="s">
        <v>585</v>
      </c>
    </row>
    <row r="2" spans="1:27" x14ac:dyDescent="0.25">
      <c r="A2" s="134" t="s">
        <v>868</v>
      </c>
      <c r="B2" s="134" t="s">
        <v>658</v>
      </c>
      <c r="C2" s="134" t="s">
        <v>659</v>
      </c>
      <c r="D2" s="134">
        <v>1.24E-2</v>
      </c>
      <c r="E2" s="134">
        <v>0.10084799999999999</v>
      </c>
      <c r="F2" s="135">
        <v>45925.698819444442</v>
      </c>
      <c r="G2" s="134">
        <v>1</v>
      </c>
      <c r="H2" s="134" t="s">
        <v>868</v>
      </c>
      <c r="I2" s="134" t="s">
        <v>867</v>
      </c>
      <c r="J2" s="134" t="s">
        <v>659</v>
      </c>
      <c r="K2" s="134">
        <v>3.266</v>
      </c>
      <c r="L2" s="134">
        <v>0.231682</v>
      </c>
      <c r="M2" s="135">
        <v>45925.771226851852</v>
      </c>
      <c r="N2" s="134"/>
      <c r="O2" s="134" t="s">
        <v>868</v>
      </c>
      <c r="P2" s="134" t="s">
        <v>902</v>
      </c>
      <c r="Q2" s="134" t="s">
        <v>673</v>
      </c>
      <c r="R2" s="134">
        <v>2.9000000000000001E-2</v>
      </c>
      <c r="S2" s="134">
        <v>1.1089999999999999E-2</v>
      </c>
      <c r="T2" s="135">
        <v>45926.409108796295</v>
      </c>
      <c r="V2" s="131" t="s">
        <v>685</v>
      </c>
      <c r="W2" s="134" t="s">
        <v>868</v>
      </c>
      <c r="X2" s="134">
        <v>1.24E-2</v>
      </c>
      <c r="Y2" s="134">
        <v>3.266</v>
      </c>
      <c r="Z2" s="134">
        <v>2.9000000000000001E-2</v>
      </c>
    </row>
    <row r="3" spans="1:27" x14ac:dyDescent="0.25">
      <c r="A3" s="134" t="s">
        <v>869</v>
      </c>
      <c r="B3" s="134" t="s">
        <v>658</v>
      </c>
      <c r="C3" s="134" t="s">
        <v>659</v>
      </c>
      <c r="D3" s="134">
        <v>-6.1999999999999998E-3</v>
      </c>
      <c r="E3" s="134">
        <v>9.1059000000000001E-2</v>
      </c>
      <c r="F3" s="135">
        <v>45925.700358796297</v>
      </c>
      <c r="G3" s="134" t="str">
        <f t="shared" ref="G3:G10" si="0">RIGHT(H3, 2)</f>
        <v xml:space="preserve"> 2</v>
      </c>
      <c r="H3" s="134" t="s">
        <v>869</v>
      </c>
      <c r="I3" s="134" t="s">
        <v>867</v>
      </c>
      <c r="J3" s="134" t="s">
        <v>659</v>
      </c>
      <c r="K3" s="134">
        <v>3.028</v>
      </c>
      <c r="L3" s="134">
        <v>0.216866</v>
      </c>
      <c r="M3" s="135">
        <v>45925.772835648146</v>
      </c>
      <c r="N3" s="134"/>
      <c r="O3" s="134" t="s">
        <v>869</v>
      </c>
      <c r="P3" s="134" t="s">
        <v>902</v>
      </c>
      <c r="Q3" s="134" t="s">
        <v>673</v>
      </c>
      <c r="R3" s="134">
        <v>3.0000000000000001E-3</v>
      </c>
      <c r="S3" s="134">
        <v>2.1580000000000002E-3</v>
      </c>
      <c r="T3" s="135">
        <v>45926.410046296296</v>
      </c>
      <c r="V3" s="119" t="s">
        <v>686</v>
      </c>
      <c r="W3" s="134" t="s">
        <v>869</v>
      </c>
      <c r="X3" s="134">
        <v>-6.1999999999999998E-3</v>
      </c>
      <c r="Y3" s="134">
        <v>3.028</v>
      </c>
      <c r="Z3" s="134">
        <v>3.0000000000000001E-3</v>
      </c>
    </row>
    <row r="4" spans="1:27" x14ac:dyDescent="0.25">
      <c r="A4" s="134" t="s">
        <v>870</v>
      </c>
      <c r="B4" s="134" t="s">
        <v>658</v>
      </c>
      <c r="C4" s="134" t="s">
        <v>659</v>
      </c>
      <c r="D4" s="134">
        <v>-1.29E-2</v>
      </c>
      <c r="E4" s="134">
        <v>8.7533E-2</v>
      </c>
      <c r="F4" s="135">
        <v>45925.701886574076</v>
      </c>
      <c r="G4" s="134" t="str">
        <f t="shared" si="0"/>
        <v xml:space="preserve"> 3</v>
      </c>
      <c r="H4" s="134" t="s">
        <v>870</v>
      </c>
      <c r="I4" s="134" t="s">
        <v>867</v>
      </c>
      <c r="J4" s="134" t="s">
        <v>659</v>
      </c>
      <c r="K4" s="134">
        <v>3.258</v>
      </c>
      <c r="L4" s="134">
        <v>0.23122500000000001</v>
      </c>
      <c r="M4" s="135">
        <v>45925.774444444447</v>
      </c>
      <c r="N4" s="134"/>
      <c r="O4" s="134" t="s">
        <v>870</v>
      </c>
      <c r="P4" s="134" t="s">
        <v>902</v>
      </c>
      <c r="Q4" s="134" t="s">
        <v>673</v>
      </c>
      <c r="R4" s="134">
        <v>2E-3</v>
      </c>
      <c r="S4" s="134">
        <v>1.7799999999999999E-3</v>
      </c>
      <c r="T4" s="135">
        <v>45926.410983796297</v>
      </c>
      <c r="V4" s="119" t="s">
        <v>687</v>
      </c>
      <c r="W4" s="134" t="s">
        <v>870</v>
      </c>
      <c r="X4" s="134">
        <v>-1.29E-2</v>
      </c>
      <c r="Y4" s="134">
        <v>3.258</v>
      </c>
      <c r="Z4" s="134">
        <v>2E-3</v>
      </c>
    </row>
    <row r="5" spans="1:27" x14ac:dyDescent="0.25">
      <c r="A5" s="134" t="s">
        <v>871</v>
      </c>
      <c r="B5" s="134" t="s">
        <v>658</v>
      </c>
      <c r="C5" s="134" t="s">
        <v>659</v>
      </c>
      <c r="D5" s="134">
        <v>-4.1000000000000003E-3</v>
      </c>
      <c r="E5" s="134">
        <v>9.2179999999999998E-2</v>
      </c>
      <c r="F5" s="135">
        <v>45925.703414351854</v>
      </c>
      <c r="G5" s="134" t="str">
        <f t="shared" si="0"/>
        <v xml:space="preserve"> 4</v>
      </c>
      <c r="H5" s="134" t="s">
        <v>871</v>
      </c>
      <c r="I5" s="134" t="s">
        <v>867</v>
      </c>
      <c r="J5" s="134" t="s">
        <v>659</v>
      </c>
      <c r="K5" s="134">
        <v>3.2730000000000001</v>
      </c>
      <c r="L5" s="134">
        <v>0.232153</v>
      </c>
      <c r="M5" s="135">
        <v>45925.776041666664</v>
      </c>
      <c r="N5" s="134"/>
      <c r="O5" s="134" t="s">
        <v>871</v>
      </c>
      <c r="P5" s="134" t="s">
        <v>902</v>
      </c>
      <c r="Q5" s="134" t="s">
        <v>673</v>
      </c>
      <c r="R5" s="134">
        <v>4.0000000000000001E-3</v>
      </c>
      <c r="S5" s="134">
        <v>2.428E-3</v>
      </c>
      <c r="T5" s="135">
        <v>45926.411909722221</v>
      </c>
      <c r="V5" s="119" t="s">
        <v>688</v>
      </c>
      <c r="W5" s="134" t="s">
        <v>871</v>
      </c>
      <c r="X5" s="134">
        <v>-4.1000000000000003E-3</v>
      </c>
      <c r="Y5" s="134">
        <v>3.2730000000000001</v>
      </c>
      <c r="Z5" s="134">
        <v>4.0000000000000001E-3</v>
      </c>
    </row>
    <row r="6" spans="1:27" x14ac:dyDescent="0.25">
      <c r="A6" s="134" t="s">
        <v>872</v>
      </c>
      <c r="B6" s="134" t="s">
        <v>658</v>
      </c>
      <c r="C6" s="134" t="s">
        <v>659</v>
      </c>
      <c r="D6" s="134">
        <v>1.24E-2</v>
      </c>
      <c r="E6" s="134">
        <v>0.10084799999999999</v>
      </c>
      <c r="F6" s="135">
        <v>45925.704953703702</v>
      </c>
      <c r="G6" s="134" t="str">
        <f t="shared" si="0"/>
        <v xml:space="preserve"> 5</v>
      </c>
      <c r="H6" s="134" t="s">
        <v>872</v>
      </c>
      <c r="I6" s="134" t="s">
        <v>867</v>
      </c>
      <c r="J6" s="134" t="s">
        <v>659</v>
      </c>
      <c r="K6" s="134">
        <v>3.7919999999999998</v>
      </c>
      <c r="L6" s="134">
        <v>0.26448899999999997</v>
      </c>
      <c r="M6" s="135">
        <v>45925.777650462966</v>
      </c>
      <c r="N6" s="134"/>
      <c r="O6" s="134" t="s">
        <v>872</v>
      </c>
      <c r="P6" s="134" t="s">
        <v>902</v>
      </c>
      <c r="Q6" s="134" t="s">
        <v>673</v>
      </c>
      <c r="R6" s="134">
        <v>8.0000000000000002E-3</v>
      </c>
      <c r="S6" s="134">
        <v>3.7729999999999999E-3</v>
      </c>
      <c r="T6" s="135">
        <v>45926.412847222222</v>
      </c>
      <c r="V6" s="119" t="s">
        <v>689</v>
      </c>
      <c r="W6" s="134" t="s">
        <v>872</v>
      </c>
      <c r="X6" s="134">
        <v>1.24E-2</v>
      </c>
      <c r="Y6" s="134">
        <v>3.7919999999999998</v>
      </c>
      <c r="Z6" s="134">
        <v>8.0000000000000002E-3</v>
      </c>
    </row>
    <row r="7" spans="1:27" x14ac:dyDescent="0.25">
      <c r="A7" s="134" t="s">
        <v>873</v>
      </c>
      <c r="B7" s="134" t="s">
        <v>658</v>
      </c>
      <c r="C7" s="134" t="s">
        <v>659</v>
      </c>
      <c r="D7" s="134">
        <v>-4.1999999999999997E-3</v>
      </c>
      <c r="E7" s="134">
        <v>9.2085E-2</v>
      </c>
      <c r="F7" s="135">
        <v>45925.70648148148</v>
      </c>
      <c r="G7" s="134" t="str">
        <f t="shared" si="0"/>
        <v xml:space="preserve"> 6</v>
      </c>
      <c r="H7" s="134" t="s">
        <v>873</v>
      </c>
      <c r="I7" s="134" t="s">
        <v>867</v>
      </c>
      <c r="J7" s="134" t="s">
        <v>659</v>
      </c>
      <c r="K7" s="134">
        <v>4.2949999999999999</v>
      </c>
      <c r="L7" s="134">
        <v>0.29593700000000001</v>
      </c>
      <c r="M7" s="135">
        <v>45925.77925925926</v>
      </c>
      <c r="N7" s="134"/>
      <c r="O7" s="134" t="s">
        <v>873</v>
      </c>
      <c r="P7" s="134" t="s">
        <v>902</v>
      </c>
      <c r="Q7" s="134" t="s">
        <v>673</v>
      </c>
      <c r="R7" s="134">
        <v>2.5000000000000001E-2</v>
      </c>
      <c r="S7" s="134">
        <v>9.6340000000000002E-3</v>
      </c>
      <c r="T7" s="135">
        <v>45926.4137962963</v>
      </c>
      <c r="V7" s="119" t="s">
        <v>690</v>
      </c>
      <c r="W7" s="134" t="s">
        <v>873</v>
      </c>
      <c r="X7" s="134">
        <v>-4.1999999999999997E-3</v>
      </c>
      <c r="Y7" s="134">
        <v>4.2949999999999999</v>
      </c>
      <c r="Z7" s="134">
        <v>2.5000000000000001E-2</v>
      </c>
    </row>
    <row r="8" spans="1:27" x14ac:dyDescent="0.25">
      <c r="A8" s="134" t="s">
        <v>874</v>
      </c>
      <c r="B8" s="134" t="s">
        <v>658</v>
      </c>
      <c r="C8" s="134" t="s">
        <v>659</v>
      </c>
      <c r="D8" s="134">
        <v>4.1799999999999997E-2</v>
      </c>
      <c r="E8" s="134">
        <v>0.11629399999999999</v>
      </c>
      <c r="F8" s="135">
        <v>45925.708009259259</v>
      </c>
      <c r="G8" s="134" t="str">
        <f t="shared" si="0"/>
        <v xml:space="preserve"> 7</v>
      </c>
      <c r="H8" s="134" t="s">
        <v>874</v>
      </c>
      <c r="I8" s="134" t="s">
        <v>867</v>
      </c>
      <c r="J8" s="134" t="s">
        <v>659</v>
      </c>
      <c r="K8" s="134">
        <v>3.1080000000000001</v>
      </c>
      <c r="L8" s="134">
        <v>0.22185199999999999</v>
      </c>
      <c r="M8" s="135">
        <v>45925.780891203707</v>
      </c>
      <c r="N8" s="134"/>
      <c r="O8" s="134" t="s">
        <v>874</v>
      </c>
      <c r="P8" s="134" t="s">
        <v>902</v>
      </c>
      <c r="Q8" s="134" t="s">
        <v>673</v>
      </c>
      <c r="R8" s="134">
        <v>5.1999999999999998E-2</v>
      </c>
      <c r="S8" s="134">
        <v>1.8929000000000001E-2</v>
      </c>
      <c r="T8" s="135">
        <v>45926.41474537037</v>
      </c>
      <c r="V8" s="119" t="s">
        <v>691</v>
      </c>
      <c r="W8" s="134" t="s">
        <v>874</v>
      </c>
      <c r="X8" s="134">
        <v>4.1799999999999997E-2</v>
      </c>
      <c r="Y8" s="134">
        <v>3.1080000000000001</v>
      </c>
      <c r="Z8" s="134">
        <v>5.1999999999999998E-2</v>
      </c>
    </row>
    <row r="9" spans="1:27" x14ac:dyDescent="0.25">
      <c r="A9" s="134" t="s">
        <v>875</v>
      </c>
      <c r="B9" s="134" t="s">
        <v>658</v>
      </c>
      <c r="C9" s="134" t="s">
        <v>659</v>
      </c>
      <c r="D9" s="134">
        <v>5.2699999999999997E-2</v>
      </c>
      <c r="E9" s="134">
        <v>0.121976</v>
      </c>
      <c r="F9" s="135">
        <v>45925.709537037037</v>
      </c>
      <c r="G9" s="134" t="str">
        <f t="shared" si="0"/>
        <v xml:space="preserve"> 8</v>
      </c>
      <c r="H9" s="134" t="s">
        <v>875</v>
      </c>
      <c r="I9" s="134" t="s">
        <v>867</v>
      </c>
      <c r="J9" s="134" t="s">
        <v>659</v>
      </c>
      <c r="K9" s="134">
        <v>3.0720000000000001</v>
      </c>
      <c r="L9" s="134">
        <v>0.21957399999999999</v>
      </c>
      <c r="M9" s="135">
        <v>45925.78396990741</v>
      </c>
      <c r="N9" s="134"/>
      <c r="O9" s="134" t="s">
        <v>875</v>
      </c>
      <c r="P9" s="134" t="s">
        <v>902</v>
      </c>
      <c r="Q9" s="134" t="s">
        <v>673</v>
      </c>
      <c r="R9" s="134">
        <v>8.2000000000000003E-2</v>
      </c>
      <c r="S9" s="134">
        <v>2.9041999999999998E-2</v>
      </c>
      <c r="T9" s="135">
        <v>45926.415671296294</v>
      </c>
      <c r="V9" s="119" t="s">
        <v>692</v>
      </c>
      <c r="W9" s="134" t="s">
        <v>875</v>
      </c>
      <c r="X9" s="134">
        <v>5.2699999999999997E-2</v>
      </c>
      <c r="Y9" s="134">
        <v>3.0720000000000001</v>
      </c>
      <c r="Z9" s="134">
        <v>8.2000000000000003E-2</v>
      </c>
    </row>
    <row r="10" spans="1:27" x14ac:dyDescent="0.25">
      <c r="A10" s="134" t="s">
        <v>876</v>
      </c>
      <c r="B10" s="134" t="s">
        <v>658</v>
      </c>
      <c r="C10" s="134" t="s">
        <v>659</v>
      </c>
      <c r="D10" s="134">
        <v>4.7100000000000003E-2</v>
      </c>
      <c r="E10" s="134">
        <v>0.119047</v>
      </c>
      <c r="F10" s="135">
        <v>45925.711076388892</v>
      </c>
      <c r="G10" s="134" t="str">
        <f t="shared" si="0"/>
        <v xml:space="preserve"> 9</v>
      </c>
      <c r="H10" s="134" t="s">
        <v>876</v>
      </c>
      <c r="I10" s="134" t="s">
        <v>867</v>
      </c>
      <c r="J10" s="134" t="s">
        <v>659</v>
      </c>
      <c r="K10" s="134">
        <v>3.3119999999999998</v>
      </c>
      <c r="L10" s="134">
        <v>0.234595</v>
      </c>
      <c r="M10" s="135">
        <v>45925.785578703704</v>
      </c>
      <c r="N10" s="134"/>
      <c r="O10" s="134" t="s">
        <v>876</v>
      </c>
      <c r="P10" s="134" t="s">
        <v>902</v>
      </c>
      <c r="Q10" s="134" t="s">
        <v>673</v>
      </c>
      <c r="R10" s="134">
        <v>0.11799999999999999</v>
      </c>
      <c r="S10" s="134">
        <v>4.1605000000000003E-2</v>
      </c>
      <c r="T10" s="135">
        <v>45926.416608796295</v>
      </c>
      <c r="V10" s="119" t="s">
        <v>693</v>
      </c>
      <c r="W10" s="134" t="s">
        <v>876</v>
      </c>
      <c r="X10" s="134">
        <v>4.7100000000000003E-2</v>
      </c>
      <c r="Y10" s="134">
        <v>3.3119999999999998</v>
      </c>
      <c r="Z10" s="134">
        <v>0.11799999999999999</v>
      </c>
    </row>
    <row r="11" spans="1:27" x14ac:dyDescent="0.25">
      <c r="A11" s="134" t="s">
        <v>877</v>
      </c>
      <c r="B11" s="134" t="s">
        <v>658</v>
      </c>
      <c r="C11" s="134" t="s">
        <v>659</v>
      </c>
      <c r="D11" s="134">
        <v>5.45E-2</v>
      </c>
      <c r="E11" s="134">
        <v>0.122964</v>
      </c>
      <c r="F11" s="135">
        <v>45925.71261574074</v>
      </c>
      <c r="G11" s="134">
        <v>10</v>
      </c>
      <c r="H11" s="134" t="s">
        <v>877</v>
      </c>
      <c r="I11" s="134" t="s">
        <v>867</v>
      </c>
      <c r="J11" s="134" t="s">
        <v>659</v>
      </c>
      <c r="K11" s="134">
        <v>3.2850000000000001</v>
      </c>
      <c r="L11" s="134">
        <v>0.232906</v>
      </c>
      <c r="M11" s="135">
        <v>45925.787187499998</v>
      </c>
      <c r="N11" s="134"/>
      <c r="O11" s="134" t="s">
        <v>877</v>
      </c>
      <c r="P11" s="134" t="s">
        <v>902</v>
      </c>
      <c r="Q11" s="134" t="s">
        <v>673</v>
      </c>
      <c r="R11" s="134">
        <v>0.125</v>
      </c>
      <c r="S11" s="134">
        <v>4.3955000000000001E-2</v>
      </c>
      <c r="T11" s="135">
        <v>45926.417546296296</v>
      </c>
      <c r="V11" s="119" t="s">
        <v>694</v>
      </c>
      <c r="W11" s="134" t="s">
        <v>877</v>
      </c>
      <c r="X11" s="134">
        <v>5.45E-2</v>
      </c>
      <c r="Y11" s="134">
        <v>3.2850000000000001</v>
      </c>
      <c r="Z11" s="134">
        <v>0.125</v>
      </c>
    </row>
    <row r="12" spans="1:27" x14ac:dyDescent="0.25">
      <c r="A12" s="134" t="s">
        <v>878</v>
      </c>
      <c r="B12" s="134" t="s">
        <v>658</v>
      </c>
      <c r="C12" s="134" t="s">
        <v>659</v>
      </c>
      <c r="D12" s="134">
        <v>5.4600000000000003E-2</v>
      </c>
      <c r="E12" s="134">
        <v>0.122998</v>
      </c>
      <c r="F12" s="135">
        <v>45925.714143518519</v>
      </c>
      <c r="G12" s="134">
        <v>11</v>
      </c>
      <c r="H12" s="134" t="s">
        <v>878</v>
      </c>
      <c r="I12" s="134" t="s">
        <v>867</v>
      </c>
      <c r="J12" s="134" t="s">
        <v>659</v>
      </c>
      <c r="K12" s="134">
        <v>3.4449999999999998</v>
      </c>
      <c r="L12" s="134">
        <v>0.24288999999999999</v>
      </c>
      <c r="M12" s="135">
        <v>45925.788807870369</v>
      </c>
      <c r="N12" s="134"/>
      <c r="O12" s="134" t="s">
        <v>878</v>
      </c>
      <c r="P12" s="134" t="s">
        <v>902</v>
      </c>
      <c r="Q12" s="134" t="s">
        <v>673</v>
      </c>
      <c r="R12" s="134">
        <v>0.127</v>
      </c>
      <c r="S12" s="134">
        <v>4.4767000000000001E-2</v>
      </c>
      <c r="T12" s="135">
        <v>45926.418483796297</v>
      </c>
      <c r="V12" s="119" t="s">
        <v>695</v>
      </c>
      <c r="W12" s="134" t="s">
        <v>878</v>
      </c>
      <c r="X12" s="134">
        <v>5.4600000000000003E-2</v>
      </c>
      <c r="Y12" s="134">
        <v>3.4449999999999998</v>
      </c>
      <c r="Z12" s="134">
        <v>0.127</v>
      </c>
    </row>
    <row r="13" spans="1:27" x14ac:dyDescent="0.25">
      <c r="A13" s="134" t="s">
        <v>879</v>
      </c>
      <c r="B13" s="134" t="s">
        <v>658</v>
      </c>
      <c r="C13" s="134" t="s">
        <v>659</v>
      </c>
      <c r="D13" s="134">
        <v>4.5699999999999998E-2</v>
      </c>
      <c r="E13" s="134">
        <v>0.118337</v>
      </c>
      <c r="F13" s="135">
        <v>45925.715671296297</v>
      </c>
      <c r="G13" s="134">
        <v>12</v>
      </c>
      <c r="H13" s="134" t="s">
        <v>879</v>
      </c>
      <c r="I13" s="134" t="s">
        <v>867</v>
      </c>
      <c r="J13" s="134" t="s">
        <v>659</v>
      </c>
      <c r="K13" s="134">
        <v>3.262</v>
      </c>
      <c r="L13" s="134">
        <v>0.231456</v>
      </c>
      <c r="M13" s="135">
        <v>45925.790416666663</v>
      </c>
      <c r="N13" s="134"/>
      <c r="O13" s="134" t="s">
        <v>879</v>
      </c>
      <c r="P13" s="134" t="s">
        <v>902</v>
      </c>
      <c r="Q13" s="134" t="s">
        <v>673</v>
      </c>
      <c r="R13" s="134">
        <v>0.126</v>
      </c>
      <c r="S13" s="134">
        <v>4.4344000000000001E-2</v>
      </c>
      <c r="T13" s="135">
        <v>45926.419409722221</v>
      </c>
      <c r="V13" s="119" t="s">
        <v>696</v>
      </c>
      <c r="W13" s="134" t="s">
        <v>879</v>
      </c>
      <c r="X13" s="134">
        <v>4.5699999999999998E-2</v>
      </c>
      <c r="Y13" s="134">
        <v>3.262</v>
      </c>
      <c r="Z13" s="134">
        <v>0.126</v>
      </c>
    </row>
    <row r="14" spans="1:27" x14ac:dyDescent="0.25">
      <c r="A14" s="134" t="s">
        <v>880</v>
      </c>
      <c r="B14" s="134" t="s">
        <v>658</v>
      </c>
      <c r="C14" s="134" t="s">
        <v>659</v>
      </c>
      <c r="D14" s="134">
        <v>-9.1000000000000004E-3</v>
      </c>
      <c r="E14" s="134">
        <v>8.9539999999999995E-2</v>
      </c>
      <c r="F14" s="135">
        <v>45925.717199074075</v>
      </c>
      <c r="G14" s="134">
        <v>13</v>
      </c>
      <c r="H14" s="134" t="s">
        <v>880</v>
      </c>
      <c r="I14" s="134" t="s">
        <v>867</v>
      </c>
      <c r="J14" s="134" t="s">
        <v>659</v>
      </c>
      <c r="K14" s="134">
        <v>4.0570000000000004</v>
      </c>
      <c r="L14" s="134">
        <v>0.28103299999999998</v>
      </c>
      <c r="M14" s="135">
        <v>45925.792025462964</v>
      </c>
      <c r="N14" s="134"/>
      <c r="O14" s="134" t="s">
        <v>880</v>
      </c>
      <c r="P14" s="134" t="s">
        <v>902</v>
      </c>
      <c r="Q14" s="134" t="s">
        <v>673</v>
      </c>
      <c r="R14" s="134">
        <v>0.01</v>
      </c>
      <c r="S14" s="134">
        <v>4.3920000000000001E-3</v>
      </c>
      <c r="T14" s="135">
        <v>45926.420347222222</v>
      </c>
      <c r="V14" s="119" t="s">
        <v>697</v>
      </c>
      <c r="W14" s="134" t="s">
        <v>880</v>
      </c>
      <c r="X14" s="134">
        <v>-9.1000000000000004E-3</v>
      </c>
      <c r="Y14" s="134">
        <v>4.0570000000000004</v>
      </c>
      <c r="Z14" s="134">
        <v>0.01</v>
      </c>
    </row>
    <row r="15" spans="1:27" x14ac:dyDescent="0.25">
      <c r="A15" s="26" t="s">
        <v>903</v>
      </c>
      <c r="B15" s="26" t="s">
        <v>658</v>
      </c>
      <c r="C15" s="26" t="s">
        <v>659</v>
      </c>
      <c r="D15" s="26">
        <v>-3.56E-2</v>
      </c>
      <c r="E15" s="26">
        <v>7.5622999999999996E-2</v>
      </c>
      <c r="F15" s="136">
        <v>45925.402824074074</v>
      </c>
      <c r="G15" s="26" t="str">
        <f t="shared" ref="G15:G46" si="1">RIGHT(H15, 2)</f>
        <v xml:space="preserve"> 1</v>
      </c>
      <c r="H15" s="26" t="s">
        <v>903</v>
      </c>
      <c r="I15" s="26" t="s">
        <v>867</v>
      </c>
      <c r="J15" s="26" t="s">
        <v>659</v>
      </c>
      <c r="K15" s="26">
        <v>3.9740000000000002</v>
      </c>
      <c r="L15" s="26">
        <v>0.27589200000000003</v>
      </c>
      <c r="M15" s="136">
        <v>45925.491678240738</v>
      </c>
      <c r="N15" s="26"/>
      <c r="O15" s="26" t="s">
        <v>903</v>
      </c>
      <c r="P15" s="26" t="s">
        <v>902</v>
      </c>
      <c r="Q15" s="26" t="s">
        <v>673</v>
      </c>
      <c r="R15" s="26">
        <v>-5.0000000000000001E-3</v>
      </c>
      <c r="S15" s="26">
        <v>9.0399999999999996E-4</v>
      </c>
      <c r="T15" s="136">
        <v>45925.572013888886</v>
      </c>
      <c r="V15" s="120" t="s">
        <v>698</v>
      </c>
      <c r="W15" s="105" t="s">
        <v>937</v>
      </c>
      <c r="X15" s="105">
        <v>3.1800000000000002E-2</v>
      </c>
      <c r="Y15" s="105">
        <v>2.5710000000000002</v>
      </c>
      <c r="Z15" s="105">
        <v>-1E-3</v>
      </c>
    </row>
    <row r="16" spans="1:27" x14ac:dyDescent="0.25">
      <c r="A16" s="26" t="s">
        <v>904</v>
      </c>
      <c r="B16" s="26" t="s">
        <v>658</v>
      </c>
      <c r="C16" s="26" t="s">
        <v>659</v>
      </c>
      <c r="D16" s="26">
        <v>-3.4099999999999998E-2</v>
      </c>
      <c r="E16" s="26">
        <v>7.6398999999999995E-2</v>
      </c>
      <c r="F16" s="136">
        <v>45925.404351851852</v>
      </c>
      <c r="G16" s="26" t="str">
        <f t="shared" si="1"/>
        <v xml:space="preserve"> 2</v>
      </c>
      <c r="H16" s="26" t="s">
        <v>904</v>
      </c>
      <c r="I16" s="26" t="s">
        <v>867</v>
      </c>
      <c r="J16" s="26" t="s">
        <v>659</v>
      </c>
      <c r="K16" s="26">
        <v>3.0569999999999999</v>
      </c>
      <c r="L16" s="26">
        <v>0.21862699999999999</v>
      </c>
      <c r="M16" s="136">
        <v>45925.493287037039</v>
      </c>
      <c r="N16" s="26"/>
      <c r="O16" s="26" t="s">
        <v>904</v>
      </c>
      <c r="P16" s="26" t="s">
        <v>902</v>
      </c>
      <c r="Q16" s="26" t="s">
        <v>673</v>
      </c>
      <c r="R16" s="26">
        <v>-4.0000000000000001E-3</v>
      </c>
      <c r="S16" s="26">
        <v>1.109E-3</v>
      </c>
      <c r="T16" s="136">
        <v>45925.572951388887</v>
      </c>
      <c r="V16" s="120" t="s">
        <v>699</v>
      </c>
      <c r="W16" s="105" t="s">
        <v>938</v>
      </c>
      <c r="X16" s="105">
        <v>0.1193</v>
      </c>
      <c r="Y16" s="105">
        <v>2.2709999999999999</v>
      </c>
      <c r="Z16" s="105">
        <v>1E-3</v>
      </c>
    </row>
    <row r="17" spans="1:26" x14ac:dyDescent="0.25">
      <c r="A17" s="26" t="s">
        <v>881</v>
      </c>
      <c r="B17" s="26" t="s">
        <v>658</v>
      </c>
      <c r="C17" s="26" t="s">
        <v>659</v>
      </c>
      <c r="D17" s="26">
        <v>-3.4099999999999998E-2</v>
      </c>
      <c r="E17" s="26">
        <v>7.6419000000000001E-2</v>
      </c>
      <c r="F17" s="136">
        <v>45925.718726851854</v>
      </c>
      <c r="G17" s="26" t="str">
        <f t="shared" si="1"/>
        <v xml:space="preserve"> 3</v>
      </c>
      <c r="H17" s="26" t="s">
        <v>881</v>
      </c>
      <c r="I17" s="26" t="s">
        <v>867</v>
      </c>
      <c r="J17" s="26" t="s">
        <v>659</v>
      </c>
      <c r="K17" s="26">
        <v>2.113</v>
      </c>
      <c r="L17" s="26">
        <v>0.159774</v>
      </c>
      <c r="M17" s="136">
        <v>45925.793645833335</v>
      </c>
      <c r="N17" s="26"/>
      <c r="O17" s="26" t="s">
        <v>881</v>
      </c>
      <c r="P17" s="26" t="s">
        <v>902</v>
      </c>
      <c r="Q17" s="26" t="s">
        <v>673</v>
      </c>
      <c r="R17" s="26">
        <v>0</v>
      </c>
      <c r="S17" s="26">
        <v>1.1540000000000001E-3</v>
      </c>
      <c r="T17" s="136">
        <v>45926.421273148146</v>
      </c>
      <c r="V17" s="120" t="s">
        <v>700</v>
      </c>
      <c r="W17" s="105" t="s">
        <v>939</v>
      </c>
      <c r="X17" s="105">
        <v>-2.4400000000000002E-2</v>
      </c>
      <c r="Y17" s="105">
        <v>1.92</v>
      </c>
      <c r="Z17" s="105">
        <v>-1E-3</v>
      </c>
    </row>
    <row r="18" spans="1:26" x14ac:dyDescent="0.25">
      <c r="A18" s="26" t="s">
        <v>905</v>
      </c>
      <c r="B18" s="26" t="s">
        <v>658</v>
      </c>
      <c r="C18" s="26" t="s">
        <v>659</v>
      </c>
      <c r="D18" s="26">
        <v>-3.8600000000000002E-2</v>
      </c>
      <c r="E18" s="26">
        <v>7.4045E-2</v>
      </c>
      <c r="F18" s="136">
        <v>45925.40587962963</v>
      </c>
      <c r="G18" s="26" t="str">
        <f t="shared" si="1"/>
        <v xml:space="preserve"> 4</v>
      </c>
      <c r="H18" s="26" t="s">
        <v>905</v>
      </c>
      <c r="I18" s="26" t="s">
        <v>867</v>
      </c>
      <c r="J18" s="26" t="s">
        <v>659</v>
      </c>
      <c r="K18" s="26">
        <v>1.4079999999999999</v>
      </c>
      <c r="L18" s="26">
        <v>0.115728</v>
      </c>
      <c r="M18" s="136">
        <v>45925.494884259257</v>
      </c>
      <c r="N18" s="26"/>
      <c r="O18" s="26" t="s">
        <v>905</v>
      </c>
      <c r="P18" s="26" t="s">
        <v>902</v>
      </c>
      <c r="Q18" s="26" t="s">
        <v>673</v>
      </c>
      <c r="R18" s="26">
        <v>-3.0000000000000001E-3</v>
      </c>
      <c r="S18" s="26">
        <v>1.5939999999999999E-3</v>
      </c>
      <c r="T18" s="136">
        <v>45925.573888888888</v>
      </c>
      <c r="V18" s="120" t="s">
        <v>701</v>
      </c>
      <c r="W18" s="105" t="s">
        <v>940</v>
      </c>
      <c r="X18" s="105">
        <v>-1.0200000000000001E-2</v>
      </c>
      <c r="Y18" s="105">
        <v>1.8029999999999999</v>
      </c>
      <c r="Z18" s="105">
        <v>-1E-3</v>
      </c>
    </row>
    <row r="19" spans="1:26" x14ac:dyDescent="0.25">
      <c r="A19" s="26" t="s">
        <v>882</v>
      </c>
      <c r="B19" s="26" t="s">
        <v>658</v>
      </c>
      <c r="C19" s="26" t="s">
        <v>659</v>
      </c>
      <c r="D19" s="26">
        <v>-3.4700000000000002E-2</v>
      </c>
      <c r="E19" s="26">
        <v>7.6072000000000001E-2</v>
      </c>
      <c r="F19" s="136">
        <v>45925.720243055555</v>
      </c>
      <c r="G19" s="26" t="str">
        <f t="shared" si="1"/>
        <v xml:space="preserve"> 5</v>
      </c>
      <c r="H19" s="26" t="s">
        <v>882</v>
      </c>
      <c r="I19" s="26" t="s">
        <v>867</v>
      </c>
      <c r="J19" s="26" t="s">
        <v>659</v>
      </c>
      <c r="K19" s="26">
        <v>0.80700000000000005</v>
      </c>
      <c r="L19" s="26">
        <v>7.8241000000000005E-2</v>
      </c>
      <c r="M19" s="136">
        <v>45925.798483796294</v>
      </c>
      <c r="N19" s="26"/>
      <c r="O19" s="26" t="s">
        <v>882</v>
      </c>
      <c r="P19" s="26" t="s">
        <v>902</v>
      </c>
      <c r="Q19" s="26" t="s">
        <v>673</v>
      </c>
      <c r="R19" s="26">
        <v>3.0000000000000001E-3</v>
      </c>
      <c r="S19" s="26">
        <v>2.2230000000000001E-3</v>
      </c>
      <c r="T19" s="136">
        <v>45926.422199074077</v>
      </c>
      <c r="V19" s="120" t="s">
        <v>702</v>
      </c>
      <c r="W19" s="105" t="s">
        <v>941</v>
      </c>
      <c r="X19" s="105">
        <v>-1.9699999999999999E-2</v>
      </c>
      <c r="Y19" s="105">
        <v>2.2029999999999998</v>
      </c>
      <c r="Z19" s="105">
        <v>-1E-3</v>
      </c>
    </row>
    <row r="20" spans="1:26" x14ac:dyDescent="0.25">
      <c r="A20" s="26" t="s">
        <v>883</v>
      </c>
      <c r="B20" s="26" t="s">
        <v>658</v>
      </c>
      <c r="C20" s="26" t="s">
        <v>659</v>
      </c>
      <c r="D20" s="26">
        <v>-3.6200000000000003E-2</v>
      </c>
      <c r="E20" s="26">
        <v>7.5306999999999999E-2</v>
      </c>
      <c r="F20" s="136">
        <v>45925.724814814814</v>
      </c>
      <c r="G20" s="26" t="str">
        <f t="shared" si="1"/>
        <v xml:space="preserve"> 6</v>
      </c>
      <c r="H20" s="26" t="s">
        <v>883</v>
      </c>
      <c r="I20" s="26" t="s">
        <v>867</v>
      </c>
      <c r="J20" s="26" t="s">
        <v>659</v>
      </c>
      <c r="K20" s="26">
        <v>0.436</v>
      </c>
      <c r="L20" s="26">
        <v>5.5100999999999997E-2</v>
      </c>
      <c r="M20" s="136">
        <v>45925.800092592595</v>
      </c>
      <c r="N20" s="26"/>
      <c r="O20" s="26" t="s">
        <v>883</v>
      </c>
      <c r="P20" s="26" t="s">
        <v>902</v>
      </c>
      <c r="Q20" s="26" t="s">
        <v>673</v>
      </c>
      <c r="R20" s="26">
        <v>2E-3</v>
      </c>
      <c r="S20" s="26">
        <v>1.5640000000000001E-3</v>
      </c>
      <c r="T20" s="136">
        <v>45926.424988425926</v>
      </c>
      <c r="V20" s="120" t="s">
        <v>703</v>
      </c>
      <c r="W20" s="105" t="s">
        <v>942</v>
      </c>
      <c r="X20" s="105">
        <v>-2.7000000000000001E-3</v>
      </c>
      <c r="Y20" s="105">
        <v>2.5750000000000002</v>
      </c>
      <c r="Z20" s="105">
        <v>-1E-3</v>
      </c>
    </row>
    <row r="21" spans="1:26" x14ac:dyDescent="0.25">
      <c r="A21" s="26" t="s">
        <v>906</v>
      </c>
      <c r="B21" s="26" t="s">
        <v>658</v>
      </c>
      <c r="C21" s="26" t="s">
        <v>659</v>
      </c>
      <c r="D21" s="26">
        <v>-2.35E-2</v>
      </c>
      <c r="E21" s="26">
        <v>8.1991999999999995E-2</v>
      </c>
      <c r="F21" s="136">
        <v>45925.407407407409</v>
      </c>
      <c r="G21" s="26" t="str">
        <f t="shared" si="1"/>
        <v xml:space="preserve"> 7</v>
      </c>
      <c r="H21" s="26" t="s">
        <v>906</v>
      </c>
      <c r="I21" s="26" t="s">
        <v>867</v>
      </c>
      <c r="J21" s="26" t="s">
        <v>659</v>
      </c>
      <c r="K21" s="26">
        <v>4.1449999999999996</v>
      </c>
      <c r="L21" s="26">
        <v>0.28653600000000001</v>
      </c>
      <c r="M21" s="136">
        <v>45925.496493055558</v>
      </c>
      <c r="N21" s="26"/>
      <c r="O21" s="26" t="s">
        <v>906</v>
      </c>
      <c r="P21" s="26" t="s">
        <v>902</v>
      </c>
      <c r="Q21" s="26" t="s">
        <v>673</v>
      </c>
      <c r="R21" s="26">
        <v>-4.0000000000000001E-3</v>
      </c>
      <c r="S21" s="26">
        <v>1.2279999999999999E-3</v>
      </c>
      <c r="T21" s="136">
        <v>45925.574826388889</v>
      </c>
      <c r="V21" s="121" t="s">
        <v>704</v>
      </c>
      <c r="W21" s="29" t="s">
        <v>943</v>
      </c>
      <c r="X21" s="29">
        <v>8.3099999999999993E-2</v>
      </c>
      <c r="Y21" s="29">
        <v>-0.13200000000000001</v>
      </c>
      <c r="Z21" s="29">
        <v>3.4000000000000002E-2</v>
      </c>
    </row>
    <row r="22" spans="1:26" x14ac:dyDescent="0.25">
      <c r="A22" s="26" t="s">
        <v>907</v>
      </c>
      <c r="B22" s="26" t="s">
        <v>658</v>
      </c>
      <c r="C22" s="26" t="s">
        <v>659</v>
      </c>
      <c r="D22" s="26">
        <v>-2.9600000000000001E-2</v>
      </c>
      <c r="E22" s="26">
        <v>7.8785999999999995E-2</v>
      </c>
      <c r="F22" s="136">
        <v>45925.408946759257</v>
      </c>
      <c r="G22" s="26" t="str">
        <f t="shared" si="1"/>
        <v xml:space="preserve"> 8</v>
      </c>
      <c r="H22" s="26" t="s">
        <v>907</v>
      </c>
      <c r="I22" s="26" t="s">
        <v>867</v>
      </c>
      <c r="J22" s="26" t="s">
        <v>659</v>
      </c>
      <c r="K22" s="26">
        <v>4.5599999999999996</v>
      </c>
      <c r="L22" s="26">
        <v>0.312471</v>
      </c>
      <c r="M22" s="136">
        <v>45925.498101851852</v>
      </c>
      <c r="N22" s="26"/>
      <c r="O22" s="26" t="s">
        <v>907</v>
      </c>
      <c r="P22" s="26" t="s">
        <v>902</v>
      </c>
      <c r="Q22" s="26" t="s">
        <v>673</v>
      </c>
      <c r="R22" s="26">
        <v>-5.0000000000000001E-3</v>
      </c>
      <c r="S22" s="26">
        <v>8.7200000000000005E-4</v>
      </c>
      <c r="T22" s="136">
        <v>45925.57576388889</v>
      </c>
      <c r="V22" s="121" t="s">
        <v>705</v>
      </c>
      <c r="W22" s="29" t="s">
        <v>944</v>
      </c>
      <c r="X22" s="29">
        <v>0.1138</v>
      </c>
      <c r="Y22" s="29">
        <v>-0.24</v>
      </c>
      <c r="Z22" s="29">
        <v>1E-3</v>
      </c>
    </row>
    <row r="23" spans="1:26" x14ac:dyDescent="0.25">
      <c r="A23" s="26" t="s">
        <v>884</v>
      </c>
      <c r="B23" s="26" t="s">
        <v>658</v>
      </c>
      <c r="C23" s="26" t="s">
        <v>659</v>
      </c>
      <c r="D23" s="26">
        <v>-3.4299999999999997E-2</v>
      </c>
      <c r="E23" s="26">
        <v>7.6307E-2</v>
      </c>
      <c r="F23" s="136">
        <v>45925.726331018515</v>
      </c>
      <c r="G23" s="26" t="str">
        <f t="shared" si="1"/>
        <v xml:space="preserve"> 9</v>
      </c>
      <c r="H23" s="26" t="s">
        <v>884</v>
      </c>
      <c r="I23" s="26" t="s">
        <v>867</v>
      </c>
      <c r="J23" s="26" t="s">
        <v>659</v>
      </c>
      <c r="K23" s="26">
        <v>4.7859999999999996</v>
      </c>
      <c r="L23" s="26">
        <v>0.32655299999999998</v>
      </c>
      <c r="M23" s="136">
        <v>45925.801701388889</v>
      </c>
      <c r="N23" s="26"/>
      <c r="O23" s="26" t="s">
        <v>884</v>
      </c>
      <c r="P23" s="26" t="s">
        <v>902</v>
      </c>
      <c r="Q23" s="26" t="s">
        <v>673</v>
      </c>
      <c r="R23" s="26">
        <v>1E-3</v>
      </c>
      <c r="S23" s="26">
        <v>1.5200000000000001E-3</v>
      </c>
      <c r="T23" s="136">
        <v>45926.42591435185</v>
      </c>
      <c r="V23" s="121" t="s">
        <v>706</v>
      </c>
      <c r="W23" s="29" t="s">
        <v>945</v>
      </c>
      <c r="X23" s="29">
        <v>-2.0299999999999999E-2</v>
      </c>
      <c r="Y23" s="29">
        <v>-0.224</v>
      </c>
      <c r="Z23" s="29">
        <v>1E-3</v>
      </c>
    </row>
    <row r="24" spans="1:26" x14ac:dyDescent="0.25">
      <c r="A24" s="26" t="s">
        <v>908</v>
      </c>
      <c r="B24" s="26" t="s">
        <v>658</v>
      </c>
      <c r="C24" s="26" t="s">
        <v>659</v>
      </c>
      <c r="D24" s="26">
        <v>-3.6499999999999998E-2</v>
      </c>
      <c r="E24" s="26">
        <v>7.5122999999999995E-2</v>
      </c>
      <c r="F24" s="136">
        <v>45925.410474537035</v>
      </c>
      <c r="G24" s="26" t="str">
        <f t="shared" si="1"/>
        <v>10</v>
      </c>
      <c r="H24" s="26" t="s">
        <v>908</v>
      </c>
      <c r="I24" s="26" t="s">
        <v>867</v>
      </c>
      <c r="J24" s="26" t="s">
        <v>659</v>
      </c>
      <c r="K24" s="26">
        <v>4.5819999999999999</v>
      </c>
      <c r="L24" s="26">
        <v>0.31382199999999999</v>
      </c>
      <c r="M24" s="136">
        <v>45925.4997337963</v>
      </c>
      <c r="N24" s="26"/>
      <c r="O24" s="26" t="s">
        <v>908</v>
      </c>
      <c r="P24" s="26" t="s">
        <v>902</v>
      </c>
      <c r="Q24" s="26" t="s">
        <v>673</v>
      </c>
      <c r="R24" s="26">
        <v>-5.0000000000000001E-3</v>
      </c>
      <c r="S24" s="26">
        <v>8.8199999999999997E-4</v>
      </c>
      <c r="T24" s="136">
        <v>45925.57671296296</v>
      </c>
      <c r="V24" s="121" t="s">
        <v>707</v>
      </c>
      <c r="W24" s="29" t="s">
        <v>946</v>
      </c>
      <c r="X24" s="29">
        <v>8.7499999999999994E-2</v>
      </c>
      <c r="Y24" s="29">
        <v>-0.13400000000000001</v>
      </c>
      <c r="Z24" s="29">
        <v>2E-3</v>
      </c>
    </row>
    <row r="25" spans="1:26" x14ac:dyDescent="0.25">
      <c r="A25" s="26" t="s">
        <v>885</v>
      </c>
      <c r="B25" s="26" t="s">
        <v>658</v>
      </c>
      <c r="C25" s="26" t="s">
        <v>659</v>
      </c>
      <c r="D25" s="26">
        <v>-2.2800000000000001E-2</v>
      </c>
      <c r="E25" s="26">
        <v>8.2334000000000004E-2</v>
      </c>
      <c r="F25" s="136">
        <v>45925.727847222224</v>
      </c>
      <c r="G25" s="26" t="str">
        <f t="shared" si="1"/>
        <v>11</v>
      </c>
      <c r="H25" s="26" t="s">
        <v>885</v>
      </c>
      <c r="I25" s="26" t="s">
        <v>867</v>
      </c>
      <c r="J25" s="26" t="s">
        <v>659</v>
      </c>
      <c r="K25" s="26">
        <v>4.3689999999999998</v>
      </c>
      <c r="L25" s="26">
        <v>0.30050100000000002</v>
      </c>
      <c r="M25" s="136">
        <v>45925.80332175926</v>
      </c>
      <c r="N25" s="26"/>
      <c r="O25" s="26" t="s">
        <v>885</v>
      </c>
      <c r="P25" s="26" t="s">
        <v>902</v>
      </c>
      <c r="Q25" s="26" t="s">
        <v>673</v>
      </c>
      <c r="R25" s="26">
        <v>0</v>
      </c>
      <c r="S25" s="26">
        <v>9.59E-4</v>
      </c>
      <c r="T25" s="136">
        <v>45926.426828703705</v>
      </c>
      <c r="V25" s="121" t="s">
        <v>708</v>
      </c>
      <c r="W25" s="29" t="s">
        <v>947</v>
      </c>
      <c r="X25" s="29">
        <v>0.14699999999999999</v>
      </c>
      <c r="Y25" s="29">
        <v>-0.122</v>
      </c>
      <c r="Z25" s="29">
        <v>4.0000000000000001E-3</v>
      </c>
    </row>
    <row r="26" spans="1:26" x14ac:dyDescent="0.25">
      <c r="A26" s="26" t="s">
        <v>886</v>
      </c>
      <c r="B26" s="26" t="s">
        <v>658</v>
      </c>
      <c r="C26" s="26" t="s">
        <v>659</v>
      </c>
      <c r="D26" s="26">
        <v>-3.7499999999999999E-2</v>
      </c>
      <c r="E26" s="26">
        <v>7.4604000000000004E-2</v>
      </c>
      <c r="F26" s="136">
        <v>45925.729363425926</v>
      </c>
      <c r="G26" s="26" t="str">
        <f t="shared" si="1"/>
        <v>12</v>
      </c>
      <c r="H26" s="26" t="s">
        <v>886</v>
      </c>
      <c r="I26" s="26" t="s">
        <v>867</v>
      </c>
      <c r="J26" s="26" t="s">
        <v>659</v>
      </c>
      <c r="K26" s="26">
        <v>4.952</v>
      </c>
      <c r="L26" s="26">
        <v>0.33688299999999999</v>
      </c>
      <c r="M26" s="136">
        <v>45925.804930555554</v>
      </c>
      <c r="N26" s="26"/>
      <c r="O26" s="26" t="s">
        <v>886</v>
      </c>
      <c r="P26" s="26" t="s">
        <v>902</v>
      </c>
      <c r="Q26" s="26" t="s">
        <v>673</v>
      </c>
      <c r="R26" s="26">
        <v>0</v>
      </c>
      <c r="S26" s="26">
        <v>1.0349999999999999E-3</v>
      </c>
      <c r="T26" s="136">
        <v>45926.427754629629</v>
      </c>
      <c r="V26" s="121" t="s">
        <v>709</v>
      </c>
      <c r="W26" s="29" t="s">
        <v>948</v>
      </c>
      <c r="X26" s="29">
        <v>1.2E-2</v>
      </c>
      <c r="Y26" s="29">
        <v>-8.8999999999999996E-2</v>
      </c>
      <c r="Z26" s="29">
        <v>0.01</v>
      </c>
    </row>
    <row r="27" spans="1:26" x14ac:dyDescent="0.25">
      <c r="A27" s="26" t="s">
        <v>909</v>
      </c>
      <c r="B27" s="26" t="s">
        <v>658</v>
      </c>
      <c r="C27" s="26" t="s">
        <v>659</v>
      </c>
      <c r="D27" s="26">
        <v>-3.6600000000000001E-2</v>
      </c>
      <c r="E27" s="26">
        <v>7.5082999999999997E-2</v>
      </c>
      <c r="F27" s="136">
        <v>45925.412002314813</v>
      </c>
      <c r="G27" s="26" t="str">
        <f t="shared" si="1"/>
        <v>13</v>
      </c>
      <c r="H27" s="26" t="s">
        <v>909</v>
      </c>
      <c r="I27" s="26" t="s">
        <v>867</v>
      </c>
      <c r="J27" s="26" t="s">
        <v>659</v>
      </c>
      <c r="K27" s="26">
        <v>0.32700000000000001</v>
      </c>
      <c r="L27" s="26">
        <v>4.8295999999999999E-2</v>
      </c>
      <c r="M27" s="136">
        <v>45925.501354166663</v>
      </c>
      <c r="N27" s="26"/>
      <c r="O27" s="26" t="s">
        <v>909</v>
      </c>
      <c r="P27" s="26" t="s">
        <v>902</v>
      </c>
      <c r="Q27" s="26" t="s">
        <v>673</v>
      </c>
      <c r="R27" s="26">
        <v>-4.0000000000000001E-3</v>
      </c>
      <c r="S27" s="26">
        <v>1.1839999999999999E-3</v>
      </c>
      <c r="T27" s="136">
        <v>45925.577650462961</v>
      </c>
      <c r="V27" s="121" t="s">
        <v>710</v>
      </c>
      <c r="W27" s="29" t="s">
        <v>949</v>
      </c>
      <c r="X27" s="29">
        <v>0.05</v>
      </c>
      <c r="Y27" s="29">
        <v>3.6999999999999998E-2</v>
      </c>
      <c r="Z27" s="29">
        <v>1E-3</v>
      </c>
    </row>
    <row r="28" spans="1:26" x14ac:dyDescent="0.25">
      <c r="A28" s="63" t="s">
        <v>910</v>
      </c>
      <c r="B28" s="63" t="s">
        <v>658</v>
      </c>
      <c r="C28" s="63" t="s">
        <v>659</v>
      </c>
      <c r="D28" s="63">
        <v>-4.0099999999999997E-2</v>
      </c>
      <c r="E28" s="63">
        <v>7.3233000000000006E-2</v>
      </c>
      <c r="F28" s="137">
        <v>45925.413530092592</v>
      </c>
      <c r="G28" s="63" t="str">
        <f t="shared" si="1"/>
        <v xml:space="preserve"> 1</v>
      </c>
      <c r="H28" s="63" t="s">
        <v>910</v>
      </c>
      <c r="I28" s="63" t="s">
        <v>867</v>
      </c>
      <c r="J28" s="63" t="s">
        <v>659</v>
      </c>
      <c r="K28" s="63">
        <v>2.9489999999999998</v>
      </c>
      <c r="L28" s="63">
        <v>0.21191299999999999</v>
      </c>
      <c r="M28" s="137">
        <v>45925.502962962964</v>
      </c>
      <c r="N28" s="63"/>
      <c r="O28" s="63" t="s">
        <v>910</v>
      </c>
      <c r="P28" s="63" t="s">
        <v>902</v>
      </c>
      <c r="Q28" s="63" t="s">
        <v>673</v>
      </c>
      <c r="R28" s="63">
        <v>-1E-3</v>
      </c>
      <c r="S28" s="63">
        <v>2.0470000000000002E-3</v>
      </c>
      <c r="T28" s="137">
        <v>45925.578587962962</v>
      </c>
      <c r="V28" s="121" t="s">
        <v>711</v>
      </c>
      <c r="W28" s="29" t="s">
        <v>950</v>
      </c>
      <c r="X28" s="29">
        <v>1.84E-2</v>
      </c>
      <c r="Y28" s="29">
        <v>-0.14299999999999999</v>
      </c>
      <c r="Z28" s="29">
        <v>1E-3</v>
      </c>
    </row>
    <row r="29" spans="1:26" x14ac:dyDescent="0.25">
      <c r="A29" s="63" t="s">
        <v>887</v>
      </c>
      <c r="B29" s="63" t="s">
        <v>658</v>
      </c>
      <c r="C29" s="63" t="s">
        <v>659</v>
      </c>
      <c r="D29" s="63">
        <v>-4.2000000000000003E-2</v>
      </c>
      <c r="E29" s="63">
        <v>7.2260000000000005E-2</v>
      </c>
      <c r="F29" s="137">
        <v>45925.730879629627</v>
      </c>
      <c r="G29" s="63" t="str">
        <f t="shared" si="1"/>
        <v xml:space="preserve"> 2</v>
      </c>
      <c r="H29" s="63" t="s">
        <v>887</v>
      </c>
      <c r="I29" s="63" t="s">
        <v>867</v>
      </c>
      <c r="J29" s="63" t="s">
        <v>659</v>
      </c>
      <c r="K29" s="63">
        <v>2.0310000000000001</v>
      </c>
      <c r="L29" s="63">
        <v>0.154636</v>
      </c>
      <c r="M29" s="137">
        <v>45925.806539351855</v>
      </c>
      <c r="N29" s="63"/>
      <c r="O29" s="63" t="s">
        <v>887</v>
      </c>
      <c r="P29" s="63" t="s">
        <v>902</v>
      </c>
      <c r="Q29" s="63" t="s">
        <v>673</v>
      </c>
      <c r="R29" s="63">
        <v>4.0000000000000001E-3</v>
      </c>
      <c r="S29" s="63">
        <v>2.4060000000000002E-3</v>
      </c>
      <c r="T29" s="137">
        <v>45926.428668981483</v>
      </c>
      <c r="V29" s="121" t="s">
        <v>712</v>
      </c>
      <c r="W29" s="29" t="s">
        <v>951</v>
      </c>
      <c r="X29" s="29">
        <v>0.13650000000000001</v>
      </c>
      <c r="Y29" s="29">
        <v>-0.14899999999999999</v>
      </c>
      <c r="Z29" s="29">
        <v>8.0000000000000002E-3</v>
      </c>
    </row>
    <row r="30" spans="1:26" x14ac:dyDescent="0.25">
      <c r="A30" s="63" t="s">
        <v>911</v>
      </c>
      <c r="B30" s="63" t="s">
        <v>658</v>
      </c>
      <c r="C30" s="63" t="s">
        <v>659</v>
      </c>
      <c r="D30" s="63">
        <v>-3.6999999999999998E-2</v>
      </c>
      <c r="E30" s="63">
        <v>7.4910000000000004E-2</v>
      </c>
      <c r="F30" s="137">
        <v>45925.415081018517</v>
      </c>
      <c r="G30" s="63" t="str">
        <f t="shared" si="1"/>
        <v xml:space="preserve"> 3</v>
      </c>
      <c r="H30" s="63" t="s">
        <v>911</v>
      </c>
      <c r="I30" s="63" t="s">
        <v>867</v>
      </c>
      <c r="J30" s="63" t="s">
        <v>659</v>
      </c>
      <c r="K30" s="63">
        <v>2.036</v>
      </c>
      <c r="L30" s="63">
        <v>0.154919</v>
      </c>
      <c r="M30" s="137">
        <v>45925.504571759258</v>
      </c>
      <c r="N30" s="63"/>
      <c r="O30" s="63" t="s">
        <v>911</v>
      </c>
      <c r="P30" s="63" t="s">
        <v>902</v>
      </c>
      <c r="Q30" s="63" t="s">
        <v>673</v>
      </c>
      <c r="R30" s="63">
        <v>-1E-3</v>
      </c>
      <c r="S30" s="63">
        <v>2.232E-3</v>
      </c>
      <c r="T30" s="137">
        <v>45925.579525462963</v>
      </c>
      <c r="V30" s="119" t="s">
        <v>713</v>
      </c>
      <c r="W30" s="26" t="s">
        <v>903</v>
      </c>
      <c r="X30" s="26">
        <v>-3.56E-2</v>
      </c>
      <c r="Y30" s="26">
        <v>3.9740000000000002</v>
      </c>
      <c r="Z30" s="26">
        <v>-5.0000000000000001E-3</v>
      </c>
    </row>
    <row r="31" spans="1:26" x14ac:dyDescent="0.25">
      <c r="A31" s="63" t="s">
        <v>888</v>
      </c>
      <c r="B31" s="63" t="s">
        <v>658</v>
      </c>
      <c r="C31" s="63" t="s">
        <v>659</v>
      </c>
      <c r="D31" s="63">
        <v>-2.92E-2</v>
      </c>
      <c r="E31" s="63">
        <v>7.8980999999999996E-2</v>
      </c>
      <c r="F31" s="137">
        <v>45925.732395833336</v>
      </c>
      <c r="G31" s="63" t="str">
        <f t="shared" si="1"/>
        <v xml:space="preserve"> 4</v>
      </c>
      <c r="H31" s="63" t="s">
        <v>888</v>
      </c>
      <c r="I31" s="63" t="s">
        <v>867</v>
      </c>
      <c r="J31" s="63" t="s">
        <v>659</v>
      </c>
      <c r="K31" s="63">
        <v>1.4870000000000001</v>
      </c>
      <c r="L31" s="63">
        <v>0.120661</v>
      </c>
      <c r="M31" s="137">
        <v>45925.808159722219</v>
      </c>
      <c r="N31" s="63"/>
      <c r="O31" s="63" t="s">
        <v>888</v>
      </c>
      <c r="P31" s="63" t="s">
        <v>902</v>
      </c>
      <c r="Q31" s="63" t="s">
        <v>673</v>
      </c>
      <c r="R31" s="63">
        <v>6.0000000000000001E-3</v>
      </c>
      <c r="S31" s="63">
        <v>3.0890000000000002E-3</v>
      </c>
      <c r="T31" s="137">
        <v>45926.429618055554</v>
      </c>
      <c r="V31" s="119" t="s">
        <v>714</v>
      </c>
      <c r="W31" s="26" t="s">
        <v>904</v>
      </c>
      <c r="X31" s="26">
        <v>-3.4099999999999998E-2</v>
      </c>
      <c r="Y31" s="26">
        <v>3.0569999999999999</v>
      </c>
      <c r="Z31" s="26">
        <v>-4.0000000000000001E-3</v>
      </c>
    </row>
    <row r="32" spans="1:26" x14ac:dyDescent="0.25">
      <c r="A32" s="63" t="s">
        <v>912</v>
      </c>
      <c r="B32" s="63" t="s">
        <v>658</v>
      </c>
      <c r="C32" s="63" t="s">
        <v>659</v>
      </c>
      <c r="D32" s="63">
        <v>-4.3900000000000002E-2</v>
      </c>
      <c r="E32" s="63">
        <v>7.1279999999999996E-2</v>
      </c>
      <c r="F32" s="137">
        <v>45925.416620370372</v>
      </c>
      <c r="G32" s="63" t="str">
        <f t="shared" si="1"/>
        <v xml:space="preserve"> 5</v>
      </c>
      <c r="H32" s="63" t="s">
        <v>912</v>
      </c>
      <c r="I32" s="63" t="s">
        <v>867</v>
      </c>
      <c r="J32" s="63" t="s">
        <v>659</v>
      </c>
      <c r="K32" s="63">
        <v>1.528</v>
      </c>
      <c r="L32" s="63">
        <v>0.123225</v>
      </c>
      <c r="M32" s="137">
        <v>45925.506180555552</v>
      </c>
      <c r="N32" s="63"/>
      <c r="O32" s="63" t="s">
        <v>912</v>
      </c>
      <c r="P32" s="63" t="s">
        <v>902</v>
      </c>
      <c r="Q32" s="63" t="s">
        <v>673</v>
      </c>
      <c r="R32" s="63">
        <v>6.0000000000000001E-3</v>
      </c>
      <c r="S32" s="63">
        <v>4.7359999999999998E-3</v>
      </c>
      <c r="T32" s="137">
        <v>45925.580451388887</v>
      </c>
      <c r="V32" s="119" t="s">
        <v>715</v>
      </c>
      <c r="W32" s="26" t="s">
        <v>881</v>
      </c>
      <c r="X32" s="26">
        <v>-3.4099999999999998E-2</v>
      </c>
      <c r="Y32" s="26">
        <v>2.113</v>
      </c>
      <c r="Z32" s="26">
        <v>0</v>
      </c>
    </row>
    <row r="33" spans="1:26" x14ac:dyDescent="0.25">
      <c r="A33" s="63" t="s">
        <v>913</v>
      </c>
      <c r="B33" s="63" t="s">
        <v>658</v>
      </c>
      <c r="C33" s="63" t="s">
        <v>659</v>
      </c>
      <c r="D33" s="63">
        <v>-3.4799999999999998E-2</v>
      </c>
      <c r="E33" s="63">
        <v>7.6040999999999997E-2</v>
      </c>
      <c r="F33" s="137">
        <v>45925.41814814815</v>
      </c>
      <c r="G33" s="63" t="str">
        <f t="shared" si="1"/>
        <v xml:space="preserve"> 6</v>
      </c>
      <c r="H33" s="63" t="s">
        <v>913</v>
      </c>
      <c r="I33" s="63" t="s">
        <v>867</v>
      </c>
      <c r="J33" s="63" t="s">
        <v>659</v>
      </c>
      <c r="K33" s="63">
        <v>1.7609999999999999</v>
      </c>
      <c r="L33" s="63">
        <v>0.13781299999999999</v>
      </c>
      <c r="M33" s="137">
        <v>45925.507789351854</v>
      </c>
      <c r="N33" s="63"/>
      <c r="O33" s="63" t="s">
        <v>913</v>
      </c>
      <c r="P33" s="63" t="s">
        <v>902</v>
      </c>
      <c r="Q33" s="63" t="s">
        <v>673</v>
      </c>
      <c r="R33" s="63">
        <v>8.9999999999999993E-3</v>
      </c>
      <c r="S33" s="63">
        <v>5.6940000000000003E-3</v>
      </c>
      <c r="T33" s="137">
        <v>45925.581388888888</v>
      </c>
      <c r="V33" s="119" t="s">
        <v>716</v>
      </c>
      <c r="W33" s="26" t="s">
        <v>905</v>
      </c>
      <c r="X33" s="26">
        <v>-3.8600000000000002E-2</v>
      </c>
      <c r="Y33" s="26">
        <v>1.4079999999999999</v>
      </c>
      <c r="Z33" s="26">
        <v>-3.0000000000000001E-3</v>
      </c>
    </row>
    <row r="34" spans="1:26" x14ac:dyDescent="0.25">
      <c r="A34" s="63" t="s">
        <v>914</v>
      </c>
      <c r="B34" s="63" t="s">
        <v>658</v>
      </c>
      <c r="C34" s="63" t="s">
        <v>659</v>
      </c>
      <c r="D34" s="63">
        <v>-3.8300000000000001E-2</v>
      </c>
      <c r="E34" s="63">
        <v>7.4207999999999996E-2</v>
      </c>
      <c r="F34" s="137">
        <v>45925.419675925928</v>
      </c>
      <c r="G34" s="63" t="str">
        <f t="shared" si="1"/>
        <v xml:space="preserve"> 7</v>
      </c>
      <c r="H34" s="63" t="s">
        <v>914</v>
      </c>
      <c r="I34" s="63" t="s">
        <v>867</v>
      </c>
      <c r="J34" s="63" t="s">
        <v>659</v>
      </c>
      <c r="K34" s="63">
        <v>2.9569999999999999</v>
      </c>
      <c r="L34" s="63">
        <v>0.21241399999999999</v>
      </c>
      <c r="M34" s="137">
        <v>45925.509398148148</v>
      </c>
      <c r="N34" s="63"/>
      <c r="O34" s="63" t="s">
        <v>914</v>
      </c>
      <c r="P34" s="63" t="s">
        <v>902</v>
      </c>
      <c r="Q34" s="63" t="s">
        <v>673</v>
      </c>
      <c r="R34" s="63">
        <v>-3.0000000000000001E-3</v>
      </c>
      <c r="S34" s="63">
        <v>1.4760000000000001E-3</v>
      </c>
      <c r="T34" s="137">
        <v>45925.582314814812</v>
      </c>
      <c r="V34" s="119" t="s">
        <v>717</v>
      </c>
      <c r="W34" s="26" t="s">
        <v>882</v>
      </c>
      <c r="X34" s="26">
        <v>-3.4700000000000002E-2</v>
      </c>
      <c r="Y34" s="26">
        <v>0.80700000000000005</v>
      </c>
      <c r="Z34" s="26">
        <v>3.0000000000000001E-3</v>
      </c>
    </row>
    <row r="35" spans="1:26" x14ac:dyDescent="0.25">
      <c r="A35" s="63" t="s">
        <v>915</v>
      </c>
      <c r="B35" s="63" t="s">
        <v>658</v>
      </c>
      <c r="C35" s="63" t="s">
        <v>659</v>
      </c>
      <c r="D35" s="63">
        <v>-3.7600000000000001E-2</v>
      </c>
      <c r="E35" s="63">
        <v>7.4542999999999998E-2</v>
      </c>
      <c r="F35" s="137">
        <v>45925.421203703707</v>
      </c>
      <c r="G35" s="63" t="str">
        <f t="shared" si="1"/>
        <v xml:space="preserve"> 8</v>
      </c>
      <c r="H35" s="63" t="s">
        <v>915</v>
      </c>
      <c r="I35" s="63" t="s">
        <v>867</v>
      </c>
      <c r="J35" s="63" t="s">
        <v>659</v>
      </c>
      <c r="K35" s="63">
        <v>2.8109999999999999</v>
      </c>
      <c r="L35" s="63">
        <v>0.20329700000000001</v>
      </c>
      <c r="M35" s="137">
        <v>45925.511006944442</v>
      </c>
      <c r="N35" s="63"/>
      <c r="O35" s="63" t="s">
        <v>915</v>
      </c>
      <c r="P35" s="63" t="s">
        <v>902</v>
      </c>
      <c r="Q35" s="63" t="s">
        <v>673</v>
      </c>
      <c r="R35" s="63">
        <v>-4.0000000000000001E-3</v>
      </c>
      <c r="S35" s="63">
        <v>1.152E-3</v>
      </c>
      <c r="T35" s="137">
        <v>45925.583252314813</v>
      </c>
      <c r="V35" s="119" t="s">
        <v>718</v>
      </c>
      <c r="W35" s="26" t="s">
        <v>883</v>
      </c>
      <c r="X35" s="26">
        <v>-3.6200000000000003E-2</v>
      </c>
      <c r="Y35" s="26">
        <v>0.436</v>
      </c>
      <c r="Z35" s="26">
        <v>2E-3</v>
      </c>
    </row>
    <row r="36" spans="1:26" x14ac:dyDescent="0.25">
      <c r="A36" s="63" t="s">
        <v>916</v>
      </c>
      <c r="B36" s="63" t="s">
        <v>658</v>
      </c>
      <c r="C36" s="63" t="s">
        <v>659</v>
      </c>
      <c r="D36" s="63">
        <v>-3.6999999999999998E-2</v>
      </c>
      <c r="E36" s="63">
        <v>7.4879000000000001E-2</v>
      </c>
      <c r="F36" s="137">
        <v>45925.422731481478</v>
      </c>
      <c r="G36" s="63" t="str">
        <f t="shared" si="1"/>
        <v xml:space="preserve"> 9</v>
      </c>
      <c r="H36" s="63" t="s">
        <v>916</v>
      </c>
      <c r="I36" s="63" t="s">
        <v>867</v>
      </c>
      <c r="J36" s="63" t="s">
        <v>659</v>
      </c>
      <c r="K36" s="63">
        <v>3.8530000000000002</v>
      </c>
      <c r="L36" s="63">
        <v>0.268322</v>
      </c>
      <c r="M36" s="137">
        <v>45925.512615740743</v>
      </c>
      <c r="N36" s="63"/>
      <c r="O36" s="63" t="s">
        <v>916</v>
      </c>
      <c r="P36" s="63" t="s">
        <v>902</v>
      </c>
      <c r="Q36" s="63" t="s">
        <v>673</v>
      </c>
      <c r="R36" s="63">
        <v>-4.0000000000000001E-3</v>
      </c>
      <c r="S36" s="63">
        <v>1.227E-3</v>
      </c>
      <c r="T36" s="137">
        <v>45925.584178240744</v>
      </c>
      <c r="V36" s="119" t="s">
        <v>719</v>
      </c>
      <c r="W36" s="26" t="s">
        <v>906</v>
      </c>
      <c r="X36" s="26">
        <v>-2.35E-2</v>
      </c>
      <c r="Y36" s="26">
        <v>4.1449999999999996</v>
      </c>
      <c r="Z36" s="26">
        <v>-4.0000000000000001E-3</v>
      </c>
    </row>
    <row r="37" spans="1:26" x14ac:dyDescent="0.25">
      <c r="A37" s="63" t="s">
        <v>917</v>
      </c>
      <c r="B37" s="63" t="s">
        <v>658</v>
      </c>
      <c r="C37" s="63" t="s">
        <v>659</v>
      </c>
      <c r="D37" s="63">
        <v>-3.49E-2</v>
      </c>
      <c r="E37" s="63">
        <v>7.5990000000000002E-2</v>
      </c>
      <c r="F37" s="137">
        <v>45925.424259259256</v>
      </c>
      <c r="G37" s="63" t="str">
        <f t="shared" si="1"/>
        <v>10</v>
      </c>
      <c r="H37" s="63" t="s">
        <v>917</v>
      </c>
      <c r="I37" s="63" t="s">
        <v>867</v>
      </c>
      <c r="J37" s="63" t="s">
        <v>659</v>
      </c>
      <c r="K37" s="63">
        <v>3.15</v>
      </c>
      <c r="L37" s="63">
        <v>0.224436</v>
      </c>
      <c r="M37" s="137">
        <v>45925.517453703702</v>
      </c>
      <c r="N37" s="63"/>
      <c r="O37" s="63" t="s">
        <v>917</v>
      </c>
      <c r="P37" s="63" t="s">
        <v>902</v>
      </c>
      <c r="Q37" s="63" t="s">
        <v>673</v>
      </c>
      <c r="R37" s="63">
        <v>-4.0000000000000001E-3</v>
      </c>
      <c r="S37" s="63">
        <v>1.023E-3</v>
      </c>
      <c r="T37" s="137">
        <v>45925.585104166668</v>
      </c>
      <c r="V37" s="119" t="s">
        <v>720</v>
      </c>
      <c r="W37" s="26" t="s">
        <v>907</v>
      </c>
      <c r="X37" s="26">
        <v>-2.9600000000000001E-2</v>
      </c>
      <c r="Y37" s="26">
        <v>4.5599999999999996</v>
      </c>
      <c r="Z37" s="26">
        <v>-5.0000000000000001E-3</v>
      </c>
    </row>
    <row r="38" spans="1:26" x14ac:dyDescent="0.25">
      <c r="A38" s="63" t="s">
        <v>918</v>
      </c>
      <c r="B38" s="63" t="s">
        <v>658</v>
      </c>
      <c r="C38" s="63" t="s">
        <v>659</v>
      </c>
      <c r="D38" s="63">
        <v>-1.9800000000000002E-2</v>
      </c>
      <c r="E38" s="63">
        <v>8.3942000000000003E-2</v>
      </c>
      <c r="F38" s="137">
        <v>45925.428819444445</v>
      </c>
      <c r="G38" s="63" t="str">
        <f t="shared" si="1"/>
        <v>11</v>
      </c>
      <c r="H38" s="63" t="s">
        <v>918</v>
      </c>
      <c r="I38" s="63" t="s">
        <v>867</v>
      </c>
      <c r="J38" s="63" t="s">
        <v>659</v>
      </c>
      <c r="K38" s="63">
        <v>3.867</v>
      </c>
      <c r="L38" s="63">
        <v>0.26922400000000002</v>
      </c>
      <c r="M38" s="137">
        <v>45925.519074074073</v>
      </c>
      <c r="N38" s="63"/>
      <c r="O38" s="63" t="s">
        <v>918</v>
      </c>
      <c r="P38" s="63" t="s">
        <v>902</v>
      </c>
      <c r="Q38" s="63" t="s">
        <v>673</v>
      </c>
      <c r="R38" s="63">
        <v>-5.0000000000000001E-3</v>
      </c>
      <c r="S38" s="63">
        <v>9.3700000000000001E-4</v>
      </c>
      <c r="T38" s="137">
        <v>45925.587881944448</v>
      </c>
      <c r="V38" s="119" t="s">
        <v>721</v>
      </c>
      <c r="W38" s="26" t="s">
        <v>884</v>
      </c>
      <c r="X38" s="26">
        <v>-3.4299999999999997E-2</v>
      </c>
      <c r="Y38" s="26">
        <v>4.7859999999999996</v>
      </c>
      <c r="Z38" s="26">
        <v>1E-3</v>
      </c>
    </row>
    <row r="39" spans="1:26" x14ac:dyDescent="0.25">
      <c r="A39" s="63" t="s">
        <v>919</v>
      </c>
      <c r="B39" s="63" t="s">
        <v>658</v>
      </c>
      <c r="C39" s="63" t="s">
        <v>659</v>
      </c>
      <c r="D39" s="63">
        <v>-3.4700000000000002E-2</v>
      </c>
      <c r="E39" s="63">
        <v>7.6113E-2</v>
      </c>
      <c r="F39" s="137">
        <v>45925.430335648147</v>
      </c>
      <c r="G39" s="63" t="str">
        <f t="shared" si="1"/>
        <v>12</v>
      </c>
      <c r="H39" s="63" t="s">
        <v>919</v>
      </c>
      <c r="I39" s="63" t="s">
        <v>867</v>
      </c>
      <c r="J39" s="63" t="s">
        <v>659</v>
      </c>
      <c r="K39" s="63">
        <v>4.0540000000000003</v>
      </c>
      <c r="L39" s="63">
        <v>0.28085599999999999</v>
      </c>
      <c r="M39" s="137">
        <v>45925.520682870374</v>
      </c>
      <c r="N39" s="63"/>
      <c r="O39" s="63" t="s">
        <v>919</v>
      </c>
      <c r="P39" s="63" t="s">
        <v>902</v>
      </c>
      <c r="Q39" s="63" t="s">
        <v>673</v>
      </c>
      <c r="R39" s="63">
        <v>-4.0000000000000001E-3</v>
      </c>
      <c r="S39" s="63">
        <v>1.163E-3</v>
      </c>
      <c r="T39" s="137">
        <v>45925.588807870372</v>
      </c>
      <c r="V39" s="119" t="s">
        <v>722</v>
      </c>
      <c r="W39" s="26" t="s">
        <v>908</v>
      </c>
      <c r="X39" s="26">
        <v>-3.6499999999999998E-2</v>
      </c>
      <c r="Y39" s="26">
        <v>4.5819999999999999</v>
      </c>
      <c r="Z39" s="26">
        <v>-5.0000000000000001E-3</v>
      </c>
    </row>
    <row r="40" spans="1:26" x14ac:dyDescent="0.25">
      <c r="A40" s="63" t="s">
        <v>920</v>
      </c>
      <c r="B40" s="63" t="s">
        <v>658</v>
      </c>
      <c r="C40" s="63" t="s">
        <v>659</v>
      </c>
      <c r="D40" s="63">
        <v>-3.2800000000000003E-2</v>
      </c>
      <c r="E40" s="63">
        <v>7.7104000000000006E-2</v>
      </c>
      <c r="F40" s="137">
        <v>45925.431863425925</v>
      </c>
      <c r="G40" s="63" t="str">
        <f t="shared" si="1"/>
        <v>13</v>
      </c>
      <c r="H40" s="63" t="s">
        <v>920</v>
      </c>
      <c r="I40" s="63" t="s">
        <v>867</v>
      </c>
      <c r="J40" s="63" t="s">
        <v>659</v>
      </c>
      <c r="K40" s="63">
        <v>1.593</v>
      </c>
      <c r="L40" s="63">
        <v>0.12729799999999999</v>
      </c>
      <c r="M40" s="137">
        <v>45925.522291666668</v>
      </c>
      <c r="N40" s="63"/>
      <c r="O40" s="63" t="s">
        <v>920</v>
      </c>
      <c r="P40" s="63" t="s">
        <v>902</v>
      </c>
      <c r="Q40" s="63" t="s">
        <v>673</v>
      </c>
      <c r="R40" s="63">
        <v>1.2999999999999999E-2</v>
      </c>
      <c r="S40" s="63">
        <v>7.1780000000000004E-3</v>
      </c>
      <c r="T40" s="137">
        <v>45925.589733796296</v>
      </c>
      <c r="V40" s="119" t="s">
        <v>723</v>
      </c>
      <c r="W40" s="26" t="s">
        <v>885</v>
      </c>
      <c r="X40" s="26">
        <v>-2.2800000000000001E-2</v>
      </c>
      <c r="Y40" s="26">
        <v>4.3689999999999998</v>
      </c>
      <c r="Z40" s="26">
        <v>0</v>
      </c>
    </row>
    <row r="41" spans="1:26" x14ac:dyDescent="0.25">
      <c r="A41" s="63" t="s">
        <v>921</v>
      </c>
      <c r="B41" s="63" t="s">
        <v>658</v>
      </c>
      <c r="C41" s="63" t="s">
        <v>659</v>
      </c>
      <c r="D41" s="63">
        <v>-0.04</v>
      </c>
      <c r="E41" s="63">
        <v>7.3284000000000002E-2</v>
      </c>
      <c r="F41" s="137">
        <v>45925.433379629627</v>
      </c>
      <c r="G41" s="63" t="str">
        <f t="shared" si="1"/>
        <v>14</v>
      </c>
      <c r="H41" s="63" t="s">
        <v>921</v>
      </c>
      <c r="I41" s="63" t="s">
        <v>867</v>
      </c>
      <c r="J41" s="63" t="s">
        <v>659</v>
      </c>
      <c r="K41" s="63">
        <v>4.173</v>
      </c>
      <c r="L41" s="63">
        <v>0.288323</v>
      </c>
      <c r="M41" s="137">
        <v>45925.523912037039</v>
      </c>
      <c r="N41" s="63"/>
      <c r="O41" s="63" t="s">
        <v>921</v>
      </c>
      <c r="P41" s="63" t="s">
        <v>902</v>
      </c>
      <c r="Q41" s="63" t="s">
        <v>673</v>
      </c>
      <c r="R41" s="63">
        <v>-3.0000000000000001E-3</v>
      </c>
      <c r="S41" s="63">
        <v>1.325E-3</v>
      </c>
      <c r="T41" s="137">
        <v>45925.59065972222</v>
      </c>
      <c r="V41" s="119" t="s">
        <v>724</v>
      </c>
      <c r="W41" s="26" t="s">
        <v>886</v>
      </c>
      <c r="X41" s="26">
        <v>-3.7499999999999999E-2</v>
      </c>
      <c r="Y41" s="26">
        <v>4.952</v>
      </c>
      <c r="Z41" s="26">
        <v>0</v>
      </c>
    </row>
    <row r="42" spans="1:26" x14ac:dyDescent="0.25">
      <c r="A42" s="63" t="s">
        <v>922</v>
      </c>
      <c r="B42" s="63" t="s">
        <v>658</v>
      </c>
      <c r="C42" s="63" t="s">
        <v>659</v>
      </c>
      <c r="D42" s="63">
        <v>-3.3599999999999998E-2</v>
      </c>
      <c r="E42" s="63">
        <v>7.6644000000000004E-2</v>
      </c>
      <c r="F42" s="137">
        <v>45925.434895833336</v>
      </c>
      <c r="G42" s="63" t="str">
        <f t="shared" si="1"/>
        <v>15</v>
      </c>
      <c r="H42" s="63" t="s">
        <v>922</v>
      </c>
      <c r="I42" s="63" t="s">
        <v>867</v>
      </c>
      <c r="J42" s="63" t="s">
        <v>659</v>
      </c>
      <c r="K42" s="63">
        <v>1.833</v>
      </c>
      <c r="L42" s="63">
        <v>0.14229800000000001</v>
      </c>
      <c r="M42" s="137">
        <v>45925.525520833333</v>
      </c>
      <c r="N42" s="63"/>
      <c r="O42" s="63" t="s">
        <v>922</v>
      </c>
      <c r="P42" s="63" t="s">
        <v>902</v>
      </c>
      <c r="Q42" s="63" t="s">
        <v>673</v>
      </c>
      <c r="R42" s="63">
        <v>3.0000000000000001E-3</v>
      </c>
      <c r="S42" s="63">
        <v>3.7360000000000002E-3</v>
      </c>
      <c r="T42" s="137">
        <v>45925.591574074075</v>
      </c>
      <c r="V42" s="119" t="s">
        <v>725</v>
      </c>
      <c r="W42" s="26" t="s">
        <v>909</v>
      </c>
      <c r="X42" s="26">
        <v>-3.6600000000000001E-2</v>
      </c>
      <c r="Y42" s="26">
        <v>0.32700000000000001</v>
      </c>
      <c r="Z42" s="26">
        <v>-4.0000000000000001E-3</v>
      </c>
    </row>
    <row r="43" spans="1:26" x14ac:dyDescent="0.25">
      <c r="A43" s="63" t="s">
        <v>889</v>
      </c>
      <c r="B43" s="63" t="s">
        <v>658</v>
      </c>
      <c r="C43" s="63" t="s">
        <v>659</v>
      </c>
      <c r="D43" s="63">
        <v>-4.0800000000000003E-2</v>
      </c>
      <c r="E43" s="63">
        <v>7.2877999999999998E-2</v>
      </c>
      <c r="F43" s="137">
        <v>45925.733923611115</v>
      </c>
      <c r="G43" s="63" t="str">
        <f t="shared" si="1"/>
        <v>16</v>
      </c>
      <c r="H43" s="63" t="s">
        <v>889</v>
      </c>
      <c r="I43" s="63" t="s">
        <v>867</v>
      </c>
      <c r="J43" s="63" t="s">
        <v>659</v>
      </c>
      <c r="K43" s="63">
        <v>1.464</v>
      </c>
      <c r="L43" s="63">
        <v>0.119242</v>
      </c>
      <c r="M43" s="137">
        <v>45925.809791666667</v>
      </c>
      <c r="N43" s="63"/>
      <c r="O43" s="63" t="s">
        <v>889</v>
      </c>
      <c r="P43" s="63" t="s">
        <v>902</v>
      </c>
      <c r="Q43" s="63" t="s">
        <v>673</v>
      </c>
      <c r="R43" s="63">
        <v>1.7999999999999999E-2</v>
      </c>
      <c r="S43" s="63">
        <v>7.0429999999999998E-3</v>
      </c>
      <c r="T43" s="137">
        <v>45926.430567129632</v>
      </c>
      <c r="V43" s="122" t="s">
        <v>726</v>
      </c>
      <c r="W43" s="29" t="s">
        <v>952</v>
      </c>
      <c r="X43" s="29">
        <v>-3.5799999999999998E-2</v>
      </c>
      <c r="Y43" s="29">
        <v>-0.219</v>
      </c>
      <c r="Z43" s="29">
        <v>4.0000000000000001E-3</v>
      </c>
    </row>
    <row r="44" spans="1:26" x14ac:dyDescent="0.25">
      <c r="A44" s="29" t="s">
        <v>962</v>
      </c>
      <c r="B44" s="29" t="s">
        <v>658</v>
      </c>
      <c r="C44" s="29" t="s">
        <v>659</v>
      </c>
      <c r="D44" s="29">
        <v>-5.7000000000000002E-2</v>
      </c>
      <c r="E44" s="29">
        <v>8.3196999999999993E-2</v>
      </c>
      <c r="F44" s="138">
        <v>45930.725266203706</v>
      </c>
      <c r="G44" s="29" t="str">
        <f t="shared" si="1"/>
        <v xml:space="preserve"> 1</v>
      </c>
      <c r="H44" s="29" t="s">
        <v>962</v>
      </c>
      <c r="I44" s="29" t="s">
        <v>867</v>
      </c>
      <c r="J44" s="29" t="s">
        <v>659</v>
      </c>
      <c r="K44" s="29">
        <v>2.9279999999999999</v>
      </c>
      <c r="L44" s="29">
        <v>0.19833600000000001</v>
      </c>
      <c r="M44" s="138">
        <v>45930.782048611109</v>
      </c>
      <c r="N44" s="29"/>
      <c r="O44" s="29" t="s">
        <v>962</v>
      </c>
      <c r="P44" s="29" t="s">
        <v>902</v>
      </c>
      <c r="Q44" s="29" t="s">
        <v>673</v>
      </c>
      <c r="R44" s="29">
        <v>3.0000000000000001E-3</v>
      </c>
      <c r="S44" s="29">
        <v>9.0899999999999998E-4</v>
      </c>
      <c r="T44" s="138">
        <v>45930.822789351849</v>
      </c>
      <c r="V44" s="122" t="s">
        <v>727</v>
      </c>
      <c r="W44" s="29" t="s">
        <v>953</v>
      </c>
      <c r="X44" s="29">
        <v>-1.6400000000000001E-2</v>
      </c>
      <c r="Y44" s="29">
        <v>1.171</v>
      </c>
      <c r="Z44" s="29">
        <v>1.2999999999999999E-2</v>
      </c>
    </row>
    <row r="45" spans="1:26" x14ac:dyDescent="0.25">
      <c r="A45" s="29" t="s">
        <v>963</v>
      </c>
      <c r="B45" s="29" t="s">
        <v>658</v>
      </c>
      <c r="C45" s="29" t="s">
        <v>659</v>
      </c>
      <c r="D45" s="29">
        <v>-5.8799999999999998E-2</v>
      </c>
      <c r="E45" s="29">
        <v>8.2335000000000005E-2</v>
      </c>
      <c r="F45" s="138">
        <v>45930.726793981485</v>
      </c>
      <c r="G45" s="29" t="str">
        <f t="shared" si="1"/>
        <v xml:space="preserve"> 2</v>
      </c>
      <c r="H45" s="29" t="s">
        <v>963</v>
      </c>
      <c r="I45" s="29" t="s">
        <v>867</v>
      </c>
      <c r="J45" s="29" t="s">
        <v>659</v>
      </c>
      <c r="K45" s="29">
        <v>2.2400000000000002</v>
      </c>
      <c r="L45" s="29">
        <v>0.155809</v>
      </c>
      <c r="M45" s="138">
        <v>45930.783645833333</v>
      </c>
      <c r="N45" s="29"/>
      <c r="O45" s="29" t="s">
        <v>963</v>
      </c>
      <c r="P45" s="29" t="s">
        <v>902</v>
      </c>
      <c r="Q45" s="29" t="s">
        <v>673</v>
      </c>
      <c r="R45" s="29">
        <v>1.4E-2</v>
      </c>
      <c r="S45" s="29">
        <v>4.5970000000000004E-3</v>
      </c>
      <c r="T45" s="138">
        <v>45930.82371527778</v>
      </c>
      <c r="V45" s="122" t="s">
        <v>728</v>
      </c>
      <c r="W45" s="29" t="s">
        <v>954</v>
      </c>
      <c r="X45" s="29">
        <v>-7.0000000000000001E-3</v>
      </c>
      <c r="Y45" s="29">
        <v>1.1859999999999999</v>
      </c>
      <c r="Z45" s="29">
        <v>3.4000000000000002E-2</v>
      </c>
    </row>
    <row r="46" spans="1:26" x14ac:dyDescent="0.25">
      <c r="A46" s="29" t="s">
        <v>964</v>
      </c>
      <c r="B46" s="29" t="s">
        <v>658</v>
      </c>
      <c r="C46" s="29" t="s">
        <v>659</v>
      </c>
      <c r="D46" s="29">
        <v>-6.4299999999999996E-2</v>
      </c>
      <c r="E46" s="29">
        <v>7.9738000000000003E-2</v>
      </c>
      <c r="F46" s="138">
        <v>45930.728321759256</v>
      </c>
      <c r="G46" s="29" t="str">
        <f t="shared" si="1"/>
        <v xml:space="preserve"> 3</v>
      </c>
      <c r="H46" s="29" t="s">
        <v>964</v>
      </c>
      <c r="I46" s="29" t="s">
        <v>867</v>
      </c>
      <c r="J46" s="29" t="s">
        <v>659</v>
      </c>
      <c r="K46" s="29">
        <v>2.2080000000000002</v>
      </c>
      <c r="L46" s="29">
        <v>0.153804</v>
      </c>
      <c r="M46" s="138">
        <v>45930.785254629627</v>
      </c>
      <c r="N46" s="29"/>
      <c r="O46" s="29" t="s">
        <v>964</v>
      </c>
      <c r="P46" s="29" t="s">
        <v>902</v>
      </c>
      <c r="Q46" s="29" t="s">
        <v>673</v>
      </c>
      <c r="R46" s="29">
        <v>3.0000000000000001E-3</v>
      </c>
      <c r="S46" s="29">
        <v>8.34E-4</v>
      </c>
      <c r="T46" s="138">
        <v>45930.824641203704</v>
      </c>
      <c r="V46" s="122" t="s">
        <v>729</v>
      </c>
      <c r="W46" s="29" t="s">
        <v>955</v>
      </c>
      <c r="X46" s="29">
        <v>-3.3500000000000002E-2</v>
      </c>
      <c r="Y46" s="29">
        <v>0.755</v>
      </c>
      <c r="Z46" s="29">
        <v>6.0000000000000001E-3</v>
      </c>
    </row>
    <row r="47" spans="1:26" x14ac:dyDescent="0.25">
      <c r="A47" s="29" t="s">
        <v>965</v>
      </c>
      <c r="B47" s="29" t="s">
        <v>658</v>
      </c>
      <c r="C47" s="29" t="s">
        <v>659</v>
      </c>
      <c r="D47" s="29">
        <v>-4.3700000000000003E-2</v>
      </c>
      <c r="E47" s="29">
        <v>8.9480000000000004E-2</v>
      </c>
      <c r="F47" s="138">
        <v>45930.729861111111</v>
      </c>
      <c r="G47" s="29" t="str">
        <f t="shared" ref="G47:G78" si="2">RIGHT(H47, 2)</f>
        <v xml:space="preserve"> 4</v>
      </c>
      <c r="H47" s="29" t="s">
        <v>965</v>
      </c>
      <c r="I47" s="29" t="s">
        <v>867</v>
      </c>
      <c r="J47" s="29" t="s">
        <v>659</v>
      </c>
      <c r="K47" s="29">
        <v>1.9319999999999999</v>
      </c>
      <c r="L47" s="29">
        <v>0.13671900000000001</v>
      </c>
      <c r="M47" s="138">
        <v>45930.786863425928</v>
      </c>
      <c r="N47" s="29"/>
      <c r="O47" s="29" t="s">
        <v>965</v>
      </c>
      <c r="P47" s="29" t="s">
        <v>902</v>
      </c>
      <c r="Q47" s="29" t="s">
        <v>673</v>
      </c>
      <c r="R47" s="29">
        <v>4.0000000000000001E-3</v>
      </c>
      <c r="S47" s="29">
        <v>1.2880000000000001E-3</v>
      </c>
      <c r="T47" s="138">
        <v>45930.825567129628</v>
      </c>
      <c r="V47" s="122" t="s">
        <v>730</v>
      </c>
      <c r="W47" s="29" t="s">
        <v>956</v>
      </c>
      <c r="X47" s="29">
        <v>-2.8799999999999999E-2</v>
      </c>
      <c r="Y47" s="29">
        <v>0.78800000000000003</v>
      </c>
      <c r="Z47" s="29">
        <v>1.2E-2</v>
      </c>
    </row>
    <row r="48" spans="1:26" x14ac:dyDescent="0.25">
      <c r="A48" s="29" t="s">
        <v>966</v>
      </c>
      <c r="B48" s="29" t="s">
        <v>658</v>
      </c>
      <c r="C48" s="29" t="s">
        <v>659</v>
      </c>
      <c r="D48" s="29">
        <v>-6.4000000000000001E-2</v>
      </c>
      <c r="E48" s="29">
        <v>7.9862000000000002E-2</v>
      </c>
      <c r="F48" s="138">
        <v>45930.731388888889</v>
      </c>
      <c r="G48" s="29" t="str">
        <f t="shared" si="2"/>
        <v xml:space="preserve"> 5</v>
      </c>
      <c r="H48" s="29" t="s">
        <v>966</v>
      </c>
      <c r="I48" s="29" t="s">
        <v>867</v>
      </c>
      <c r="J48" s="29" t="s">
        <v>659</v>
      </c>
      <c r="K48" s="29">
        <v>1.5820000000000001</v>
      </c>
      <c r="L48" s="29">
        <v>0.115102</v>
      </c>
      <c r="M48" s="138">
        <v>45930.788460648146</v>
      </c>
      <c r="N48" s="29"/>
      <c r="O48" s="29" t="s">
        <v>966</v>
      </c>
      <c r="P48" s="29" t="s">
        <v>902</v>
      </c>
      <c r="Q48" s="29" t="s">
        <v>673</v>
      </c>
      <c r="R48" s="29">
        <v>3.0000000000000001E-3</v>
      </c>
      <c r="S48" s="29">
        <v>8.0099999999999995E-4</v>
      </c>
      <c r="T48" s="138">
        <v>45930.826493055552</v>
      </c>
      <c r="V48" s="122" t="s">
        <v>731</v>
      </c>
      <c r="W48" s="29" t="s">
        <v>957</v>
      </c>
      <c r="X48" s="29">
        <v>2.3300000000000001E-2</v>
      </c>
      <c r="Y48" s="29">
        <v>0.76300000000000001</v>
      </c>
      <c r="Z48" s="29">
        <v>2.9000000000000001E-2</v>
      </c>
    </row>
    <row r="49" spans="1:26" x14ac:dyDescent="0.25">
      <c r="A49" s="29" t="s">
        <v>967</v>
      </c>
      <c r="B49" s="29" t="s">
        <v>658</v>
      </c>
      <c r="C49" s="29" t="s">
        <v>659</v>
      </c>
      <c r="D49" s="29">
        <v>-6.6600000000000006E-2</v>
      </c>
      <c r="E49" s="29">
        <v>7.8635999999999998E-2</v>
      </c>
      <c r="F49" s="138">
        <v>45930.732916666668</v>
      </c>
      <c r="G49" s="29" t="str">
        <f t="shared" si="2"/>
        <v xml:space="preserve"> 6</v>
      </c>
      <c r="H49" s="29" t="s">
        <v>967</v>
      </c>
      <c r="I49" s="29" t="s">
        <v>867</v>
      </c>
      <c r="J49" s="29" t="s">
        <v>659</v>
      </c>
      <c r="K49" s="29">
        <v>1.5069999999999999</v>
      </c>
      <c r="L49" s="29">
        <v>0.110416</v>
      </c>
      <c r="M49" s="138">
        <v>45930.790092592593</v>
      </c>
      <c r="N49" s="29"/>
      <c r="O49" s="29" t="s">
        <v>967</v>
      </c>
      <c r="P49" s="29" t="s">
        <v>902</v>
      </c>
      <c r="Q49" s="29" t="s">
        <v>673</v>
      </c>
      <c r="R49" s="29">
        <v>6.0000000000000001E-3</v>
      </c>
      <c r="S49" s="29">
        <v>1.854E-3</v>
      </c>
      <c r="T49" s="138">
        <v>45930.82744212963</v>
      </c>
      <c r="V49" s="122" t="s">
        <v>732</v>
      </c>
      <c r="W49" s="29" t="s">
        <v>958</v>
      </c>
      <c r="X49" s="29">
        <v>-1.7500000000000002E-2</v>
      </c>
      <c r="Y49" s="29">
        <v>0.75800000000000001</v>
      </c>
      <c r="Z49" s="29">
        <v>1.7999999999999999E-2</v>
      </c>
    </row>
    <row r="50" spans="1:26" x14ac:dyDescent="0.25">
      <c r="A50" s="29" t="s">
        <v>968</v>
      </c>
      <c r="B50" s="29" t="s">
        <v>658</v>
      </c>
      <c r="C50" s="29" t="s">
        <v>659</v>
      </c>
      <c r="D50" s="29">
        <v>-5.9400000000000001E-2</v>
      </c>
      <c r="E50" s="29">
        <v>8.2064999999999999E-2</v>
      </c>
      <c r="F50" s="138">
        <v>45930.734456018516</v>
      </c>
      <c r="G50" s="29" t="str">
        <f t="shared" si="2"/>
        <v xml:space="preserve"> 7</v>
      </c>
      <c r="H50" s="29" t="s">
        <v>968</v>
      </c>
      <c r="I50" s="29" t="s">
        <v>867</v>
      </c>
      <c r="J50" s="29" t="s">
        <v>659</v>
      </c>
      <c r="K50" s="29">
        <v>2.964</v>
      </c>
      <c r="L50" s="29">
        <v>0.200595</v>
      </c>
      <c r="M50" s="138">
        <v>45930.791712962964</v>
      </c>
      <c r="N50" s="29"/>
      <c r="O50" s="29" t="s">
        <v>968</v>
      </c>
      <c r="P50" s="29" t="s">
        <v>902</v>
      </c>
      <c r="Q50" s="29" t="s">
        <v>673</v>
      </c>
      <c r="R50" s="29">
        <v>4.0000000000000001E-3</v>
      </c>
      <c r="S50" s="29">
        <v>1.224E-3</v>
      </c>
      <c r="T50" s="138">
        <v>45930.8283912037</v>
      </c>
      <c r="V50" s="122" t="s">
        <v>733</v>
      </c>
      <c r="W50" s="29" t="s">
        <v>959</v>
      </c>
      <c r="X50" s="29">
        <v>-2.8899999999999999E-2</v>
      </c>
      <c r="Y50" s="29">
        <v>0.88400000000000001</v>
      </c>
      <c r="Z50" s="29">
        <v>2.4E-2</v>
      </c>
    </row>
    <row r="51" spans="1:26" x14ac:dyDescent="0.25">
      <c r="A51" s="29" t="s">
        <v>969</v>
      </c>
      <c r="B51" s="29" t="s">
        <v>658</v>
      </c>
      <c r="C51" s="29" t="s">
        <v>659</v>
      </c>
      <c r="D51" s="29">
        <v>-6.54E-2</v>
      </c>
      <c r="E51" s="29">
        <v>7.9212000000000005E-2</v>
      </c>
      <c r="F51" s="138">
        <v>45930.735983796294</v>
      </c>
      <c r="G51" s="29" t="str">
        <f t="shared" si="2"/>
        <v xml:space="preserve"> 8</v>
      </c>
      <c r="H51" s="29" t="s">
        <v>969</v>
      </c>
      <c r="I51" s="29" t="s">
        <v>867</v>
      </c>
      <c r="J51" s="29" t="s">
        <v>659</v>
      </c>
      <c r="K51" s="29">
        <v>2.8679999999999999</v>
      </c>
      <c r="L51" s="29">
        <v>0.19463900000000001</v>
      </c>
      <c r="M51" s="138">
        <v>45930.793321759258</v>
      </c>
      <c r="N51" s="29"/>
      <c r="O51" s="29" t="s">
        <v>969</v>
      </c>
      <c r="P51" s="29" t="s">
        <v>902</v>
      </c>
      <c r="Q51" s="29" t="s">
        <v>673</v>
      </c>
      <c r="R51" s="29">
        <v>4.0000000000000001E-3</v>
      </c>
      <c r="S51" s="29">
        <v>1.072E-3</v>
      </c>
      <c r="T51" s="138">
        <v>45930.829317129632</v>
      </c>
      <c r="V51" s="122" t="s">
        <v>734</v>
      </c>
      <c r="W51" s="29" t="s">
        <v>960</v>
      </c>
      <c r="X51" s="29">
        <v>-2.4799999999999999E-2</v>
      </c>
      <c r="Y51" s="29">
        <v>0.78400000000000003</v>
      </c>
      <c r="Z51" s="29">
        <v>1.0999999999999999E-2</v>
      </c>
    </row>
    <row r="52" spans="1:26" x14ac:dyDescent="0.25">
      <c r="A52" s="29" t="s">
        <v>970</v>
      </c>
      <c r="B52" s="29" t="s">
        <v>658</v>
      </c>
      <c r="C52" s="29" t="s">
        <v>659</v>
      </c>
      <c r="D52" s="29">
        <v>-5.4100000000000002E-2</v>
      </c>
      <c r="E52" s="29">
        <v>8.4560999999999997E-2</v>
      </c>
      <c r="F52" s="138">
        <v>45930.737523148149</v>
      </c>
      <c r="G52" s="29" t="str">
        <f t="shared" si="2"/>
        <v xml:space="preserve"> 9</v>
      </c>
      <c r="H52" s="29" t="s">
        <v>970</v>
      </c>
      <c r="I52" s="29" t="s">
        <v>867</v>
      </c>
      <c r="J52" s="29" t="s">
        <v>659</v>
      </c>
      <c r="K52" s="29">
        <v>3.6619999999999999</v>
      </c>
      <c r="L52" s="29">
        <v>0.24379000000000001</v>
      </c>
      <c r="M52" s="138">
        <v>45930.794930555552</v>
      </c>
      <c r="N52" s="29"/>
      <c r="O52" s="29" t="s">
        <v>970</v>
      </c>
      <c r="P52" s="29" t="s">
        <v>902</v>
      </c>
      <c r="Q52" s="29" t="s">
        <v>673</v>
      </c>
      <c r="R52" s="29">
        <v>3.0000000000000001E-3</v>
      </c>
      <c r="S52" s="29">
        <v>8.9800000000000004E-4</v>
      </c>
      <c r="T52" s="138">
        <v>45930.830266203702</v>
      </c>
      <c r="V52" s="122" t="s">
        <v>735</v>
      </c>
      <c r="W52" s="29" t="s">
        <v>961</v>
      </c>
      <c r="X52" s="29">
        <v>-3.1899999999999998E-2</v>
      </c>
      <c r="Y52" s="29">
        <v>1.1120000000000001</v>
      </c>
      <c r="Z52" s="29">
        <v>1.4999999999999999E-2</v>
      </c>
    </row>
    <row r="53" spans="1:26" x14ac:dyDescent="0.25">
      <c r="A53" s="29" t="s">
        <v>971</v>
      </c>
      <c r="B53" s="29" t="s">
        <v>658</v>
      </c>
      <c r="C53" s="29" t="s">
        <v>659</v>
      </c>
      <c r="D53" s="29">
        <v>-6.1499999999999999E-2</v>
      </c>
      <c r="E53" s="29">
        <v>8.1070000000000003E-2</v>
      </c>
      <c r="F53" s="138">
        <v>45930.739062499997</v>
      </c>
      <c r="G53" s="29" t="str">
        <f t="shared" si="2"/>
        <v>10</v>
      </c>
      <c r="H53" s="29" t="s">
        <v>971</v>
      </c>
      <c r="I53" s="29" t="s">
        <v>867</v>
      </c>
      <c r="J53" s="29" t="s">
        <v>659</v>
      </c>
      <c r="K53" s="29">
        <v>3.2549999999999999</v>
      </c>
      <c r="L53" s="29">
        <v>0.21861800000000001</v>
      </c>
      <c r="M53" s="138">
        <v>45930.796550925923</v>
      </c>
      <c r="N53" s="29"/>
      <c r="O53" s="29" t="s">
        <v>971</v>
      </c>
      <c r="P53" s="29" t="s">
        <v>902</v>
      </c>
      <c r="Q53" s="29" t="s">
        <v>673</v>
      </c>
      <c r="R53" s="29">
        <v>3.0000000000000001E-3</v>
      </c>
      <c r="S53" s="29">
        <v>8.9899999999999995E-4</v>
      </c>
      <c r="T53" s="138">
        <v>45930.83121527778</v>
      </c>
      <c r="V53" s="119" t="s">
        <v>736</v>
      </c>
      <c r="W53" s="63" t="s">
        <v>910</v>
      </c>
      <c r="X53" s="63">
        <v>-4.0099999999999997E-2</v>
      </c>
      <c r="Y53" s="63">
        <v>2.9489999999999998</v>
      </c>
      <c r="Z53" s="63">
        <v>-1E-3</v>
      </c>
    </row>
    <row r="54" spans="1:26" x14ac:dyDescent="0.25">
      <c r="A54" s="29" t="s">
        <v>972</v>
      </c>
      <c r="B54" s="29" t="s">
        <v>658</v>
      </c>
      <c r="C54" s="29" t="s">
        <v>659</v>
      </c>
      <c r="D54" s="29">
        <v>-6.2E-2</v>
      </c>
      <c r="E54" s="29">
        <v>8.0833000000000002E-2</v>
      </c>
      <c r="F54" s="138">
        <v>45930.740590277775</v>
      </c>
      <c r="G54" s="29" t="str">
        <f t="shared" si="2"/>
        <v>11</v>
      </c>
      <c r="H54" s="29" t="s">
        <v>972</v>
      </c>
      <c r="I54" s="29" t="s">
        <v>867</v>
      </c>
      <c r="J54" s="29" t="s">
        <v>659</v>
      </c>
      <c r="K54" s="29">
        <v>3.3149999999999999</v>
      </c>
      <c r="L54" s="29">
        <v>0.22228200000000001</v>
      </c>
      <c r="M54" s="138">
        <v>45930.798182870371</v>
      </c>
      <c r="N54" s="29"/>
      <c r="O54" s="29" t="s">
        <v>972</v>
      </c>
      <c r="P54" s="29" t="s">
        <v>902</v>
      </c>
      <c r="Q54" s="29" t="s">
        <v>673</v>
      </c>
      <c r="R54" s="29">
        <v>2.5000000000000001E-2</v>
      </c>
      <c r="S54" s="29">
        <v>8.3599999999999994E-3</v>
      </c>
      <c r="T54" s="138">
        <v>45930.832013888888</v>
      </c>
      <c r="V54" s="119" t="s">
        <v>737</v>
      </c>
      <c r="W54" s="63" t="s">
        <v>887</v>
      </c>
      <c r="X54" s="63">
        <v>-4.2000000000000003E-2</v>
      </c>
      <c r="Y54" s="63">
        <v>2.0310000000000001</v>
      </c>
      <c r="Z54" s="63">
        <v>4.0000000000000001E-3</v>
      </c>
    </row>
    <row r="55" spans="1:26" x14ac:dyDescent="0.25">
      <c r="A55" s="29" t="s">
        <v>973</v>
      </c>
      <c r="B55" s="29" t="s">
        <v>658</v>
      </c>
      <c r="C55" s="29" t="s">
        <v>659</v>
      </c>
      <c r="D55" s="29">
        <v>-6.4500000000000002E-2</v>
      </c>
      <c r="E55" s="29">
        <v>7.9655000000000004E-2</v>
      </c>
      <c r="F55" s="138">
        <v>45930.7421412037</v>
      </c>
      <c r="G55" s="29" t="str">
        <f t="shared" si="2"/>
        <v>12</v>
      </c>
      <c r="H55" s="29" t="s">
        <v>973</v>
      </c>
      <c r="I55" s="29" t="s">
        <v>867</v>
      </c>
      <c r="J55" s="29" t="s">
        <v>659</v>
      </c>
      <c r="K55" s="29">
        <v>3.5489999999999999</v>
      </c>
      <c r="L55" s="29">
        <v>0.23675299999999999</v>
      </c>
      <c r="M55" s="138">
        <v>45930.798645833333</v>
      </c>
      <c r="N55" s="29"/>
      <c r="O55" s="29" t="s">
        <v>973</v>
      </c>
      <c r="P55" s="29" t="s">
        <v>902</v>
      </c>
      <c r="Q55" s="29" t="s">
        <v>673</v>
      </c>
      <c r="R55" s="29">
        <v>4.0000000000000001E-3</v>
      </c>
      <c r="S55" s="29">
        <v>1.1689999999999999E-3</v>
      </c>
      <c r="T55" s="138">
        <v>45930.832673611112</v>
      </c>
      <c r="V55" s="119" t="s">
        <v>738</v>
      </c>
      <c r="W55" s="63" t="s">
        <v>911</v>
      </c>
      <c r="X55" s="63">
        <v>-3.6999999999999998E-2</v>
      </c>
      <c r="Y55" s="63">
        <v>2.036</v>
      </c>
      <c r="Z55" s="63">
        <v>-1E-3</v>
      </c>
    </row>
    <row r="56" spans="1:26" x14ac:dyDescent="0.25">
      <c r="A56" s="29" t="s">
        <v>974</v>
      </c>
      <c r="B56" s="29" t="s">
        <v>658</v>
      </c>
      <c r="C56" s="29" t="s">
        <v>659</v>
      </c>
      <c r="D56" s="29">
        <v>-5.8599999999999999E-2</v>
      </c>
      <c r="E56" s="29">
        <v>8.2448999999999995E-2</v>
      </c>
      <c r="F56" s="138">
        <v>45930.743680555555</v>
      </c>
      <c r="G56" s="29" t="str">
        <f t="shared" si="2"/>
        <v>13</v>
      </c>
      <c r="H56" s="29" t="s">
        <v>974</v>
      </c>
      <c r="I56" s="29" t="s">
        <v>867</v>
      </c>
      <c r="J56" s="29" t="s">
        <v>659</v>
      </c>
      <c r="K56" s="29">
        <v>1.516</v>
      </c>
      <c r="L56" s="29">
        <v>0.11097600000000001</v>
      </c>
      <c r="M56" s="138">
        <v>45930.799513888887</v>
      </c>
      <c r="N56" s="29"/>
      <c r="O56" s="29" t="s">
        <v>974</v>
      </c>
      <c r="P56" s="29" t="s">
        <v>902</v>
      </c>
      <c r="Q56" s="29" t="s">
        <v>673</v>
      </c>
      <c r="R56" s="29">
        <v>2.1000000000000001E-2</v>
      </c>
      <c r="S56" s="29">
        <v>7.2059999999999997E-3</v>
      </c>
      <c r="T56" s="138">
        <v>45930.833321759259</v>
      </c>
      <c r="V56" s="119" t="s">
        <v>739</v>
      </c>
      <c r="W56" s="63" t="s">
        <v>888</v>
      </c>
      <c r="X56" s="63">
        <v>-2.92E-2</v>
      </c>
      <c r="Y56" s="63">
        <v>1.4870000000000001</v>
      </c>
      <c r="Z56" s="63">
        <v>6.0000000000000001E-3</v>
      </c>
    </row>
    <row r="57" spans="1:26" x14ac:dyDescent="0.25">
      <c r="A57" s="29" t="s">
        <v>975</v>
      </c>
      <c r="B57" s="29" t="s">
        <v>658</v>
      </c>
      <c r="C57" s="29" t="s">
        <v>659</v>
      </c>
      <c r="D57" s="29">
        <v>-5.67E-2</v>
      </c>
      <c r="E57" s="29">
        <v>8.3321000000000006E-2</v>
      </c>
      <c r="F57" s="138">
        <v>45930.744814814818</v>
      </c>
      <c r="G57" s="29" t="str">
        <f t="shared" si="2"/>
        <v>15</v>
      </c>
      <c r="H57" s="29" t="s">
        <v>975</v>
      </c>
      <c r="I57" s="29" t="s">
        <v>867</v>
      </c>
      <c r="J57" s="29" t="s">
        <v>659</v>
      </c>
      <c r="K57" s="29">
        <v>1.7789999999999999</v>
      </c>
      <c r="L57" s="29">
        <v>0.12728800000000001</v>
      </c>
      <c r="M57" s="138">
        <v>45930.800358796296</v>
      </c>
      <c r="N57" s="29"/>
      <c r="O57" s="29" t="s">
        <v>975</v>
      </c>
      <c r="P57" s="29" t="s">
        <v>902</v>
      </c>
      <c r="Q57" s="29" t="s">
        <v>673</v>
      </c>
      <c r="R57" s="29">
        <v>4.0000000000000001E-3</v>
      </c>
      <c r="S57" s="29">
        <v>1.018E-3</v>
      </c>
      <c r="T57" s="138">
        <v>45930.833981481483</v>
      </c>
      <c r="V57" s="119" t="s">
        <v>740</v>
      </c>
      <c r="W57" s="63" t="s">
        <v>912</v>
      </c>
      <c r="X57" s="63">
        <v>-4.3900000000000002E-2</v>
      </c>
      <c r="Y57" s="63">
        <v>1.528</v>
      </c>
      <c r="Z57" s="63">
        <v>6.0000000000000001E-3</v>
      </c>
    </row>
    <row r="58" spans="1:26" x14ac:dyDescent="0.25">
      <c r="A58" s="29" t="s">
        <v>976</v>
      </c>
      <c r="B58" s="29" t="s">
        <v>658</v>
      </c>
      <c r="C58" s="29" t="s">
        <v>659</v>
      </c>
      <c r="D58" s="29">
        <v>-5.5500000000000001E-2</v>
      </c>
      <c r="E58" s="29">
        <v>8.3904000000000006E-2</v>
      </c>
      <c r="F58" s="138">
        <v>45930.747847222221</v>
      </c>
      <c r="G58" s="29" t="str">
        <f t="shared" si="2"/>
        <v>17</v>
      </c>
      <c r="H58" s="29" t="s">
        <v>976</v>
      </c>
      <c r="I58" s="29" t="s">
        <v>867</v>
      </c>
      <c r="J58" s="29" t="s">
        <v>659</v>
      </c>
      <c r="K58" s="29">
        <v>2.3290000000000002</v>
      </c>
      <c r="L58" s="29">
        <v>0.16130800000000001</v>
      </c>
      <c r="M58" s="138">
        <v>45930.802974537037</v>
      </c>
      <c r="N58" s="29"/>
      <c r="O58" s="29" t="s">
        <v>976</v>
      </c>
      <c r="P58" s="29" t="s">
        <v>902</v>
      </c>
      <c r="Q58" s="29" t="s">
        <v>673</v>
      </c>
      <c r="R58" s="29">
        <v>4.0000000000000001E-3</v>
      </c>
      <c r="S58" s="29">
        <v>9.7400000000000004E-4</v>
      </c>
      <c r="T58" s="138">
        <v>45930.834641203706</v>
      </c>
      <c r="V58" s="119" t="s">
        <v>741</v>
      </c>
      <c r="W58" s="63" t="s">
        <v>913</v>
      </c>
      <c r="X58" s="63">
        <v>-3.4799999999999998E-2</v>
      </c>
      <c r="Y58" s="63">
        <v>1.7609999999999999</v>
      </c>
      <c r="Z58" s="63">
        <v>8.9999999999999993E-3</v>
      </c>
    </row>
    <row r="59" spans="1:26" x14ac:dyDescent="0.25">
      <c r="A59" s="26" t="s">
        <v>890</v>
      </c>
      <c r="B59" s="26" t="s">
        <v>658</v>
      </c>
      <c r="C59" s="26" t="s">
        <v>659</v>
      </c>
      <c r="D59" s="26">
        <v>-1.34E-2</v>
      </c>
      <c r="E59" s="26">
        <v>8.7291999999999995E-2</v>
      </c>
      <c r="F59" s="136">
        <v>45925.735439814816</v>
      </c>
      <c r="G59" s="26" t="str">
        <f t="shared" si="2"/>
        <v xml:space="preserve"> 1</v>
      </c>
      <c r="H59" s="26" t="s">
        <v>890</v>
      </c>
      <c r="I59" s="26" t="s">
        <v>867</v>
      </c>
      <c r="J59" s="26" t="s">
        <v>659</v>
      </c>
      <c r="K59" s="26">
        <v>2.3940000000000001</v>
      </c>
      <c r="L59" s="26">
        <v>0.17730099999999999</v>
      </c>
      <c r="M59" s="136">
        <v>45925.811400462961</v>
      </c>
      <c r="N59" s="26"/>
      <c r="O59" s="26" t="s">
        <v>890</v>
      </c>
      <c r="P59" s="26" t="s">
        <v>902</v>
      </c>
      <c r="Q59" s="26" t="s">
        <v>673</v>
      </c>
      <c r="R59" s="26">
        <v>0</v>
      </c>
      <c r="S59" s="26">
        <v>1.186E-3</v>
      </c>
      <c r="T59" s="136">
        <v>45926.431481481479</v>
      </c>
      <c r="V59" s="119" t="s">
        <v>742</v>
      </c>
      <c r="W59" s="63" t="s">
        <v>914</v>
      </c>
      <c r="X59" s="63">
        <v>-3.8300000000000001E-2</v>
      </c>
      <c r="Y59" s="63">
        <v>2.9569999999999999</v>
      </c>
      <c r="Z59" s="63">
        <v>-3.0000000000000001E-3</v>
      </c>
    </row>
    <row r="60" spans="1:26" x14ac:dyDescent="0.25">
      <c r="A60" s="26" t="s">
        <v>923</v>
      </c>
      <c r="B60" s="26" t="s">
        <v>658</v>
      </c>
      <c r="C60" s="26" t="s">
        <v>659</v>
      </c>
      <c r="D60" s="26">
        <v>-1.1900000000000001E-2</v>
      </c>
      <c r="E60" s="26">
        <v>8.8089000000000001E-2</v>
      </c>
      <c r="F60" s="136">
        <v>45925.436412037037</v>
      </c>
      <c r="G60" s="26" t="str">
        <f t="shared" si="2"/>
        <v xml:space="preserve"> 2</v>
      </c>
      <c r="H60" s="26" t="s">
        <v>923</v>
      </c>
      <c r="I60" s="26" t="s">
        <v>867</v>
      </c>
      <c r="J60" s="26" t="s">
        <v>659</v>
      </c>
      <c r="K60" s="26">
        <v>2.2719999999999998</v>
      </c>
      <c r="L60" s="26">
        <v>0.16969600000000001</v>
      </c>
      <c r="M60" s="136">
        <v>45925.52715277778</v>
      </c>
      <c r="N60" s="26"/>
      <c r="O60" s="26" t="s">
        <v>923</v>
      </c>
      <c r="P60" s="26" t="s">
        <v>902</v>
      </c>
      <c r="Q60" s="26" t="s">
        <v>673</v>
      </c>
      <c r="R60" s="26">
        <v>-5.0000000000000001E-3</v>
      </c>
      <c r="S60" s="26">
        <v>9.1500000000000001E-4</v>
      </c>
      <c r="T60" s="136">
        <v>45925.592523148145</v>
      </c>
      <c r="V60" s="119" t="s">
        <v>743</v>
      </c>
      <c r="W60" s="63" t="s">
        <v>915</v>
      </c>
      <c r="X60" s="63">
        <v>-3.7600000000000001E-2</v>
      </c>
      <c r="Y60" s="63">
        <v>2.8109999999999999</v>
      </c>
      <c r="Z60" s="63">
        <v>-4.0000000000000001E-3</v>
      </c>
    </row>
    <row r="61" spans="1:26" x14ac:dyDescent="0.25">
      <c r="A61" s="26" t="s">
        <v>924</v>
      </c>
      <c r="B61" s="26" t="s">
        <v>658</v>
      </c>
      <c r="C61" s="26" t="s">
        <v>659</v>
      </c>
      <c r="D61" s="26">
        <v>-2.4199999999999999E-2</v>
      </c>
      <c r="E61" s="26">
        <v>8.1588999999999995E-2</v>
      </c>
      <c r="F61" s="136">
        <v>45925.437928240739</v>
      </c>
      <c r="G61" s="26" t="str">
        <f t="shared" si="2"/>
        <v xml:space="preserve"> 3</v>
      </c>
      <c r="H61" s="26" t="s">
        <v>924</v>
      </c>
      <c r="I61" s="26" t="s">
        <v>867</v>
      </c>
      <c r="J61" s="26" t="s">
        <v>659</v>
      </c>
      <c r="K61" s="26">
        <v>2.044</v>
      </c>
      <c r="L61" s="26">
        <v>0.155414</v>
      </c>
      <c r="M61" s="136">
        <v>45925.528773148151</v>
      </c>
      <c r="N61" s="26"/>
      <c r="O61" s="26" t="s">
        <v>924</v>
      </c>
      <c r="P61" s="26" t="s">
        <v>902</v>
      </c>
      <c r="Q61" s="26" t="s">
        <v>673</v>
      </c>
      <c r="R61" s="26">
        <v>-5.0000000000000001E-3</v>
      </c>
      <c r="S61" s="26">
        <v>8.7200000000000005E-4</v>
      </c>
      <c r="T61" s="136">
        <v>45925.593472222223</v>
      </c>
      <c r="V61" s="119" t="s">
        <v>744</v>
      </c>
      <c r="W61" s="63" t="s">
        <v>916</v>
      </c>
      <c r="X61" s="63">
        <v>-3.6999999999999998E-2</v>
      </c>
      <c r="Y61" s="63">
        <v>3.8530000000000002</v>
      </c>
      <c r="Z61" s="63">
        <v>-4.0000000000000001E-3</v>
      </c>
    </row>
    <row r="62" spans="1:26" x14ac:dyDescent="0.25">
      <c r="A62" s="26" t="s">
        <v>925</v>
      </c>
      <c r="B62" s="26" t="s">
        <v>658</v>
      </c>
      <c r="C62" s="26" t="s">
        <v>659</v>
      </c>
      <c r="D62" s="26">
        <v>-2.0299999999999999E-2</v>
      </c>
      <c r="E62" s="26">
        <v>8.3629999999999996E-2</v>
      </c>
      <c r="F62" s="136">
        <v>45925.439444444448</v>
      </c>
      <c r="G62" s="26" t="str">
        <f t="shared" si="2"/>
        <v xml:space="preserve"> 4</v>
      </c>
      <c r="H62" s="26" t="s">
        <v>925</v>
      </c>
      <c r="I62" s="26" t="s">
        <v>867</v>
      </c>
      <c r="J62" s="26" t="s">
        <v>659</v>
      </c>
      <c r="K62" s="26">
        <v>1.829</v>
      </c>
      <c r="L62" s="26">
        <v>0.14200299999999999</v>
      </c>
      <c r="M62" s="136">
        <v>45925.530393518522</v>
      </c>
      <c r="N62" s="26"/>
      <c r="O62" s="26" t="s">
        <v>925</v>
      </c>
      <c r="P62" s="26" t="s">
        <v>902</v>
      </c>
      <c r="Q62" s="26" t="s">
        <v>673</v>
      </c>
      <c r="R62" s="26">
        <v>-4.0000000000000001E-3</v>
      </c>
      <c r="S62" s="26">
        <v>1.1410000000000001E-3</v>
      </c>
      <c r="T62" s="136">
        <v>45925.594386574077</v>
      </c>
      <c r="V62" s="119" t="s">
        <v>745</v>
      </c>
      <c r="W62" s="63" t="s">
        <v>917</v>
      </c>
      <c r="X62" s="63">
        <v>-3.49E-2</v>
      </c>
      <c r="Y62" s="63">
        <v>3.15</v>
      </c>
      <c r="Z62" s="63">
        <v>-4.0000000000000001E-3</v>
      </c>
    </row>
    <row r="63" spans="1:26" x14ac:dyDescent="0.25">
      <c r="A63" s="26" t="s">
        <v>926</v>
      </c>
      <c r="B63" s="26" t="s">
        <v>658</v>
      </c>
      <c r="C63" s="26" t="s">
        <v>659</v>
      </c>
      <c r="D63" s="26">
        <v>-5.8999999999999999E-3</v>
      </c>
      <c r="E63" s="26">
        <v>9.1228000000000004E-2</v>
      </c>
      <c r="F63" s="136">
        <v>45925.440983796296</v>
      </c>
      <c r="G63" s="26" t="str">
        <f t="shared" si="2"/>
        <v xml:space="preserve"> 5</v>
      </c>
      <c r="H63" s="26" t="s">
        <v>926</v>
      </c>
      <c r="I63" s="26" t="s">
        <v>867</v>
      </c>
      <c r="J63" s="26" t="s">
        <v>659</v>
      </c>
      <c r="K63" s="26">
        <v>1.4910000000000001</v>
      </c>
      <c r="L63" s="26">
        <v>0.120911</v>
      </c>
      <c r="M63" s="136">
        <v>45925.532002314816</v>
      </c>
      <c r="N63" s="26"/>
      <c r="O63" s="26" t="s">
        <v>926</v>
      </c>
      <c r="P63" s="26" t="s">
        <v>902</v>
      </c>
      <c r="Q63" s="26" t="s">
        <v>673</v>
      </c>
      <c r="R63" s="26">
        <v>-4.0000000000000001E-3</v>
      </c>
      <c r="S63" s="26">
        <v>1.0009999999999999E-3</v>
      </c>
      <c r="T63" s="136">
        <v>45925.595312500001</v>
      </c>
      <c r="V63" s="119" t="s">
        <v>746</v>
      </c>
      <c r="W63" s="63" t="s">
        <v>918</v>
      </c>
      <c r="X63" s="63">
        <v>-1.9800000000000002E-2</v>
      </c>
      <c r="Y63" s="63">
        <v>3.867</v>
      </c>
      <c r="Z63" s="63">
        <v>-5.0000000000000001E-3</v>
      </c>
    </row>
    <row r="64" spans="1:26" x14ac:dyDescent="0.25">
      <c r="A64" s="26" t="s">
        <v>891</v>
      </c>
      <c r="B64" s="26" t="s">
        <v>658</v>
      </c>
      <c r="C64" s="26" t="s">
        <v>659</v>
      </c>
      <c r="D64" s="26">
        <v>3.2800000000000003E-2</v>
      </c>
      <c r="E64" s="26">
        <v>0.111538</v>
      </c>
      <c r="F64" s="136">
        <v>45925.736979166664</v>
      </c>
      <c r="G64" s="26" t="str">
        <f t="shared" si="2"/>
        <v xml:space="preserve"> 6</v>
      </c>
      <c r="H64" s="26" t="s">
        <v>891</v>
      </c>
      <c r="I64" s="26" t="s">
        <v>867</v>
      </c>
      <c r="J64" s="26" t="s">
        <v>659</v>
      </c>
      <c r="K64" s="26">
        <v>1.409</v>
      </c>
      <c r="L64" s="26">
        <v>0.115827</v>
      </c>
      <c r="M64" s="136">
        <v>45925.812997685185</v>
      </c>
      <c r="N64" s="26"/>
      <c r="O64" s="26" t="s">
        <v>891</v>
      </c>
      <c r="P64" s="26" t="s">
        <v>902</v>
      </c>
      <c r="Q64" s="26" t="s">
        <v>673</v>
      </c>
      <c r="R64" s="26">
        <v>3.0000000000000001E-3</v>
      </c>
      <c r="S64" s="26">
        <v>2.0939999999999999E-3</v>
      </c>
      <c r="T64" s="136">
        <v>45926.43240740741</v>
      </c>
      <c r="V64" s="119" t="s">
        <v>747</v>
      </c>
      <c r="W64" s="63" t="s">
        <v>919</v>
      </c>
      <c r="X64" s="63">
        <v>-3.4700000000000002E-2</v>
      </c>
      <c r="Y64" s="63">
        <v>4.0540000000000003</v>
      </c>
      <c r="Z64" s="63">
        <v>-4.0000000000000001E-3</v>
      </c>
    </row>
    <row r="65" spans="1:26" x14ac:dyDescent="0.25">
      <c r="A65" s="26" t="s">
        <v>927</v>
      </c>
      <c r="B65" s="26" t="s">
        <v>658</v>
      </c>
      <c r="C65" s="26" t="s">
        <v>659</v>
      </c>
      <c r="D65" s="26">
        <v>2.3E-3</v>
      </c>
      <c r="E65" s="26">
        <v>9.5531000000000005E-2</v>
      </c>
      <c r="F65" s="136">
        <v>45925.442523148151</v>
      </c>
      <c r="G65" s="26" t="str">
        <f t="shared" si="2"/>
        <v xml:space="preserve"> 7</v>
      </c>
      <c r="H65" s="26" t="s">
        <v>927</v>
      </c>
      <c r="I65" s="26" t="s">
        <v>867</v>
      </c>
      <c r="J65" s="26" t="s">
        <v>659</v>
      </c>
      <c r="K65" s="26">
        <v>2.6240000000000001</v>
      </c>
      <c r="L65" s="26">
        <v>0.191633</v>
      </c>
      <c r="M65" s="136">
        <v>45925.533622685187</v>
      </c>
      <c r="N65" s="26"/>
      <c r="O65" s="26" t="s">
        <v>927</v>
      </c>
      <c r="P65" s="26" t="s">
        <v>902</v>
      </c>
      <c r="Q65" s="26" t="s">
        <v>673</v>
      </c>
      <c r="R65" s="26">
        <v>-5.0000000000000001E-3</v>
      </c>
      <c r="S65" s="26">
        <v>8.9400000000000005E-4</v>
      </c>
      <c r="T65" s="136">
        <v>45925.596238425926</v>
      </c>
      <c r="V65" s="119" t="s">
        <v>748</v>
      </c>
      <c r="W65" s="63" t="s">
        <v>920</v>
      </c>
      <c r="X65" s="63">
        <v>-3.2800000000000003E-2</v>
      </c>
      <c r="Y65" s="63">
        <v>1.593</v>
      </c>
      <c r="Z65" s="63">
        <v>1.2999999999999999E-2</v>
      </c>
    </row>
    <row r="66" spans="1:26" x14ac:dyDescent="0.25">
      <c r="A66" s="26" t="s">
        <v>892</v>
      </c>
      <c r="B66" s="26" t="s">
        <v>658</v>
      </c>
      <c r="C66" s="26" t="s">
        <v>659</v>
      </c>
      <c r="D66" s="26">
        <v>-8.6999999999999994E-3</v>
      </c>
      <c r="E66" s="26">
        <v>8.9749999999999996E-2</v>
      </c>
      <c r="F66" s="136">
        <v>45925.738518518519</v>
      </c>
      <c r="G66" s="26" t="str">
        <f t="shared" si="2"/>
        <v xml:space="preserve"> 8</v>
      </c>
      <c r="H66" s="26" t="s">
        <v>892</v>
      </c>
      <c r="I66" s="26" t="s">
        <v>867</v>
      </c>
      <c r="J66" s="26" t="s">
        <v>659</v>
      </c>
      <c r="K66" s="26">
        <v>2.5710000000000002</v>
      </c>
      <c r="L66" s="26">
        <v>0.18832499999999999</v>
      </c>
      <c r="M66" s="136">
        <v>45925.814606481479</v>
      </c>
      <c r="N66" s="26"/>
      <c r="O66" s="26" t="s">
        <v>892</v>
      </c>
      <c r="P66" s="26" t="s">
        <v>902</v>
      </c>
      <c r="Q66" s="26" t="s">
        <v>673</v>
      </c>
      <c r="R66" s="26">
        <v>1E-3</v>
      </c>
      <c r="S66" s="26">
        <v>1.4549999999999999E-3</v>
      </c>
      <c r="T66" s="136">
        <v>45926.433333333334</v>
      </c>
      <c r="V66" s="119" t="s">
        <v>749</v>
      </c>
      <c r="W66" s="63" t="s">
        <v>921</v>
      </c>
      <c r="X66" s="63">
        <v>-0.04</v>
      </c>
      <c r="Y66" s="63">
        <v>4.173</v>
      </c>
      <c r="Z66" s="63">
        <v>-3.0000000000000001E-3</v>
      </c>
    </row>
    <row r="67" spans="1:26" x14ac:dyDescent="0.25">
      <c r="A67" s="26" t="s">
        <v>893</v>
      </c>
      <c r="B67" s="26" t="s">
        <v>658</v>
      </c>
      <c r="C67" s="26" t="s">
        <v>659</v>
      </c>
      <c r="D67" s="26">
        <v>-1.78E-2</v>
      </c>
      <c r="E67" s="26">
        <v>8.4961999999999996E-2</v>
      </c>
      <c r="F67" s="136">
        <v>45925.740034722221</v>
      </c>
      <c r="G67" s="26" t="str">
        <f t="shared" si="2"/>
        <v xml:space="preserve"> 9</v>
      </c>
      <c r="H67" s="26" t="s">
        <v>893</v>
      </c>
      <c r="I67" s="26" t="s">
        <v>867</v>
      </c>
      <c r="J67" s="26" t="s">
        <v>659</v>
      </c>
      <c r="K67" s="26">
        <v>2.52</v>
      </c>
      <c r="L67" s="26">
        <v>0.18514</v>
      </c>
      <c r="M67" s="136">
        <v>45925.81621527778</v>
      </c>
      <c r="N67" s="26"/>
      <c r="O67" s="26" t="s">
        <v>893</v>
      </c>
      <c r="P67" s="26" t="s">
        <v>902</v>
      </c>
      <c r="Q67" s="26" t="s">
        <v>673</v>
      </c>
      <c r="R67" s="26">
        <v>0</v>
      </c>
      <c r="S67" s="26">
        <v>1.013E-3</v>
      </c>
      <c r="T67" s="136">
        <v>45926.434259259258</v>
      </c>
      <c r="V67" s="119" t="s">
        <v>750</v>
      </c>
      <c r="W67" s="63" t="s">
        <v>922</v>
      </c>
      <c r="X67" s="63">
        <v>-3.3599999999999998E-2</v>
      </c>
      <c r="Y67" s="63">
        <v>1.833</v>
      </c>
      <c r="Z67" s="63">
        <v>3.0000000000000001E-3</v>
      </c>
    </row>
    <row r="68" spans="1:26" x14ac:dyDescent="0.25">
      <c r="A68" s="26" t="s">
        <v>928</v>
      </c>
      <c r="B68" s="26" t="s">
        <v>658</v>
      </c>
      <c r="C68" s="26" t="s">
        <v>659</v>
      </c>
      <c r="D68" s="26">
        <v>0.30819999999999997</v>
      </c>
      <c r="E68" s="26">
        <v>0.12668699999999999</v>
      </c>
      <c r="F68" s="136">
        <v>45925.619016203702</v>
      </c>
      <c r="G68" s="26" t="str">
        <f t="shared" si="2"/>
        <v>10</v>
      </c>
      <c r="H68" s="26" t="s">
        <v>928</v>
      </c>
      <c r="I68" s="26" t="s">
        <v>867</v>
      </c>
      <c r="J68" s="26" t="s">
        <v>659</v>
      </c>
      <c r="K68" s="26">
        <v>2.7770000000000001</v>
      </c>
      <c r="L68" s="26">
        <v>0.20116700000000001</v>
      </c>
      <c r="M68" s="136">
        <v>45925.535231481481</v>
      </c>
      <c r="N68" s="26"/>
      <c r="O68" s="26" t="s">
        <v>928</v>
      </c>
      <c r="P68" s="26" t="s">
        <v>902</v>
      </c>
      <c r="Q68" s="26" t="s">
        <v>673</v>
      </c>
      <c r="R68" s="26">
        <v>-5.0000000000000001E-3</v>
      </c>
      <c r="S68" s="26">
        <v>9.4799999999999995E-4</v>
      </c>
      <c r="T68" s="136">
        <v>45925.59715277778</v>
      </c>
      <c r="V68" s="119" t="s">
        <v>751</v>
      </c>
      <c r="W68" s="63" t="s">
        <v>889</v>
      </c>
      <c r="X68" s="63">
        <v>-4.0800000000000003E-2</v>
      </c>
      <c r="Y68" s="63">
        <v>1.464</v>
      </c>
      <c r="Z68" s="63">
        <v>1.7999999999999999E-2</v>
      </c>
    </row>
    <row r="69" spans="1:26" x14ac:dyDescent="0.25">
      <c r="A69" s="26" t="s">
        <v>929</v>
      </c>
      <c r="B69" s="26" t="s">
        <v>658</v>
      </c>
      <c r="C69" s="26" t="s">
        <v>659</v>
      </c>
      <c r="D69" s="26">
        <v>8.6199999999999999E-2</v>
      </c>
      <c r="E69" s="26">
        <v>0.139575</v>
      </c>
      <c r="F69" s="136">
        <v>45925.445555555554</v>
      </c>
      <c r="G69" s="26" t="str">
        <f t="shared" si="2"/>
        <v>11</v>
      </c>
      <c r="H69" s="26" t="s">
        <v>929</v>
      </c>
      <c r="I69" s="26" t="s">
        <v>867</v>
      </c>
      <c r="J69" s="26" t="s">
        <v>659</v>
      </c>
      <c r="K69" s="26">
        <v>2.7080000000000002</v>
      </c>
      <c r="L69" s="26">
        <v>0.19689200000000001</v>
      </c>
      <c r="M69" s="136">
        <v>45925.536851851852</v>
      </c>
      <c r="N69" s="26"/>
      <c r="O69" s="26" t="s">
        <v>929</v>
      </c>
      <c r="P69" s="26" t="s">
        <v>902</v>
      </c>
      <c r="Q69" s="26" t="s">
        <v>673</v>
      </c>
      <c r="R69" s="26">
        <v>-4.0000000000000001E-3</v>
      </c>
      <c r="S69" s="26">
        <v>1.0549999999999999E-3</v>
      </c>
      <c r="T69" s="136">
        <v>45925.598078703704</v>
      </c>
      <c r="V69" s="124" t="s">
        <v>782</v>
      </c>
      <c r="W69" s="29" t="s">
        <v>962</v>
      </c>
      <c r="X69" s="29">
        <v>-5.7000000000000002E-2</v>
      </c>
      <c r="Y69" s="29">
        <v>2.9279999999999999</v>
      </c>
      <c r="Z69" s="29">
        <v>3.0000000000000001E-3</v>
      </c>
    </row>
    <row r="70" spans="1:26" x14ac:dyDescent="0.25">
      <c r="A70" s="26" t="s">
        <v>894</v>
      </c>
      <c r="B70" s="26" t="s">
        <v>658</v>
      </c>
      <c r="C70" s="26" t="s">
        <v>659</v>
      </c>
      <c r="D70" s="26">
        <v>-2.9100000000000001E-2</v>
      </c>
      <c r="E70" s="26">
        <v>7.9052999999999998E-2</v>
      </c>
      <c r="F70" s="136">
        <v>45925.741562499999</v>
      </c>
      <c r="G70" s="26" t="str">
        <f t="shared" si="2"/>
        <v>12</v>
      </c>
      <c r="H70" s="26" t="s">
        <v>894</v>
      </c>
      <c r="I70" s="26" t="s">
        <v>867</v>
      </c>
      <c r="J70" s="26" t="s">
        <v>659</v>
      </c>
      <c r="K70" s="26">
        <v>2.6150000000000002</v>
      </c>
      <c r="L70" s="26">
        <v>0.191054</v>
      </c>
      <c r="M70" s="136">
        <v>45925.817824074074</v>
      </c>
      <c r="N70" s="26"/>
      <c r="O70" s="26" t="s">
        <v>894</v>
      </c>
      <c r="P70" s="26" t="s">
        <v>902</v>
      </c>
      <c r="Q70" s="26" t="s">
        <v>673</v>
      </c>
      <c r="R70" s="26">
        <v>0</v>
      </c>
      <c r="S70" s="26">
        <v>1.186E-3</v>
      </c>
      <c r="T70" s="136">
        <v>45926.435185185182</v>
      </c>
      <c r="V70" s="124" t="s">
        <v>783</v>
      </c>
      <c r="W70" s="29" t="s">
        <v>963</v>
      </c>
      <c r="X70" s="29">
        <v>-5.8799999999999998E-2</v>
      </c>
      <c r="Y70" s="29">
        <v>2.2400000000000002</v>
      </c>
      <c r="Z70" s="29">
        <v>1.4E-2</v>
      </c>
    </row>
    <row r="71" spans="1:26" x14ac:dyDescent="0.25">
      <c r="A71" s="26" t="s">
        <v>930</v>
      </c>
      <c r="B71" s="26" t="s">
        <v>658</v>
      </c>
      <c r="C71" s="26" t="s">
        <v>659</v>
      </c>
      <c r="D71" s="26">
        <v>-5.4999999999999997E-3</v>
      </c>
      <c r="E71" s="26">
        <v>9.1417999999999999E-2</v>
      </c>
      <c r="F71" s="136">
        <v>45925.447083333333</v>
      </c>
      <c r="G71" s="26" t="str">
        <f t="shared" si="2"/>
        <v>13</v>
      </c>
      <c r="H71" s="26" t="s">
        <v>930</v>
      </c>
      <c r="I71" s="26" t="s">
        <v>867</v>
      </c>
      <c r="J71" s="26" t="s">
        <v>659</v>
      </c>
      <c r="K71" s="26">
        <v>1.4370000000000001</v>
      </c>
      <c r="L71" s="26">
        <v>0.117578</v>
      </c>
      <c r="M71" s="136">
        <v>45925.538460648146</v>
      </c>
      <c r="N71" s="26"/>
      <c r="O71" s="26" t="s">
        <v>930</v>
      </c>
      <c r="P71" s="26" t="s">
        <v>902</v>
      </c>
      <c r="Q71" s="26" t="s">
        <v>673</v>
      </c>
      <c r="R71" s="26">
        <v>-4.0000000000000001E-3</v>
      </c>
      <c r="S71" s="26">
        <v>1.1950000000000001E-3</v>
      </c>
      <c r="T71" s="136">
        <v>45925.599027777775</v>
      </c>
      <c r="V71" s="124" t="s">
        <v>784</v>
      </c>
      <c r="W71" s="29" t="s">
        <v>964</v>
      </c>
      <c r="X71" s="29">
        <v>-6.4299999999999996E-2</v>
      </c>
      <c r="Y71" s="29">
        <v>2.2080000000000002</v>
      </c>
      <c r="Z71" s="29">
        <v>3.0000000000000001E-3</v>
      </c>
    </row>
    <row r="72" spans="1:26" x14ac:dyDescent="0.25">
      <c r="A72" s="63" t="s">
        <v>895</v>
      </c>
      <c r="B72" s="63" t="s">
        <v>658</v>
      </c>
      <c r="C72" s="63" t="s">
        <v>659</v>
      </c>
      <c r="D72" s="63">
        <v>-1.1299999999999999E-2</v>
      </c>
      <c r="E72" s="63">
        <v>8.8383000000000003E-2</v>
      </c>
      <c r="F72" s="137">
        <v>45925.743078703701</v>
      </c>
      <c r="G72" s="63" t="str">
        <f t="shared" si="2"/>
        <v xml:space="preserve"> 1</v>
      </c>
      <c r="H72" s="63" t="s">
        <v>895</v>
      </c>
      <c r="I72" s="63" t="s">
        <v>867</v>
      </c>
      <c r="J72" s="63" t="s">
        <v>659</v>
      </c>
      <c r="K72" s="63">
        <v>1.2789999999999999</v>
      </c>
      <c r="L72" s="63">
        <v>0.107682</v>
      </c>
      <c r="M72" s="137">
        <v>45925.819421296299</v>
      </c>
      <c r="N72" s="63"/>
      <c r="O72" s="63" t="s">
        <v>895</v>
      </c>
      <c r="P72" s="63" t="s">
        <v>902</v>
      </c>
      <c r="Q72" s="63" t="s">
        <v>673</v>
      </c>
      <c r="R72" s="63">
        <v>0</v>
      </c>
      <c r="S72" s="63">
        <v>1.142E-3</v>
      </c>
      <c r="T72" s="137">
        <v>45926.43613425926</v>
      </c>
      <c r="V72" s="124" t="s">
        <v>785</v>
      </c>
      <c r="W72" s="29" t="s">
        <v>965</v>
      </c>
      <c r="X72" s="29">
        <v>-4.3700000000000003E-2</v>
      </c>
      <c r="Y72" s="29">
        <v>1.9319999999999999</v>
      </c>
      <c r="Z72" s="29">
        <v>4.0000000000000001E-3</v>
      </c>
    </row>
    <row r="73" spans="1:26" x14ac:dyDescent="0.25">
      <c r="A73" s="63" t="s">
        <v>896</v>
      </c>
      <c r="B73" s="63" t="s">
        <v>658</v>
      </c>
      <c r="C73" s="63" t="s">
        <v>659</v>
      </c>
      <c r="D73" s="63">
        <v>-2.2599999999999999E-2</v>
      </c>
      <c r="E73" s="63">
        <v>8.2447999999999994E-2</v>
      </c>
      <c r="F73" s="137">
        <v>45925.74459490741</v>
      </c>
      <c r="G73" s="63" t="str">
        <f t="shared" si="2"/>
        <v xml:space="preserve"> 2</v>
      </c>
      <c r="H73" s="63" t="s">
        <v>896</v>
      </c>
      <c r="I73" s="63" t="s">
        <v>867</v>
      </c>
      <c r="J73" s="63" t="s">
        <v>659</v>
      </c>
      <c r="K73" s="63">
        <v>1.091</v>
      </c>
      <c r="L73" s="63">
        <v>9.5988000000000004E-2</v>
      </c>
      <c r="M73" s="137">
        <v>45925.821053240739</v>
      </c>
      <c r="N73" s="63"/>
      <c r="O73" s="63" t="s">
        <v>896</v>
      </c>
      <c r="P73" s="63" t="s">
        <v>902</v>
      </c>
      <c r="Q73" s="63" t="s">
        <v>673</v>
      </c>
      <c r="R73" s="63">
        <v>1E-3</v>
      </c>
      <c r="S73" s="63">
        <v>1.196E-3</v>
      </c>
      <c r="T73" s="137">
        <v>45926.437083333331</v>
      </c>
      <c r="V73" s="124" t="s">
        <v>786</v>
      </c>
      <c r="W73" s="29" t="s">
        <v>966</v>
      </c>
      <c r="X73" s="29">
        <v>-6.4000000000000001E-2</v>
      </c>
      <c r="Y73" s="29">
        <v>1.5820000000000001</v>
      </c>
      <c r="Z73" s="29">
        <v>3.0000000000000001E-3</v>
      </c>
    </row>
    <row r="74" spans="1:26" x14ac:dyDescent="0.25">
      <c r="A74" s="63" t="s">
        <v>897</v>
      </c>
      <c r="B74" s="63" t="s">
        <v>658</v>
      </c>
      <c r="C74" s="63" t="s">
        <v>659</v>
      </c>
      <c r="D74" s="63">
        <v>-1.83E-2</v>
      </c>
      <c r="E74" s="63">
        <v>8.4723000000000007E-2</v>
      </c>
      <c r="F74" s="137">
        <v>45925.746111111112</v>
      </c>
      <c r="G74" s="63" t="str">
        <f t="shared" si="2"/>
        <v xml:space="preserve"> 3</v>
      </c>
      <c r="H74" s="63" t="s">
        <v>897</v>
      </c>
      <c r="I74" s="63" t="s">
        <v>867</v>
      </c>
      <c r="J74" s="63" t="s">
        <v>659</v>
      </c>
      <c r="K74" s="63">
        <v>1.07</v>
      </c>
      <c r="L74" s="63">
        <v>9.4692999999999999E-2</v>
      </c>
      <c r="M74" s="137">
        <v>45925.823912037034</v>
      </c>
      <c r="N74" s="63"/>
      <c r="O74" s="63" t="s">
        <v>897</v>
      </c>
      <c r="P74" s="63" t="s">
        <v>902</v>
      </c>
      <c r="Q74" s="63" t="s">
        <v>673</v>
      </c>
      <c r="R74" s="63">
        <v>1E-3</v>
      </c>
      <c r="S74" s="63">
        <v>1.4009999999999999E-3</v>
      </c>
      <c r="T74" s="137">
        <v>45926.43787037037</v>
      </c>
      <c r="V74" s="124" t="s">
        <v>787</v>
      </c>
      <c r="W74" s="29" t="s">
        <v>967</v>
      </c>
      <c r="X74" s="29">
        <v>-6.6600000000000006E-2</v>
      </c>
      <c r="Y74" s="29">
        <v>1.5069999999999999</v>
      </c>
      <c r="Z74" s="29">
        <v>6.0000000000000001E-3</v>
      </c>
    </row>
    <row r="75" spans="1:26" x14ac:dyDescent="0.25">
      <c r="A75" s="63" t="s">
        <v>898</v>
      </c>
      <c r="B75" s="63" t="s">
        <v>658</v>
      </c>
      <c r="C75" s="63" t="s">
        <v>659</v>
      </c>
      <c r="D75" s="63">
        <v>-2.69E-2</v>
      </c>
      <c r="E75" s="63">
        <v>8.0195000000000002E-2</v>
      </c>
      <c r="F75" s="137">
        <v>45925.750347222223</v>
      </c>
      <c r="G75" s="63" t="str">
        <f t="shared" si="2"/>
        <v xml:space="preserve"> 4</v>
      </c>
      <c r="H75" s="63" t="s">
        <v>898</v>
      </c>
      <c r="I75" s="63" t="s">
        <v>867</v>
      </c>
      <c r="J75" s="63" t="s">
        <v>659</v>
      </c>
      <c r="K75" s="63">
        <v>0.94299999999999995</v>
      </c>
      <c r="L75" s="63">
        <v>8.6719000000000004E-2</v>
      </c>
      <c r="M75" s="137">
        <v>45925.824560185189</v>
      </c>
      <c r="N75" s="63"/>
      <c r="O75" s="63" t="s">
        <v>898</v>
      </c>
      <c r="P75" s="63" t="s">
        <v>902</v>
      </c>
      <c r="Q75" s="63" t="s">
        <v>673</v>
      </c>
      <c r="R75" s="63">
        <v>1E-3</v>
      </c>
      <c r="S75" s="63">
        <v>1.4009999999999999E-3</v>
      </c>
      <c r="T75" s="137">
        <v>45926.43986111111</v>
      </c>
      <c r="V75" s="124" t="s">
        <v>788</v>
      </c>
      <c r="W75" s="29" t="s">
        <v>968</v>
      </c>
      <c r="X75" s="29">
        <v>-5.9400000000000001E-2</v>
      </c>
      <c r="Y75" s="29">
        <v>2.964</v>
      </c>
      <c r="Z75" s="29">
        <v>4.0000000000000001E-3</v>
      </c>
    </row>
    <row r="76" spans="1:26" x14ac:dyDescent="0.25">
      <c r="A76" s="63" t="s">
        <v>931</v>
      </c>
      <c r="B76" s="63" t="s">
        <v>658</v>
      </c>
      <c r="C76" s="63" t="s">
        <v>659</v>
      </c>
      <c r="D76" s="63">
        <v>-1.9699999999999999E-2</v>
      </c>
      <c r="E76" s="63">
        <v>8.3953E-2</v>
      </c>
      <c r="F76" s="137">
        <v>45925.448599537034</v>
      </c>
      <c r="G76" s="63" t="str">
        <f t="shared" si="2"/>
        <v xml:space="preserve"> 5</v>
      </c>
      <c r="H76" s="63" t="s">
        <v>931</v>
      </c>
      <c r="I76" s="63" t="s">
        <v>867</v>
      </c>
      <c r="J76" s="63" t="s">
        <v>659</v>
      </c>
      <c r="K76" s="63">
        <v>0.68300000000000005</v>
      </c>
      <c r="L76" s="63">
        <v>7.0491999999999999E-2</v>
      </c>
      <c r="M76" s="137">
        <v>45925.540092592593</v>
      </c>
      <c r="N76" s="63"/>
      <c r="O76" s="63" t="s">
        <v>931</v>
      </c>
      <c r="P76" s="63" t="s">
        <v>902</v>
      </c>
      <c r="Q76" s="63" t="s">
        <v>673</v>
      </c>
      <c r="R76" s="63">
        <v>-4.0000000000000001E-3</v>
      </c>
      <c r="S76" s="63">
        <v>1.2600000000000001E-3</v>
      </c>
      <c r="T76" s="137">
        <v>45925.599976851852</v>
      </c>
      <c r="V76" s="124" t="s">
        <v>789</v>
      </c>
      <c r="W76" s="29" t="s">
        <v>969</v>
      </c>
      <c r="X76" s="29">
        <v>-6.54E-2</v>
      </c>
      <c r="Y76" s="29">
        <v>2.8679999999999999</v>
      </c>
      <c r="Z76" s="29">
        <v>4.0000000000000001E-3</v>
      </c>
    </row>
    <row r="77" spans="1:26" x14ac:dyDescent="0.25">
      <c r="A77" s="63" t="s">
        <v>932</v>
      </c>
      <c r="B77" s="63" t="s">
        <v>658</v>
      </c>
      <c r="C77" s="63" t="s">
        <v>659</v>
      </c>
      <c r="D77" s="63">
        <v>-1.47E-2</v>
      </c>
      <c r="E77" s="63">
        <v>8.6580000000000004E-2</v>
      </c>
      <c r="F77" s="137">
        <v>45925.450115740743</v>
      </c>
      <c r="G77" s="63" t="str">
        <f t="shared" si="2"/>
        <v xml:space="preserve"> 6</v>
      </c>
      <c r="H77" s="63" t="s">
        <v>932</v>
      </c>
      <c r="I77" s="63" t="s">
        <v>867</v>
      </c>
      <c r="J77" s="63" t="s">
        <v>659</v>
      </c>
      <c r="K77" s="63">
        <v>0.24199999999999999</v>
      </c>
      <c r="L77" s="63">
        <v>4.299E-2</v>
      </c>
      <c r="M77" s="137">
        <v>45925.542951388888</v>
      </c>
      <c r="N77" s="63"/>
      <c r="O77" s="63" t="s">
        <v>932</v>
      </c>
      <c r="P77" s="63" t="s">
        <v>902</v>
      </c>
      <c r="Q77" s="63" t="s">
        <v>673</v>
      </c>
      <c r="R77" s="63">
        <v>-4.0000000000000001E-3</v>
      </c>
      <c r="S77" s="63">
        <v>1.1310000000000001E-3</v>
      </c>
      <c r="T77" s="137">
        <v>45925.600775462961</v>
      </c>
      <c r="V77" s="124" t="s">
        <v>790</v>
      </c>
      <c r="W77" s="29" t="s">
        <v>970</v>
      </c>
      <c r="X77" s="29">
        <v>-5.4100000000000002E-2</v>
      </c>
      <c r="Y77" s="29">
        <v>3.6619999999999999</v>
      </c>
      <c r="Z77" s="29">
        <v>3.0000000000000001E-3</v>
      </c>
    </row>
    <row r="78" spans="1:26" x14ac:dyDescent="0.25">
      <c r="A78" s="63" t="s">
        <v>933</v>
      </c>
      <c r="B78" s="63" t="s">
        <v>658</v>
      </c>
      <c r="C78" s="63" t="s">
        <v>659</v>
      </c>
      <c r="D78" s="63">
        <v>0.53</v>
      </c>
      <c r="E78" s="63">
        <v>0.37266300000000002</v>
      </c>
      <c r="F78" s="137">
        <v>45925.454351851855</v>
      </c>
      <c r="G78" s="63" t="str">
        <f t="shared" si="2"/>
        <v xml:space="preserve"> 7</v>
      </c>
      <c r="H78" s="63" t="s">
        <v>933</v>
      </c>
      <c r="I78" s="63" t="s">
        <v>867</v>
      </c>
      <c r="J78" s="63" t="s">
        <v>659</v>
      </c>
      <c r="K78" s="63">
        <v>1.837</v>
      </c>
      <c r="L78" s="63">
        <v>0.142542</v>
      </c>
      <c r="M78" s="137">
        <v>45925.543599537035</v>
      </c>
      <c r="N78" s="63"/>
      <c r="O78" s="63" t="s">
        <v>933</v>
      </c>
      <c r="P78" s="63" t="s">
        <v>902</v>
      </c>
      <c r="Q78" s="63" t="s">
        <v>673</v>
      </c>
      <c r="R78" s="63">
        <v>-1E-3</v>
      </c>
      <c r="S78" s="63">
        <v>2.0149999999999999E-3</v>
      </c>
      <c r="T78" s="137">
        <v>45925.602766203701</v>
      </c>
      <c r="V78" s="124" t="s">
        <v>791</v>
      </c>
      <c r="W78" s="29" t="s">
        <v>971</v>
      </c>
      <c r="X78" s="29">
        <v>-6.1499999999999999E-2</v>
      </c>
      <c r="Y78" s="29">
        <v>3.2549999999999999</v>
      </c>
      <c r="Z78" s="29">
        <v>3.0000000000000001E-3</v>
      </c>
    </row>
    <row r="79" spans="1:26" x14ac:dyDescent="0.25">
      <c r="A79" s="63" t="s">
        <v>934</v>
      </c>
      <c r="B79" s="63" t="s">
        <v>658</v>
      </c>
      <c r="C79" s="63" t="s">
        <v>659</v>
      </c>
      <c r="D79" s="63">
        <v>9.5299999999999996E-2</v>
      </c>
      <c r="E79" s="63">
        <v>0.14435100000000001</v>
      </c>
      <c r="F79" s="137">
        <v>45925.457384259258</v>
      </c>
      <c r="G79" s="63" t="str">
        <f t="shared" ref="G79:G109" si="3">RIGHT(H79, 2)</f>
        <v xml:space="preserve"> 8</v>
      </c>
      <c r="H79" s="63" t="s">
        <v>934</v>
      </c>
      <c r="I79" s="63" t="s">
        <v>867</v>
      </c>
      <c r="J79" s="63" t="s">
        <v>659</v>
      </c>
      <c r="K79" s="63">
        <v>1.8759999999999999</v>
      </c>
      <c r="L79" s="63">
        <v>0.14497099999999999</v>
      </c>
      <c r="M79" s="137">
        <v>45925.544259259259</v>
      </c>
      <c r="N79" s="63"/>
      <c r="O79" s="63" t="s">
        <v>934</v>
      </c>
      <c r="P79" s="63" t="s">
        <v>902</v>
      </c>
      <c r="Q79" s="63" t="s">
        <v>673</v>
      </c>
      <c r="R79" s="63">
        <v>-1E-3</v>
      </c>
      <c r="S79" s="63">
        <v>2.2200000000000002E-3</v>
      </c>
      <c r="T79" s="137">
        <v>45925.603414351855</v>
      </c>
      <c r="V79" s="124" t="s">
        <v>792</v>
      </c>
      <c r="W79" s="29" t="s">
        <v>972</v>
      </c>
      <c r="X79" s="29">
        <v>-6.2E-2</v>
      </c>
      <c r="Y79" s="29">
        <v>3.3149999999999999</v>
      </c>
      <c r="Z79" s="29">
        <v>2.5000000000000001E-2</v>
      </c>
    </row>
    <row r="80" spans="1:26" x14ac:dyDescent="0.25">
      <c r="A80" s="63" t="s">
        <v>899</v>
      </c>
      <c r="B80" s="63" t="s">
        <v>658</v>
      </c>
      <c r="C80" s="63" t="s">
        <v>659</v>
      </c>
      <c r="D80" s="63">
        <v>1.9382999999999999</v>
      </c>
      <c r="E80" s="63">
        <v>0.133905</v>
      </c>
      <c r="F80" s="137">
        <v>45925.853090277778</v>
      </c>
      <c r="G80" s="63" t="str">
        <f t="shared" si="3"/>
        <v xml:space="preserve"> 9</v>
      </c>
      <c r="H80" s="63" t="s">
        <v>899</v>
      </c>
      <c r="I80" s="63" t="s">
        <v>867</v>
      </c>
      <c r="J80" s="63" t="s">
        <v>659</v>
      </c>
      <c r="K80" s="63">
        <v>1.768</v>
      </c>
      <c r="L80" s="63">
        <v>0.138208</v>
      </c>
      <c r="M80" s="137">
        <v>45925.825208333335</v>
      </c>
      <c r="N80" s="63"/>
      <c r="O80" s="63" t="s">
        <v>899</v>
      </c>
      <c r="P80" s="63" t="s">
        <v>902</v>
      </c>
      <c r="Q80" s="63" t="s">
        <v>673</v>
      </c>
      <c r="R80" s="63">
        <v>3.0000000000000001E-3</v>
      </c>
      <c r="S80" s="63">
        <v>2.0820000000000001E-3</v>
      </c>
      <c r="T80" s="137">
        <v>45926.440520833334</v>
      </c>
      <c r="V80" s="124" t="s">
        <v>793</v>
      </c>
      <c r="W80" s="29" t="s">
        <v>973</v>
      </c>
      <c r="X80" s="29">
        <v>-6.4500000000000002E-2</v>
      </c>
      <c r="Y80" s="29">
        <v>3.5489999999999999</v>
      </c>
      <c r="Z80" s="29">
        <v>4.0000000000000001E-3</v>
      </c>
    </row>
    <row r="81" spans="1:26" x14ac:dyDescent="0.25">
      <c r="A81" s="63" t="s">
        <v>935</v>
      </c>
      <c r="B81" s="63" t="s">
        <v>658</v>
      </c>
      <c r="C81" s="63" t="s">
        <v>659</v>
      </c>
      <c r="D81" s="63">
        <v>0.1076</v>
      </c>
      <c r="E81" s="63">
        <v>0.15080199999999999</v>
      </c>
      <c r="F81" s="137">
        <v>45925.460590277777</v>
      </c>
      <c r="G81" s="63" t="str">
        <f t="shared" si="3"/>
        <v>10</v>
      </c>
      <c r="H81" s="63" t="s">
        <v>935</v>
      </c>
      <c r="I81" s="63" t="s">
        <v>867</v>
      </c>
      <c r="J81" s="63" t="s">
        <v>659</v>
      </c>
      <c r="K81" s="63">
        <v>1.823</v>
      </c>
      <c r="L81" s="63">
        <v>0.14167399999999999</v>
      </c>
      <c r="M81" s="137">
        <v>45925.544907407406</v>
      </c>
      <c r="N81" s="63"/>
      <c r="O81" s="63" t="s">
        <v>935</v>
      </c>
      <c r="P81" s="63" t="s">
        <v>902</v>
      </c>
      <c r="Q81" s="63" t="s">
        <v>673</v>
      </c>
      <c r="R81" s="63">
        <v>-2E-3</v>
      </c>
      <c r="S81" s="63">
        <v>2.0049999999999998E-3</v>
      </c>
      <c r="T81" s="137">
        <v>45925.604074074072</v>
      </c>
      <c r="V81" s="124" t="s">
        <v>794</v>
      </c>
      <c r="W81" s="29" t="s">
        <v>974</v>
      </c>
      <c r="X81" s="29">
        <v>-5.8599999999999999E-2</v>
      </c>
      <c r="Y81" s="29">
        <v>1.516</v>
      </c>
      <c r="Z81" s="29">
        <v>2.1000000000000001E-2</v>
      </c>
    </row>
    <row r="82" spans="1:26" x14ac:dyDescent="0.25">
      <c r="A82" s="63" t="s">
        <v>900</v>
      </c>
      <c r="B82" s="63" t="s">
        <v>658</v>
      </c>
      <c r="C82" s="63" t="s">
        <v>659</v>
      </c>
      <c r="D82" s="63">
        <v>-8.5000000000000006E-3</v>
      </c>
      <c r="E82" s="63">
        <v>8.9876999999999999E-2</v>
      </c>
      <c r="F82" s="137">
        <v>45925.756458333337</v>
      </c>
      <c r="G82" s="63" t="str">
        <f t="shared" si="3"/>
        <v>11</v>
      </c>
      <c r="H82" s="63" t="s">
        <v>900</v>
      </c>
      <c r="I82" s="63" t="s">
        <v>867</v>
      </c>
      <c r="J82" s="63" t="s">
        <v>659</v>
      </c>
      <c r="K82" s="63">
        <v>1.6579999999999999</v>
      </c>
      <c r="L82" s="63">
        <v>0.131353</v>
      </c>
      <c r="M82" s="137">
        <v>45925.825868055559</v>
      </c>
      <c r="N82" s="63"/>
      <c r="O82" s="63" t="s">
        <v>900</v>
      </c>
      <c r="P82" s="63" t="s">
        <v>902</v>
      </c>
      <c r="Q82" s="63" t="s">
        <v>673</v>
      </c>
      <c r="R82" s="63">
        <v>2E-3</v>
      </c>
      <c r="S82" s="63">
        <v>1.585E-3</v>
      </c>
      <c r="T82" s="137">
        <v>45926.441168981481</v>
      </c>
      <c r="V82" s="124" t="s">
        <v>795</v>
      </c>
      <c r="W82" s="29" t="s">
        <v>975</v>
      </c>
      <c r="X82" s="29">
        <v>-5.67E-2</v>
      </c>
      <c r="Y82" s="29">
        <v>1.7789999999999999</v>
      </c>
      <c r="Z82" s="29">
        <v>4.0000000000000001E-3</v>
      </c>
    </row>
    <row r="83" spans="1:26" x14ac:dyDescent="0.25">
      <c r="A83" s="63" t="s">
        <v>936</v>
      </c>
      <c r="B83" s="63" t="s">
        <v>658</v>
      </c>
      <c r="C83" s="63" t="s">
        <v>659</v>
      </c>
      <c r="D83" s="63">
        <v>-5.7000000000000002E-3</v>
      </c>
      <c r="E83" s="63">
        <v>9.1312000000000004E-2</v>
      </c>
      <c r="F83" s="137">
        <v>45925.463796296295</v>
      </c>
      <c r="G83" s="63" t="str">
        <f t="shared" si="3"/>
        <v>12</v>
      </c>
      <c r="H83" s="63" t="s">
        <v>936</v>
      </c>
      <c r="I83" s="63" t="s">
        <v>867</v>
      </c>
      <c r="J83" s="63" t="s">
        <v>659</v>
      </c>
      <c r="K83" s="63">
        <v>1.8620000000000001</v>
      </c>
      <c r="L83" s="63">
        <v>0.144066</v>
      </c>
      <c r="M83" s="137">
        <v>45925.545567129629</v>
      </c>
      <c r="N83" s="63"/>
      <c r="O83" s="63" t="s">
        <v>936</v>
      </c>
      <c r="P83" s="63" t="s">
        <v>902</v>
      </c>
      <c r="Q83" s="63" t="s">
        <v>673</v>
      </c>
      <c r="R83" s="63">
        <v>-4.0000000000000001E-3</v>
      </c>
      <c r="S83" s="63">
        <v>1.292E-3</v>
      </c>
      <c r="T83" s="137">
        <v>45925.604733796295</v>
      </c>
      <c r="V83" s="124" t="s">
        <v>796</v>
      </c>
      <c r="W83" s="29" t="s">
        <v>976</v>
      </c>
      <c r="X83" s="29">
        <v>-5.5500000000000001E-2</v>
      </c>
      <c r="Y83" s="29">
        <v>2.3290000000000002</v>
      </c>
      <c r="Z83" s="29">
        <v>4.0000000000000001E-3</v>
      </c>
    </row>
    <row r="84" spans="1:26" x14ac:dyDescent="0.25">
      <c r="A84" s="63" t="s">
        <v>901</v>
      </c>
      <c r="B84" s="63" t="s">
        <v>658</v>
      </c>
      <c r="C84" s="63" t="s">
        <v>659</v>
      </c>
      <c r="D84" s="63">
        <v>-3.3000000000000002E-2</v>
      </c>
      <c r="E84" s="63">
        <v>7.6980999999999994E-2</v>
      </c>
      <c r="F84" s="137">
        <v>45925.759513888886</v>
      </c>
      <c r="G84" s="63" t="str">
        <f t="shared" si="3"/>
        <v>13</v>
      </c>
      <c r="H84" s="63" t="s">
        <v>901</v>
      </c>
      <c r="I84" s="63" t="s">
        <v>867</v>
      </c>
      <c r="J84" s="63" t="s">
        <v>659</v>
      </c>
      <c r="K84" s="63">
        <v>0.28299999999999997</v>
      </c>
      <c r="L84" s="63">
        <v>4.5559000000000002E-2</v>
      </c>
      <c r="M84" s="137">
        <v>45925.826516203706</v>
      </c>
      <c r="N84" s="63"/>
      <c r="O84" s="63" t="s">
        <v>901</v>
      </c>
      <c r="P84" s="63" t="s">
        <v>902</v>
      </c>
      <c r="Q84" s="63" t="s">
        <v>673</v>
      </c>
      <c r="R84" s="63">
        <v>0</v>
      </c>
      <c r="S84" s="63">
        <v>1.0020000000000001E-3</v>
      </c>
      <c r="T84" s="137">
        <v>45926.441828703704</v>
      </c>
      <c r="V84" s="123" t="s">
        <v>752</v>
      </c>
      <c r="W84" s="26" t="s">
        <v>890</v>
      </c>
      <c r="X84" s="26">
        <v>-1.34E-2</v>
      </c>
      <c r="Y84" s="26">
        <v>2.3940000000000001</v>
      </c>
      <c r="Z84" s="26">
        <v>0</v>
      </c>
    </row>
    <row r="85" spans="1:26" x14ac:dyDescent="0.25">
      <c r="A85" s="105" t="s">
        <v>937</v>
      </c>
      <c r="B85" s="105" t="s">
        <v>658</v>
      </c>
      <c r="C85" s="105" t="s">
        <v>659</v>
      </c>
      <c r="D85" s="105">
        <v>3.1800000000000002E-2</v>
      </c>
      <c r="E85" s="105">
        <v>0.10921500000000001</v>
      </c>
      <c r="F85" s="139">
        <v>45926.502071759256</v>
      </c>
      <c r="G85" s="105" t="str">
        <f t="shared" si="3"/>
        <v xml:space="preserve"> 1</v>
      </c>
      <c r="H85" s="105" t="s">
        <v>937</v>
      </c>
      <c r="I85" s="105" t="s">
        <v>867</v>
      </c>
      <c r="J85" s="105" t="s">
        <v>659</v>
      </c>
      <c r="K85" s="105">
        <v>2.5710000000000002</v>
      </c>
      <c r="L85" s="105">
        <v>0.18249199999999999</v>
      </c>
      <c r="M85" s="139">
        <v>45926.57408564815</v>
      </c>
      <c r="N85" s="105"/>
      <c r="O85" s="105" t="s">
        <v>937</v>
      </c>
      <c r="P85" s="105" t="s">
        <v>902</v>
      </c>
      <c r="Q85" s="105" t="s">
        <v>673</v>
      </c>
      <c r="R85" s="105">
        <v>-1E-3</v>
      </c>
      <c r="S85" s="105">
        <v>7.54E-4</v>
      </c>
      <c r="T85" s="139">
        <v>45926.622175925928</v>
      </c>
      <c r="V85" s="123" t="s">
        <v>753</v>
      </c>
      <c r="W85" s="26" t="s">
        <v>923</v>
      </c>
      <c r="X85" s="26">
        <v>-1.1900000000000001E-2</v>
      </c>
      <c r="Y85" s="26">
        <v>2.2719999999999998</v>
      </c>
      <c r="Z85" s="26">
        <v>-5.0000000000000001E-3</v>
      </c>
    </row>
    <row r="86" spans="1:26" x14ac:dyDescent="0.25">
      <c r="A86" s="105" t="s">
        <v>938</v>
      </c>
      <c r="B86" s="105" t="s">
        <v>658</v>
      </c>
      <c r="C86" s="105" t="s">
        <v>659</v>
      </c>
      <c r="D86" s="105">
        <v>0.1193</v>
      </c>
      <c r="E86" s="105">
        <v>0.15239</v>
      </c>
      <c r="F86" s="139">
        <v>45926.503599537034</v>
      </c>
      <c r="G86" s="105" t="str">
        <f t="shared" si="3"/>
        <v xml:space="preserve"> 2</v>
      </c>
      <c r="H86" s="105" t="s">
        <v>938</v>
      </c>
      <c r="I86" s="105" t="s">
        <v>867</v>
      </c>
      <c r="J86" s="105" t="s">
        <v>659</v>
      </c>
      <c r="K86" s="105">
        <v>2.2709999999999999</v>
      </c>
      <c r="L86" s="105">
        <v>0.16426299999999999</v>
      </c>
      <c r="M86" s="139">
        <v>45926.575694444444</v>
      </c>
      <c r="N86" s="105"/>
      <c r="O86" s="105" t="s">
        <v>938</v>
      </c>
      <c r="P86" s="105" t="s">
        <v>902</v>
      </c>
      <c r="Q86" s="105" t="s">
        <v>673</v>
      </c>
      <c r="R86" s="105">
        <v>1E-3</v>
      </c>
      <c r="S86" s="105">
        <v>1.207E-3</v>
      </c>
      <c r="T86" s="139">
        <v>45926.623101851852</v>
      </c>
      <c r="V86" s="123" t="s">
        <v>754</v>
      </c>
      <c r="W86" s="26" t="s">
        <v>924</v>
      </c>
      <c r="X86" s="26">
        <v>-2.4199999999999999E-2</v>
      </c>
      <c r="Y86" s="26">
        <v>2.044</v>
      </c>
      <c r="Z86" s="26">
        <v>-5.0000000000000001E-3</v>
      </c>
    </row>
    <row r="87" spans="1:26" x14ac:dyDescent="0.25">
      <c r="A87" s="105" t="s">
        <v>939</v>
      </c>
      <c r="B87" s="105" t="s">
        <v>658</v>
      </c>
      <c r="C87" s="105" t="s">
        <v>659</v>
      </c>
      <c r="D87" s="105">
        <v>-2.4400000000000002E-2</v>
      </c>
      <c r="E87" s="105">
        <v>8.1529000000000004E-2</v>
      </c>
      <c r="F87" s="139">
        <v>45926.505127314813</v>
      </c>
      <c r="G87" s="105" t="str">
        <f t="shared" si="3"/>
        <v xml:space="preserve"> 3</v>
      </c>
      <c r="H87" s="105" t="s">
        <v>939</v>
      </c>
      <c r="I87" s="105" t="s">
        <v>867</v>
      </c>
      <c r="J87" s="105" t="s">
        <v>659</v>
      </c>
      <c r="K87" s="105">
        <v>1.92</v>
      </c>
      <c r="L87" s="105">
        <v>0.142878</v>
      </c>
      <c r="M87" s="139">
        <v>45926.577303240738</v>
      </c>
      <c r="N87" s="105"/>
      <c r="O87" s="105" t="s">
        <v>939</v>
      </c>
      <c r="P87" s="105" t="s">
        <v>902</v>
      </c>
      <c r="Q87" s="105" t="s">
        <v>673</v>
      </c>
      <c r="R87" s="105">
        <v>-1E-3</v>
      </c>
      <c r="S87" s="105">
        <v>6.8900000000000005E-4</v>
      </c>
      <c r="T87" s="139">
        <v>45926.624039351853</v>
      </c>
      <c r="V87" s="123" t="s">
        <v>755</v>
      </c>
      <c r="W87" s="26" t="s">
        <v>925</v>
      </c>
      <c r="X87" s="26">
        <v>-2.0299999999999999E-2</v>
      </c>
      <c r="Y87" s="26">
        <v>1.829</v>
      </c>
      <c r="Z87" s="26">
        <v>-4.0000000000000001E-3</v>
      </c>
    </row>
    <row r="88" spans="1:26" x14ac:dyDescent="0.25">
      <c r="A88" s="105" t="s">
        <v>940</v>
      </c>
      <c r="B88" s="105" t="s">
        <v>658</v>
      </c>
      <c r="C88" s="105" t="s">
        <v>659</v>
      </c>
      <c r="D88" s="105">
        <v>-1.0200000000000001E-2</v>
      </c>
      <c r="E88" s="105">
        <v>8.8517999999999999E-2</v>
      </c>
      <c r="F88" s="139">
        <v>45926.506655092591</v>
      </c>
      <c r="G88" s="105" t="str">
        <f t="shared" si="3"/>
        <v xml:space="preserve"> 4</v>
      </c>
      <c r="H88" s="105" t="s">
        <v>940</v>
      </c>
      <c r="I88" s="105" t="s">
        <v>867</v>
      </c>
      <c r="J88" s="105" t="s">
        <v>659</v>
      </c>
      <c r="K88" s="105">
        <v>1.8029999999999999</v>
      </c>
      <c r="L88" s="105">
        <v>0.13572400000000001</v>
      </c>
      <c r="M88" s="139">
        <v>45926.578900462962</v>
      </c>
      <c r="N88" s="105"/>
      <c r="O88" s="105" t="s">
        <v>940</v>
      </c>
      <c r="P88" s="105" t="s">
        <v>902</v>
      </c>
      <c r="Q88" s="105" t="s">
        <v>673</v>
      </c>
      <c r="R88" s="105">
        <v>-1E-3</v>
      </c>
      <c r="S88" s="105">
        <v>6.6799999999999997E-4</v>
      </c>
      <c r="T88" s="139">
        <v>45926.624965277777</v>
      </c>
      <c r="V88" s="123" t="s">
        <v>756</v>
      </c>
      <c r="W88" s="26" t="s">
        <v>926</v>
      </c>
      <c r="X88" s="26">
        <v>-5.8999999999999999E-3</v>
      </c>
      <c r="Y88" s="26">
        <v>1.4910000000000001</v>
      </c>
      <c r="Z88" s="26">
        <v>-4.0000000000000001E-3</v>
      </c>
    </row>
    <row r="89" spans="1:26" x14ac:dyDescent="0.25">
      <c r="A89" s="105" t="s">
        <v>941</v>
      </c>
      <c r="B89" s="105" t="s">
        <v>658</v>
      </c>
      <c r="C89" s="105" t="s">
        <v>659</v>
      </c>
      <c r="D89" s="105">
        <v>-1.9699999999999999E-2</v>
      </c>
      <c r="E89" s="105">
        <v>8.387E-2</v>
      </c>
      <c r="F89" s="139">
        <v>45926.50818287037</v>
      </c>
      <c r="G89" s="105" t="str">
        <f t="shared" si="3"/>
        <v xml:space="preserve"> 5</v>
      </c>
      <c r="H89" s="105" t="s">
        <v>941</v>
      </c>
      <c r="I89" s="105" t="s">
        <v>867</v>
      </c>
      <c r="J89" s="105" t="s">
        <v>659</v>
      </c>
      <c r="K89" s="105">
        <v>2.2029999999999998</v>
      </c>
      <c r="L89" s="105">
        <v>0.16006799999999999</v>
      </c>
      <c r="M89" s="139">
        <v>45926.580509259256</v>
      </c>
      <c r="N89" s="105"/>
      <c r="O89" s="105" t="s">
        <v>941</v>
      </c>
      <c r="P89" s="105" t="s">
        <v>902</v>
      </c>
      <c r="Q89" s="105" t="s">
        <v>673</v>
      </c>
      <c r="R89" s="105">
        <v>-1E-3</v>
      </c>
      <c r="S89" s="105">
        <v>6.1399999999999996E-4</v>
      </c>
      <c r="T89" s="139">
        <v>45926.625891203701</v>
      </c>
      <c r="V89" s="123" t="s">
        <v>757</v>
      </c>
      <c r="W89" s="26" t="s">
        <v>891</v>
      </c>
      <c r="X89" s="26">
        <v>3.2800000000000003E-2</v>
      </c>
      <c r="Y89" s="26">
        <v>1.409</v>
      </c>
      <c r="Z89" s="26">
        <v>3.0000000000000001E-3</v>
      </c>
    </row>
    <row r="90" spans="1:26" x14ac:dyDescent="0.25">
      <c r="A90" s="105" t="s">
        <v>942</v>
      </c>
      <c r="B90" s="105" t="s">
        <v>658</v>
      </c>
      <c r="C90" s="105" t="s">
        <v>659</v>
      </c>
      <c r="D90" s="105">
        <v>-2.7000000000000001E-3</v>
      </c>
      <c r="E90" s="105">
        <v>9.2251E-2</v>
      </c>
      <c r="F90" s="139">
        <v>45926.509722222225</v>
      </c>
      <c r="G90" s="105" t="str">
        <f t="shared" si="3"/>
        <v xml:space="preserve"> 6</v>
      </c>
      <c r="H90" s="105" t="s">
        <v>942</v>
      </c>
      <c r="I90" s="105" t="s">
        <v>867</v>
      </c>
      <c r="J90" s="105" t="s">
        <v>659</v>
      </c>
      <c r="K90" s="105">
        <v>2.5750000000000002</v>
      </c>
      <c r="L90" s="105">
        <v>0.18276300000000001</v>
      </c>
      <c r="M90" s="139">
        <v>45926.582129629627</v>
      </c>
      <c r="N90" s="105"/>
      <c r="O90" s="105" t="s">
        <v>942</v>
      </c>
      <c r="P90" s="105" t="s">
        <v>902</v>
      </c>
      <c r="Q90" s="105" t="s">
        <v>673</v>
      </c>
      <c r="R90" s="105">
        <v>-1E-3</v>
      </c>
      <c r="S90" s="105">
        <v>7.2199999999999999E-4</v>
      </c>
      <c r="T90" s="139">
        <v>45926.626840277779</v>
      </c>
      <c r="V90" s="123" t="s">
        <v>758</v>
      </c>
      <c r="W90" s="26" t="s">
        <v>927</v>
      </c>
      <c r="X90" s="26">
        <v>2.3E-3</v>
      </c>
      <c r="Y90" s="26">
        <v>2.6240000000000001</v>
      </c>
      <c r="Z90" s="26">
        <v>-5.0000000000000001E-3</v>
      </c>
    </row>
    <row r="91" spans="1:26" x14ac:dyDescent="0.25">
      <c r="A91" s="29" t="s">
        <v>943</v>
      </c>
      <c r="B91" s="29" t="s">
        <v>658</v>
      </c>
      <c r="C91" s="29" t="s">
        <v>659</v>
      </c>
      <c r="D91" s="29">
        <v>8.3099999999999993E-2</v>
      </c>
      <c r="E91" s="29">
        <v>0.13453000000000001</v>
      </c>
      <c r="F91" s="138">
        <v>45926.511250000003</v>
      </c>
      <c r="G91" s="29" t="str">
        <f t="shared" si="3"/>
        <v xml:space="preserve"> 5</v>
      </c>
      <c r="H91" s="29" t="s">
        <v>943</v>
      </c>
      <c r="I91" s="29" t="s">
        <v>867</v>
      </c>
      <c r="J91" s="29" t="s">
        <v>659</v>
      </c>
      <c r="K91" s="29">
        <v>-0.13200000000000001</v>
      </c>
      <c r="L91" s="29">
        <v>1.7985000000000001E-2</v>
      </c>
      <c r="M91" s="138">
        <v>45926.583749999998</v>
      </c>
      <c r="N91" s="29"/>
      <c r="O91" s="29" t="s">
        <v>943</v>
      </c>
      <c r="P91" s="29" t="s">
        <v>902</v>
      </c>
      <c r="Q91" s="29" t="s">
        <v>673</v>
      </c>
      <c r="R91" s="29">
        <v>3.4000000000000002E-2</v>
      </c>
      <c r="S91" s="29">
        <v>1.2729000000000001E-2</v>
      </c>
      <c r="T91" s="138">
        <v>45926.627789351849</v>
      </c>
      <c r="V91" s="123" t="s">
        <v>759</v>
      </c>
      <c r="W91" s="26" t="s">
        <v>892</v>
      </c>
      <c r="X91" s="26">
        <v>-8.6999999999999994E-3</v>
      </c>
      <c r="Y91" s="26">
        <v>2.5710000000000002</v>
      </c>
      <c r="Z91" s="26">
        <v>1E-3</v>
      </c>
    </row>
    <row r="92" spans="1:26" x14ac:dyDescent="0.25">
      <c r="A92" s="29" t="s">
        <v>944</v>
      </c>
      <c r="B92" s="29" t="s">
        <v>658</v>
      </c>
      <c r="C92" s="29" t="s">
        <v>659</v>
      </c>
      <c r="D92" s="29">
        <v>0.1138</v>
      </c>
      <c r="E92" s="29">
        <v>0.14968600000000001</v>
      </c>
      <c r="F92" s="138">
        <v>45926.512777777774</v>
      </c>
      <c r="G92" s="29" t="str">
        <f t="shared" si="3"/>
        <v xml:space="preserve"> 6</v>
      </c>
      <c r="H92" s="29" t="s">
        <v>944</v>
      </c>
      <c r="I92" s="29" t="s">
        <v>867</v>
      </c>
      <c r="J92" s="29" t="s">
        <v>659</v>
      </c>
      <c r="K92" s="29">
        <v>-0.24</v>
      </c>
      <c r="L92" s="29">
        <v>1.1415E-2</v>
      </c>
      <c r="M92" s="138">
        <v>45926.585358796299</v>
      </c>
      <c r="N92" s="29"/>
      <c r="O92" s="29" t="s">
        <v>944</v>
      </c>
      <c r="P92" s="29" t="s">
        <v>902</v>
      </c>
      <c r="Q92" s="29" t="s">
        <v>673</v>
      </c>
      <c r="R92" s="29">
        <v>1E-3</v>
      </c>
      <c r="S92" s="29">
        <v>1.487E-3</v>
      </c>
      <c r="T92" s="138">
        <v>45926.62871527778</v>
      </c>
      <c r="V92" s="123" t="s">
        <v>760</v>
      </c>
      <c r="W92" s="26" t="s">
        <v>893</v>
      </c>
      <c r="X92" s="26">
        <v>-1.78E-2</v>
      </c>
      <c r="Y92" s="26">
        <v>2.52</v>
      </c>
      <c r="Z92" s="26">
        <v>0</v>
      </c>
    </row>
    <row r="93" spans="1:26" x14ac:dyDescent="0.25">
      <c r="A93" s="29" t="s">
        <v>945</v>
      </c>
      <c r="B93" s="29" t="s">
        <v>658</v>
      </c>
      <c r="C93" s="29" t="s">
        <v>659</v>
      </c>
      <c r="D93" s="29">
        <v>-2.0299999999999999E-2</v>
      </c>
      <c r="E93" s="29">
        <v>8.3547999999999997E-2</v>
      </c>
      <c r="F93" s="138">
        <v>45926.514328703706</v>
      </c>
      <c r="G93" s="29" t="str">
        <f t="shared" si="3"/>
        <v xml:space="preserve"> 8</v>
      </c>
      <c r="H93" s="29" t="s">
        <v>945</v>
      </c>
      <c r="I93" s="29" t="s">
        <v>867</v>
      </c>
      <c r="J93" s="29" t="s">
        <v>659</v>
      </c>
      <c r="K93" s="29">
        <v>-0.224</v>
      </c>
      <c r="L93" s="29">
        <v>1.2382000000000001E-2</v>
      </c>
      <c r="M93" s="138">
        <v>45926.586967592593</v>
      </c>
      <c r="N93" s="29"/>
      <c r="O93" s="29" t="s">
        <v>945</v>
      </c>
      <c r="P93" s="29" t="s">
        <v>902</v>
      </c>
      <c r="Q93" s="29" t="s">
        <v>673</v>
      </c>
      <c r="R93" s="29">
        <v>1E-3</v>
      </c>
      <c r="S93" s="29">
        <v>1.4549999999999999E-3</v>
      </c>
      <c r="T93" s="138">
        <v>45926.629641203705</v>
      </c>
      <c r="V93" s="123" t="s">
        <v>761</v>
      </c>
      <c r="W93" s="26" t="s">
        <v>928</v>
      </c>
      <c r="X93" s="26">
        <v>0.30819999999999997</v>
      </c>
      <c r="Y93" s="26">
        <v>2.7770000000000001</v>
      </c>
      <c r="Z93" s="26">
        <v>-5.0000000000000001E-3</v>
      </c>
    </row>
    <row r="94" spans="1:26" x14ac:dyDescent="0.25">
      <c r="A94" s="29" t="s">
        <v>946</v>
      </c>
      <c r="B94" s="29" t="s">
        <v>658</v>
      </c>
      <c r="C94" s="29" t="s">
        <v>659</v>
      </c>
      <c r="D94" s="29">
        <v>8.7499999999999994E-2</v>
      </c>
      <c r="E94" s="29">
        <v>0.13670599999999999</v>
      </c>
      <c r="F94" s="138">
        <v>45926.515868055554</v>
      </c>
      <c r="G94" s="29" t="str">
        <f t="shared" si="3"/>
        <v xml:space="preserve"> 9</v>
      </c>
      <c r="H94" s="29" t="s">
        <v>946</v>
      </c>
      <c r="I94" s="29" t="s">
        <v>867</v>
      </c>
      <c r="J94" s="29" t="s">
        <v>659</v>
      </c>
      <c r="K94" s="29">
        <v>-0.13400000000000001</v>
      </c>
      <c r="L94" s="29">
        <v>1.7821E-2</v>
      </c>
      <c r="M94" s="138">
        <v>45926.588564814818</v>
      </c>
      <c r="N94" s="29"/>
      <c r="O94" s="29" t="s">
        <v>946</v>
      </c>
      <c r="P94" s="29" t="s">
        <v>902</v>
      </c>
      <c r="Q94" s="29" t="s">
        <v>673</v>
      </c>
      <c r="R94" s="29">
        <v>2E-3</v>
      </c>
      <c r="S94" s="29">
        <v>1.6280000000000001E-3</v>
      </c>
      <c r="T94" s="138">
        <v>45926.630567129629</v>
      </c>
      <c r="V94" s="123" t="s">
        <v>762</v>
      </c>
      <c r="W94" s="26" t="s">
        <v>929</v>
      </c>
      <c r="X94" s="26">
        <v>8.6199999999999999E-2</v>
      </c>
      <c r="Y94" s="26">
        <v>2.7080000000000002</v>
      </c>
      <c r="Z94" s="26">
        <v>-4.0000000000000001E-3</v>
      </c>
    </row>
    <row r="95" spans="1:26" x14ac:dyDescent="0.25">
      <c r="A95" s="29" t="s">
        <v>947</v>
      </c>
      <c r="B95" s="29" t="s">
        <v>658</v>
      </c>
      <c r="C95" s="29" t="s">
        <v>659</v>
      </c>
      <c r="D95" s="29">
        <v>0.14699999999999999</v>
      </c>
      <c r="E95" s="29">
        <v>0.16603100000000001</v>
      </c>
      <c r="F95" s="138">
        <v>45926.517395833333</v>
      </c>
      <c r="G95" s="29" t="str">
        <f t="shared" si="3"/>
        <v>10</v>
      </c>
      <c r="H95" s="29" t="s">
        <v>947</v>
      </c>
      <c r="I95" s="29" t="s">
        <v>867</v>
      </c>
      <c r="J95" s="29" t="s">
        <v>659</v>
      </c>
      <c r="K95" s="29">
        <v>-0.122</v>
      </c>
      <c r="L95" s="29">
        <v>1.8578999999999998E-2</v>
      </c>
      <c r="M95" s="138">
        <v>45926.590173611112</v>
      </c>
      <c r="N95" s="29"/>
      <c r="O95" s="29" t="s">
        <v>947</v>
      </c>
      <c r="P95" s="29" t="s">
        <v>902</v>
      </c>
      <c r="Q95" s="29" t="s">
        <v>673</v>
      </c>
      <c r="R95" s="29">
        <v>4.0000000000000001E-3</v>
      </c>
      <c r="S95" s="29">
        <v>2.4499999999999999E-3</v>
      </c>
      <c r="T95" s="138">
        <v>45926.631481481483</v>
      </c>
      <c r="V95" s="123" t="s">
        <v>763</v>
      </c>
      <c r="W95" s="26" t="s">
        <v>894</v>
      </c>
      <c r="X95" s="26">
        <v>-2.9100000000000001E-2</v>
      </c>
      <c r="Y95" s="26">
        <v>2.6150000000000002</v>
      </c>
      <c r="Z95" s="26">
        <v>0</v>
      </c>
    </row>
    <row r="96" spans="1:26" x14ac:dyDescent="0.25">
      <c r="A96" s="29" t="s">
        <v>948</v>
      </c>
      <c r="B96" s="29" t="s">
        <v>658</v>
      </c>
      <c r="C96" s="29" t="s">
        <v>659</v>
      </c>
      <c r="D96" s="29">
        <v>1.2E-2</v>
      </c>
      <c r="E96" s="29">
        <v>9.9470000000000003E-2</v>
      </c>
      <c r="F96" s="138">
        <v>45926.518923611111</v>
      </c>
      <c r="G96" s="29" t="str">
        <f t="shared" si="3"/>
        <v>11</v>
      </c>
      <c r="H96" s="29" t="s">
        <v>948</v>
      </c>
      <c r="I96" s="29" t="s">
        <v>867</v>
      </c>
      <c r="J96" s="29" t="s">
        <v>659</v>
      </c>
      <c r="K96" s="29">
        <v>-8.8999999999999996E-2</v>
      </c>
      <c r="L96" s="29">
        <v>2.0563999999999999E-2</v>
      </c>
      <c r="M96" s="138">
        <v>45926.591782407406</v>
      </c>
      <c r="N96" s="29"/>
      <c r="O96" s="29" t="s">
        <v>948</v>
      </c>
      <c r="P96" s="29" t="s">
        <v>902</v>
      </c>
      <c r="Q96" s="29" t="s">
        <v>673</v>
      </c>
      <c r="R96" s="29">
        <v>0.01</v>
      </c>
      <c r="S96" s="29">
        <v>4.4120000000000001E-3</v>
      </c>
      <c r="T96" s="138">
        <v>45926.632407407407</v>
      </c>
      <c r="V96" s="123" t="s">
        <v>764</v>
      </c>
      <c r="W96" s="26" t="s">
        <v>930</v>
      </c>
      <c r="X96" s="26">
        <v>-5.4999999999999997E-3</v>
      </c>
      <c r="Y96" s="26">
        <v>1.4370000000000001</v>
      </c>
      <c r="Z96" s="26">
        <v>-4.0000000000000001E-3</v>
      </c>
    </row>
    <row r="97" spans="1:26" x14ac:dyDescent="0.25">
      <c r="A97" s="29" t="s">
        <v>949</v>
      </c>
      <c r="B97" s="29" t="s">
        <v>658</v>
      </c>
      <c r="C97" s="29" t="s">
        <v>659</v>
      </c>
      <c r="D97" s="29">
        <v>0.05</v>
      </c>
      <c r="E97" s="29">
        <v>0.118228</v>
      </c>
      <c r="F97" s="138">
        <v>45926.520451388889</v>
      </c>
      <c r="G97" s="29" t="str">
        <f t="shared" si="3"/>
        <v>12</v>
      </c>
      <c r="H97" s="29" t="s">
        <v>949</v>
      </c>
      <c r="I97" s="29" t="s">
        <v>867</v>
      </c>
      <c r="J97" s="29" t="s">
        <v>659</v>
      </c>
      <c r="K97" s="29">
        <v>3.6999999999999998E-2</v>
      </c>
      <c r="L97" s="29">
        <v>2.8223999999999999E-2</v>
      </c>
      <c r="M97" s="138">
        <v>45926.593391203707</v>
      </c>
      <c r="N97" s="29"/>
      <c r="O97" s="29" t="s">
        <v>949</v>
      </c>
      <c r="P97" s="29" t="s">
        <v>902</v>
      </c>
      <c r="Q97" s="29" t="s">
        <v>673</v>
      </c>
      <c r="R97" s="29">
        <v>1E-3</v>
      </c>
      <c r="S97" s="29">
        <v>1.5200000000000001E-3</v>
      </c>
      <c r="T97" s="138">
        <v>45926.633333333331</v>
      </c>
      <c r="V97" s="119" t="s">
        <v>765</v>
      </c>
      <c r="W97" s="63" t="s">
        <v>895</v>
      </c>
      <c r="X97" s="63">
        <v>-1.1299999999999999E-2</v>
      </c>
      <c r="Y97" s="63">
        <v>1.2789999999999999</v>
      </c>
      <c r="Z97" s="63">
        <v>0</v>
      </c>
    </row>
    <row r="98" spans="1:26" x14ac:dyDescent="0.25">
      <c r="A98" s="29" t="s">
        <v>950</v>
      </c>
      <c r="B98" s="29" t="s">
        <v>658</v>
      </c>
      <c r="C98" s="29" t="s">
        <v>659</v>
      </c>
      <c r="D98" s="29">
        <v>1.84E-2</v>
      </c>
      <c r="E98" s="29">
        <v>0.10263600000000001</v>
      </c>
      <c r="F98" s="138">
        <v>45926.521979166668</v>
      </c>
      <c r="G98" s="29" t="str">
        <f t="shared" si="3"/>
        <v>14</v>
      </c>
      <c r="H98" s="29" t="s">
        <v>950</v>
      </c>
      <c r="I98" s="29" t="s">
        <v>867</v>
      </c>
      <c r="J98" s="29" t="s">
        <v>659</v>
      </c>
      <c r="K98" s="29">
        <v>-0.14299999999999999</v>
      </c>
      <c r="L98" s="29">
        <v>1.7284999999999998E-2</v>
      </c>
      <c r="M98" s="138">
        <v>45926.595000000001</v>
      </c>
      <c r="N98" s="29"/>
      <c r="O98" s="29" t="s">
        <v>950</v>
      </c>
      <c r="P98" s="29" t="s">
        <v>902</v>
      </c>
      <c r="Q98" s="29" t="s">
        <v>673</v>
      </c>
      <c r="R98" s="29">
        <v>1E-3</v>
      </c>
      <c r="S98" s="29">
        <v>1.358E-3</v>
      </c>
      <c r="T98" s="138">
        <v>45926.634259259263</v>
      </c>
      <c r="V98" s="119" t="s">
        <v>766</v>
      </c>
      <c r="W98" s="63" t="s">
        <v>896</v>
      </c>
      <c r="X98" s="63">
        <v>-2.2599999999999999E-2</v>
      </c>
      <c r="Y98" s="63">
        <v>1.091</v>
      </c>
      <c r="Z98" s="63">
        <v>1E-3</v>
      </c>
    </row>
    <row r="99" spans="1:26" x14ac:dyDescent="0.25">
      <c r="A99" s="29" t="s">
        <v>951</v>
      </c>
      <c r="B99" s="29" t="s">
        <v>658</v>
      </c>
      <c r="C99" s="29" t="s">
        <v>659</v>
      </c>
      <c r="D99" s="29">
        <v>0.13650000000000001</v>
      </c>
      <c r="E99" s="29">
        <v>0.16084000000000001</v>
      </c>
      <c r="F99" s="138">
        <v>45926.523495370369</v>
      </c>
      <c r="G99" s="29" t="str">
        <f t="shared" si="3"/>
        <v>15</v>
      </c>
      <c r="H99" s="29" t="s">
        <v>951</v>
      </c>
      <c r="I99" s="29" t="s">
        <v>867</v>
      </c>
      <c r="J99" s="29" t="s">
        <v>659</v>
      </c>
      <c r="K99" s="29">
        <v>-0.14899999999999999</v>
      </c>
      <c r="L99" s="29">
        <v>1.6920999999999999E-2</v>
      </c>
      <c r="M99" s="138">
        <v>45926.59983796296</v>
      </c>
      <c r="N99" s="29"/>
      <c r="O99" s="29" t="s">
        <v>951</v>
      </c>
      <c r="P99" s="29" t="s">
        <v>902</v>
      </c>
      <c r="Q99" s="29" t="s">
        <v>673</v>
      </c>
      <c r="R99" s="29">
        <v>8.0000000000000002E-3</v>
      </c>
      <c r="S99" s="29">
        <v>3.9129999999999998E-3</v>
      </c>
      <c r="T99" s="138">
        <v>45926.635185185187</v>
      </c>
      <c r="V99" s="119" t="s">
        <v>767</v>
      </c>
      <c r="W99" s="63" t="s">
        <v>897</v>
      </c>
      <c r="X99" s="63">
        <v>-1.83E-2</v>
      </c>
      <c r="Y99" s="63">
        <v>1.07</v>
      </c>
      <c r="Z99" s="63">
        <v>1E-3</v>
      </c>
    </row>
    <row r="100" spans="1:26" x14ac:dyDescent="0.25">
      <c r="A100" s="63" t="s">
        <v>952</v>
      </c>
      <c r="B100" s="63" t="s">
        <v>658</v>
      </c>
      <c r="C100" s="63" t="s">
        <v>659</v>
      </c>
      <c r="D100" s="63">
        <v>-3.5799999999999998E-2</v>
      </c>
      <c r="E100" s="63">
        <v>7.5902999999999998E-2</v>
      </c>
      <c r="F100" s="137">
        <v>45926.528067129628</v>
      </c>
      <c r="G100" s="63" t="str">
        <f t="shared" si="3"/>
        <v xml:space="preserve"> 5</v>
      </c>
      <c r="H100" s="63" t="s">
        <v>952</v>
      </c>
      <c r="I100" s="63" t="s">
        <v>867</v>
      </c>
      <c r="J100" s="63" t="s">
        <v>659</v>
      </c>
      <c r="K100" s="63">
        <v>-0.219</v>
      </c>
      <c r="L100" s="63">
        <v>1.2648E-2</v>
      </c>
      <c r="M100" s="137">
        <v>45926.601458333331</v>
      </c>
      <c r="N100" s="63"/>
      <c r="O100" s="63" t="s">
        <v>952</v>
      </c>
      <c r="P100" s="63" t="s">
        <v>902</v>
      </c>
      <c r="Q100" s="63" t="s">
        <v>673</v>
      </c>
      <c r="R100" s="63">
        <v>4.0000000000000001E-3</v>
      </c>
      <c r="S100" s="63">
        <v>2.3630000000000001E-3</v>
      </c>
      <c r="T100" s="137">
        <v>45926.637974537036</v>
      </c>
      <c r="V100" s="119" t="s">
        <v>768</v>
      </c>
      <c r="W100" s="63" t="s">
        <v>898</v>
      </c>
      <c r="X100" s="63">
        <v>-2.69E-2</v>
      </c>
      <c r="Y100" s="63">
        <v>0.94299999999999995</v>
      </c>
      <c r="Z100" s="63">
        <v>1E-3</v>
      </c>
    </row>
    <row r="101" spans="1:26" x14ac:dyDescent="0.25">
      <c r="A101" s="63" t="s">
        <v>953</v>
      </c>
      <c r="B101" s="63" t="s">
        <v>658</v>
      </c>
      <c r="C101" s="63" t="s">
        <v>659</v>
      </c>
      <c r="D101" s="63">
        <v>-1.6400000000000001E-2</v>
      </c>
      <c r="E101" s="63">
        <v>8.5472999999999993E-2</v>
      </c>
      <c r="F101" s="137">
        <v>45926.529583333337</v>
      </c>
      <c r="G101" s="63" t="str">
        <f t="shared" si="3"/>
        <v xml:space="preserve"> 6</v>
      </c>
      <c r="H101" s="63" t="s">
        <v>953</v>
      </c>
      <c r="I101" s="63" t="s">
        <v>867</v>
      </c>
      <c r="J101" s="63" t="s">
        <v>659</v>
      </c>
      <c r="K101" s="63">
        <v>1.171</v>
      </c>
      <c r="L101" s="63">
        <v>9.7286999999999998E-2</v>
      </c>
      <c r="M101" s="137">
        <v>45926.603067129632</v>
      </c>
      <c r="N101" s="63"/>
      <c r="O101" s="63" t="s">
        <v>953</v>
      </c>
      <c r="P101" s="63" t="s">
        <v>902</v>
      </c>
      <c r="Q101" s="63" t="s">
        <v>673</v>
      </c>
      <c r="R101" s="63">
        <v>1.2999999999999999E-2</v>
      </c>
      <c r="S101" s="63">
        <v>5.3749999999999996E-3</v>
      </c>
      <c r="T101" s="137">
        <v>45926.638923611114</v>
      </c>
      <c r="V101" s="119" t="s">
        <v>769</v>
      </c>
      <c r="W101" s="63" t="s">
        <v>931</v>
      </c>
      <c r="X101" s="63">
        <v>-1.9699999999999999E-2</v>
      </c>
      <c r="Y101" s="63">
        <v>0.68300000000000005</v>
      </c>
      <c r="Z101" s="63">
        <v>-4.0000000000000001E-3</v>
      </c>
    </row>
    <row r="102" spans="1:26" x14ac:dyDescent="0.25">
      <c r="A102" s="63" t="s">
        <v>954</v>
      </c>
      <c r="B102" s="63" t="s">
        <v>658</v>
      </c>
      <c r="C102" s="63" t="s">
        <v>659</v>
      </c>
      <c r="D102" s="63">
        <v>-7.0000000000000001E-3</v>
      </c>
      <c r="E102" s="63">
        <v>9.0084999999999998E-2</v>
      </c>
      <c r="F102" s="137">
        <v>45926.531111111108</v>
      </c>
      <c r="G102" s="63" t="str">
        <f t="shared" si="3"/>
        <v xml:space="preserve"> 8</v>
      </c>
      <c r="H102" s="63" t="s">
        <v>954</v>
      </c>
      <c r="I102" s="63" t="s">
        <v>867</v>
      </c>
      <c r="J102" s="63" t="s">
        <v>659</v>
      </c>
      <c r="K102" s="63">
        <v>1.1859999999999999</v>
      </c>
      <c r="L102" s="63">
        <v>9.8201999999999998E-2</v>
      </c>
      <c r="M102" s="137">
        <v>45926.604699074072</v>
      </c>
      <c r="N102" s="63"/>
      <c r="O102" s="63" t="s">
        <v>954</v>
      </c>
      <c r="P102" s="63" t="s">
        <v>902</v>
      </c>
      <c r="Q102" s="63" t="s">
        <v>673</v>
      </c>
      <c r="R102" s="63">
        <v>3.4000000000000002E-2</v>
      </c>
      <c r="S102" s="63">
        <v>1.2645E-2</v>
      </c>
      <c r="T102" s="137">
        <v>45926.639872685184</v>
      </c>
      <c r="V102" s="119" t="s">
        <v>770</v>
      </c>
      <c r="W102" s="63" t="s">
        <v>932</v>
      </c>
      <c r="X102" s="63">
        <v>-1.47E-2</v>
      </c>
      <c r="Y102" s="63">
        <v>0.24199999999999999</v>
      </c>
      <c r="Z102" s="63">
        <v>-4.0000000000000001E-3</v>
      </c>
    </row>
    <row r="103" spans="1:26" x14ac:dyDescent="0.25">
      <c r="A103" s="63" t="s">
        <v>955</v>
      </c>
      <c r="B103" s="63" t="s">
        <v>658</v>
      </c>
      <c r="C103" s="63" t="s">
        <v>659</v>
      </c>
      <c r="D103" s="63">
        <v>-3.3500000000000002E-2</v>
      </c>
      <c r="E103" s="63">
        <v>7.7036999999999994E-2</v>
      </c>
      <c r="F103" s="137">
        <v>45926.532627314817</v>
      </c>
      <c r="G103" s="63" t="str">
        <f t="shared" si="3"/>
        <v xml:space="preserve"> 9</v>
      </c>
      <c r="H103" s="63" t="s">
        <v>955</v>
      </c>
      <c r="I103" s="63" t="s">
        <v>867</v>
      </c>
      <c r="J103" s="63" t="s">
        <v>659</v>
      </c>
      <c r="K103" s="63">
        <v>0.755</v>
      </c>
      <c r="L103" s="63">
        <v>7.1958999999999995E-2</v>
      </c>
      <c r="M103" s="137">
        <v>45926.606319444443</v>
      </c>
      <c r="N103" s="63"/>
      <c r="O103" s="63" t="s">
        <v>955</v>
      </c>
      <c r="P103" s="63" t="s">
        <v>902</v>
      </c>
      <c r="Q103" s="63" t="s">
        <v>673</v>
      </c>
      <c r="R103" s="63">
        <v>6.0000000000000001E-3</v>
      </c>
      <c r="S103" s="63">
        <v>3.0999999999999999E-3</v>
      </c>
      <c r="T103" s="137">
        <v>45926.6406712963</v>
      </c>
      <c r="V103" s="119" t="s">
        <v>771</v>
      </c>
      <c r="W103" s="63" t="s">
        <v>933</v>
      </c>
      <c r="X103" s="63">
        <v>0.53</v>
      </c>
      <c r="Y103" s="63">
        <v>1.837</v>
      </c>
      <c r="Z103" s="63">
        <v>-1E-3</v>
      </c>
    </row>
    <row r="104" spans="1:26" x14ac:dyDescent="0.25">
      <c r="A104" s="63" t="s">
        <v>956</v>
      </c>
      <c r="B104" s="63" t="s">
        <v>658</v>
      </c>
      <c r="C104" s="63" t="s">
        <v>659</v>
      </c>
      <c r="D104" s="63">
        <v>-2.8799999999999999E-2</v>
      </c>
      <c r="E104" s="63">
        <v>7.9343999999999998E-2</v>
      </c>
      <c r="F104" s="137">
        <v>45926.534166666665</v>
      </c>
      <c r="G104" s="63" t="str">
        <f t="shared" si="3"/>
        <v>10</v>
      </c>
      <c r="H104" s="63" t="s">
        <v>956</v>
      </c>
      <c r="I104" s="63" t="s">
        <v>867</v>
      </c>
      <c r="J104" s="63" t="s">
        <v>659</v>
      </c>
      <c r="K104" s="63">
        <v>0.78800000000000003</v>
      </c>
      <c r="L104" s="63">
        <v>7.3979000000000003E-2</v>
      </c>
      <c r="M104" s="137">
        <v>45926.606782407405</v>
      </c>
      <c r="N104" s="63"/>
      <c r="O104" s="63" t="s">
        <v>956</v>
      </c>
      <c r="P104" s="63" t="s">
        <v>902</v>
      </c>
      <c r="Q104" s="63" t="s">
        <v>673</v>
      </c>
      <c r="R104" s="63">
        <v>1.2E-2</v>
      </c>
      <c r="S104" s="63">
        <v>5.1840000000000002E-3</v>
      </c>
      <c r="T104" s="137">
        <v>45926.641319444447</v>
      </c>
      <c r="V104" s="119" t="s">
        <v>772</v>
      </c>
      <c r="W104" s="63" t="s">
        <v>934</v>
      </c>
      <c r="X104" s="63">
        <v>9.5299999999999996E-2</v>
      </c>
      <c r="Y104" s="63">
        <v>1.8759999999999999</v>
      </c>
      <c r="Z104" s="63">
        <v>-1E-3</v>
      </c>
    </row>
    <row r="105" spans="1:26" x14ac:dyDescent="0.25">
      <c r="A105" s="63" t="s">
        <v>957</v>
      </c>
      <c r="B105" s="63" t="s">
        <v>658</v>
      </c>
      <c r="C105" s="63" t="s">
        <v>659</v>
      </c>
      <c r="D105" s="63">
        <v>2.3300000000000001E-2</v>
      </c>
      <c r="E105" s="63">
        <v>0.10503999999999999</v>
      </c>
      <c r="F105" s="137">
        <v>45926.53570601852</v>
      </c>
      <c r="G105" s="63" t="str">
        <f t="shared" si="3"/>
        <v>11</v>
      </c>
      <c r="H105" s="63" t="s">
        <v>957</v>
      </c>
      <c r="I105" s="63" t="s">
        <v>867</v>
      </c>
      <c r="J105" s="63" t="s">
        <v>659</v>
      </c>
      <c r="K105" s="63">
        <v>0.76300000000000001</v>
      </c>
      <c r="L105" s="63">
        <v>7.2414999999999993E-2</v>
      </c>
      <c r="M105" s="137">
        <v>45926.607662037037</v>
      </c>
      <c r="N105" s="63"/>
      <c r="O105" s="63" t="s">
        <v>957</v>
      </c>
      <c r="P105" s="63" t="s">
        <v>902</v>
      </c>
      <c r="Q105" s="63" t="s">
        <v>673</v>
      </c>
      <c r="R105" s="63">
        <v>2.9000000000000001E-2</v>
      </c>
      <c r="S105" s="63">
        <v>1.0895999999999999E-2</v>
      </c>
      <c r="T105" s="137">
        <v>45926.641979166663</v>
      </c>
      <c r="V105" s="119" t="s">
        <v>773</v>
      </c>
      <c r="W105" s="63" t="s">
        <v>899</v>
      </c>
      <c r="X105" s="63">
        <v>1.9382999999999999</v>
      </c>
      <c r="Y105" s="63">
        <v>1.768</v>
      </c>
      <c r="Z105" s="63">
        <v>3.0000000000000001E-3</v>
      </c>
    </row>
    <row r="106" spans="1:26" x14ac:dyDescent="0.25">
      <c r="A106" s="63" t="s">
        <v>958</v>
      </c>
      <c r="B106" s="63" t="s">
        <v>658</v>
      </c>
      <c r="C106" s="63" t="s">
        <v>659</v>
      </c>
      <c r="D106" s="63">
        <v>-1.7500000000000002E-2</v>
      </c>
      <c r="E106" s="63">
        <v>8.4909999999999999E-2</v>
      </c>
      <c r="F106" s="137">
        <v>45926.536840277775</v>
      </c>
      <c r="G106" s="63" t="str">
        <f t="shared" si="3"/>
        <v>12</v>
      </c>
      <c r="H106" s="63" t="s">
        <v>958</v>
      </c>
      <c r="I106" s="63" t="s">
        <v>867</v>
      </c>
      <c r="J106" s="63" t="s">
        <v>659</v>
      </c>
      <c r="K106" s="63">
        <v>0.75800000000000001</v>
      </c>
      <c r="L106" s="63">
        <v>7.2138999999999995E-2</v>
      </c>
      <c r="M106" s="137">
        <v>45926.608495370368</v>
      </c>
      <c r="N106" s="63"/>
      <c r="O106" s="63" t="s">
        <v>958</v>
      </c>
      <c r="P106" s="63" t="s">
        <v>902</v>
      </c>
      <c r="Q106" s="63" t="s">
        <v>673</v>
      </c>
      <c r="R106" s="63">
        <v>1.7999999999999999E-2</v>
      </c>
      <c r="S106" s="63">
        <v>7.1390000000000004E-3</v>
      </c>
      <c r="T106" s="137">
        <v>45926.642638888887</v>
      </c>
      <c r="V106" s="119" t="s">
        <v>774</v>
      </c>
      <c r="W106" s="63" t="s">
        <v>935</v>
      </c>
      <c r="X106" s="63">
        <v>0.1076</v>
      </c>
      <c r="Y106" s="63">
        <v>1.823</v>
      </c>
      <c r="Z106" s="63">
        <v>-2E-3</v>
      </c>
    </row>
    <row r="107" spans="1:26" x14ac:dyDescent="0.25">
      <c r="A107" s="63" t="s">
        <v>959</v>
      </c>
      <c r="B107" s="63" t="s">
        <v>658</v>
      </c>
      <c r="C107" s="63" t="s">
        <v>659</v>
      </c>
      <c r="D107" s="63">
        <v>-2.8899999999999999E-2</v>
      </c>
      <c r="E107" s="63">
        <v>7.9312999999999995E-2</v>
      </c>
      <c r="F107" s="137">
        <v>45926.539872685185</v>
      </c>
      <c r="G107" s="63" t="str">
        <f t="shared" si="3"/>
        <v>14</v>
      </c>
      <c r="H107" s="63" t="s">
        <v>959</v>
      </c>
      <c r="I107" s="63" t="s">
        <v>867</v>
      </c>
      <c r="J107" s="63" t="s">
        <v>659</v>
      </c>
      <c r="K107" s="63">
        <v>0.88400000000000001</v>
      </c>
      <c r="L107" s="63">
        <v>7.9832E-2</v>
      </c>
      <c r="M107" s="137">
        <v>45926.609340277777</v>
      </c>
      <c r="N107" s="63"/>
      <c r="O107" s="63" t="s">
        <v>959</v>
      </c>
      <c r="P107" s="63" t="s">
        <v>902</v>
      </c>
      <c r="Q107" s="63" t="s">
        <v>673</v>
      </c>
      <c r="R107" s="63">
        <v>2.4E-2</v>
      </c>
      <c r="S107" s="63">
        <v>9.0910000000000001E-3</v>
      </c>
      <c r="T107" s="137">
        <v>45926.64329861111</v>
      </c>
      <c r="V107" s="119" t="s">
        <v>775</v>
      </c>
      <c r="W107" s="63" t="s">
        <v>900</v>
      </c>
      <c r="X107" s="63">
        <v>-8.5000000000000006E-3</v>
      </c>
      <c r="Y107" s="63">
        <v>1.6579999999999999</v>
      </c>
      <c r="Z107" s="63">
        <v>2E-3</v>
      </c>
    </row>
    <row r="108" spans="1:26" x14ac:dyDescent="0.25">
      <c r="A108" s="63" t="s">
        <v>960</v>
      </c>
      <c r="B108" s="63" t="s">
        <v>658</v>
      </c>
      <c r="C108" s="63" t="s">
        <v>659</v>
      </c>
      <c r="D108" s="63">
        <v>-2.4799999999999999E-2</v>
      </c>
      <c r="E108" s="63">
        <v>8.1342999999999999E-2</v>
      </c>
      <c r="F108" s="137">
        <v>45926.543067129627</v>
      </c>
      <c r="G108" s="63" t="str">
        <f t="shared" si="3"/>
        <v>15</v>
      </c>
      <c r="H108" s="63" t="s">
        <v>960</v>
      </c>
      <c r="I108" s="63" t="s">
        <v>867</v>
      </c>
      <c r="J108" s="63" t="s">
        <v>659</v>
      </c>
      <c r="K108" s="63">
        <v>0.78400000000000003</v>
      </c>
      <c r="L108" s="63">
        <v>7.3709999999999998E-2</v>
      </c>
      <c r="M108" s="137">
        <v>45926.610185185185</v>
      </c>
      <c r="N108" s="63"/>
      <c r="O108" s="63" t="s">
        <v>960</v>
      </c>
      <c r="P108" s="63" t="s">
        <v>902</v>
      </c>
      <c r="Q108" s="63" t="s">
        <v>673</v>
      </c>
      <c r="R108" s="63">
        <v>1.0999999999999999E-2</v>
      </c>
      <c r="S108" s="63">
        <v>4.6950000000000004E-3</v>
      </c>
      <c r="T108" s="137">
        <v>45926.643946759257</v>
      </c>
      <c r="V108" s="119" t="s">
        <v>776</v>
      </c>
      <c r="W108" s="63" t="s">
        <v>936</v>
      </c>
      <c r="X108" s="63">
        <v>-5.7000000000000002E-3</v>
      </c>
      <c r="Y108" s="63">
        <v>1.8620000000000001</v>
      </c>
      <c r="Z108" s="63">
        <v>-4.0000000000000001E-3</v>
      </c>
    </row>
    <row r="109" spans="1:26" x14ac:dyDescent="0.25">
      <c r="A109" s="63" t="s">
        <v>961</v>
      </c>
      <c r="B109" s="63" t="s">
        <v>658</v>
      </c>
      <c r="C109" s="63" t="s">
        <v>659</v>
      </c>
      <c r="D109" s="63">
        <v>-3.1899999999999998E-2</v>
      </c>
      <c r="E109" s="63">
        <v>7.7825000000000005E-2</v>
      </c>
      <c r="F109" s="137">
        <v>45926.546261574076</v>
      </c>
      <c r="G109" s="63" t="str">
        <f t="shared" si="3"/>
        <v>16</v>
      </c>
      <c r="H109" s="63" t="s">
        <v>961</v>
      </c>
      <c r="I109" s="63" t="s">
        <v>867</v>
      </c>
      <c r="J109" s="63" t="s">
        <v>659</v>
      </c>
      <c r="K109" s="63">
        <v>1.1120000000000001</v>
      </c>
      <c r="L109" s="63">
        <v>9.3698000000000004E-2</v>
      </c>
      <c r="M109" s="137">
        <v>45926.611122685186</v>
      </c>
      <c r="N109" s="63"/>
      <c r="O109" s="63" t="s">
        <v>961</v>
      </c>
      <c r="P109" s="63" t="s">
        <v>902</v>
      </c>
      <c r="Q109" s="63" t="s">
        <v>673</v>
      </c>
      <c r="R109" s="63">
        <v>1.4999999999999999E-2</v>
      </c>
      <c r="S109" s="63">
        <v>6.2220000000000001E-3</v>
      </c>
      <c r="T109" s="137">
        <v>45926.644606481481</v>
      </c>
      <c r="V109" s="119" t="s">
        <v>777</v>
      </c>
      <c r="W109" s="63" t="s">
        <v>901</v>
      </c>
      <c r="X109" s="63">
        <v>-3.3000000000000002E-2</v>
      </c>
      <c r="Y109" s="63">
        <v>0.28299999999999997</v>
      </c>
      <c r="Z109" s="63">
        <v>0</v>
      </c>
    </row>
    <row r="110" spans="1:26" x14ac:dyDescent="0.25">
      <c r="A110" s="118"/>
      <c r="B110" s="118"/>
      <c r="C110" s="118"/>
      <c r="D110" s="118"/>
      <c r="E110" s="118"/>
      <c r="F110" s="67"/>
    </row>
    <row r="111" spans="1:26" x14ac:dyDescent="0.25">
      <c r="A111" s="118"/>
      <c r="B111" s="118"/>
      <c r="C111" s="118"/>
      <c r="D111" s="118"/>
      <c r="E111" s="118"/>
      <c r="F111" s="67"/>
    </row>
    <row r="112" spans="1:26" x14ac:dyDescent="0.25">
      <c r="A112" s="118"/>
      <c r="B112" s="118"/>
      <c r="C112" s="118"/>
      <c r="D112" s="118"/>
      <c r="E112" s="118"/>
      <c r="F112" s="67"/>
    </row>
    <row r="113" spans="1:6" x14ac:dyDescent="0.25">
      <c r="A113" s="118"/>
      <c r="B113" s="118"/>
      <c r="C113" s="118"/>
      <c r="D113" s="118"/>
      <c r="E113" s="118"/>
      <c r="F113" s="67"/>
    </row>
    <row r="114" spans="1:6" x14ac:dyDescent="0.25">
      <c r="A114" s="118"/>
      <c r="B114" s="118"/>
      <c r="C114" s="118"/>
      <c r="D114" s="118"/>
      <c r="E114" s="118"/>
      <c r="F114" s="67"/>
    </row>
    <row r="115" spans="1:6" x14ac:dyDescent="0.25">
      <c r="A115" s="118"/>
      <c r="B115" s="118"/>
      <c r="C115" s="118"/>
      <c r="D115" s="118"/>
      <c r="E115" s="118"/>
      <c r="F115" s="67"/>
    </row>
    <row r="116" spans="1:6" x14ac:dyDescent="0.25">
      <c r="A116" s="118"/>
      <c r="B116" s="118"/>
      <c r="C116" s="118"/>
      <c r="D116" s="118"/>
      <c r="E116" s="118"/>
      <c r="F116" s="67"/>
    </row>
    <row r="117" spans="1:6" x14ac:dyDescent="0.25">
      <c r="A117" s="118"/>
      <c r="B117" s="118"/>
      <c r="C117" s="118"/>
      <c r="D117" s="118"/>
      <c r="E117" s="118"/>
      <c r="F117" s="67"/>
    </row>
    <row r="118" spans="1:6" x14ac:dyDescent="0.25">
      <c r="A118" s="118"/>
      <c r="B118" s="118"/>
      <c r="C118" s="118"/>
      <c r="D118" s="118"/>
      <c r="E118" s="118"/>
      <c r="F118" s="67"/>
    </row>
    <row r="119" spans="1:6" x14ac:dyDescent="0.25">
      <c r="A119" s="118"/>
      <c r="B119" s="118"/>
      <c r="C119" s="118"/>
      <c r="D119" s="118"/>
      <c r="E119" s="118"/>
      <c r="F119" s="67"/>
    </row>
    <row r="120" spans="1:6" x14ac:dyDescent="0.25">
      <c r="A120" s="118"/>
      <c r="B120" s="118"/>
      <c r="C120" s="118"/>
      <c r="D120" s="118"/>
      <c r="E120" s="118"/>
      <c r="F120" s="67"/>
    </row>
    <row r="121" spans="1:6" x14ac:dyDescent="0.25">
      <c r="A121" s="118"/>
      <c r="B121" s="118"/>
      <c r="C121" s="118"/>
      <c r="D121" s="118"/>
      <c r="E121" s="118"/>
      <c r="F121" s="67"/>
    </row>
    <row r="122" spans="1:6" x14ac:dyDescent="0.25">
      <c r="A122" s="118"/>
      <c r="B122" s="118"/>
      <c r="C122" s="118"/>
      <c r="D122" s="118"/>
      <c r="E122" s="118"/>
      <c r="F122" s="67"/>
    </row>
    <row r="123" spans="1:6" x14ac:dyDescent="0.25">
      <c r="A123" s="118"/>
      <c r="B123" s="118"/>
      <c r="C123" s="118"/>
      <c r="D123" s="118"/>
      <c r="E123" s="118"/>
      <c r="F123" s="67"/>
    </row>
    <row r="124" spans="1:6" x14ac:dyDescent="0.25">
      <c r="A124" s="118"/>
      <c r="B124" s="118"/>
      <c r="C124" s="118"/>
      <c r="D124" s="118"/>
      <c r="E124" s="118"/>
      <c r="F124" s="67"/>
    </row>
    <row r="125" spans="1:6" x14ac:dyDescent="0.25">
      <c r="A125" s="118"/>
      <c r="B125" s="118"/>
      <c r="C125" s="118"/>
      <c r="D125" s="118"/>
      <c r="E125" s="118"/>
      <c r="F125" s="67"/>
    </row>
    <row r="126" spans="1:6" x14ac:dyDescent="0.25">
      <c r="A126" s="118"/>
      <c r="B126" s="118"/>
      <c r="C126" s="118"/>
      <c r="D126" s="118"/>
      <c r="E126" s="118"/>
      <c r="F126" s="67"/>
    </row>
    <row r="127" spans="1:6" x14ac:dyDescent="0.25">
      <c r="A127" s="118"/>
      <c r="B127" s="118"/>
      <c r="C127" s="118"/>
      <c r="D127" s="118"/>
      <c r="E127" s="118"/>
      <c r="F127" s="67"/>
    </row>
    <row r="128" spans="1:6" x14ac:dyDescent="0.25">
      <c r="A128" s="118"/>
      <c r="B128" s="118"/>
      <c r="C128" s="118"/>
      <c r="D128" s="118"/>
      <c r="E128" s="118"/>
      <c r="F128" s="67"/>
    </row>
    <row r="129" spans="1:6" x14ac:dyDescent="0.25">
      <c r="A129" s="118"/>
      <c r="B129" s="118"/>
      <c r="C129" s="118"/>
      <c r="D129" s="118"/>
      <c r="E129" s="118"/>
      <c r="F129" s="67"/>
    </row>
    <row r="130" spans="1:6" x14ac:dyDescent="0.25">
      <c r="A130" s="118"/>
      <c r="B130" s="118"/>
      <c r="C130" s="118"/>
      <c r="D130" s="118"/>
      <c r="E130" s="118"/>
      <c r="F130" s="67"/>
    </row>
    <row r="131" spans="1:6" x14ac:dyDescent="0.25">
      <c r="A131" s="118"/>
      <c r="B131" s="118"/>
      <c r="C131" s="118"/>
      <c r="D131" s="118"/>
      <c r="E131" s="118"/>
      <c r="F131" s="67"/>
    </row>
    <row r="132" spans="1:6" x14ac:dyDescent="0.25">
      <c r="A132" s="118"/>
      <c r="B132" s="118"/>
      <c r="C132" s="118"/>
      <c r="D132" s="118"/>
      <c r="E132" s="118"/>
      <c r="F132" s="67"/>
    </row>
    <row r="133" spans="1:6" x14ac:dyDescent="0.25">
      <c r="A133" s="118"/>
      <c r="B133" s="118"/>
      <c r="C133" s="118"/>
      <c r="D133" s="118"/>
      <c r="E133" s="118"/>
      <c r="F133" s="67"/>
    </row>
    <row r="134" spans="1:6" x14ac:dyDescent="0.25">
      <c r="A134" s="118"/>
      <c r="B134" s="118"/>
      <c r="C134" s="118"/>
      <c r="D134" s="118"/>
      <c r="E134" s="118"/>
      <c r="F134" s="67"/>
    </row>
    <row r="135" spans="1:6" x14ac:dyDescent="0.25">
      <c r="A135" s="118"/>
      <c r="B135" s="118"/>
      <c r="C135" s="118"/>
      <c r="D135" s="118"/>
      <c r="E135" s="118"/>
      <c r="F135" s="67"/>
    </row>
    <row r="136" spans="1:6" x14ac:dyDescent="0.25">
      <c r="A136" s="118"/>
      <c r="B136" s="118"/>
      <c r="C136" s="118"/>
      <c r="D136" s="118"/>
      <c r="E136" s="118"/>
      <c r="F136" s="67"/>
    </row>
    <row r="137" spans="1:6" x14ac:dyDescent="0.25">
      <c r="A137" s="118"/>
      <c r="B137" s="118"/>
      <c r="C137" s="118"/>
      <c r="D137" s="118"/>
      <c r="E137" s="118"/>
      <c r="F137" s="67"/>
    </row>
    <row r="138" spans="1:6" x14ac:dyDescent="0.25">
      <c r="A138" s="118"/>
      <c r="B138" s="118"/>
      <c r="C138" s="118"/>
      <c r="D138" s="118"/>
      <c r="E138" s="118"/>
      <c r="F138" s="67"/>
    </row>
    <row r="139" spans="1:6" x14ac:dyDescent="0.25">
      <c r="A139" s="118"/>
      <c r="B139" s="118"/>
      <c r="C139" s="118"/>
      <c r="D139" s="118"/>
      <c r="E139" s="118"/>
      <c r="F139" s="67"/>
    </row>
    <row r="140" spans="1:6" x14ac:dyDescent="0.25">
      <c r="A140" s="118"/>
      <c r="B140" s="118"/>
      <c r="C140" s="118"/>
      <c r="D140" s="118"/>
      <c r="E140" s="118"/>
      <c r="F140" s="67"/>
    </row>
    <row r="141" spans="1:6" x14ac:dyDescent="0.25">
      <c r="A141" s="118"/>
      <c r="B141" s="118"/>
      <c r="C141" s="118"/>
      <c r="D141" s="118"/>
      <c r="E141" s="118"/>
      <c r="F141" s="67"/>
    </row>
    <row r="142" spans="1:6" x14ac:dyDescent="0.25">
      <c r="A142" s="118"/>
      <c r="B142" s="118"/>
      <c r="C142" s="118"/>
      <c r="D142" s="118"/>
      <c r="E142" s="118"/>
      <c r="F142" s="67"/>
    </row>
    <row r="143" spans="1:6" x14ac:dyDescent="0.25">
      <c r="A143" s="118"/>
      <c r="B143" s="118"/>
      <c r="C143" s="118"/>
      <c r="D143" s="118"/>
      <c r="E143" s="118"/>
      <c r="F143" s="67"/>
    </row>
    <row r="144" spans="1:6" x14ac:dyDescent="0.25">
      <c r="A144" s="118"/>
      <c r="B144" s="118"/>
      <c r="C144" s="118"/>
      <c r="D144" s="118"/>
      <c r="E144" s="118"/>
      <c r="F144" s="67"/>
    </row>
    <row r="145" spans="1:6" x14ac:dyDescent="0.25">
      <c r="A145" s="118"/>
      <c r="B145" s="118"/>
      <c r="C145" s="118"/>
      <c r="D145" s="118"/>
      <c r="E145" s="118"/>
      <c r="F145" s="67"/>
    </row>
    <row r="146" spans="1:6" x14ac:dyDescent="0.25">
      <c r="A146" s="118"/>
      <c r="B146" s="118"/>
      <c r="C146" s="118"/>
      <c r="D146" s="118"/>
      <c r="E146" s="118"/>
      <c r="F146" s="67"/>
    </row>
    <row r="147" spans="1:6" x14ac:dyDescent="0.25">
      <c r="A147" s="118"/>
      <c r="B147" s="118"/>
      <c r="C147" s="118"/>
      <c r="D147" s="118"/>
      <c r="E147" s="118"/>
      <c r="F147" s="67"/>
    </row>
    <row r="148" spans="1:6" x14ac:dyDescent="0.25">
      <c r="A148" s="118"/>
      <c r="B148" s="118"/>
      <c r="C148" s="118"/>
      <c r="D148" s="118"/>
      <c r="E148" s="118"/>
      <c r="F148" s="67"/>
    </row>
    <row r="149" spans="1:6" x14ac:dyDescent="0.25">
      <c r="A149" s="118"/>
      <c r="B149" s="118"/>
      <c r="C149" s="118"/>
      <c r="D149" s="118"/>
      <c r="E149" s="118"/>
      <c r="F149" s="67"/>
    </row>
    <row r="150" spans="1:6" x14ac:dyDescent="0.25">
      <c r="A150" s="118"/>
      <c r="B150" s="118"/>
      <c r="C150" s="118"/>
      <c r="D150" s="118"/>
      <c r="E150" s="118"/>
      <c r="F150" s="67"/>
    </row>
    <row r="151" spans="1:6" x14ac:dyDescent="0.25">
      <c r="A151" s="118"/>
      <c r="B151" s="118"/>
      <c r="C151" s="118"/>
      <c r="D151" s="118"/>
      <c r="E151" s="118"/>
      <c r="F151" s="67"/>
    </row>
    <row r="152" spans="1:6" x14ac:dyDescent="0.25">
      <c r="A152" s="118"/>
      <c r="B152" s="118"/>
      <c r="C152" s="118"/>
      <c r="D152" s="118"/>
      <c r="E152" s="118"/>
      <c r="F152" s="67"/>
    </row>
    <row r="153" spans="1:6" x14ac:dyDescent="0.25">
      <c r="A153" s="118"/>
      <c r="B153" s="118"/>
      <c r="C153" s="118"/>
      <c r="D153" s="118"/>
      <c r="E153" s="118"/>
      <c r="F153" s="67"/>
    </row>
    <row r="154" spans="1:6" x14ac:dyDescent="0.25">
      <c r="A154" s="118"/>
      <c r="B154" s="118"/>
      <c r="C154" s="118"/>
      <c r="D154" s="118"/>
      <c r="E154" s="118"/>
      <c r="F154" s="67"/>
    </row>
    <row r="155" spans="1:6" x14ac:dyDescent="0.25">
      <c r="A155" s="118"/>
      <c r="B155" s="118"/>
      <c r="C155" s="118"/>
      <c r="D155" s="118"/>
      <c r="E155" s="118"/>
      <c r="F155" s="67"/>
    </row>
    <row r="156" spans="1:6" x14ac:dyDescent="0.25">
      <c r="A156" s="118"/>
      <c r="B156" s="118"/>
      <c r="C156" s="118"/>
      <c r="D156" s="118"/>
      <c r="E156" s="118"/>
      <c r="F156" s="67"/>
    </row>
    <row r="157" spans="1:6" x14ac:dyDescent="0.25">
      <c r="A157" s="118"/>
      <c r="B157" s="118"/>
      <c r="C157" s="118"/>
      <c r="D157" s="118"/>
      <c r="E157" s="118"/>
      <c r="F157" s="67"/>
    </row>
    <row r="158" spans="1:6" x14ac:dyDescent="0.25">
      <c r="A158" s="118"/>
      <c r="B158" s="118"/>
      <c r="C158" s="118"/>
      <c r="D158" s="118"/>
      <c r="E158" s="118"/>
      <c r="F158" s="67"/>
    </row>
    <row r="159" spans="1:6" x14ac:dyDescent="0.25">
      <c r="A159" s="118"/>
      <c r="B159" s="118"/>
      <c r="C159" s="118"/>
      <c r="D159" s="118"/>
      <c r="E159" s="118"/>
      <c r="F159" s="67"/>
    </row>
    <row r="160" spans="1:6" x14ac:dyDescent="0.25">
      <c r="A160" s="118"/>
      <c r="B160" s="118"/>
      <c r="C160" s="118"/>
      <c r="D160" s="118"/>
      <c r="E160" s="118"/>
      <c r="F160" s="67"/>
    </row>
    <row r="161" spans="1:6" x14ac:dyDescent="0.25">
      <c r="A161" s="118"/>
      <c r="B161" s="118"/>
      <c r="C161" s="118"/>
      <c r="D161" s="118"/>
      <c r="E161" s="118"/>
      <c r="F161" s="67"/>
    </row>
    <row r="162" spans="1:6" x14ac:dyDescent="0.25">
      <c r="A162" s="118"/>
      <c r="B162" s="118"/>
      <c r="C162" s="118"/>
      <c r="D162" s="118"/>
      <c r="E162" s="118"/>
      <c r="F162" s="67"/>
    </row>
    <row r="163" spans="1:6" x14ac:dyDescent="0.25">
      <c r="A163" s="118"/>
      <c r="B163" s="118"/>
      <c r="C163" s="118"/>
      <c r="D163" s="118"/>
      <c r="E163" s="118"/>
      <c r="F163" s="67"/>
    </row>
    <row r="164" spans="1:6" x14ac:dyDescent="0.25">
      <c r="A164" s="118"/>
      <c r="B164" s="118"/>
      <c r="C164" s="118"/>
      <c r="D164" s="118"/>
      <c r="E164" s="118"/>
      <c r="F164" s="67"/>
    </row>
    <row r="165" spans="1:6" x14ac:dyDescent="0.25">
      <c r="A165" s="118"/>
      <c r="B165" s="118"/>
      <c r="C165" s="118"/>
      <c r="D165" s="118"/>
      <c r="E165" s="118"/>
      <c r="F165" s="67"/>
    </row>
    <row r="166" spans="1:6" x14ac:dyDescent="0.25">
      <c r="A166" s="118"/>
      <c r="B166" s="118"/>
      <c r="C166" s="118"/>
      <c r="D166" s="118"/>
      <c r="E166" s="118"/>
      <c r="F166" s="67"/>
    </row>
    <row r="167" spans="1:6" x14ac:dyDescent="0.25">
      <c r="A167" s="118"/>
      <c r="B167" s="118"/>
      <c r="C167" s="118"/>
      <c r="D167" s="118"/>
      <c r="E167" s="118"/>
      <c r="F167" s="67"/>
    </row>
    <row r="168" spans="1:6" x14ac:dyDescent="0.25">
      <c r="A168" s="118"/>
      <c r="B168" s="118"/>
      <c r="C168" s="118"/>
      <c r="D168" s="118"/>
      <c r="E168" s="118"/>
      <c r="F168" s="67"/>
    </row>
    <row r="169" spans="1:6" x14ac:dyDescent="0.25">
      <c r="A169" s="118"/>
      <c r="B169" s="118"/>
      <c r="C169" s="118"/>
      <c r="D169" s="118"/>
      <c r="E169" s="118"/>
      <c r="F169" s="67"/>
    </row>
    <row r="170" spans="1:6" x14ac:dyDescent="0.25">
      <c r="A170" s="118"/>
      <c r="B170" s="118"/>
      <c r="C170" s="118"/>
      <c r="D170" s="118"/>
      <c r="E170" s="118"/>
      <c r="F170" s="67"/>
    </row>
    <row r="171" spans="1:6" x14ac:dyDescent="0.25">
      <c r="A171" s="118"/>
      <c r="B171" s="118"/>
      <c r="C171" s="118"/>
      <c r="D171" s="118"/>
      <c r="E171" s="118"/>
      <c r="F171" s="67"/>
    </row>
    <row r="172" spans="1:6" x14ac:dyDescent="0.25">
      <c r="A172" s="118"/>
      <c r="B172" s="118"/>
      <c r="C172" s="118"/>
      <c r="D172" s="118"/>
      <c r="E172" s="118"/>
      <c r="F172" s="67"/>
    </row>
    <row r="173" spans="1:6" x14ac:dyDescent="0.25">
      <c r="A173" s="118"/>
      <c r="B173" s="118"/>
      <c r="C173" s="118"/>
      <c r="D173" s="118"/>
      <c r="E173" s="118"/>
      <c r="F173" s="67"/>
    </row>
    <row r="174" spans="1:6" x14ac:dyDescent="0.25">
      <c r="A174" s="118"/>
      <c r="B174" s="118"/>
      <c r="C174" s="118"/>
      <c r="D174" s="118"/>
      <c r="E174" s="118"/>
      <c r="F174" s="67"/>
    </row>
    <row r="175" spans="1:6" x14ac:dyDescent="0.25">
      <c r="A175" s="118"/>
      <c r="B175" s="118"/>
      <c r="C175" s="118"/>
      <c r="D175" s="118"/>
      <c r="E175" s="118"/>
      <c r="F175" s="67"/>
    </row>
    <row r="176" spans="1:6" x14ac:dyDescent="0.25">
      <c r="A176" s="118"/>
      <c r="B176" s="118"/>
      <c r="C176" s="118"/>
      <c r="D176" s="118"/>
      <c r="E176" s="118"/>
      <c r="F176" s="67"/>
    </row>
    <row r="177" spans="1:6" x14ac:dyDescent="0.25">
      <c r="A177" s="118"/>
      <c r="B177" s="118"/>
      <c r="C177" s="118"/>
      <c r="D177" s="118"/>
      <c r="E177" s="118"/>
      <c r="F177" s="67"/>
    </row>
    <row r="178" spans="1:6" x14ac:dyDescent="0.25">
      <c r="A178" s="118"/>
      <c r="B178" s="118"/>
      <c r="C178" s="118"/>
      <c r="D178" s="118"/>
      <c r="E178" s="118"/>
      <c r="F178" s="67"/>
    </row>
    <row r="179" spans="1:6" x14ac:dyDescent="0.25">
      <c r="A179" s="118"/>
      <c r="B179" s="118"/>
      <c r="C179" s="118"/>
      <c r="D179" s="118"/>
      <c r="E179" s="118"/>
      <c r="F179" s="67"/>
    </row>
    <row r="180" spans="1:6" x14ac:dyDescent="0.25">
      <c r="A180" s="118"/>
      <c r="B180" s="118"/>
      <c r="C180" s="118"/>
      <c r="D180" s="118"/>
      <c r="E180" s="118"/>
      <c r="F180" s="67"/>
    </row>
    <row r="181" spans="1:6" x14ac:dyDescent="0.25">
      <c r="A181" s="118"/>
      <c r="B181" s="118"/>
      <c r="C181" s="118"/>
      <c r="D181" s="118"/>
      <c r="E181" s="118"/>
      <c r="F181" s="67"/>
    </row>
    <row r="182" spans="1:6" x14ac:dyDescent="0.25">
      <c r="A182" s="118"/>
      <c r="B182" s="118"/>
      <c r="C182" s="118"/>
      <c r="D182" s="118"/>
      <c r="E182" s="118"/>
      <c r="F182" s="67"/>
    </row>
    <row r="183" spans="1:6" x14ac:dyDescent="0.25">
      <c r="A183" s="118"/>
      <c r="B183" s="118"/>
      <c r="C183" s="118"/>
      <c r="D183" s="118"/>
      <c r="E183" s="118"/>
      <c r="F183" s="67"/>
    </row>
    <row r="184" spans="1:6" x14ac:dyDescent="0.25">
      <c r="A184" s="118"/>
      <c r="B184" s="118"/>
      <c r="C184" s="118"/>
      <c r="D184" s="118"/>
      <c r="E184" s="118"/>
      <c r="F184" s="67"/>
    </row>
    <row r="185" spans="1:6" x14ac:dyDescent="0.25">
      <c r="A185" s="118"/>
      <c r="B185" s="118"/>
      <c r="C185" s="118"/>
      <c r="D185" s="118"/>
      <c r="E185" s="118"/>
      <c r="F185" s="67"/>
    </row>
    <row r="186" spans="1:6" x14ac:dyDescent="0.25">
      <c r="A186" s="118"/>
      <c r="B186" s="118"/>
      <c r="C186" s="118"/>
      <c r="D186" s="118"/>
      <c r="E186" s="118"/>
      <c r="F186" s="67"/>
    </row>
    <row r="187" spans="1:6" x14ac:dyDescent="0.25">
      <c r="A187" s="118"/>
      <c r="B187" s="118"/>
      <c r="C187" s="118"/>
      <c r="D187" s="118"/>
      <c r="E187" s="118"/>
      <c r="F187" s="67"/>
    </row>
    <row r="188" spans="1:6" x14ac:dyDescent="0.25">
      <c r="A188" s="118"/>
      <c r="B188" s="118"/>
      <c r="C188" s="118"/>
      <c r="D188" s="118"/>
      <c r="E188" s="118"/>
      <c r="F188" s="67"/>
    </row>
    <row r="189" spans="1:6" x14ac:dyDescent="0.25">
      <c r="A189" s="118"/>
      <c r="B189" s="118"/>
      <c r="C189" s="118"/>
      <c r="D189" s="118"/>
      <c r="E189" s="118"/>
      <c r="F189" s="67"/>
    </row>
    <row r="190" spans="1:6" x14ac:dyDescent="0.25">
      <c r="A190" s="118"/>
      <c r="B190" s="118"/>
      <c r="C190" s="118"/>
      <c r="D190" s="118"/>
      <c r="E190" s="118"/>
      <c r="F190" s="67"/>
    </row>
    <row r="191" spans="1:6" x14ac:dyDescent="0.25">
      <c r="A191" s="118"/>
      <c r="B191" s="118"/>
      <c r="C191" s="118"/>
      <c r="D191" s="118"/>
      <c r="E191" s="118"/>
      <c r="F191" s="67"/>
    </row>
    <row r="192" spans="1:6" x14ac:dyDescent="0.25">
      <c r="A192" s="118"/>
      <c r="B192" s="118"/>
      <c r="C192" s="118"/>
      <c r="D192" s="118"/>
      <c r="E192" s="118"/>
      <c r="F192" s="67"/>
    </row>
    <row r="193" spans="1:6" x14ac:dyDescent="0.25">
      <c r="A193" s="118"/>
      <c r="B193" s="118"/>
      <c r="C193" s="118"/>
      <c r="D193" s="118"/>
      <c r="E193" s="118"/>
      <c r="F193" s="67"/>
    </row>
    <row r="194" spans="1:6" x14ac:dyDescent="0.25">
      <c r="A194" s="118"/>
      <c r="B194" s="118"/>
      <c r="C194" s="118"/>
      <c r="D194" s="118"/>
      <c r="E194" s="118"/>
      <c r="F194" s="67"/>
    </row>
    <row r="195" spans="1:6" x14ac:dyDescent="0.25">
      <c r="A195" s="118"/>
      <c r="B195" s="118"/>
      <c r="C195" s="118"/>
      <c r="D195" s="118"/>
      <c r="E195" s="118"/>
      <c r="F195" s="67"/>
    </row>
    <row r="196" spans="1:6" x14ac:dyDescent="0.25">
      <c r="A196" s="118"/>
      <c r="B196" s="118"/>
      <c r="C196" s="118"/>
      <c r="D196" s="118"/>
      <c r="E196" s="118"/>
      <c r="F196" s="67"/>
    </row>
    <row r="197" spans="1:6" x14ac:dyDescent="0.25">
      <c r="A197" s="118"/>
      <c r="B197" s="118"/>
      <c r="C197" s="118"/>
      <c r="D197" s="118"/>
      <c r="E197" s="118"/>
      <c r="F197" s="67"/>
    </row>
    <row r="198" spans="1:6" x14ac:dyDescent="0.25">
      <c r="A198" s="118"/>
      <c r="B198" s="118"/>
      <c r="C198" s="118"/>
      <c r="D198" s="118"/>
      <c r="E198" s="118"/>
      <c r="F198" s="67"/>
    </row>
    <row r="199" spans="1:6" x14ac:dyDescent="0.25">
      <c r="A199" s="118"/>
      <c r="B199" s="118"/>
      <c r="C199" s="118"/>
      <c r="D199" s="118"/>
      <c r="E199" s="118"/>
      <c r="F199" s="67"/>
    </row>
    <row r="200" spans="1:6" x14ac:dyDescent="0.25">
      <c r="A200" s="118"/>
      <c r="B200" s="118"/>
      <c r="C200" s="118"/>
      <c r="D200" s="118"/>
      <c r="E200" s="118"/>
      <c r="F200" s="67"/>
    </row>
    <row r="201" spans="1:6" x14ac:dyDescent="0.25">
      <c r="A201" s="118"/>
      <c r="B201" s="118"/>
      <c r="C201" s="118"/>
      <c r="D201" s="118"/>
      <c r="E201" s="118"/>
      <c r="F201" s="67"/>
    </row>
    <row r="202" spans="1:6" x14ac:dyDescent="0.25">
      <c r="A202" s="118"/>
      <c r="B202" s="118"/>
      <c r="C202" s="118"/>
      <c r="D202" s="118"/>
      <c r="E202" s="118"/>
      <c r="F202" s="67"/>
    </row>
    <row r="203" spans="1:6" x14ac:dyDescent="0.25">
      <c r="A203" s="118"/>
      <c r="B203" s="118"/>
      <c r="C203" s="118"/>
      <c r="D203" s="118"/>
      <c r="E203" s="118"/>
      <c r="F203" s="67"/>
    </row>
    <row r="204" spans="1:6" x14ac:dyDescent="0.25">
      <c r="A204" s="118"/>
      <c r="B204" s="118"/>
      <c r="C204" s="118"/>
      <c r="D204" s="118"/>
      <c r="E204" s="118"/>
      <c r="F204" s="67"/>
    </row>
    <row r="205" spans="1:6" x14ac:dyDescent="0.25">
      <c r="A205" s="118"/>
      <c r="B205" s="118"/>
      <c r="C205" s="118"/>
      <c r="D205" s="118"/>
      <c r="E205" s="118"/>
      <c r="F205" s="67"/>
    </row>
    <row r="206" spans="1:6" x14ac:dyDescent="0.25">
      <c r="A206" s="118"/>
      <c r="B206" s="118"/>
      <c r="C206" s="118"/>
      <c r="D206" s="118"/>
      <c r="E206" s="118"/>
      <c r="F206" s="67"/>
    </row>
    <row r="207" spans="1:6" x14ac:dyDescent="0.25">
      <c r="A207" s="118"/>
      <c r="B207" s="118"/>
      <c r="C207" s="118"/>
      <c r="D207" s="118"/>
      <c r="E207" s="118"/>
      <c r="F207" s="67"/>
    </row>
    <row r="208" spans="1:6" x14ac:dyDescent="0.25">
      <c r="A208" s="118"/>
      <c r="B208" s="118"/>
      <c r="C208" s="118"/>
      <c r="D208" s="118"/>
      <c r="E208" s="118"/>
      <c r="F208" s="67"/>
    </row>
    <row r="209" spans="1:6" x14ac:dyDescent="0.25">
      <c r="A209" s="118"/>
      <c r="B209" s="118"/>
      <c r="C209" s="118"/>
      <c r="D209" s="118"/>
      <c r="E209" s="118"/>
      <c r="F209" s="67"/>
    </row>
    <row r="210" spans="1:6" x14ac:dyDescent="0.25">
      <c r="A210" s="118"/>
      <c r="B210" s="118"/>
      <c r="C210" s="118"/>
      <c r="D210" s="118"/>
      <c r="E210" s="118"/>
      <c r="F210" s="67"/>
    </row>
    <row r="211" spans="1:6" x14ac:dyDescent="0.25">
      <c r="A211" s="118"/>
      <c r="B211" s="118"/>
      <c r="C211" s="118"/>
      <c r="D211" s="118"/>
      <c r="E211" s="118"/>
      <c r="F211" s="67"/>
    </row>
    <row r="212" spans="1:6" x14ac:dyDescent="0.25">
      <c r="A212" s="118"/>
      <c r="B212" s="118"/>
      <c r="C212" s="118"/>
      <c r="D212" s="118"/>
      <c r="E212" s="118"/>
      <c r="F212" s="67"/>
    </row>
    <row r="213" spans="1:6" x14ac:dyDescent="0.25">
      <c r="A213" s="118"/>
      <c r="B213" s="118"/>
      <c r="C213" s="118"/>
      <c r="D213" s="118"/>
      <c r="E213" s="118"/>
      <c r="F213" s="67"/>
    </row>
    <row r="214" spans="1:6" x14ac:dyDescent="0.25">
      <c r="A214" s="118"/>
      <c r="B214" s="118"/>
      <c r="C214" s="118"/>
      <c r="D214" s="118"/>
      <c r="E214" s="118"/>
      <c r="F214" s="67"/>
    </row>
    <row r="215" spans="1:6" x14ac:dyDescent="0.25">
      <c r="A215" s="118"/>
      <c r="B215" s="118"/>
      <c r="C215" s="118"/>
      <c r="D215" s="118"/>
      <c r="E215" s="118"/>
      <c r="F215" s="67"/>
    </row>
    <row r="216" spans="1:6" x14ac:dyDescent="0.25">
      <c r="A216" s="118"/>
      <c r="B216" s="118"/>
      <c r="C216" s="118"/>
      <c r="D216" s="118"/>
      <c r="E216" s="118"/>
      <c r="F216" s="67"/>
    </row>
    <row r="217" spans="1:6" x14ac:dyDescent="0.25">
      <c r="A217" s="118"/>
      <c r="B217" s="118"/>
      <c r="C217" s="118"/>
      <c r="D217" s="118"/>
      <c r="E217" s="118"/>
      <c r="F217" s="67"/>
    </row>
    <row r="218" spans="1:6" x14ac:dyDescent="0.25">
      <c r="A218" s="118"/>
      <c r="B218" s="118"/>
      <c r="C218" s="118"/>
      <c r="D218" s="118"/>
      <c r="E218" s="118"/>
      <c r="F218" s="67"/>
    </row>
    <row r="219" spans="1:6" x14ac:dyDescent="0.25">
      <c r="A219" s="118"/>
      <c r="B219" s="118"/>
      <c r="C219" s="118"/>
      <c r="D219" s="118"/>
      <c r="E219" s="118"/>
      <c r="F219" s="67"/>
    </row>
    <row r="220" spans="1:6" x14ac:dyDescent="0.25">
      <c r="A220" s="118"/>
      <c r="B220" s="118"/>
      <c r="C220" s="118"/>
      <c r="D220" s="118"/>
      <c r="E220" s="118"/>
      <c r="F220" s="67"/>
    </row>
    <row r="221" spans="1:6" x14ac:dyDescent="0.25">
      <c r="A221" s="118"/>
      <c r="B221" s="118"/>
      <c r="C221" s="118"/>
      <c r="D221" s="118"/>
      <c r="E221" s="118"/>
      <c r="F221" s="67"/>
    </row>
    <row r="222" spans="1:6" x14ac:dyDescent="0.25">
      <c r="A222" s="118"/>
      <c r="B222" s="118"/>
      <c r="C222" s="118"/>
      <c r="D222" s="118"/>
      <c r="E222" s="118"/>
      <c r="F222" s="67"/>
    </row>
    <row r="223" spans="1:6" x14ac:dyDescent="0.25">
      <c r="A223" s="118"/>
      <c r="B223" s="118"/>
      <c r="C223" s="118"/>
      <c r="D223" s="118"/>
      <c r="E223" s="118"/>
      <c r="F223" s="67"/>
    </row>
    <row r="224" spans="1:6" x14ac:dyDescent="0.25">
      <c r="A224" s="118"/>
      <c r="B224" s="118"/>
      <c r="C224" s="118"/>
      <c r="D224" s="118"/>
      <c r="E224" s="118"/>
      <c r="F224" s="67"/>
    </row>
    <row r="225" spans="1:6" x14ac:dyDescent="0.25">
      <c r="A225" s="118"/>
      <c r="B225" s="118"/>
      <c r="C225" s="118"/>
      <c r="D225" s="118"/>
      <c r="E225" s="118"/>
      <c r="F225" s="67"/>
    </row>
    <row r="226" spans="1:6" x14ac:dyDescent="0.25">
      <c r="A226" s="118"/>
      <c r="B226" s="118"/>
      <c r="C226" s="118"/>
      <c r="D226" s="118"/>
      <c r="E226" s="118"/>
      <c r="F226" s="67"/>
    </row>
    <row r="227" spans="1:6" x14ac:dyDescent="0.25">
      <c r="A227" s="118"/>
      <c r="B227" s="118"/>
      <c r="C227" s="118"/>
      <c r="D227" s="118"/>
      <c r="E227" s="118"/>
      <c r="F227" s="67"/>
    </row>
    <row r="228" spans="1:6" x14ac:dyDescent="0.25">
      <c r="A228" s="118"/>
      <c r="B228" s="118"/>
      <c r="C228" s="118"/>
      <c r="D228" s="118"/>
      <c r="E228" s="118"/>
      <c r="F228" s="67"/>
    </row>
    <row r="229" spans="1:6" x14ac:dyDescent="0.25">
      <c r="A229" s="118"/>
      <c r="B229" s="118"/>
      <c r="C229" s="118"/>
      <c r="D229" s="118"/>
      <c r="E229" s="118"/>
      <c r="F229" s="67"/>
    </row>
    <row r="230" spans="1:6" x14ac:dyDescent="0.25">
      <c r="A230" s="118"/>
      <c r="B230" s="118"/>
      <c r="C230" s="118"/>
      <c r="D230" s="118"/>
      <c r="E230" s="118"/>
      <c r="F230" s="67"/>
    </row>
    <row r="231" spans="1:6" x14ac:dyDescent="0.25">
      <c r="A231" s="118"/>
      <c r="B231" s="118"/>
      <c r="C231" s="118"/>
      <c r="D231" s="118"/>
      <c r="E231" s="118"/>
      <c r="F231" s="67"/>
    </row>
    <row r="232" spans="1:6" x14ac:dyDescent="0.25">
      <c r="A232" s="118"/>
      <c r="B232" s="118"/>
      <c r="C232" s="118"/>
      <c r="D232" s="118"/>
      <c r="E232" s="118"/>
      <c r="F232" s="67"/>
    </row>
    <row r="233" spans="1:6" x14ac:dyDescent="0.25">
      <c r="A233" s="118"/>
      <c r="B233" s="118"/>
      <c r="C233" s="118"/>
      <c r="D233" s="118"/>
      <c r="E233" s="118"/>
      <c r="F233" s="67"/>
    </row>
    <row r="234" spans="1:6" x14ac:dyDescent="0.25">
      <c r="A234" s="118"/>
      <c r="B234" s="118"/>
      <c r="C234" s="118"/>
      <c r="D234" s="118"/>
      <c r="E234" s="118"/>
      <c r="F234" s="67"/>
    </row>
    <row r="235" spans="1:6" x14ac:dyDescent="0.25">
      <c r="A235" s="118"/>
      <c r="B235" s="118"/>
      <c r="C235" s="118"/>
      <c r="D235" s="118"/>
      <c r="E235" s="118"/>
      <c r="F235" s="67"/>
    </row>
    <row r="236" spans="1:6" x14ac:dyDescent="0.25">
      <c r="A236" s="118"/>
      <c r="B236" s="118"/>
      <c r="C236" s="118"/>
      <c r="D236" s="118"/>
      <c r="E236" s="118"/>
      <c r="F236" s="67"/>
    </row>
    <row r="237" spans="1:6" x14ac:dyDescent="0.25">
      <c r="A237" s="118"/>
      <c r="B237" s="118"/>
      <c r="C237" s="118"/>
      <c r="D237" s="118"/>
      <c r="E237" s="118"/>
      <c r="F237" s="67"/>
    </row>
    <row r="238" spans="1:6" x14ac:dyDescent="0.25">
      <c r="A238" s="118"/>
      <c r="B238" s="118"/>
      <c r="C238" s="118"/>
      <c r="D238" s="118"/>
      <c r="E238" s="118"/>
      <c r="F238" s="67"/>
    </row>
    <row r="239" spans="1:6" x14ac:dyDescent="0.25">
      <c r="A239" s="118"/>
      <c r="B239" s="118"/>
      <c r="C239" s="118"/>
      <c r="D239" s="118"/>
      <c r="E239" s="118"/>
      <c r="F239" s="67"/>
    </row>
    <row r="240" spans="1:6" x14ac:dyDescent="0.25">
      <c r="A240" s="118"/>
      <c r="B240" s="118"/>
      <c r="C240" s="118"/>
      <c r="D240" s="118"/>
      <c r="E240" s="118"/>
      <c r="F240" s="67"/>
    </row>
    <row r="241" spans="1:6" x14ac:dyDescent="0.25">
      <c r="A241" s="118"/>
      <c r="B241" s="118"/>
      <c r="C241" s="118"/>
      <c r="D241" s="118"/>
      <c r="E241" s="118"/>
      <c r="F241" s="67"/>
    </row>
    <row r="242" spans="1:6" x14ac:dyDescent="0.25">
      <c r="A242" s="118"/>
      <c r="B242" s="118"/>
      <c r="C242" s="118"/>
      <c r="D242" s="118"/>
      <c r="E242" s="118"/>
      <c r="F242" s="67"/>
    </row>
    <row r="243" spans="1:6" x14ac:dyDescent="0.25">
      <c r="A243" s="118"/>
      <c r="B243" s="118"/>
      <c r="C243" s="118"/>
      <c r="D243" s="118"/>
      <c r="E243" s="118"/>
      <c r="F243" s="67"/>
    </row>
    <row r="244" spans="1:6" x14ac:dyDescent="0.25">
      <c r="A244" s="118"/>
      <c r="B244" s="118"/>
      <c r="C244" s="118"/>
      <c r="D244" s="118"/>
      <c r="E244" s="118"/>
      <c r="F244" s="67"/>
    </row>
    <row r="245" spans="1:6" x14ac:dyDescent="0.25">
      <c r="A245" s="118"/>
      <c r="B245" s="118"/>
      <c r="C245" s="118"/>
      <c r="D245" s="118"/>
      <c r="E245" s="118"/>
      <c r="F245" s="67"/>
    </row>
    <row r="246" spans="1:6" x14ac:dyDescent="0.25">
      <c r="A246" s="118"/>
      <c r="B246" s="118"/>
      <c r="C246" s="118"/>
      <c r="D246" s="118"/>
      <c r="E246" s="118"/>
      <c r="F246" s="67"/>
    </row>
    <row r="247" spans="1:6" x14ac:dyDescent="0.25">
      <c r="A247" s="118"/>
      <c r="B247" s="118"/>
      <c r="C247" s="118"/>
      <c r="D247" s="118"/>
      <c r="E247" s="118"/>
      <c r="F247" s="67"/>
    </row>
    <row r="248" spans="1:6" x14ac:dyDescent="0.25">
      <c r="A248" s="118"/>
      <c r="B248" s="118"/>
      <c r="C248" s="118"/>
      <c r="D248" s="118"/>
      <c r="E248" s="118"/>
      <c r="F248" s="67"/>
    </row>
    <row r="249" spans="1:6" x14ac:dyDescent="0.25">
      <c r="A249" s="118"/>
      <c r="B249" s="118"/>
      <c r="C249" s="118"/>
      <c r="D249" s="118"/>
      <c r="E249" s="118"/>
      <c r="F249" s="67"/>
    </row>
    <row r="250" spans="1:6" x14ac:dyDescent="0.25">
      <c r="A250" s="118"/>
      <c r="B250" s="118"/>
      <c r="C250" s="118"/>
      <c r="D250" s="118"/>
      <c r="E250" s="118"/>
      <c r="F250" s="67"/>
    </row>
    <row r="251" spans="1:6" x14ac:dyDescent="0.25">
      <c r="A251" s="118"/>
      <c r="B251" s="118"/>
      <c r="C251" s="118"/>
      <c r="D251" s="118"/>
      <c r="E251" s="118"/>
      <c r="F251" s="67"/>
    </row>
    <row r="252" spans="1:6" x14ac:dyDescent="0.25">
      <c r="A252" s="118"/>
      <c r="B252" s="118"/>
      <c r="C252" s="118"/>
      <c r="D252" s="118"/>
      <c r="E252" s="118"/>
      <c r="F252" s="67"/>
    </row>
    <row r="253" spans="1:6" x14ac:dyDescent="0.25">
      <c r="A253" s="118"/>
      <c r="B253" s="118"/>
      <c r="C253" s="118"/>
      <c r="D253" s="118"/>
      <c r="E253" s="118"/>
      <c r="F253" s="67"/>
    </row>
    <row r="254" spans="1:6" x14ac:dyDescent="0.25">
      <c r="A254" s="118"/>
      <c r="B254" s="118"/>
      <c r="C254" s="118"/>
      <c r="D254" s="118"/>
      <c r="E254" s="118"/>
      <c r="F254" s="67"/>
    </row>
    <row r="255" spans="1:6" x14ac:dyDescent="0.25">
      <c r="A255" s="118"/>
      <c r="B255" s="118"/>
      <c r="C255" s="118"/>
      <c r="D255" s="118"/>
      <c r="E255" s="118"/>
      <c r="F255" s="67"/>
    </row>
    <row r="256" spans="1:6" x14ac:dyDescent="0.25">
      <c r="A256" s="118"/>
      <c r="B256" s="118"/>
      <c r="C256" s="118"/>
      <c r="D256" s="118"/>
      <c r="E256" s="118"/>
      <c r="F256" s="67"/>
    </row>
    <row r="257" spans="1:6" x14ac:dyDescent="0.25">
      <c r="A257" s="118"/>
      <c r="B257" s="118"/>
      <c r="C257" s="118"/>
      <c r="D257" s="118"/>
      <c r="E257" s="118"/>
      <c r="F257" s="67"/>
    </row>
    <row r="258" spans="1:6" x14ac:dyDescent="0.25">
      <c r="A258" s="118"/>
      <c r="B258" s="118"/>
      <c r="C258" s="118"/>
      <c r="D258" s="118"/>
      <c r="E258" s="118"/>
      <c r="F258" s="67"/>
    </row>
    <row r="259" spans="1:6" x14ac:dyDescent="0.25">
      <c r="A259" s="118"/>
      <c r="B259" s="118"/>
      <c r="C259" s="118"/>
      <c r="D259" s="118"/>
      <c r="E259" s="118"/>
      <c r="F259" s="67"/>
    </row>
    <row r="260" spans="1:6" x14ac:dyDescent="0.25">
      <c r="A260" s="118"/>
      <c r="B260" s="118"/>
      <c r="C260" s="118"/>
      <c r="D260" s="118"/>
      <c r="E260" s="118"/>
      <c r="F260" s="67"/>
    </row>
    <row r="261" spans="1:6" x14ac:dyDescent="0.25">
      <c r="A261" s="118"/>
      <c r="B261" s="118"/>
      <c r="C261" s="118"/>
      <c r="D261" s="118"/>
      <c r="E261" s="118"/>
      <c r="F261" s="67"/>
    </row>
    <row r="262" spans="1:6" x14ac:dyDescent="0.25">
      <c r="A262" s="118"/>
      <c r="B262" s="118"/>
      <c r="C262" s="118"/>
      <c r="D262" s="118"/>
      <c r="E262" s="118"/>
      <c r="F262" s="67"/>
    </row>
    <row r="263" spans="1:6" x14ac:dyDescent="0.25">
      <c r="A263" s="118"/>
      <c r="B263" s="118"/>
      <c r="C263" s="118"/>
      <c r="D263" s="118"/>
      <c r="E263" s="118"/>
      <c r="F263" s="67"/>
    </row>
    <row r="264" spans="1:6" x14ac:dyDescent="0.25">
      <c r="A264" s="118"/>
      <c r="B264" s="118"/>
      <c r="C264" s="118"/>
      <c r="D264" s="118"/>
      <c r="E264" s="118"/>
      <c r="F264" s="67"/>
    </row>
    <row r="265" spans="1:6" x14ac:dyDescent="0.25">
      <c r="A265" s="118"/>
      <c r="B265" s="118"/>
      <c r="C265" s="118"/>
      <c r="D265" s="118"/>
      <c r="E265" s="118"/>
      <c r="F265" s="67"/>
    </row>
    <row r="266" spans="1:6" x14ac:dyDescent="0.25">
      <c r="A266" s="118"/>
      <c r="B266" s="118"/>
      <c r="C266" s="118"/>
      <c r="D266" s="118"/>
      <c r="E266" s="118"/>
      <c r="F266" s="67"/>
    </row>
    <row r="267" spans="1:6" x14ac:dyDescent="0.25">
      <c r="A267" s="118"/>
      <c r="B267" s="118"/>
      <c r="C267" s="118"/>
      <c r="D267" s="118"/>
      <c r="E267" s="118"/>
      <c r="F267" s="67"/>
    </row>
    <row r="268" spans="1:6" x14ac:dyDescent="0.25">
      <c r="A268" s="118"/>
      <c r="B268" s="118"/>
      <c r="C268" s="118"/>
      <c r="D268" s="118"/>
      <c r="E268" s="118"/>
      <c r="F268" s="67"/>
    </row>
    <row r="269" spans="1:6" x14ac:dyDescent="0.25">
      <c r="A269" s="118"/>
      <c r="B269" s="118"/>
      <c r="C269" s="118"/>
      <c r="D269" s="118"/>
      <c r="E269" s="118"/>
      <c r="F269" s="67"/>
    </row>
    <row r="270" spans="1:6" x14ac:dyDescent="0.25">
      <c r="A270" s="118"/>
      <c r="B270" s="118"/>
      <c r="C270" s="118"/>
      <c r="D270" s="118"/>
      <c r="E270" s="118"/>
      <c r="F270" s="67"/>
    </row>
    <row r="271" spans="1:6" x14ac:dyDescent="0.25">
      <c r="A271" s="118"/>
      <c r="B271" s="118"/>
      <c r="C271" s="118"/>
      <c r="D271" s="118"/>
      <c r="E271" s="118"/>
      <c r="F271" s="67"/>
    </row>
    <row r="272" spans="1:6" x14ac:dyDescent="0.25">
      <c r="A272" s="118"/>
      <c r="B272" s="118"/>
      <c r="C272" s="118"/>
      <c r="D272" s="118"/>
      <c r="E272" s="118"/>
      <c r="F272" s="67"/>
    </row>
    <row r="273" spans="1:6" x14ac:dyDescent="0.25">
      <c r="A273" s="118"/>
      <c r="B273" s="118"/>
      <c r="C273" s="118"/>
      <c r="D273" s="118"/>
      <c r="E273" s="118"/>
      <c r="F273" s="67"/>
    </row>
    <row r="274" spans="1:6" x14ac:dyDescent="0.25">
      <c r="A274" s="118"/>
      <c r="B274" s="118"/>
      <c r="C274" s="118"/>
      <c r="D274" s="118"/>
      <c r="E274" s="118"/>
      <c r="F274" s="67"/>
    </row>
    <row r="275" spans="1:6" x14ac:dyDescent="0.25">
      <c r="A275" s="118"/>
      <c r="B275" s="118"/>
      <c r="C275" s="118"/>
      <c r="D275" s="118"/>
      <c r="E275" s="118"/>
      <c r="F275" s="67"/>
    </row>
    <row r="276" spans="1:6" x14ac:dyDescent="0.25">
      <c r="A276" s="118"/>
      <c r="B276" s="118"/>
      <c r="C276" s="118"/>
      <c r="D276" s="118"/>
      <c r="E276" s="118"/>
      <c r="F276" s="67"/>
    </row>
    <row r="277" spans="1:6" x14ac:dyDescent="0.25">
      <c r="A277" s="118"/>
      <c r="B277" s="118"/>
      <c r="C277" s="118"/>
      <c r="D277" s="118"/>
      <c r="E277" s="118"/>
      <c r="F277" s="67"/>
    </row>
    <row r="278" spans="1:6" x14ac:dyDescent="0.25">
      <c r="A278" s="118"/>
      <c r="B278" s="118"/>
      <c r="C278" s="118"/>
      <c r="D278" s="118"/>
      <c r="E278" s="118"/>
      <c r="F278" s="67"/>
    </row>
    <row r="279" spans="1:6" x14ac:dyDescent="0.25">
      <c r="A279" s="118"/>
      <c r="B279" s="118"/>
      <c r="C279" s="118"/>
      <c r="D279" s="118"/>
      <c r="E279" s="118"/>
      <c r="F279" s="67"/>
    </row>
    <row r="280" spans="1:6" x14ac:dyDescent="0.25">
      <c r="A280" s="118"/>
      <c r="B280" s="118"/>
      <c r="C280" s="118"/>
      <c r="D280" s="118"/>
      <c r="E280" s="118"/>
      <c r="F280" s="67"/>
    </row>
    <row r="281" spans="1:6" x14ac:dyDescent="0.25">
      <c r="A281" s="118"/>
      <c r="B281" s="118"/>
      <c r="C281" s="118"/>
      <c r="D281" s="118"/>
      <c r="E281" s="118"/>
      <c r="F281" s="67"/>
    </row>
    <row r="282" spans="1:6" x14ac:dyDescent="0.25">
      <c r="A282" s="118"/>
      <c r="B282" s="118"/>
      <c r="C282" s="118"/>
      <c r="D282" s="118"/>
      <c r="E282" s="118"/>
      <c r="F282" s="67"/>
    </row>
    <row r="283" spans="1:6" x14ac:dyDescent="0.25">
      <c r="A283" s="118"/>
      <c r="B283" s="118"/>
      <c r="C283" s="118"/>
      <c r="D283" s="118"/>
      <c r="E283" s="118"/>
      <c r="F283" s="67"/>
    </row>
    <row r="284" spans="1:6" x14ac:dyDescent="0.25">
      <c r="A284" s="118"/>
      <c r="B284" s="118"/>
      <c r="C284" s="118"/>
      <c r="D284" s="118"/>
      <c r="E284" s="118"/>
      <c r="F284" s="67"/>
    </row>
    <row r="285" spans="1:6" x14ac:dyDescent="0.25">
      <c r="A285" s="118"/>
      <c r="B285" s="118"/>
      <c r="C285" s="118"/>
      <c r="D285" s="118"/>
      <c r="E285" s="118"/>
      <c r="F285" s="67"/>
    </row>
    <row r="286" spans="1:6" x14ac:dyDescent="0.25">
      <c r="A286" s="118"/>
      <c r="B286" s="118"/>
      <c r="C286" s="118"/>
      <c r="D286" s="118"/>
      <c r="E286" s="118"/>
      <c r="F286" s="67"/>
    </row>
    <row r="287" spans="1:6" x14ac:dyDescent="0.25">
      <c r="A287" s="118"/>
      <c r="B287" s="118"/>
      <c r="C287" s="118"/>
      <c r="D287" s="118"/>
      <c r="E287" s="118"/>
      <c r="F287" s="67"/>
    </row>
    <row r="288" spans="1:6" x14ac:dyDescent="0.25">
      <c r="A288" s="118"/>
      <c r="B288" s="118"/>
      <c r="C288" s="118"/>
      <c r="D288" s="118"/>
      <c r="E288" s="118"/>
      <c r="F288" s="67"/>
    </row>
    <row r="289" spans="1:6" x14ac:dyDescent="0.25">
      <c r="A289" s="118"/>
      <c r="B289" s="118"/>
      <c r="C289" s="118"/>
      <c r="D289" s="118"/>
      <c r="E289" s="118"/>
      <c r="F289" s="67"/>
    </row>
    <row r="290" spans="1:6" x14ac:dyDescent="0.25">
      <c r="A290" s="118"/>
      <c r="B290" s="118"/>
      <c r="C290" s="118"/>
      <c r="D290" s="118"/>
      <c r="E290" s="118"/>
      <c r="F290" s="67"/>
    </row>
    <row r="291" spans="1:6" x14ac:dyDescent="0.25">
      <c r="A291" s="118"/>
      <c r="B291" s="118"/>
      <c r="C291" s="118"/>
      <c r="D291" s="118"/>
      <c r="E291" s="118"/>
      <c r="F291" s="67"/>
    </row>
    <row r="292" spans="1:6" x14ac:dyDescent="0.25">
      <c r="A292" s="118"/>
      <c r="B292" s="118"/>
      <c r="C292" s="118"/>
      <c r="D292" s="118"/>
      <c r="E292" s="118"/>
      <c r="F292" s="67"/>
    </row>
    <row r="293" spans="1:6" x14ac:dyDescent="0.25">
      <c r="A293" s="118"/>
      <c r="B293" s="118"/>
      <c r="C293" s="118"/>
      <c r="D293" s="118"/>
      <c r="E293" s="118"/>
      <c r="F293" s="67"/>
    </row>
    <row r="294" spans="1:6" x14ac:dyDescent="0.25">
      <c r="A294" s="118"/>
      <c r="B294" s="118"/>
      <c r="C294" s="118"/>
      <c r="D294" s="118"/>
      <c r="E294" s="118"/>
      <c r="F294" s="67"/>
    </row>
    <row r="295" spans="1:6" x14ac:dyDescent="0.25">
      <c r="A295" s="118"/>
      <c r="B295" s="118"/>
      <c r="C295" s="118"/>
      <c r="D295" s="118"/>
      <c r="E295" s="118"/>
      <c r="F295" s="67"/>
    </row>
    <row r="296" spans="1:6" x14ac:dyDescent="0.25">
      <c r="A296" s="118"/>
      <c r="B296" s="118"/>
      <c r="C296" s="118"/>
      <c r="D296" s="118"/>
      <c r="E296" s="118"/>
      <c r="F296" s="67"/>
    </row>
    <row r="297" spans="1:6" x14ac:dyDescent="0.25">
      <c r="A297" s="118"/>
      <c r="B297" s="118"/>
      <c r="C297" s="118"/>
      <c r="D297" s="118"/>
      <c r="E297" s="118"/>
      <c r="F297" s="67"/>
    </row>
    <row r="298" spans="1:6" x14ac:dyDescent="0.25">
      <c r="A298" s="118"/>
      <c r="B298" s="118"/>
      <c r="C298" s="118"/>
      <c r="D298" s="118"/>
      <c r="E298" s="118"/>
      <c r="F298" s="67"/>
    </row>
    <row r="299" spans="1:6" x14ac:dyDescent="0.25">
      <c r="A299" s="118"/>
      <c r="B299" s="118"/>
      <c r="C299" s="118"/>
      <c r="D299" s="118"/>
      <c r="E299" s="118"/>
      <c r="F299" s="67"/>
    </row>
    <row r="300" spans="1:6" x14ac:dyDescent="0.25">
      <c r="A300" s="118"/>
      <c r="B300" s="118"/>
      <c r="C300" s="118"/>
      <c r="D300" s="118"/>
      <c r="E300" s="118"/>
      <c r="F300" s="67"/>
    </row>
    <row r="301" spans="1:6" x14ac:dyDescent="0.25">
      <c r="A301" s="118"/>
      <c r="B301" s="118"/>
      <c r="C301" s="118"/>
      <c r="D301" s="118"/>
      <c r="E301" s="118"/>
      <c r="F301" s="67"/>
    </row>
    <row r="302" spans="1:6" x14ac:dyDescent="0.25">
      <c r="A302" s="118"/>
      <c r="B302" s="118"/>
      <c r="C302" s="118"/>
      <c r="D302" s="118"/>
      <c r="E302" s="118"/>
      <c r="F302" s="67"/>
    </row>
    <row r="303" spans="1:6" x14ac:dyDescent="0.25">
      <c r="A303" s="118"/>
      <c r="B303" s="118"/>
      <c r="C303" s="118"/>
      <c r="D303" s="118"/>
      <c r="E303" s="118"/>
      <c r="F303" s="67"/>
    </row>
    <row r="304" spans="1:6" x14ac:dyDescent="0.25">
      <c r="A304" s="118"/>
      <c r="B304" s="118"/>
      <c r="C304" s="118"/>
      <c r="D304" s="118"/>
      <c r="E304" s="118"/>
      <c r="F304" s="67"/>
    </row>
    <row r="305" spans="1:6" x14ac:dyDescent="0.25">
      <c r="A305" s="118"/>
      <c r="B305" s="118"/>
      <c r="C305" s="118"/>
      <c r="D305" s="118"/>
      <c r="E305" s="118"/>
      <c r="F305" s="67"/>
    </row>
    <row r="306" spans="1:6" x14ac:dyDescent="0.25">
      <c r="A306" s="118"/>
      <c r="B306" s="118"/>
      <c r="C306" s="118"/>
      <c r="D306" s="118"/>
      <c r="E306" s="118"/>
      <c r="F306" s="67"/>
    </row>
    <row r="307" spans="1:6" x14ac:dyDescent="0.25">
      <c r="A307" s="118"/>
      <c r="B307" s="118"/>
      <c r="C307" s="118"/>
      <c r="D307" s="118"/>
      <c r="E307" s="118"/>
      <c r="F307" s="67"/>
    </row>
    <row r="308" spans="1:6" x14ac:dyDescent="0.25">
      <c r="A308" s="118"/>
      <c r="B308" s="118"/>
      <c r="C308" s="118"/>
      <c r="D308" s="118"/>
      <c r="E308" s="118"/>
      <c r="F308" s="67"/>
    </row>
    <row r="309" spans="1:6" x14ac:dyDescent="0.25">
      <c r="A309" s="118"/>
      <c r="B309" s="118"/>
      <c r="C309" s="118"/>
      <c r="D309" s="118"/>
      <c r="E309" s="118"/>
      <c r="F309" s="67"/>
    </row>
    <row r="310" spans="1:6" x14ac:dyDescent="0.25">
      <c r="A310" s="118"/>
      <c r="B310" s="118"/>
      <c r="C310" s="118"/>
      <c r="D310" s="118"/>
      <c r="E310" s="118"/>
      <c r="F310" s="67"/>
    </row>
    <row r="311" spans="1:6" x14ac:dyDescent="0.25">
      <c r="A311" s="118"/>
      <c r="B311" s="118"/>
      <c r="C311" s="118"/>
      <c r="D311" s="118"/>
      <c r="E311" s="118"/>
      <c r="F311" s="67"/>
    </row>
    <row r="312" spans="1:6" x14ac:dyDescent="0.25">
      <c r="A312" s="118"/>
      <c r="B312" s="118"/>
      <c r="C312" s="118"/>
      <c r="D312" s="118"/>
      <c r="E312" s="118"/>
      <c r="F312" s="67"/>
    </row>
    <row r="313" spans="1:6" x14ac:dyDescent="0.25">
      <c r="A313" s="118"/>
      <c r="B313" s="118"/>
      <c r="C313" s="118"/>
      <c r="D313" s="118"/>
      <c r="E313" s="118"/>
      <c r="F313" s="67"/>
    </row>
    <row r="314" spans="1:6" x14ac:dyDescent="0.25">
      <c r="A314" s="118"/>
      <c r="B314" s="118"/>
      <c r="C314" s="118"/>
      <c r="D314" s="118"/>
      <c r="E314" s="118"/>
      <c r="F314" s="67"/>
    </row>
    <row r="315" spans="1:6" x14ac:dyDescent="0.25">
      <c r="A315" s="118"/>
      <c r="B315" s="118"/>
      <c r="C315" s="118"/>
      <c r="D315" s="118"/>
      <c r="E315" s="118"/>
      <c r="F315" s="67"/>
    </row>
    <row r="316" spans="1:6" x14ac:dyDescent="0.25">
      <c r="A316" s="118"/>
      <c r="B316" s="118"/>
      <c r="C316" s="118"/>
      <c r="D316" s="118"/>
      <c r="E316" s="118"/>
      <c r="F316" s="67"/>
    </row>
    <row r="317" spans="1:6" x14ac:dyDescent="0.25">
      <c r="A317" s="118"/>
      <c r="B317" s="118"/>
      <c r="C317" s="118"/>
      <c r="D317" s="118"/>
      <c r="E317" s="118"/>
      <c r="F317" s="67"/>
    </row>
    <row r="318" spans="1:6" x14ac:dyDescent="0.25">
      <c r="A318" s="118"/>
      <c r="B318" s="118"/>
      <c r="C318" s="118"/>
      <c r="D318" s="118"/>
      <c r="E318" s="118"/>
      <c r="F318" s="67"/>
    </row>
    <row r="319" spans="1:6" x14ac:dyDescent="0.25">
      <c r="A319" s="118"/>
      <c r="B319" s="118"/>
      <c r="C319" s="118"/>
      <c r="D319" s="118"/>
      <c r="E319" s="118"/>
      <c r="F319" s="67"/>
    </row>
    <row r="320" spans="1:6" x14ac:dyDescent="0.25">
      <c r="A320" s="118"/>
      <c r="B320" s="118"/>
      <c r="C320" s="118"/>
      <c r="D320" s="118"/>
      <c r="E320" s="118"/>
      <c r="F320" s="67"/>
    </row>
    <row r="321" spans="1:6" x14ac:dyDescent="0.25">
      <c r="A321" s="118"/>
      <c r="B321" s="118"/>
      <c r="C321" s="118"/>
      <c r="D321" s="118"/>
      <c r="E321" s="118"/>
      <c r="F321" s="67"/>
    </row>
    <row r="322" spans="1:6" x14ac:dyDescent="0.25">
      <c r="A322" s="118"/>
      <c r="B322" s="118"/>
      <c r="C322" s="118"/>
      <c r="D322" s="118"/>
      <c r="E322" s="118"/>
      <c r="F322" s="67"/>
    </row>
    <row r="323" spans="1:6" x14ac:dyDescent="0.25">
      <c r="A323" s="118"/>
      <c r="B323" s="118"/>
      <c r="C323" s="118"/>
      <c r="D323" s="118"/>
      <c r="E323" s="118"/>
      <c r="F323" s="67"/>
    </row>
    <row r="324" spans="1:6" x14ac:dyDescent="0.25">
      <c r="A324" s="118"/>
      <c r="B324" s="118"/>
      <c r="C324" s="118"/>
      <c r="D324" s="118"/>
      <c r="E324" s="118"/>
      <c r="F324" s="67"/>
    </row>
    <row r="325" spans="1:6" x14ac:dyDescent="0.25">
      <c r="A325" s="118"/>
      <c r="B325" s="118"/>
      <c r="C325" s="118"/>
      <c r="D325" s="118"/>
      <c r="E325" s="118"/>
      <c r="F325" s="67"/>
    </row>
    <row r="326" spans="1:6" x14ac:dyDescent="0.25">
      <c r="A326" s="118"/>
      <c r="B326" s="118"/>
      <c r="C326" s="118"/>
      <c r="D326" s="118"/>
      <c r="E326" s="118"/>
      <c r="F326" s="67"/>
    </row>
    <row r="327" spans="1:6" x14ac:dyDescent="0.25">
      <c r="A327" s="118"/>
      <c r="B327" s="118"/>
      <c r="C327" s="118"/>
      <c r="D327" s="118"/>
      <c r="E327" s="118"/>
      <c r="F327" s="67"/>
    </row>
    <row r="328" spans="1:6" x14ac:dyDescent="0.25">
      <c r="A328" s="118"/>
      <c r="B328" s="118"/>
      <c r="C328" s="118"/>
      <c r="D328" s="118"/>
      <c r="E328" s="118"/>
      <c r="F328" s="67"/>
    </row>
    <row r="329" spans="1:6" x14ac:dyDescent="0.25">
      <c r="A329" s="118"/>
      <c r="B329" s="118"/>
      <c r="C329" s="118"/>
      <c r="D329" s="118"/>
      <c r="E329" s="118"/>
      <c r="F329" s="67"/>
    </row>
    <row r="330" spans="1:6" x14ac:dyDescent="0.25">
      <c r="A330" s="118"/>
      <c r="B330" s="118"/>
      <c r="C330" s="118"/>
      <c r="D330" s="118"/>
      <c r="E330" s="118"/>
      <c r="F330" s="67"/>
    </row>
    <row r="331" spans="1:6" x14ac:dyDescent="0.25">
      <c r="A331" s="118"/>
      <c r="B331" s="118"/>
      <c r="C331" s="118"/>
      <c r="D331" s="118"/>
      <c r="E331" s="118"/>
      <c r="F331" s="67"/>
    </row>
    <row r="332" spans="1:6" x14ac:dyDescent="0.25">
      <c r="A332" s="118"/>
      <c r="B332" s="118"/>
      <c r="C332" s="118"/>
      <c r="D332" s="118"/>
      <c r="E332" s="118"/>
      <c r="F332" s="67"/>
    </row>
    <row r="333" spans="1:6" x14ac:dyDescent="0.25">
      <c r="A333" s="118"/>
      <c r="B333" s="118"/>
      <c r="C333" s="118"/>
      <c r="D333" s="118"/>
      <c r="E333" s="118"/>
      <c r="F333" s="67"/>
    </row>
    <row r="334" spans="1:6" x14ac:dyDescent="0.25">
      <c r="A334" s="118"/>
      <c r="B334" s="118"/>
      <c r="C334" s="118"/>
      <c r="D334" s="118"/>
      <c r="E334" s="118"/>
      <c r="F334" s="67"/>
    </row>
    <row r="335" spans="1:6" x14ac:dyDescent="0.25">
      <c r="A335" s="118"/>
      <c r="B335" s="118"/>
      <c r="C335" s="118"/>
      <c r="D335" s="118"/>
      <c r="E335" s="118"/>
      <c r="F335" s="67"/>
    </row>
    <row r="336" spans="1:6" x14ac:dyDescent="0.25">
      <c r="A336" s="118"/>
      <c r="B336" s="118"/>
      <c r="C336" s="118"/>
      <c r="D336" s="118"/>
      <c r="E336" s="118"/>
      <c r="F336" s="67"/>
    </row>
    <row r="337" spans="1:6" x14ac:dyDescent="0.25">
      <c r="A337" s="118"/>
      <c r="B337" s="118"/>
      <c r="C337" s="118"/>
      <c r="D337" s="118"/>
      <c r="E337" s="118"/>
      <c r="F337" s="67"/>
    </row>
    <row r="338" spans="1:6" x14ac:dyDescent="0.25">
      <c r="A338" s="118"/>
      <c r="B338" s="118"/>
      <c r="C338" s="118"/>
      <c r="D338" s="118"/>
      <c r="E338" s="118"/>
      <c r="F338" s="67"/>
    </row>
    <row r="339" spans="1:6" x14ac:dyDescent="0.25">
      <c r="A339" s="118"/>
      <c r="B339" s="118"/>
      <c r="C339" s="118"/>
      <c r="D339" s="118"/>
      <c r="E339" s="118"/>
      <c r="F339" s="67"/>
    </row>
    <row r="340" spans="1:6" x14ac:dyDescent="0.25">
      <c r="A340" s="118"/>
      <c r="B340" s="118"/>
      <c r="C340" s="118"/>
      <c r="D340" s="118"/>
      <c r="E340" s="118"/>
      <c r="F340" s="67"/>
    </row>
    <row r="341" spans="1:6" x14ac:dyDescent="0.25">
      <c r="A341" s="118"/>
      <c r="B341" s="118"/>
      <c r="C341" s="118"/>
      <c r="D341" s="118"/>
      <c r="E341" s="118"/>
      <c r="F341" s="67"/>
    </row>
    <row r="342" spans="1:6" x14ac:dyDescent="0.25">
      <c r="A342" s="118"/>
      <c r="B342" s="118"/>
      <c r="C342" s="118"/>
      <c r="D342" s="118"/>
      <c r="E342" s="118"/>
      <c r="F342" s="67"/>
    </row>
    <row r="343" spans="1:6" x14ac:dyDescent="0.25">
      <c r="A343" s="118"/>
      <c r="B343" s="118"/>
      <c r="C343" s="118"/>
      <c r="D343" s="118"/>
      <c r="E343" s="118"/>
      <c r="F343" s="67"/>
    </row>
    <row r="344" spans="1:6" x14ac:dyDescent="0.25">
      <c r="A344" s="118"/>
      <c r="B344" s="118"/>
      <c r="C344" s="118"/>
      <c r="D344" s="118"/>
      <c r="E344" s="118"/>
      <c r="F344" s="67"/>
    </row>
    <row r="345" spans="1:6" x14ac:dyDescent="0.25">
      <c r="A345" s="118"/>
      <c r="B345" s="118"/>
      <c r="C345" s="118"/>
      <c r="D345" s="118"/>
      <c r="E345" s="118"/>
      <c r="F345" s="67"/>
    </row>
    <row r="346" spans="1:6" x14ac:dyDescent="0.25">
      <c r="A346" s="118"/>
      <c r="B346" s="118"/>
      <c r="C346" s="118"/>
      <c r="D346" s="118"/>
      <c r="E346" s="118"/>
      <c r="F346" s="67"/>
    </row>
    <row r="347" spans="1:6" x14ac:dyDescent="0.25">
      <c r="A347" s="118"/>
      <c r="B347" s="118"/>
      <c r="C347" s="118"/>
      <c r="D347" s="118"/>
      <c r="E347" s="118"/>
      <c r="F347" s="67"/>
    </row>
    <row r="348" spans="1:6" x14ac:dyDescent="0.25">
      <c r="A348" s="118"/>
      <c r="B348" s="118"/>
      <c r="C348" s="118"/>
      <c r="D348" s="118"/>
      <c r="E348" s="118"/>
      <c r="F348" s="67"/>
    </row>
    <row r="349" spans="1:6" x14ac:dyDescent="0.25">
      <c r="A349" s="118"/>
      <c r="B349" s="118"/>
      <c r="C349" s="118"/>
      <c r="D349" s="118"/>
      <c r="E349" s="118"/>
      <c r="F349" s="67"/>
    </row>
    <row r="350" spans="1:6" x14ac:dyDescent="0.25">
      <c r="A350" s="118"/>
      <c r="B350" s="118"/>
      <c r="C350" s="118"/>
      <c r="D350" s="118"/>
      <c r="E350" s="118"/>
      <c r="F350" s="67"/>
    </row>
    <row r="351" spans="1:6" x14ac:dyDescent="0.25">
      <c r="A351" s="118"/>
      <c r="B351" s="118"/>
      <c r="C351" s="118"/>
      <c r="D351" s="118"/>
      <c r="E351" s="118"/>
      <c r="F351" s="67"/>
    </row>
    <row r="352" spans="1:6" x14ac:dyDescent="0.25">
      <c r="A352" s="118"/>
      <c r="B352" s="118"/>
      <c r="C352" s="118"/>
      <c r="D352" s="118"/>
      <c r="E352" s="118"/>
      <c r="F352" s="67"/>
    </row>
    <row r="353" spans="1:6" x14ac:dyDescent="0.25">
      <c r="A353" s="118"/>
      <c r="B353" s="118"/>
      <c r="C353" s="118"/>
      <c r="D353" s="118"/>
      <c r="E353" s="118"/>
      <c r="F353" s="67"/>
    </row>
    <row r="354" spans="1:6" x14ac:dyDescent="0.25">
      <c r="A354" s="118"/>
      <c r="B354" s="118"/>
      <c r="C354" s="118"/>
      <c r="D354" s="118"/>
      <c r="E354" s="118"/>
      <c r="F354" s="67"/>
    </row>
    <row r="355" spans="1:6" x14ac:dyDescent="0.25">
      <c r="A355" s="118"/>
      <c r="B355" s="118"/>
      <c r="C355" s="118"/>
      <c r="D355" s="118"/>
      <c r="E355" s="118"/>
      <c r="F355" s="67"/>
    </row>
    <row r="356" spans="1:6" x14ac:dyDescent="0.25">
      <c r="A356" s="118"/>
      <c r="B356" s="118"/>
      <c r="C356" s="118"/>
      <c r="D356" s="118"/>
      <c r="E356" s="118"/>
      <c r="F356" s="67"/>
    </row>
    <row r="357" spans="1:6" x14ac:dyDescent="0.25">
      <c r="A357" s="118"/>
      <c r="B357" s="118"/>
      <c r="C357" s="118"/>
      <c r="D357" s="118"/>
      <c r="E357" s="118"/>
      <c r="F357" s="67"/>
    </row>
    <row r="358" spans="1:6" x14ac:dyDescent="0.25">
      <c r="A358" s="118"/>
      <c r="B358" s="118"/>
      <c r="C358" s="118"/>
      <c r="D358" s="118"/>
      <c r="E358" s="118"/>
      <c r="F358" s="67"/>
    </row>
    <row r="359" spans="1:6" x14ac:dyDescent="0.25">
      <c r="A359" s="118"/>
      <c r="B359" s="118"/>
      <c r="C359" s="118"/>
      <c r="D359" s="118"/>
      <c r="E359" s="118"/>
      <c r="F359" s="67"/>
    </row>
    <row r="360" spans="1:6" x14ac:dyDescent="0.25">
      <c r="A360" s="118"/>
      <c r="B360" s="118"/>
      <c r="C360" s="118"/>
      <c r="D360" s="118"/>
      <c r="E360" s="118"/>
      <c r="F360" s="67"/>
    </row>
    <row r="361" spans="1:6" x14ac:dyDescent="0.25">
      <c r="A361" s="118"/>
      <c r="B361" s="118"/>
      <c r="C361" s="118"/>
      <c r="D361" s="118"/>
      <c r="E361" s="118"/>
      <c r="F361" s="67"/>
    </row>
    <row r="362" spans="1:6" x14ac:dyDescent="0.25">
      <c r="A362" s="118"/>
      <c r="B362" s="118"/>
      <c r="C362" s="118"/>
      <c r="D362" s="118"/>
      <c r="E362" s="118"/>
      <c r="F362" s="67"/>
    </row>
    <row r="363" spans="1:6" x14ac:dyDescent="0.25">
      <c r="A363" s="118"/>
      <c r="B363" s="118"/>
      <c r="C363" s="118"/>
      <c r="D363" s="118"/>
      <c r="E363" s="118"/>
      <c r="F363" s="67"/>
    </row>
    <row r="364" spans="1:6" x14ac:dyDescent="0.25">
      <c r="A364" s="118"/>
      <c r="B364" s="118"/>
      <c r="C364" s="118"/>
      <c r="D364" s="118"/>
      <c r="E364" s="118"/>
      <c r="F364" s="67"/>
    </row>
    <row r="365" spans="1:6" x14ac:dyDescent="0.25">
      <c r="A365" s="118"/>
      <c r="B365" s="118"/>
      <c r="C365" s="118"/>
      <c r="D365" s="118"/>
      <c r="E365" s="118"/>
      <c r="F365" s="67"/>
    </row>
    <row r="366" spans="1:6" x14ac:dyDescent="0.25">
      <c r="A366" s="118"/>
      <c r="B366" s="118"/>
      <c r="C366" s="118"/>
      <c r="D366" s="118"/>
      <c r="E366" s="118"/>
      <c r="F366" s="67"/>
    </row>
    <row r="367" spans="1:6" x14ac:dyDescent="0.25">
      <c r="A367" s="118"/>
      <c r="B367" s="118"/>
      <c r="C367" s="118"/>
      <c r="D367" s="118"/>
      <c r="E367" s="118"/>
      <c r="F367" s="67"/>
    </row>
    <row r="368" spans="1:6" x14ac:dyDescent="0.25">
      <c r="A368" s="118"/>
      <c r="B368" s="118"/>
      <c r="C368" s="118"/>
      <c r="D368" s="118"/>
      <c r="E368" s="118"/>
      <c r="F368" s="67"/>
    </row>
    <row r="369" spans="1:6" x14ac:dyDescent="0.25">
      <c r="A369" s="118"/>
      <c r="B369" s="118"/>
      <c r="C369" s="118"/>
      <c r="D369" s="118"/>
      <c r="E369" s="118"/>
      <c r="F369" s="67"/>
    </row>
    <row r="370" spans="1:6" x14ac:dyDescent="0.25">
      <c r="A370" s="118"/>
      <c r="B370" s="118"/>
      <c r="C370" s="118"/>
      <c r="D370" s="118"/>
      <c r="E370" s="118"/>
      <c r="F370" s="67"/>
    </row>
    <row r="371" spans="1:6" x14ac:dyDescent="0.25">
      <c r="A371" s="118"/>
      <c r="B371" s="118"/>
      <c r="C371" s="118"/>
      <c r="D371" s="118"/>
      <c r="E371" s="118"/>
      <c r="F371" s="67"/>
    </row>
    <row r="372" spans="1:6" x14ac:dyDescent="0.25">
      <c r="A372" s="118"/>
      <c r="B372" s="118"/>
      <c r="C372" s="118"/>
      <c r="D372" s="118"/>
      <c r="E372" s="118"/>
      <c r="F372" s="67"/>
    </row>
    <row r="373" spans="1:6" x14ac:dyDescent="0.25">
      <c r="A373" s="118"/>
      <c r="B373" s="118"/>
      <c r="C373" s="118"/>
      <c r="D373" s="118"/>
      <c r="E373" s="118"/>
      <c r="F373" s="67"/>
    </row>
    <row r="374" spans="1:6" x14ac:dyDescent="0.25">
      <c r="A374" s="118"/>
      <c r="B374" s="118"/>
      <c r="C374" s="118"/>
      <c r="D374" s="118"/>
      <c r="E374" s="118"/>
      <c r="F374" s="67"/>
    </row>
    <row r="375" spans="1:6" x14ac:dyDescent="0.25">
      <c r="A375" s="118"/>
      <c r="B375" s="118"/>
      <c r="C375" s="118"/>
      <c r="D375" s="118"/>
      <c r="E375" s="118"/>
      <c r="F375" s="67"/>
    </row>
    <row r="376" spans="1:6" x14ac:dyDescent="0.25">
      <c r="A376" s="118"/>
      <c r="B376" s="118"/>
      <c r="C376" s="118"/>
      <c r="D376" s="118"/>
      <c r="E376" s="118"/>
      <c r="F376" s="67"/>
    </row>
    <row r="377" spans="1:6" x14ac:dyDescent="0.25">
      <c r="A377" s="118"/>
      <c r="B377" s="118"/>
      <c r="C377" s="118"/>
      <c r="D377" s="118"/>
      <c r="E377" s="118"/>
      <c r="F377" s="67"/>
    </row>
    <row r="378" spans="1:6" x14ac:dyDescent="0.25">
      <c r="A378" s="118"/>
      <c r="B378" s="118"/>
      <c r="C378" s="118"/>
      <c r="D378" s="118"/>
      <c r="E378" s="118"/>
      <c r="F378" s="67"/>
    </row>
    <row r="379" spans="1:6" x14ac:dyDescent="0.25">
      <c r="A379" s="118"/>
      <c r="B379" s="118"/>
      <c r="C379" s="118"/>
      <c r="D379" s="118"/>
      <c r="E379" s="118"/>
      <c r="F379" s="67"/>
    </row>
    <row r="380" spans="1:6" x14ac:dyDescent="0.25">
      <c r="A380" s="118"/>
      <c r="B380" s="118"/>
      <c r="C380" s="118"/>
      <c r="D380" s="118"/>
      <c r="E380" s="118"/>
      <c r="F380" s="67"/>
    </row>
    <row r="381" spans="1:6" x14ac:dyDescent="0.25">
      <c r="A381" s="118"/>
      <c r="B381" s="118"/>
      <c r="C381" s="118"/>
      <c r="D381" s="118"/>
      <c r="E381" s="118"/>
      <c r="F381" s="67"/>
    </row>
    <row r="382" spans="1:6" x14ac:dyDescent="0.25">
      <c r="A382" s="118"/>
      <c r="B382" s="118"/>
      <c r="C382" s="118"/>
      <c r="D382" s="118"/>
      <c r="E382" s="118"/>
      <c r="F382" s="67"/>
    </row>
    <row r="383" spans="1:6" x14ac:dyDescent="0.25">
      <c r="A383" s="118"/>
      <c r="B383" s="118"/>
      <c r="C383" s="118"/>
      <c r="D383" s="118"/>
      <c r="E383" s="118"/>
      <c r="F383" s="67"/>
    </row>
    <row r="384" spans="1:6" x14ac:dyDescent="0.25">
      <c r="A384" s="118"/>
      <c r="B384" s="118"/>
      <c r="C384" s="118"/>
      <c r="D384" s="118"/>
      <c r="E384" s="118"/>
      <c r="F384" s="67"/>
    </row>
    <row r="385" spans="1:6" x14ac:dyDescent="0.25">
      <c r="A385" s="118"/>
      <c r="B385" s="118"/>
      <c r="C385" s="118"/>
      <c r="D385" s="118"/>
      <c r="E385" s="118"/>
      <c r="F385" s="67"/>
    </row>
    <row r="386" spans="1:6" x14ac:dyDescent="0.25">
      <c r="A386" s="118"/>
      <c r="B386" s="118"/>
      <c r="C386" s="118"/>
      <c r="D386" s="118"/>
      <c r="E386" s="118"/>
      <c r="F386" s="67"/>
    </row>
    <row r="387" spans="1:6" x14ac:dyDescent="0.25">
      <c r="A387" s="118"/>
      <c r="B387" s="118"/>
      <c r="C387" s="118"/>
      <c r="D387" s="118"/>
      <c r="E387" s="118"/>
      <c r="F387" s="67"/>
    </row>
    <row r="388" spans="1:6" x14ac:dyDescent="0.25">
      <c r="A388" s="118"/>
      <c r="B388" s="118"/>
      <c r="C388" s="118"/>
      <c r="D388" s="118"/>
      <c r="E388" s="118"/>
      <c r="F388" s="118"/>
    </row>
    <row r="389" spans="1:6" x14ac:dyDescent="0.25">
      <c r="A389" s="118"/>
      <c r="B389" s="118"/>
      <c r="C389" s="118"/>
      <c r="D389" s="118"/>
      <c r="E389" s="118"/>
      <c r="F389" s="118"/>
    </row>
    <row r="390" spans="1:6" x14ac:dyDescent="0.25">
      <c r="A390" s="118"/>
      <c r="B390" s="118"/>
      <c r="C390" s="118"/>
      <c r="D390" s="118"/>
      <c r="E390" s="118"/>
      <c r="F390" s="118"/>
    </row>
    <row r="391" spans="1:6" x14ac:dyDescent="0.25">
      <c r="A391" s="118"/>
      <c r="B391" s="118"/>
      <c r="C391" s="118"/>
      <c r="D391" s="118"/>
      <c r="E391" s="118"/>
      <c r="F391" s="118"/>
    </row>
  </sheetData>
  <sortState xmlns:xlrd2="http://schemas.microsoft.com/office/spreadsheetml/2017/richdata2" ref="A100:T109">
    <sortCondition ref="G100:G109"/>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BDD46-2C3D-44E8-872A-396E2EFEEE5C}">
  <dimension ref="A1:AB114"/>
  <sheetViews>
    <sheetView topLeftCell="A95" zoomScale="70" zoomScaleNormal="70" workbookViewId="0">
      <selection activeCell="AA15" sqref="AA15:AB109"/>
    </sheetView>
  </sheetViews>
  <sheetFormatPr defaultRowHeight="15" x14ac:dyDescent="0.25"/>
  <cols>
    <col min="3" max="3" width="14.85546875" bestFit="1" customWidth="1"/>
    <col min="6" max="6" width="37.42578125" bestFit="1" customWidth="1"/>
    <col min="11" max="11" width="18.42578125" bestFit="1" customWidth="1"/>
    <col min="12" max="12" width="14.85546875" bestFit="1" customWidth="1"/>
    <col min="17" max="17" width="12.7109375" bestFit="1" customWidth="1"/>
    <col min="22" max="22" width="64.42578125" customWidth="1"/>
  </cols>
  <sheetData>
    <row r="1" spans="1:28" ht="23.25" customHeight="1" x14ac:dyDescent="0.25">
      <c r="A1" s="118" t="s">
        <v>1022</v>
      </c>
      <c r="B1" s="118" t="s">
        <v>1023</v>
      </c>
      <c r="C1" s="118" t="s">
        <v>1024</v>
      </c>
      <c r="D1" s="118" t="s">
        <v>1025</v>
      </c>
      <c r="E1" s="118" t="s">
        <v>1026</v>
      </c>
      <c r="F1" s="118" t="s">
        <v>1027</v>
      </c>
      <c r="G1" s="118" t="s">
        <v>26</v>
      </c>
      <c r="H1" s="118" t="s">
        <v>1028</v>
      </c>
      <c r="I1" s="118" t="s">
        <v>1029</v>
      </c>
      <c r="J1" s="118" t="s">
        <v>1030</v>
      </c>
      <c r="K1" s="118" t="s">
        <v>1031</v>
      </c>
      <c r="L1" s="118" t="s">
        <v>16</v>
      </c>
      <c r="M1" s="118" t="s">
        <v>1032</v>
      </c>
      <c r="N1" s="118" t="s">
        <v>1033</v>
      </c>
      <c r="O1" s="118" t="s">
        <v>1034</v>
      </c>
      <c r="P1" s="118" t="s">
        <v>1035</v>
      </c>
      <c r="Q1" s="118" t="s">
        <v>1028</v>
      </c>
      <c r="R1" s="118" t="s">
        <v>1036</v>
      </c>
      <c r="S1" s="118" t="s">
        <v>1037</v>
      </c>
      <c r="T1" s="118" t="s">
        <v>1030</v>
      </c>
      <c r="U1" s="118" t="s">
        <v>1031</v>
      </c>
      <c r="V1" s="118" t="s">
        <v>1038</v>
      </c>
      <c r="W1" s="118" t="s">
        <v>1039</v>
      </c>
      <c r="X1" s="118" t="s">
        <v>1040</v>
      </c>
      <c r="Y1" s="118" t="s">
        <v>1041</v>
      </c>
      <c r="Z1" s="118" t="s">
        <v>1042</v>
      </c>
      <c r="AA1" s="118" t="s">
        <v>1043</v>
      </c>
      <c r="AB1" s="118" t="s">
        <v>1044</v>
      </c>
    </row>
    <row r="2" spans="1:28" ht="23.25" customHeight="1" x14ac:dyDescent="0.25">
      <c r="A2" s="118"/>
      <c r="B2" s="118"/>
      <c r="C2" s="118"/>
      <c r="D2" s="118"/>
      <c r="E2" s="118"/>
      <c r="F2" s="118"/>
      <c r="G2" s="25">
        <v>10496</v>
      </c>
      <c r="H2" s="118"/>
      <c r="I2" s="118"/>
      <c r="J2" s="118"/>
      <c r="K2" s="147" t="s">
        <v>685</v>
      </c>
      <c r="L2" s="118"/>
      <c r="M2" s="118"/>
      <c r="N2" s="46">
        <v>1</v>
      </c>
      <c r="O2" s="118" t="s">
        <v>8</v>
      </c>
      <c r="P2" s="118"/>
      <c r="Q2" s="118" t="s">
        <v>11</v>
      </c>
      <c r="R2" s="146" t="s">
        <v>1642</v>
      </c>
      <c r="S2" s="118"/>
      <c r="T2" s="118"/>
      <c r="U2" s="118"/>
      <c r="V2" s="118"/>
      <c r="W2" s="118"/>
      <c r="X2" s="118"/>
      <c r="Y2" s="118"/>
      <c r="Z2" s="118"/>
      <c r="AA2" s="118"/>
      <c r="AB2" s="118"/>
    </row>
    <row r="3" spans="1:28" ht="23.25" customHeight="1" x14ac:dyDescent="0.25">
      <c r="A3" s="118"/>
      <c r="B3" s="118"/>
      <c r="C3" s="118"/>
      <c r="D3" s="118"/>
      <c r="E3" s="118"/>
      <c r="F3" s="118"/>
      <c r="G3" s="25">
        <v>10497</v>
      </c>
      <c r="H3" s="118"/>
      <c r="I3" s="118"/>
      <c r="J3" s="118"/>
      <c r="K3" s="119" t="s">
        <v>686</v>
      </c>
      <c r="L3" s="118"/>
      <c r="M3" s="118"/>
      <c r="N3" s="46">
        <v>2</v>
      </c>
      <c r="O3" s="118" t="s">
        <v>8</v>
      </c>
      <c r="P3" s="118"/>
      <c r="Q3" s="118" t="s">
        <v>11</v>
      </c>
      <c r="R3" s="146" t="s">
        <v>1642</v>
      </c>
      <c r="S3" s="118"/>
      <c r="T3" s="118"/>
      <c r="U3" s="118"/>
      <c r="V3" s="118"/>
      <c r="W3" s="118"/>
      <c r="X3" s="118"/>
      <c r="Y3" s="118"/>
      <c r="Z3" s="118"/>
      <c r="AA3" s="118"/>
      <c r="AB3" s="118"/>
    </row>
    <row r="4" spans="1:28" ht="23.25" customHeight="1" x14ac:dyDescent="0.25">
      <c r="A4" s="118"/>
      <c r="B4" s="118"/>
      <c r="C4" s="118"/>
      <c r="D4" s="118"/>
      <c r="E4" s="118"/>
      <c r="F4" s="118"/>
      <c r="G4" s="25">
        <v>10498</v>
      </c>
      <c r="H4" s="118"/>
      <c r="I4" s="118"/>
      <c r="J4" s="118"/>
      <c r="K4" s="119" t="s">
        <v>687</v>
      </c>
      <c r="L4" s="118"/>
      <c r="M4" s="118"/>
      <c r="N4" s="46">
        <v>3</v>
      </c>
      <c r="O4" s="118" t="s">
        <v>8</v>
      </c>
      <c r="P4" s="118"/>
      <c r="Q4" s="118" t="s">
        <v>11</v>
      </c>
      <c r="R4" s="146" t="s">
        <v>1642</v>
      </c>
      <c r="S4" s="118"/>
      <c r="T4" s="118"/>
      <c r="U4" s="118"/>
      <c r="V4" s="118"/>
      <c r="W4" s="118"/>
      <c r="X4" s="118"/>
      <c r="Y4" s="118"/>
      <c r="Z4" s="118"/>
      <c r="AA4" s="118"/>
      <c r="AB4" s="118"/>
    </row>
    <row r="5" spans="1:28" ht="23.25" customHeight="1" x14ac:dyDescent="0.25">
      <c r="A5" s="118"/>
      <c r="B5" s="118"/>
      <c r="C5" s="118"/>
      <c r="D5" s="118"/>
      <c r="E5" s="118"/>
      <c r="F5" s="118"/>
      <c r="G5" s="25">
        <v>10499</v>
      </c>
      <c r="H5" s="118"/>
      <c r="I5" s="118"/>
      <c r="J5" s="118"/>
      <c r="K5" s="119" t="s">
        <v>688</v>
      </c>
      <c r="L5" s="118"/>
      <c r="M5" s="118"/>
      <c r="N5" s="46">
        <v>4</v>
      </c>
      <c r="O5" s="118" t="s">
        <v>8</v>
      </c>
      <c r="P5" s="118"/>
      <c r="Q5" s="118" t="s">
        <v>11</v>
      </c>
      <c r="R5" s="146" t="s">
        <v>1642</v>
      </c>
      <c r="S5" s="118"/>
      <c r="T5" s="118"/>
      <c r="U5" s="118"/>
      <c r="V5" s="118"/>
      <c r="W5" s="118"/>
      <c r="X5" s="118"/>
      <c r="Y5" s="118"/>
      <c r="Z5" s="118"/>
      <c r="AA5" s="118"/>
      <c r="AB5" s="118"/>
    </row>
    <row r="6" spans="1:28" ht="23.25" customHeight="1" x14ac:dyDescent="0.25">
      <c r="A6" s="118"/>
      <c r="B6" s="118"/>
      <c r="C6" s="118"/>
      <c r="D6" s="118"/>
      <c r="E6" s="118"/>
      <c r="F6" s="118"/>
      <c r="G6" s="25">
        <v>10500</v>
      </c>
      <c r="H6" s="118"/>
      <c r="I6" s="118"/>
      <c r="J6" s="118"/>
      <c r="K6" s="119" t="s">
        <v>689</v>
      </c>
      <c r="L6" s="118"/>
      <c r="M6" s="118"/>
      <c r="N6" s="46">
        <v>5</v>
      </c>
      <c r="O6" s="118" t="s">
        <v>8</v>
      </c>
      <c r="P6" s="118"/>
      <c r="Q6" s="118" t="s">
        <v>11</v>
      </c>
      <c r="R6" s="146" t="s">
        <v>1642</v>
      </c>
      <c r="S6" s="118"/>
      <c r="T6" s="118"/>
      <c r="U6" s="118"/>
      <c r="V6" s="118"/>
      <c r="W6" s="118"/>
      <c r="X6" s="118"/>
      <c r="Y6" s="118"/>
      <c r="Z6" s="118"/>
      <c r="AA6" s="118"/>
      <c r="AB6" s="118"/>
    </row>
    <row r="7" spans="1:28" ht="23.25" customHeight="1" x14ac:dyDescent="0.25">
      <c r="A7" s="118"/>
      <c r="B7" s="118"/>
      <c r="C7" s="118"/>
      <c r="D7" s="118"/>
      <c r="E7" s="118"/>
      <c r="F7" s="118"/>
      <c r="G7" s="25">
        <v>10501</v>
      </c>
      <c r="H7" s="118"/>
      <c r="I7" s="118"/>
      <c r="J7" s="118"/>
      <c r="K7" s="119" t="s">
        <v>690</v>
      </c>
      <c r="L7" s="118"/>
      <c r="M7" s="118"/>
      <c r="N7" s="46">
        <v>6</v>
      </c>
      <c r="O7" s="118" t="s">
        <v>8</v>
      </c>
      <c r="P7" s="118"/>
      <c r="Q7" s="118" t="s">
        <v>11</v>
      </c>
      <c r="R7" s="146" t="s">
        <v>1642</v>
      </c>
      <c r="S7" s="118"/>
      <c r="T7" s="118"/>
      <c r="U7" s="118"/>
      <c r="V7" s="118"/>
      <c r="W7" s="118"/>
      <c r="X7" s="118"/>
      <c r="Y7" s="118"/>
      <c r="Z7" s="118"/>
      <c r="AA7" s="118"/>
      <c r="AB7" s="118"/>
    </row>
    <row r="8" spans="1:28" ht="23.25" customHeight="1" x14ac:dyDescent="0.25">
      <c r="A8" s="118"/>
      <c r="B8" s="118"/>
      <c r="C8" s="118"/>
      <c r="D8" s="118"/>
      <c r="E8" s="118"/>
      <c r="F8" s="118"/>
      <c r="G8" s="25">
        <v>10502</v>
      </c>
      <c r="H8" s="118"/>
      <c r="I8" s="118"/>
      <c r="J8" s="118"/>
      <c r="K8" s="119" t="s">
        <v>691</v>
      </c>
      <c r="L8" s="118"/>
      <c r="M8" s="118"/>
      <c r="N8" s="46">
        <v>7</v>
      </c>
      <c r="O8" s="118" t="s">
        <v>8</v>
      </c>
      <c r="P8" s="118"/>
      <c r="Q8" s="118" t="s">
        <v>11</v>
      </c>
      <c r="R8" s="146" t="s">
        <v>1642</v>
      </c>
      <c r="S8" s="118"/>
      <c r="T8" s="118"/>
      <c r="U8" s="118"/>
      <c r="V8" s="118"/>
      <c r="W8" s="118"/>
      <c r="X8" s="118"/>
      <c r="Y8" s="118"/>
      <c r="Z8" s="118"/>
      <c r="AA8" s="118"/>
      <c r="AB8" s="118"/>
    </row>
    <row r="9" spans="1:28" ht="23.25" customHeight="1" x14ac:dyDescent="0.25">
      <c r="A9" s="118"/>
      <c r="B9" s="118"/>
      <c r="C9" s="118"/>
      <c r="D9" s="118"/>
      <c r="E9" s="118"/>
      <c r="F9" s="118"/>
      <c r="G9" s="25">
        <v>10503</v>
      </c>
      <c r="H9" s="118"/>
      <c r="I9" s="118"/>
      <c r="J9" s="118"/>
      <c r="K9" s="119" t="s">
        <v>692</v>
      </c>
      <c r="L9" s="118"/>
      <c r="M9" s="118"/>
      <c r="N9" s="46">
        <v>8</v>
      </c>
      <c r="O9" s="118" t="s">
        <v>8</v>
      </c>
      <c r="P9" s="118"/>
      <c r="Q9" s="118" t="s">
        <v>11</v>
      </c>
      <c r="R9" s="146" t="s">
        <v>1642</v>
      </c>
      <c r="S9" s="118"/>
      <c r="T9" s="118"/>
      <c r="U9" s="118"/>
      <c r="V9" s="118"/>
      <c r="W9" s="118"/>
      <c r="X9" s="118"/>
      <c r="Y9" s="118"/>
      <c r="Z9" s="118"/>
      <c r="AA9" s="118"/>
      <c r="AB9" s="118"/>
    </row>
    <row r="10" spans="1:28" ht="23.25" customHeight="1" x14ac:dyDescent="0.25">
      <c r="A10" s="118"/>
      <c r="B10" s="118"/>
      <c r="C10" s="118"/>
      <c r="D10" s="118"/>
      <c r="E10" s="118"/>
      <c r="F10" s="118"/>
      <c r="G10" s="25">
        <v>10504</v>
      </c>
      <c r="H10" s="118"/>
      <c r="I10" s="118"/>
      <c r="J10" s="118"/>
      <c r="K10" s="119" t="s">
        <v>693</v>
      </c>
      <c r="L10" s="118"/>
      <c r="M10" s="118"/>
      <c r="N10" s="46">
        <v>9</v>
      </c>
      <c r="O10" s="118" t="s">
        <v>8</v>
      </c>
      <c r="P10" s="118"/>
      <c r="Q10" s="118" t="s">
        <v>11</v>
      </c>
      <c r="R10" s="146" t="s">
        <v>1642</v>
      </c>
      <c r="S10" s="118"/>
      <c r="T10" s="118"/>
      <c r="U10" s="118"/>
      <c r="V10" s="118"/>
      <c r="W10" s="118"/>
      <c r="X10" s="118"/>
      <c r="Y10" s="118"/>
      <c r="Z10" s="118"/>
      <c r="AA10" s="118"/>
      <c r="AB10" s="118"/>
    </row>
    <row r="11" spans="1:28" ht="23.25" customHeight="1" x14ac:dyDescent="0.25">
      <c r="A11" s="118"/>
      <c r="B11" s="118"/>
      <c r="C11" s="118"/>
      <c r="D11" s="118"/>
      <c r="E11" s="118"/>
      <c r="F11" s="118"/>
      <c r="G11" s="25">
        <v>10505</v>
      </c>
      <c r="H11" s="118"/>
      <c r="I11" s="118"/>
      <c r="J11" s="118"/>
      <c r="K11" s="119" t="s">
        <v>694</v>
      </c>
      <c r="L11" s="118"/>
      <c r="M11" s="118"/>
      <c r="N11" s="46">
        <v>10</v>
      </c>
      <c r="O11" s="118" t="s">
        <v>8</v>
      </c>
      <c r="P11" s="118"/>
      <c r="Q11" s="118" t="s">
        <v>11</v>
      </c>
      <c r="R11" s="146" t="s">
        <v>1642</v>
      </c>
      <c r="S11" s="118"/>
      <c r="T11" s="118"/>
      <c r="U11" s="118"/>
      <c r="V11" s="118"/>
      <c r="W11" s="118"/>
      <c r="X11" s="118"/>
      <c r="Y11" s="118"/>
      <c r="Z11" s="118"/>
      <c r="AA11" s="118"/>
      <c r="AB11" s="118"/>
    </row>
    <row r="12" spans="1:28" ht="23.25" customHeight="1" x14ac:dyDescent="0.25">
      <c r="A12" s="118"/>
      <c r="B12" s="118"/>
      <c r="C12" s="118"/>
      <c r="D12" s="118"/>
      <c r="E12" s="118"/>
      <c r="F12" s="118"/>
      <c r="G12" s="25">
        <v>10506</v>
      </c>
      <c r="H12" s="118"/>
      <c r="I12" s="118"/>
      <c r="J12" s="118"/>
      <c r="K12" s="119" t="s">
        <v>695</v>
      </c>
      <c r="L12" s="118"/>
      <c r="M12" s="118"/>
      <c r="N12" s="46">
        <v>11</v>
      </c>
      <c r="O12" s="118" t="s">
        <v>8</v>
      </c>
      <c r="P12" s="118"/>
      <c r="Q12" s="118" t="s">
        <v>11</v>
      </c>
      <c r="R12" s="146" t="s">
        <v>1642</v>
      </c>
      <c r="S12" s="118"/>
      <c r="T12" s="118"/>
      <c r="U12" s="118"/>
      <c r="V12" s="118"/>
      <c r="W12" s="118"/>
      <c r="X12" s="118"/>
      <c r="Y12" s="118"/>
      <c r="Z12" s="118"/>
      <c r="AA12" s="118"/>
      <c r="AB12" s="118"/>
    </row>
    <row r="13" spans="1:28" ht="23.25" customHeight="1" x14ac:dyDescent="0.25">
      <c r="A13" s="118"/>
      <c r="B13" s="118"/>
      <c r="C13" s="118"/>
      <c r="D13" s="118"/>
      <c r="E13" s="118"/>
      <c r="F13" s="118"/>
      <c r="G13" s="25">
        <v>10507</v>
      </c>
      <c r="H13" s="118"/>
      <c r="I13" s="118"/>
      <c r="J13" s="118"/>
      <c r="K13" s="119" t="s">
        <v>696</v>
      </c>
      <c r="L13" s="118"/>
      <c r="M13" s="118"/>
      <c r="N13" s="46">
        <v>12</v>
      </c>
      <c r="O13" s="118" t="s">
        <v>8</v>
      </c>
      <c r="P13" s="118"/>
      <c r="Q13" s="118" t="s">
        <v>11</v>
      </c>
      <c r="R13" s="146" t="s">
        <v>1642</v>
      </c>
      <c r="S13" s="118"/>
      <c r="T13" s="118"/>
      <c r="U13" s="118"/>
      <c r="V13" s="118"/>
      <c r="W13" s="118"/>
      <c r="X13" s="118"/>
      <c r="Y13" s="118"/>
      <c r="Z13" s="118"/>
      <c r="AA13" s="118"/>
      <c r="AB13" s="118"/>
    </row>
    <row r="14" spans="1:28" ht="23.25" customHeight="1" x14ac:dyDescent="0.25">
      <c r="A14" s="118"/>
      <c r="B14" s="118"/>
      <c r="C14" s="118"/>
      <c r="D14" s="118"/>
      <c r="E14" s="118"/>
      <c r="F14" s="118"/>
      <c r="G14" s="25">
        <v>10508</v>
      </c>
      <c r="H14" s="118"/>
      <c r="I14" s="118"/>
      <c r="J14" s="118"/>
      <c r="K14" s="119" t="s">
        <v>697</v>
      </c>
      <c r="L14" s="118"/>
      <c r="M14" s="118"/>
      <c r="N14" s="46">
        <v>13</v>
      </c>
      <c r="O14" s="118" t="s">
        <v>8</v>
      </c>
      <c r="P14" s="118"/>
      <c r="Q14" s="118" t="s">
        <v>11</v>
      </c>
      <c r="R14" s="146" t="s">
        <v>1642</v>
      </c>
      <c r="S14" s="118"/>
      <c r="T14" s="118"/>
      <c r="U14" s="118"/>
      <c r="V14" s="118"/>
      <c r="W14" s="118"/>
      <c r="X14" s="118"/>
      <c r="Y14" s="118"/>
      <c r="Z14" s="118"/>
      <c r="AA14" s="118"/>
      <c r="AB14" s="118"/>
    </row>
    <row r="15" spans="1:28" ht="23.25" customHeight="1" x14ac:dyDescent="0.25">
      <c r="A15" s="118">
        <v>240</v>
      </c>
      <c r="B15" s="118" t="s">
        <v>1053</v>
      </c>
      <c r="C15" s="67">
        <v>45846.596145833333</v>
      </c>
      <c r="D15" s="118" t="s">
        <v>1046</v>
      </c>
      <c r="E15" s="67">
        <v>45846.596145833333</v>
      </c>
      <c r="F15" s="118" t="s">
        <v>1046</v>
      </c>
      <c r="G15" s="25">
        <v>10509</v>
      </c>
      <c r="H15" s="118"/>
      <c r="I15" s="118"/>
      <c r="J15" s="118"/>
      <c r="K15" s="120" t="s">
        <v>698</v>
      </c>
      <c r="L15" s="67">
        <v>45846.666666666664</v>
      </c>
      <c r="M15" s="145">
        <v>0.41458333333333336</v>
      </c>
      <c r="N15" s="118">
        <v>1</v>
      </c>
      <c r="O15" s="118" t="s">
        <v>8</v>
      </c>
      <c r="P15" s="118"/>
      <c r="Q15" s="118" t="s">
        <v>682</v>
      </c>
      <c r="R15" s="146" t="s">
        <v>1054</v>
      </c>
      <c r="S15" s="146">
        <v>0.9</v>
      </c>
      <c r="T15" s="118" t="s">
        <v>698</v>
      </c>
      <c r="U15" s="118" t="s">
        <v>698</v>
      </c>
      <c r="V15" s="146" t="s">
        <v>1055</v>
      </c>
      <c r="W15" s="146" t="s">
        <v>1056</v>
      </c>
      <c r="X15" s="146" t="s">
        <v>1057</v>
      </c>
      <c r="Y15" s="146" t="s">
        <v>1587</v>
      </c>
      <c r="Z15" s="118" t="s">
        <v>1058</v>
      </c>
      <c r="AA15" s="118">
        <v>-87.073747451137294</v>
      </c>
      <c r="AB15" s="118">
        <v>39.748964044951101</v>
      </c>
    </row>
    <row r="16" spans="1:28" ht="23.25" customHeight="1" x14ac:dyDescent="0.25">
      <c r="A16" s="118">
        <v>241</v>
      </c>
      <c r="B16" s="118" t="s">
        <v>1059</v>
      </c>
      <c r="C16" s="67">
        <v>45846.613506944443</v>
      </c>
      <c r="D16" s="118" t="s">
        <v>1046</v>
      </c>
      <c r="E16" s="67">
        <v>45846.613506944443</v>
      </c>
      <c r="F16" s="118" t="s">
        <v>1046</v>
      </c>
      <c r="G16" s="25">
        <v>10510</v>
      </c>
      <c r="H16" s="118"/>
      <c r="I16" s="118"/>
      <c r="J16" s="118"/>
      <c r="K16" s="120" t="s">
        <v>699</v>
      </c>
      <c r="L16" s="67">
        <v>45846.666666666664</v>
      </c>
      <c r="M16" s="145">
        <v>0.43958333333333333</v>
      </c>
      <c r="N16" s="118">
        <v>2</v>
      </c>
      <c r="O16" s="118" t="s">
        <v>8</v>
      </c>
      <c r="P16" s="118"/>
      <c r="Q16" s="118" t="s">
        <v>682</v>
      </c>
      <c r="R16" s="118" t="s">
        <v>1060</v>
      </c>
      <c r="S16" s="118">
        <v>0.75</v>
      </c>
      <c r="T16" s="118" t="s">
        <v>699</v>
      </c>
      <c r="U16" s="118" t="s">
        <v>699</v>
      </c>
      <c r="V16" s="146" t="s">
        <v>1061</v>
      </c>
      <c r="W16" s="146" t="s">
        <v>1062</v>
      </c>
      <c r="X16" s="146" t="s">
        <v>1063</v>
      </c>
      <c r="Y16" s="146" t="s">
        <v>1588</v>
      </c>
      <c r="Z16" s="118" t="s">
        <v>1064</v>
      </c>
      <c r="AA16" s="118">
        <v>-87.056769790645305</v>
      </c>
      <c r="AB16" s="118">
        <v>39.755295243048103</v>
      </c>
    </row>
    <row r="17" spans="1:28" ht="23.25" customHeight="1" x14ac:dyDescent="0.25">
      <c r="A17" s="118">
        <v>242</v>
      </c>
      <c r="B17" s="118" t="s">
        <v>1065</v>
      </c>
      <c r="C17" s="67">
        <v>45846.639560185184</v>
      </c>
      <c r="D17" s="118" t="s">
        <v>1046</v>
      </c>
      <c r="E17" s="67">
        <v>45846.639560185184</v>
      </c>
      <c r="F17" s="118" t="s">
        <v>1046</v>
      </c>
      <c r="G17" s="25">
        <v>10511</v>
      </c>
      <c r="H17" s="118"/>
      <c r="I17" s="118"/>
      <c r="J17" s="118"/>
      <c r="K17" s="120" t="s">
        <v>700</v>
      </c>
      <c r="L17" s="67">
        <v>45846.666666666664</v>
      </c>
      <c r="M17" s="145">
        <v>0.46319444444444446</v>
      </c>
      <c r="N17" s="118">
        <v>3</v>
      </c>
      <c r="O17" s="118" t="s">
        <v>8</v>
      </c>
      <c r="P17" s="118"/>
      <c r="Q17" s="118" t="s">
        <v>682</v>
      </c>
      <c r="R17" s="146" t="s">
        <v>1066</v>
      </c>
      <c r="S17" s="146">
        <v>0.75</v>
      </c>
      <c r="T17" s="118" t="s">
        <v>700</v>
      </c>
      <c r="U17" s="118" t="s">
        <v>700</v>
      </c>
      <c r="V17" s="146" t="s">
        <v>1067</v>
      </c>
      <c r="W17" s="146" t="s">
        <v>1068</v>
      </c>
      <c r="X17" s="146" t="s">
        <v>1069</v>
      </c>
      <c r="Y17" s="146" t="s">
        <v>1589</v>
      </c>
      <c r="Z17" s="118" t="s">
        <v>1070</v>
      </c>
      <c r="AA17" s="118">
        <v>-87.070605276533499</v>
      </c>
      <c r="AB17" s="118">
        <v>39.720774291742501</v>
      </c>
    </row>
    <row r="18" spans="1:28" ht="23.25" customHeight="1" x14ac:dyDescent="0.25">
      <c r="A18" s="118">
        <v>243</v>
      </c>
      <c r="B18" s="118" t="s">
        <v>1071</v>
      </c>
      <c r="C18" s="67">
        <v>45846.666435185187</v>
      </c>
      <c r="D18" s="118" t="s">
        <v>1046</v>
      </c>
      <c r="E18" s="67">
        <v>45846.666435185187</v>
      </c>
      <c r="F18" s="118" t="s">
        <v>1046</v>
      </c>
      <c r="G18" s="25">
        <v>10512</v>
      </c>
      <c r="H18" s="118"/>
      <c r="I18" s="118"/>
      <c r="J18" s="118"/>
      <c r="K18" s="120" t="s">
        <v>701</v>
      </c>
      <c r="L18" s="67">
        <v>45846.666666666664</v>
      </c>
      <c r="M18" s="145">
        <v>0.49027777777777776</v>
      </c>
      <c r="N18" s="118">
        <v>4</v>
      </c>
      <c r="O18" s="118" t="s">
        <v>8</v>
      </c>
      <c r="P18" s="118"/>
      <c r="Q18" s="118" t="s">
        <v>682</v>
      </c>
      <c r="R18" s="146" t="s">
        <v>1072</v>
      </c>
      <c r="S18" s="146">
        <v>0.75</v>
      </c>
      <c r="T18" s="118" t="s">
        <v>701</v>
      </c>
      <c r="U18" s="118" t="s">
        <v>701</v>
      </c>
      <c r="V18" s="146" t="s">
        <v>1073</v>
      </c>
      <c r="W18" s="146" t="s">
        <v>1074</v>
      </c>
      <c r="X18" s="146" t="s">
        <v>1075</v>
      </c>
      <c r="Y18" s="146" t="s">
        <v>1590</v>
      </c>
      <c r="Z18" s="118" t="s">
        <v>1076</v>
      </c>
      <c r="AA18" s="118">
        <v>-87.083459599274306</v>
      </c>
      <c r="AB18" s="118">
        <v>39.737724990630802</v>
      </c>
    </row>
    <row r="19" spans="1:28" ht="23.25" customHeight="1" x14ac:dyDescent="0.25">
      <c r="A19" s="118">
        <v>244</v>
      </c>
      <c r="B19" s="118" t="s">
        <v>1077</v>
      </c>
      <c r="C19" s="67">
        <v>45846.692303240743</v>
      </c>
      <c r="D19" s="118" t="s">
        <v>1046</v>
      </c>
      <c r="E19" s="67">
        <v>45846.692303240743</v>
      </c>
      <c r="F19" s="118" t="s">
        <v>1046</v>
      </c>
      <c r="G19" s="25">
        <v>10513</v>
      </c>
      <c r="H19" s="118"/>
      <c r="I19" s="118"/>
      <c r="J19" s="118"/>
      <c r="K19" s="120" t="s">
        <v>702</v>
      </c>
      <c r="L19" s="67">
        <v>45846.666666666664</v>
      </c>
      <c r="M19" s="145">
        <v>0.51180555555555551</v>
      </c>
      <c r="N19" s="118">
        <v>5</v>
      </c>
      <c r="O19" s="118" t="s">
        <v>8</v>
      </c>
      <c r="P19" s="118"/>
      <c r="Q19" s="118" t="s">
        <v>682</v>
      </c>
      <c r="R19" s="146" t="s">
        <v>1078</v>
      </c>
      <c r="S19" s="146">
        <v>0.6</v>
      </c>
      <c r="T19" s="118" t="s">
        <v>702</v>
      </c>
      <c r="U19" s="118" t="s">
        <v>702</v>
      </c>
      <c r="V19" s="146" t="s">
        <v>1079</v>
      </c>
      <c r="W19" s="146" t="s">
        <v>1080</v>
      </c>
      <c r="X19" s="146" t="s">
        <v>1081</v>
      </c>
      <c r="Y19" s="146" t="s">
        <v>1591</v>
      </c>
      <c r="Z19" s="118" t="s">
        <v>1082</v>
      </c>
      <c r="AA19" s="118">
        <v>-87.065876971214905</v>
      </c>
      <c r="AB19" s="118">
        <v>39.732573472263702</v>
      </c>
    </row>
    <row r="20" spans="1:28" ht="23.25" customHeight="1" x14ac:dyDescent="0.25">
      <c r="A20" s="118">
        <v>245</v>
      </c>
      <c r="B20" s="118" t="s">
        <v>1083</v>
      </c>
      <c r="C20" s="67">
        <v>45846.708356481482</v>
      </c>
      <c r="D20" s="118" t="s">
        <v>1046</v>
      </c>
      <c r="E20" s="67">
        <v>45846.708356481482</v>
      </c>
      <c r="F20" s="118" t="s">
        <v>1046</v>
      </c>
      <c r="G20" s="25">
        <v>10514</v>
      </c>
      <c r="H20" s="118"/>
      <c r="I20" s="118"/>
      <c r="J20" s="118"/>
      <c r="K20" s="120" t="s">
        <v>703</v>
      </c>
      <c r="L20" s="67">
        <v>45846.666666666664</v>
      </c>
      <c r="M20" s="145">
        <v>0.53541666666666665</v>
      </c>
      <c r="N20" s="118">
        <v>6</v>
      </c>
      <c r="O20" s="118" t="s">
        <v>8</v>
      </c>
      <c r="P20" s="118"/>
      <c r="Q20" s="118" t="s">
        <v>682</v>
      </c>
      <c r="R20" s="146" t="s">
        <v>1084</v>
      </c>
      <c r="S20" s="146">
        <v>0.7</v>
      </c>
      <c r="T20" s="118" t="s">
        <v>703</v>
      </c>
      <c r="U20" s="118" t="s">
        <v>703</v>
      </c>
      <c r="V20" s="146" t="s">
        <v>1085</v>
      </c>
      <c r="W20" s="146" t="s">
        <v>1086</v>
      </c>
      <c r="X20" s="146" t="s">
        <v>1087</v>
      </c>
      <c r="Y20" s="146" t="s">
        <v>1592</v>
      </c>
      <c r="Z20" s="118" t="s">
        <v>1088</v>
      </c>
      <c r="AA20" s="118">
        <v>-87.0670318179004</v>
      </c>
      <c r="AB20" s="118">
        <v>39.7455718413526</v>
      </c>
    </row>
    <row r="21" spans="1:28" ht="23.25" customHeight="1" x14ac:dyDescent="0.25">
      <c r="A21" s="118">
        <v>254</v>
      </c>
      <c r="B21" s="118" t="s">
        <v>1137</v>
      </c>
      <c r="C21" s="67">
        <v>45852.694745370369</v>
      </c>
      <c r="D21" s="118" t="s">
        <v>1046</v>
      </c>
      <c r="E21" s="67">
        <v>45852.694745370369</v>
      </c>
      <c r="F21" s="118" t="s">
        <v>1046</v>
      </c>
      <c r="G21" s="25">
        <v>10515</v>
      </c>
      <c r="H21" s="118"/>
      <c r="I21" s="118"/>
      <c r="J21" s="118"/>
      <c r="K21" s="121" t="s">
        <v>704</v>
      </c>
      <c r="L21" s="67">
        <v>45852.666666666664</v>
      </c>
      <c r="M21" s="145">
        <v>0.51249999999999996</v>
      </c>
      <c r="N21" s="118">
        <v>5</v>
      </c>
      <c r="O21" s="118" t="s">
        <v>8</v>
      </c>
      <c r="P21" s="118"/>
      <c r="Q21" s="118" t="s">
        <v>683</v>
      </c>
      <c r="R21" s="146" t="s">
        <v>1138</v>
      </c>
      <c r="S21" s="146">
        <v>0.6</v>
      </c>
      <c r="T21" s="118" t="s">
        <v>704</v>
      </c>
      <c r="U21" s="118" t="s">
        <v>704</v>
      </c>
      <c r="V21" s="146" t="s">
        <v>1139</v>
      </c>
      <c r="W21" s="146" t="s">
        <v>1140</v>
      </c>
      <c r="X21" s="146" t="s">
        <v>1141</v>
      </c>
      <c r="Y21" s="146" t="s">
        <v>1598</v>
      </c>
      <c r="Z21" s="118" t="s">
        <v>1142</v>
      </c>
      <c r="AA21" s="118">
        <v>-86.795928657788707</v>
      </c>
      <c r="AB21" s="118">
        <v>40.8238714359764</v>
      </c>
    </row>
    <row r="22" spans="1:28" ht="23.25" customHeight="1" x14ac:dyDescent="0.25">
      <c r="A22" s="118">
        <v>253</v>
      </c>
      <c r="B22" s="118" t="s">
        <v>1131</v>
      </c>
      <c r="C22" s="67">
        <v>45852.694675925923</v>
      </c>
      <c r="D22" s="118" t="s">
        <v>1046</v>
      </c>
      <c r="E22" s="67">
        <v>45852.694675925923</v>
      </c>
      <c r="F22" s="118" t="s">
        <v>1046</v>
      </c>
      <c r="G22" s="25">
        <v>10516</v>
      </c>
      <c r="H22" s="118"/>
      <c r="I22" s="118"/>
      <c r="J22" s="118"/>
      <c r="K22" s="121" t="s">
        <v>705</v>
      </c>
      <c r="L22" s="67">
        <v>45852.666666666664</v>
      </c>
      <c r="M22" s="145">
        <v>0.49583333333333335</v>
      </c>
      <c r="N22" s="118">
        <v>6</v>
      </c>
      <c r="O22" s="118" t="s">
        <v>8</v>
      </c>
      <c r="P22" s="118"/>
      <c r="Q22" s="118" t="s">
        <v>683</v>
      </c>
      <c r="R22" s="146" t="s">
        <v>1132</v>
      </c>
      <c r="S22" s="146">
        <v>0.2</v>
      </c>
      <c r="T22" s="118" t="s">
        <v>705</v>
      </c>
      <c r="U22" s="118" t="s">
        <v>705</v>
      </c>
      <c r="V22" s="146" t="s">
        <v>1133</v>
      </c>
      <c r="W22" s="146" t="s">
        <v>1134</v>
      </c>
      <c r="X22" s="146" t="s">
        <v>1135</v>
      </c>
      <c r="Y22" s="146" t="s">
        <v>1595</v>
      </c>
      <c r="Z22" s="118" t="s">
        <v>1136</v>
      </c>
      <c r="AA22" s="118">
        <v>-86.781824032977497</v>
      </c>
      <c r="AB22" s="118">
        <v>40.835002728246103</v>
      </c>
    </row>
    <row r="23" spans="1:28" ht="23.25" customHeight="1" x14ac:dyDescent="0.25">
      <c r="A23" s="118">
        <v>252</v>
      </c>
      <c r="B23" s="118" t="s">
        <v>1125</v>
      </c>
      <c r="C23" s="67">
        <v>45852.649976851855</v>
      </c>
      <c r="D23" s="118" t="s">
        <v>1046</v>
      </c>
      <c r="E23" s="67">
        <v>45852.649976851855</v>
      </c>
      <c r="F23" s="118" t="s">
        <v>1046</v>
      </c>
      <c r="G23" s="25">
        <v>10517</v>
      </c>
      <c r="H23" s="118"/>
      <c r="I23" s="118"/>
      <c r="J23" s="118"/>
      <c r="K23" s="121" t="s">
        <v>706</v>
      </c>
      <c r="L23" s="67">
        <v>45852.666666666664</v>
      </c>
      <c r="M23" s="145">
        <v>0.47638888888888886</v>
      </c>
      <c r="N23" s="118">
        <v>8</v>
      </c>
      <c r="O23" s="118" t="s">
        <v>8</v>
      </c>
      <c r="P23" s="118"/>
      <c r="Q23" s="118" t="s">
        <v>683</v>
      </c>
      <c r="R23" s="146" t="s">
        <v>1126</v>
      </c>
      <c r="S23" s="146">
        <v>0.3</v>
      </c>
      <c r="T23" s="118" t="s">
        <v>706</v>
      </c>
      <c r="U23" s="118" t="s">
        <v>706</v>
      </c>
      <c r="V23" s="146" t="s">
        <v>1127</v>
      </c>
      <c r="W23" s="146" t="s">
        <v>1128</v>
      </c>
      <c r="X23" s="146" t="s">
        <v>1129</v>
      </c>
      <c r="Y23" s="146" t="s">
        <v>1594</v>
      </c>
      <c r="Z23" s="118" t="s">
        <v>1130</v>
      </c>
      <c r="AA23" s="118">
        <v>-86.794320949388805</v>
      </c>
      <c r="AB23" s="118">
        <v>40.811155293176199</v>
      </c>
    </row>
    <row r="24" spans="1:28" ht="23.25" customHeight="1" x14ac:dyDescent="0.25">
      <c r="A24" s="118">
        <v>250</v>
      </c>
      <c r="B24" s="118" t="s">
        <v>1113</v>
      </c>
      <c r="C24" s="67">
        <v>45852.625405092593</v>
      </c>
      <c r="D24" s="118" t="s">
        <v>1046</v>
      </c>
      <c r="E24" s="67">
        <v>45852.625405092593</v>
      </c>
      <c r="F24" s="118" t="s">
        <v>1046</v>
      </c>
      <c r="G24" s="25">
        <v>10518</v>
      </c>
      <c r="H24" s="118"/>
      <c r="I24" s="118"/>
      <c r="J24" s="118"/>
      <c r="K24" s="121" t="s">
        <v>707</v>
      </c>
      <c r="L24" s="67">
        <v>45852.666666666664</v>
      </c>
      <c r="M24" s="145">
        <v>0.44930555555555557</v>
      </c>
      <c r="N24" s="118">
        <v>9</v>
      </c>
      <c r="O24" s="118" t="s">
        <v>8</v>
      </c>
      <c r="P24" s="118"/>
      <c r="Q24" s="118" t="s">
        <v>683</v>
      </c>
      <c r="R24" s="146" t="s">
        <v>1114</v>
      </c>
      <c r="S24" s="146">
        <v>0.6</v>
      </c>
      <c r="T24" s="118" t="s">
        <v>707</v>
      </c>
      <c r="U24" s="118" t="s">
        <v>707</v>
      </c>
      <c r="V24" s="146" t="s">
        <v>1115</v>
      </c>
      <c r="W24" s="146" t="s">
        <v>1116</v>
      </c>
      <c r="X24" s="146" t="s">
        <v>1117</v>
      </c>
      <c r="Y24" s="146" t="s">
        <v>1597</v>
      </c>
      <c r="Z24" s="118" t="s">
        <v>1118</v>
      </c>
      <c r="AA24" s="118">
        <v>-86.774823876043101</v>
      </c>
      <c r="AB24" s="118">
        <v>40.804210980481102</v>
      </c>
    </row>
    <row r="25" spans="1:28" ht="23.25" customHeight="1" x14ac:dyDescent="0.25">
      <c r="A25" s="118">
        <v>248</v>
      </c>
      <c r="B25" s="118" t="s">
        <v>1101</v>
      </c>
      <c r="C25" s="67">
        <v>45852.598819444444</v>
      </c>
      <c r="D25" s="118" t="s">
        <v>1046</v>
      </c>
      <c r="E25" s="67">
        <v>45852.598819444444</v>
      </c>
      <c r="F25" s="118" t="s">
        <v>1046</v>
      </c>
      <c r="G25" s="25">
        <v>10519</v>
      </c>
      <c r="H25" s="118"/>
      <c r="I25" s="118"/>
      <c r="J25" s="118"/>
      <c r="K25" s="121" t="s">
        <v>708</v>
      </c>
      <c r="L25" s="67">
        <v>45852.666666666664</v>
      </c>
      <c r="M25" s="145">
        <v>0.42222222222222222</v>
      </c>
      <c r="N25" s="118">
        <v>10</v>
      </c>
      <c r="O25" s="118" t="s">
        <v>8</v>
      </c>
      <c r="P25" s="118"/>
      <c r="Q25" s="118" t="s">
        <v>683</v>
      </c>
      <c r="R25" s="146" t="s">
        <v>1102</v>
      </c>
      <c r="S25" s="146">
        <v>0.35</v>
      </c>
      <c r="T25" s="118" t="s">
        <v>708</v>
      </c>
      <c r="U25" s="118" t="s">
        <v>708</v>
      </c>
      <c r="V25" s="146" t="s">
        <v>1103</v>
      </c>
      <c r="W25" s="146" t="s">
        <v>1104</v>
      </c>
      <c r="X25" s="146" t="s">
        <v>1105</v>
      </c>
      <c r="Y25" s="146" t="s">
        <v>1595</v>
      </c>
      <c r="Z25" s="118" t="s">
        <v>1106</v>
      </c>
      <c r="AA25" s="118">
        <v>-86.774487164151097</v>
      </c>
      <c r="AB25" s="118">
        <v>40.794696088480897</v>
      </c>
    </row>
    <row r="26" spans="1:28" ht="23.25" customHeight="1" x14ac:dyDescent="0.25">
      <c r="A26" s="118">
        <v>246</v>
      </c>
      <c r="B26" s="118" t="s">
        <v>1089</v>
      </c>
      <c r="C26" s="67">
        <v>45852.568657407406</v>
      </c>
      <c r="D26" s="118" t="s">
        <v>1046</v>
      </c>
      <c r="E26" s="67">
        <v>45852.568657407406</v>
      </c>
      <c r="F26" s="118" t="s">
        <v>1046</v>
      </c>
      <c r="G26" s="25">
        <v>10520</v>
      </c>
      <c r="H26" s="118"/>
      <c r="I26" s="118"/>
      <c r="J26" s="118"/>
      <c r="K26" s="121" t="s">
        <v>709</v>
      </c>
      <c r="L26" s="67">
        <v>45852.666666666664</v>
      </c>
      <c r="M26" s="145">
        <v>0.38680555555555557</v>
      </c>
      <c r="N26" s="118">
        <v>11</v>
      </c>
      <c r="O26" s="118" t="s">
        <v>8</v>
      </c>
      <c r="P26" s="118"/>
      <c r="Q26" s="118" t="s">
        <v>683</v>
      </c>
      <c r="R26" s="146" t="s">
        <v>1090</v>
      </c>
      <c r="S26" s="146">
        <v>0.6</v>
      </c>
      <c r="T26" s="118" t="s">
        <v>709</v>
      </c>
      <c r="U26" s="118" t="s">
        <v>709</v>
      </c>
      <c r="V26" s="146" t="s">
        <v>1091</v>
      </c>
      <c r="W26" s="146" t="s">
        <v>1092</v>
      </c>
      <c r="X26" s="146" t="s">
        <v>1093</v>
      </c>
      <c r="Y26" s="146" t="s">
        <v>1593</v>
      </c>
      <c r="Z26" s="118" t="s">
        <v>1094</v>
      </c>
      <c r="AA26" s="118">
        <v>-86.772164345616005</v>
      </c>
      <c r="AB26" s="118">
        <v>40.788720926107999</v>
      </c>
    </row>
    <row r="27" spans="1:28" ht="23.25" customHeight="1" x14ac:dyDescent="0.25">
      <c r="A27" s="118">
        <v>247</v>
      </c>
      <c r="B27" s="118" t="s">
        <v>1095</v>
      </c>
      <c r="C27" s="67">
        <v>45852.583668981482</v>
      </c>
      <c r="D27" s="118" t="s">
        <v>1046</v>
      </c>
      <c r="E27" s="67">
        <v>45852.583668981482</v>
      </c>
      <c r="F27" s="118" t="s">
        <v>1046</v>
      </c>
      <c r="G27" s="25">
        <v>10521</v>
      </c>
      <c r="H27" s="118"/>
      <c r="I27" s="118"/>
      <c r="J27" s="118"/>
      <c r="K27" s="121" t="s">
        <v>710</v>
      </c>
      <c r="L27" s="67">
        <v>45852.666666666664</v>
      </c>
      <c r="M27" s="145">
        <v>0.40694444444444444</v>
      </c>
      <c r="N27" s="118">
        <v>12</v>
      </c>
      <c r="O27" s="118" t="s">
        <v>8</v>
      </c>
      <c r="P27" s="118"/>
      <c r="Q27" s="118" t="s">
        <v>683</v>
      </c>
      <c r="R27" s="146" t="s">
        <v>1096</v>
      </c>
      <c r="S27" s="146">
        <v>0.85</v>
      </c>
      <c r="T27" s="118" t="s">
        <v>710</v>
      </c>
      <c r="U27" s="118" t="s">
        <v>710</v>
      </c>
      <c r="V27" s="146" t="s">
        <v>1097</v>
      </c>
      <c r="W27" s="146" t="s">
        <v>1098</v>
      </c>
      <c r="X27" s="146" t="s">
        <v>1099</v>
      </c>
      <c r="Y27" s="146" t="s">
        <v>1594</v>
      </c>
      <c r="Z27" s="118" t="s">
        <v>1100</v>
      </c>
      <c r="AA27" s="118">
        <v>-86.762184549150206</v>
      </c>
      <c r="AB27" s="118">
        <v>40.782462602448099</v>
      </c>
    </row>
    <row r="28" spans="1:28" ht="23.25" customHeight="1" x14ac:dyDescent="0.25">
      <c r="A28" s="118">
        <v>251</v>
      </c>
      <c r="B28" s="118" t="s">
        <v>1119</v>
      </c>
      <c r="C28" s="67">
        <v>45852.639965277776</v>
      </c>
      <c r="D28" s="118" t="s">
        <v>1046</v>
      </c>
      <c r="E28" s="67">
        <v>45852.639965277776</v>
      </c>
      <c r="F28" s="118" t="s">
        <v>1046</v>
      </c>
      <c r="G28" s="25">
        <v>10522</v>
      </c>
      <c r="H28" s="118"/>
      <c r="I28" s="118"/>
      <c r="J28" s="118"/>
      <c r="K28" s="121" t="s">
        <v>711</v>
      </c>
      <c r="L28" s="67">
        <v>45852.666666666664</v>
      </c>
      <c r="M28" s="145">
        <v>0.46388888888888891</v>
      </c>
      <c r="N28" s="118">
        <v>14</v>
      </c>
      <c r="O28" s="118" t="s">
        <v>8</v>
      </c>
      <c r="P28" s="118"/>
      <c r="Q28" s="118" t="s">
        <v>683</v>
      </c>
      <c r="R28" s="146" t="s">
        <v>1120</v>
      </c>
      <c r="S28" s="146">
        <v>0.35</v>
      </c>
      <c r="T28" s="118" t="s">
        <v>711</v>
      </c>
      <c r="U28" s="118" t="s">
        <v>711</v>
      </c>
      <c r="V28" s="146" t="s">
        <v>1121</v>
      </c>
      <c r="W28" s="146" t="s">
        <v>1122</v>
      </c>
      <c r="X28" s="146" t="s">
        <v>1123</v>
      </c>
      <c r="Y28" s="146" t="s">
        <v>1595</v>
      </c>
      <c r="Z28" s="118" t="s">
        <v>1124</v>
      </c>
      <c r="AA28" s="118">
        <v>-86.785222646214706</v>
      </c>
      <c r="AB28" s="118">
        <v>40.807391854277199</v>
      </c>
    </row>
    <row r="29" spans="1:28" ht="23.25" customHeight="1" x14ac:dyDescent="0.25">
      <c r="A29" s="118">
        <v>249</v>
      </c>
      <c r="B29" s="118" t="s">
        <v>1107</v>
      </c>
      <c r="C29" s="67">
        <v>45852.610729166663</v>
      </c>
      <c r="D29" s="118" t="s">
        <v>1046</v>
      </c>
      <c r="E29" s="67">
        <v>45852.610729166663</v>
      </c>
      <c r="F29" s="118" t="s">
        <v>1046</v>
      </c>
      <c r="G29" s="25">
        <v>10523</v>
      </c>
      <c r="H29" s="118"/>
      <c r="I29" s="118"/>
      <c r="J29" s="118"/>
      <c r="K29" s="121" t="s">
        <v>712</v>
      </c>
      <c r="L29" s="67">
        <v>45852.666666666664</v>
      </c>
      <c r="M29" s="145">
        <v>0.43541666666666667</v>
      </c>
      <c r="N29" s="118">
        <v>15</v>
      </c>
      <c r="O29" s="118" t="s">
        <v>8</v>
      </c>
      <c r="P29" s="118"/>
      <c r="Q29" s="118" t="s">
        <v>683</v>
      </c>
      <c r="R29" s="146" t="s">
        <v>1108</v>
      </c>
      <c r="S29" s="146">
        <v>0.4</v>
      </c>
      <c r="T29" s="118" t="s">
        <v>712</v>
      </c>
      <c r="U29" s="118" t="s">
        <v>712</v>
      </c>
      <c r="V29" s="146" t="s">
        <v>1109</v>
      </c>
      <c r="W29" s="146" t="s">
        <v>1110</v>
      </c>
      <c r="X29" s="146" t="s">
        <v>1111</v>
      </c>
      <c r="Y29" s="146" t="s">
        <v>1596</v>
      </c>
      <c r="Z29" s="118" t="s">
        <v>1112</v>
      </c>
      <c r="AA29" s="118">
        <v>-86.777772490616897</v>
      </c>
      <c r="AB29" s="118">
        <v>40.799228284449498</v>
      </c>
    </row>
    <row r="30" spans="1:28" ht="23.25" customHeight="1" x14ac:dyDescent="0.25">
      <c r="A30" s="118">
        <v>261</v>
      </c>
      <c r="B30" s="118" t="s">
        <v>1178</v>
      </c>
      <c r="C30" s="67">
        <v>45867.735706018517</v>
      </c>
      <c r="D30" s="118" t="s">
        <v>1046</v>
      </c>
      <c r="E30" s="67">
        <v>45867.735706018517</v>
      </c>
      <c r="F30" s="118" t="s">
        <v>1046</v>
      </c>
      <c r="G30" s="25">
        <v>10524</v>
      </c>
      <c r="H30" s="118"/>
      <c r="I30" s="118"/>
      <c r="J30" s="118"/>
      <c r="K30" s="119" t="s">
        <v>713</v>
      </c>
      <c r="L30" s="67">
        <v>45867.666666666664</v>
      </c>
      <c r="M30" s="145">
        <v>0.55347222222222225</v>
      </c>
      <c r="N30" s="118">
        <v>1</v>
      </c>
      <c r="O30" s="118" t="s">
        <v>8</v>
      </c>
      <c r="P30" s="118"/>
      <c r="Q30" s="118" t="s">
        <v>11</v>
      </c>
      <c r="R30" s="146" t="s">
        <v>1179</v>
      </c>
      <c r="S30" s="146">
        <v>0.3</v>
      </c>
      <c r="T30" s="118" t="s">
        <v>713</v>
      </c>
      <c r="U30" s="118" t="s">
        <v>713</v>
      </c>
      <c r="V30" s="146" t="s">
        <v>1180</v>
      </c>
      <c r="W30" s="146" t="s">
        <v>1181</v>
      </c>
      <c r="X30" s="146" t="s">
        <v>1182</v>
      </c>
      <c r="Y30" s="146" t="s">
        <v>1603</v>
      </c>
      <c r="Z30" s="118" t="s">
        <v>1183</v>
      </c>
      <c r="AA30" s="118">
        <v>-85.888915352108796</v>
      </c>
      <c r="AB30" s="118">
        <v>40.681715443684197</v>
      </c>
    </row>
    <row r="31" spans="1:28" ht="23.25" customHeight="1" x14ac:dyDescent="0.25">
      <c r="A31" s="118">
        <v>262</v>
      </c>
      <c r="B31" s="118" t="s">
        <v>1184</v>
      </c>
      <c r="C31" s="67">
        <v>45867.747453703705</v>
      </c>
      <c r="D31" s="118" t="s">
        <v>1046</v>
      </c>
      <c r="E31" s="67">
        <v>45867.747453703705</v>
      </c>
      <c r="F31" s="118" t="s">
        <v>1046</v>
      </c>
      <c r="G31" s="25">
        <v>10525</v>
      </c>
      <c r="H31" s="118"/>
      <c r="I31" s="118"/>
      <c r="J31" s="118"/>
      <c r="K31" s="119" t="s">
        <v>714</v>
      </c>
      <c r="L31" s="67">
        <v>45867.666666666664</v>
      </c>
      <c r="M31" s="145">
        <v>0.5708333333333333</v>
      </c>
      <c r="N31" s="118">
        <v>2</v>
      </c>
      <c r="O31" s="118" t="s">
        <v>8</v>
      </c>
      <c r="P31" s="118"/>
      <c r="Q31" s="118" t="s">
        <v>11</v>
      </c>
      <c r="R31" s="146" t="s">
        <v>1185</v>
      </c>
      <c r="S31" s="146">
        <v>0.3</v>
      </c>
      <c r="T31" s="118" t="s">
        <v>714</v>
      </c>
      <c r="U31" s="118" t="s">
        <v>714</v>
      </c>
      <c r="V31" s="146" t="s">
        <v>1186</v>
      </c>
      <c r="W31" s="146" t="s">
        <v>1187</v>
      </c>
      <c r="X31" s="146" t="s">
        <v>1188</v>
      </c>
      <c r="Y31" s="146" t="s">
        <v>1604</v>
      </c>
      <c r="Z31" s="118" t="s">
        <v>1189</v>
      </c>
      <c r="AA31" s="118">
        <v>-85.877066673718403</v>
      </c>
      <c r="AB31" s="118">
        <v>40.676774653178398</v>
      </c>
    </row>
    <row r="32" spans="1:28" ht="23.25" customHeight="1" x14ac:dyDescent="0.25">
      <c r="A32" s="118">
        <v>263</v>
      </c>
      <c r="B32" s="118" t="s">
        <v>1190</v>
      </c>
      <c r="C32" s="67">
        <v>45867.756701388891</v>
      </c>
      <c r="D32" s="118" t="s">
        <v>1046</v>
      </c>
      <c r="E32" s="67">
        <v>45867.756701388891</v>
      </c>
      <c r="F32" s="118" t="s">
        <v>1046</v>
      </c>
      <c r="G32" s="25">
        <v>10526</v>
      </c>
      <c r="H32" s="118"/>
      <c r="I32" s="118"/>
      <c r="J32" s="118"/>
      <c r="K32" s="119" t="s">
        <v>715</v>
      </c>
      <c r="L32" s="67">
        <v>45867.666666666664</v>
      </c>
      <c r="M32" s="145">
        <v>0.5805555555555556</v>
      </c>
      <c r="N32" s="118">
        <v>3</v>
      </c>
      <c r="O32" s="118" t="s">
        <v>8</v>
      </c>
      <c r="P32" s="118"/>
      <c r="Q32" s="118" t="s">
        <v>11</v>
      </c>
      <c r="R32" s="146" t="s">
        <v>1191</v>
      </c>
      <c r="S32" s="146">
        <v>0.3</v>
      </c>
      <c r="T32" s="118" t="s">
        <v>715</v>
      </c>
      <c r="U32" s="118" t="s">
        <v>715</v>
      </c>
      <c r="V32" s="146" t="s">
        <v>1192</v>
      </c>
      <c r="W32" s="146" t="s">
        <v>1193</v>
      </c>
      <c r="X32" s="146" t="s">
        <v>1194</v>
      </c>
      <c r="Y32" s="146" t="s">
        <v>1605</v>
      </c>
      <c r="Z32" s="146" t="s">
        <v>1195</v>
      </c>
      <c r="AA32" s="118">
        <v>-85.870287047360407</v>
      </c>
      <c r="AB32" s="118">
        <v>40.670702906704399</v>
      </c>
    </row>
    <row r="33" spans="1:28" ht="23.25" customHeight="1" x14ac:dyDescent="0.25">
      <c r="A33" s="118">
        <v>264</v>
      </c>
      <c r="B33" s="118" t="s">
        <v>1196</v>
      </c>
      <c r="C33" s="67">
        <v>45867.771909722222</v>
      </c>
      <c r="D33" s="118" t="s">
        <v>1046</v>
      </c>
      <c r="E33" s="67">
        <v>45867.771909722222</v>
      </c>
      <c r="F33" s="118" t="s">
        <v>1046</v>
      </c>
      <c r="G33" s="25">
        <v>10527</v>
      </c>
      <c r="H33" s="118"/>
      <c r="I33" s="118"/>
      <c r="J33" s="118"/>
      <c r="K33" s="119" t="s">
        <v>716</v>
      </c>
      <c r="L33" s="67">
        <v>45867.666666666664</v>
      </c>
      <c r="M33" s="145">
        <v>0.59097222222222223</v>
      </c>
      <c r="N33" s="118">
        <v>4</v>
      </c>
      <c r="O33" s="118" t="s">
        <v>8</v>
      </c>
      <c r="P33" s="118"/>
      <c r="Q33" s="118" t="s">
        <v>11</v>
      </c>
      <c r="R33" s="146" t="s">
        <v>1197</v>
      </c>
      <c r="S33" s="146">
        <v>0.33</v>
      </c>
      <c r="T33" s="118" t="s">
        <v>716</v>
      </c>
      <c r="U33" s="118" t="s">
        <v>716</v>
      </c>
      <c r="V33" s="146" t="s">
        <v>1198</v>
      </c>
      <c r="W33" s="146" t="s">
        <v>1199</v>
      </c>
      <c r="X33" s="146" t="s">
        <v>1200</v>
      </c>
      <c r="Y33" s="146" t="s">
        <v>1606</v>
      </c>
      <c r="Z33" s="118" t="s">
        <v>1201</v>
      </c>
      <c r="AA33" s="118">
        <v>-85.866510261553501</v>
      </c>
      <c r="AB33" s="118">
        <v>40.663126048620001</v>
      </c>
    </row>
    <row r="34" spans="1:28" ht="23.25" customHeight="1" x14ac:dyDescent="0.25">
      <c r="A34" s="118">
        <v>265</v>
      </c>
      <c r="B34" s="118" t="s">
        <v>1202</v>
      </c>
      <c r="C34" s="67">
        <v>45867.787928240738</v>
      </c>
      <c r="D34" s="118" t="s">
        <v>1046</v>
      </c>
      <c r="E34" s="67">
        <v>45867.787928240738</v>
      </c>
      <c r="F34" s="118" t="s">
        <v>1046</v>
      </c>
      <c r="G34" s="25">
        <v>10528</v>
      </c>
      <c r="H34" s="118"/>
      <c r="I34" s="118"/>
      <c r="J34" s="118"/>
      <c r="K34" s="119" t="s">
        <v>717</v>
      </c>
      <c r="L34" s="67">
        <v>45867.666666666664</v>
      </c>
      <c r="M34" s="145">
        <v>0.60833333333333328</v>
      </c>
      <c r="N34" s="118">
        <v>5</v>
      </c>
      <c r="O34" s="118" t="s">
        <v>8</v>
      </c>
      <c r="P34" s="118"/>
      <c r="Q34" s="118" t="s">
        <v>11</v>
      </c>
      <c r="R34" s="146" t="s">
        <v>1203</v>
      </c>
      <c r="S34" s="146">
        <v>0.1</v>
      </c>
      <c r="T34" s="118" t="s">
        <v>717</v>
      </c>
      <c r="U34" s="118" t="s">
        <v>717</v>
      </c>
      <c r="V34" s="146" t="s">
        <v>1204</v>
      </c>
      <c r="W34" s="146" t="s">
        <v>1205</v>
      </c>
      <c r="X34" s="146" t="s">
        <v>1206</v>
      </c>
      <c r="Y34" s="146" t="s">
        <v>1607</v>
      </c>
      <c r="Z34" s="118" t="s">
        <v>1207</v>
      </c>
      <c r="AA34" s="118">
        <v>-85.847961188463302</v>
      </c>
      <c r="AB34" s="118">
        <v>40.668584132438902</v>
      </c>
    </row>
    <row r="35" spans="1:28" ht="23.25" customHeight="1" x14ac:dyDescent="0.25">
      <c r="A35" s="118">
        <v>267</v>
      </c>
      <c r="B35" s="118" t="s">
        <v>1214</v>
      </c>
      <c r="C35" s="67">
        <v>45867.820740740739</v>
      </c>
      <c r="D35" s="118" t="s">
        <v>1046</v>
      </c>
      <c r="E35" s="67">
        <v>45867.820740740739</v>
      </c>
      <c r="F35" s="118" t="s">
        <v>1046</v>
      </c>
      <c r="G35" s="25">
        <v>10529</v>
      </c>
      <c r="H35" s="118"/>
      <c r="I35" s="118"/>
      <c r="J35" s="118"/>
      <c r="K35" s="119" t="s">
        <v>718</v>
      </c>
      <c r="L35" s="67">
        <v>45867.666666666664</v>
      </c>
      <c r="M35" s="145">
        <v>0.63611111111111107</v>
      </c>
      <c r="N35" s="118">
        <v>6</v>
      </c>
      <c r="O35" s="118" t="s">
        <v>8</v>
      </c>
      <c r="P35" s="118"/>
      <c r="Q35" s="118" t="s">
        <v>11</v>
      </c>
      <c r="R35" s="146" t="s">
        <v>1215</v>
      </c>
      <c r="S35" s="146">
        <v>0.15</v>
      </c>
      <c r="T35" s="118" t="s">
        <v>718</v>
      </c>
      <c r="U35" s="118" t="s">
        <v>718</v>
      </c>
      <c r="V35" s="146" t="s">
        <v>1216</v>
      </c>
      <c r="W35" s="146" t="s">
        <v>1217</v>
      </c>
      <c r="X35" s="146" t="s">
        <v>1218</v>
      </c>
      <c r="Y35" s="146" t="s">
        <v>1606</v>
      </c>
      <c r="Z35" s="118" t="s">
        <v>1213</v>
      </c>
      <c r="AA35" s="118">
        <v>-85.831961049337806</v>
      </c>
      <c r="AB35" s="118">
        <v>40.673703578553898</v>
      </c>
    </row>
    <row r="36" spans="1:28" ht="23.25" customHeight="1" x14ac:dyDescent="0.25">
      <c r="A36" s="118">
        <v>255</v>
      </c>
      <c r="B36" s="118" t="s">
        <v>1143</v>
      </c>
      <c r="C36" s="67">
        <v>45867.60496527778</v>
      </c>
      <c r="D36" s="118" t="s">
        <v>1046</v>
      </c>
      <c r="E36" s="67">
        <v>45867.60496527778</v>
      </c>
      <c r="F36" s="118" t="s">
        <v>1046</v>
      </c>
      <c r="G36" s="25">
        <v>10530</v>
      </c>
      <c r="H36" s="118"/>
      <c r="I36" s="118"/>
      <c r="J36" s="118"/>
      <c r="K36" s="119" t="s">
        <v>719</v>
      </c>
      <c r="L36" s="67">
        <v>45867.666666666664</v>
      </c>
      <c r="M36" s="145">
        <v>0.42430555555555555</v>
      </c>
      <c r="N36" s="118">
        <v>7</v>
      </c>
      <c r="O36" s="118" t="s">
        <v>8</v>
      </c>
      <c r="P36" s="118"/>
      <c r="Q36" s="118" t="s">
        <v>11</v>
      </c>
      <c r="R36" s="146" t="s">
        <v>1144</v>
      </c>
      <c r="S36" s="146">
        <v>0.35</v>
      </c>
      <c r="T36" s="118" t="s">
        <v>719</v>
      </c>
      <c r="U36" s="118" t="s">
        <v>719</v>
      </c>
      <c r="V36" s="146" t="s">
        <v>1145</v>
      </c>
      <c r="W36" s="146" t="s">
        <v>1146</v>
      </c>
      <c r="X36" s="146" t="s">
        <v>1147</v>
      </c>
      <c r="Y36" s="146" t="s">
        <v>1599</v>
      </c>
      <c r="Z36" s="118" t="s">
        <v>1148</v>
      </c>
      <c r="AA36" s="118">
        <v>-85.8965468123384</v>
      </c>
      <c r="AB36" s="118">
        <v>40.6877869571668</v>
      </c>
    </row>
    <row r="37" spans="1:28" ht="23.25" customHeight="1" x14ac:dyDescent="0.25">
      <c r="A37" s="118">
        <v>256</v>
      </c>
      <c r="B37" s="118" t="s">
        <v>1149</v>
      </c>
      <c r="C37" s="67">
        <v>45867.622418981482</v>
      </c>
      <c r="D37" s="118" t="s">
        <v>1046</v>
      </c>
      <c r="E37" s="67">
        <v>45867.622418981482</v>
      </c>
      <c r="F37" s="118" t="s">
        <v>1046</v>
      </c>
      <c r="G37" s="25">
        <v>10531</v>
      </c>
      <c r="H37" s="118"/>
      <c r="I37" s="118"/>
      <c r="J37" s="118"/>
      <c r="K37" s="119" t="s">
        <v>720</v>
      </c>
      <c r="L37" s="67">
        <v>45867.666666666664</v>
      </c>
      <c r="M37" s="145">
        <v>0.44374999999999998</v>
      </c>
      <c r="N37" s="118">
        <v>8</v>
      </c>
      <c r="O37" s="118" t="s">
        <v>8</v>
      </c>
      <c r="P37" s="118"/>
      <c r="Q37" s="118" t="s">
        <v>11</v>
      </c>
      <c r="R37" s="146" t="s">
        <v>1150</v>
      </c>
      <c r="S37" s="146">
        <v>0.45</v>
      </c>
      <c r="T37" s="118" t="s">
        <v>720</v>
      </c>
      <c r="U37" s="118" t="s">
        <v>720</v>
      </c>
      <c r="V37" s="146" t="s">
        <v>1151</v>
      </c>
      <c r="W37" s="146" t="s">
        <v>1152</v>
      </c>
      <c r="X37" s="146" t="s">
        <v>1153</v>
      </c>
      <c r="Y37" s="146" t="s">
        <v>1600</v>
      </c>
      <c r="Z37" s="118" t="s">
        <v>1154</v>
      </c>
      <c r="AA37" s="118">
        <v>-85.908302779903494</v>
      </c>
      <c r="AB37" s="118">
        <v>40.691692164625003</v>
      </c>
    </row>
    <row r="38" spans="1:28" ht="23.25" customHeight="1" x14ac:dyDescent="0.25">
      <c r="A38" s="118">
        <v>258</v>
      </c>
      <c r="B38" s="118" t="s">
        <v>1161</v>
      </c>
      <c r="C38" s="67">
        <v>45867.652962962966</v>
      </c>
      <c r="D38" s="118" t="s">
        <v>1046</v>
      </c>
      <c r="E38" s="67">
        <v>45867.652962962966</v>
      </c>
      <c r="F38" s="118" t="s">
        <v>1046</v>
      </c>
      <c r="G38" s="25">
        <v>10532</v>
      </c>
      <c r="H38" s="118"/>
      <c r="I38" s="118"/>
      <c r="J38" s="118"/>
      <c r="K38" s="119" t="s">
        <v>721</v>
      </c>
      <c r="L38" s="67">
        <v>45867.666666666664</v>
      </c>
      <c r="M38" s="145">
        <v>0.47569444444444442</v>
      </c>
      <c r="N38" s="118">
        <v>9</v>
      </c>
      <c r="O38" s="118" t="s">
        <v>8</v>
      </c>
      <c r="P38" s="118"/>
      <c r="Q38" s="118" t="s">
        <v>11</v>
      </c>
      <c r="R38" s="146" t="s">
        <v>1162</v>
      </c>
      <c r="S38" s="146">
        <v>0.5</v>
      </c>
      <c r="T38" s="118" t="s">
        <v>721</v>
      </c>
      <c r="U38" s="118" t="s">
        <v>721</v>
      </c>
      <c r="V38" s="146" t="s">
        <v>1163</v>
      </c>
      <c r="W38" s="146" t="s">
        <v>1164</v>
      </c>
      <c r="X38" s="146" t="s">
        <v>1165</v>
      </c>
      <c r="Y38" s="146" t="s">
        <v>1601</v>
      </c>
      <c r="Z38" s="118" t="s">
        <v>1166</v>
      </c>
      <c r="AA38" s="118">
        <v>-85.929918426060894</v>
      </c>
      <c r="AB38" s="118">
        <v>40.704102311316397</v>
      </c>
    </row>
    <row r="39" spans="1:28" ht="23.25" customHeight="1" x14ac:dyDescent="0.25">
      <c r="A39" s="118">
        <v>257</v>
      </c>
      <c r="B39" s="118" t="s">
        <v>1155</v>
      </c>
      <c r="C39" s="67">
        <v>45867.636134259257</v>
      </c>
      <c r="D39" s="118" t="s">
        <v>1046</v>
      </c>
      <c r="E39" s="67">
        <v>45867.636134259257</v>
      </c>
      <c r="F39" s="118" t="s">
        <v>1046</v>
      </c>
      <c r="G39" s="25">
        <v>10533</v>
      </c>
      <c r="H39" s="118"/>
      <c r="I39" s="118"/>
      <c r="J39" s="118"/>
      <c r="K39" s="119" t="s">
        <v>722</v>
      </c>
      <c r="L39" s="67">
        <v>45867.666666666664</v>
      </c>
      <c r="M39" s="145">
        <v>0.45763888888888887</v>
      </c>
      <c r="N39" s="118">
        <v>10</v>
      </c>
      <c r="O39" s="118" t="s">
        <v>8</v>
      </c>
      <c r="P39" s="118"/>
      <c r="Q39" s="118" t="s">
        <v>11</v>
      </c>
      <c r="R39" s="146" t="s">
        <v>1156</v>
      </c>
      <c r="S39" s="146">
        <v>0.45</v>
      </c>
      <c r="T39" s="118" t="s">
        <v>722</v>
      </c>
      <c r="U39" s="118" t="s">
        <v>722</v>
      </c>
      <c r="V39" s="146" t="s">
        <v>1157</v>
      </c>
      <c r="W39" s="146" t="s">
        <v>1158</v>
      </c>
      <c r="X39" s="146" t="s">
        <v>1159</v>
      </c>
      <c r="Y39" s="146" t="s">
        <v>1591</v>
      </c>
      <c r="Z39" s="118" t="s">
        <v>1160</v>
      </c>
      <c r="AA39" s="118">
        <v>-85.920155590694904</v>
      </c>
      <c r="AB39" s="118">
        <v>40.693372474722203</v>
      </c>
    </row>
    <row r="40" spans="1:28" ht="23.25" customHeight="1" x14ac:dyDescent="0.25">
      <c r="A40" s="118">
        <v>259</v>
      </c>
      <c r="B40" s="144" t="s">
        <v>1167</v>
      </c>
      <c r="C40" s="67">
        <v>45867.668391203704</v>
      </c>
      <c r="D40" s="118" t="s">
        <v>1046</v>
      </c>
      <c r="E40" s="67">
        <v>45867.668391203704</v>
      </c>
      <c r="F40" s="118" t="s">
        <v>1046</v>
      </c>
      <c r="G40" s="25">
        <v>10534</v>
      </c>
      <c r="H40" s="118"/>
      <c r="I40" s="118"/>
      <c r="J40" s="118"/>
      <c r="K40" s="119" t="s">
        <v>723</v>
      </c>
      <c r="L40" s="67">
        <v>45867.666666666664</v>
      </c>
      <c r="M40" s="145">
        <v>0.48958333333333331</v>
      </c>
      <c r="N40" s="118">
        <v>11</v>
      </c>
      <c r="O40" s="118" t="s">
        <v>8</v>
      </c>
      <c r="P40" s="118"/>
      <c r="Q40" s="118" t="s">
        <v>11</v>
      </c>
      <c r="R40" s="146" t="s">
        <v>1168</v>
      </c>
      <c r="S40" s="146">
        <v>0.45</v>
      </c>
      <c r="T40" s="118" t="s">
        <v>723</v>
      </c>
      <c r="U40" s="118" t="s">
        <v>723</v>
      </c>
      <c r="V40" s="146" t="s">
        <v>1169</v>
      </c>
      <c r="W40" s="146" t="s">
        <v>1170</v>
      </c>
      <c r="X40" s="146" t="s">
        <v>1171</v>
      </c>
      <c r="Y40" s="146" t="s">
        <v>1598</v>
      </c>
      <c r="Z40" s="118" t="s">
        <v>1142</v>
      </c>
      <c r="AA40" s="118">
        <v>-85.938327919424395</v>
      </c>
      <c r="AB40" s="118">
        <v>40.710955375621602</v>
      </c>
    </row>
    <row r="41" spans="1:28" ht="23.25" customHeight="1" x14ac:dyDescent="0.25">
      <c r="A41" s="118">
        <v>260</v>
      </c>
      <c r="B41" s="118" t="s">
        <v>1172</v>
      </c>
      <c r="C41" s="67">
        <v>45867.688611111109</v>
      </c>
      <c r="D41" s="118" t="s">
        <v>1046</v>
      </c>
      <c r="E41" s="67">
        <v>45867.688611111109</v>
      </c>
      <c r="F41" s="118" t="s">
        <v>1046</v>
      </c>
      <c r="G41" s="25">
        <v>10535</v>
      </c>
      <c r="H41" s="118"/>
      <c r="I41" s="118"/>
      <c r="J41" s="118"/>
      <c r="K41" s="119" t="s">
        <v>724</v>
      </c>
      <c r="L41" s="67">
        <v>45867.666666666664</v>
      </c>
      <c r="M41" s="145">
        <v>0.50277777777777777</v>
      </c>
      <c r="N41" s="118">
        <v>12</v>
      </c>
      <c r="O41" s="118" t="s">
        <v>8</v>
      </c>
      <c r="P41" s="118"/>
      <c r="Q41" s="118" t="s">
        <v>11</v>
      </c>
      <c r="R41" s="146" t="s">
        <v>1173</v>
      </c>
      <c r="S41" s="146">
        <v>0.6</v>
      </c>
      <c r="T41" s="118" t="s">
        <v>724</v>
      </c>
      <c r="U41" s="118" t="s">
        <v>724</v>
      </c>
      <c r="V41" s="146" t="s">
        <v>1174</v>
      </c>
      <c r="W41" s="146" t="s">
        <v>1175</v>
      </c>
      <c r="X41" s="146" t="s">
        <v>1176</v>
      </c>
      <c r="Y41" s="146" t="s">
        <v>1602</v>
      </c>
      <c r="Z41" s="118" t="s">
        <v>1177</v>
      </c>
      <c r="AA41" s="118">
        <v>-85.9510161998043</v>
      </c>
      <c r="AB41" s="118">
        <v>40.711643982103404</v>
      </c>
    </row>
    <row r="42" spans="1:28" ht="23.25" customHeight="1" x14ac:dyDescent="0.25">
      <c r="A42" s="118">
        <v>266</v>
      </c>
      <c r="B42" s="118" t="s">
        <v>1208</v>
      </c>
      <c r="C42" s="67">
        <v>45867.801296296297</v>
      </c>
      <c r="D42" s="118" t="s">
        <v>1046</v>
      </c>
      <c r="E42" s="67">
        <v>45867.801296296297</v>
      </c>
      <c r="F42" s="118" t="s">
        <v>1046</v>
      </c>
      <c r="G42" s="25">
        <v>10536</v>
      </c>
      <c r="H42" s="118"/>
      <c r="I42" s="118"/>
      <c r="J42" s="118"/>
      <c r="K42" s="119" t="s">
        <v>725</v>
      </c>
      <c r="L42" s="67">
        <v>45867.666666666664</v>
      </c>
      <c r="M42" s="145">
        <v>0.62291666666666667</v>
      </c>
      <c r="N42" s="118">
        <v>13</v>
      </c>
      <c r="O42" s="118" t="s">
        <v>8</v>
      </c>
      <c r="P42" s="118"/>
      <c r="Q42" s="118" t="s">
        <v>11</v>
      </c>
      <c r="R42" s="146" t="s">
        <v>1209</v>
      </c>
      <c r="S42" s="146">
        <v>0.12</v>
      </c>
      <c r="T42" s="118" t="s">
        <v>725</v>
      </c>
      <c r="U42" s="118" t="s">
        <v>725</v>
      </c>
      <c r="V42" s="146" t="s">
        <v>1210</v>
      </c>
      <c r="W42" s="146" t="s">
        <v>1211</v>
      </c>
      <c r="X42" s="146" t="s">
        <v>1212</v>
      </c>
      <c r="Y42" s="146" t="s">
        <v>1606</v>
      </c>
      <c r="Z42" s="118" t="s">
        <v>1213</v>
      </c>
      <c r="AA42" s="118">
        <v>-85.841489649811095</v>
      </c>
      <c r="AB42" s="118">
        <v>40.672481254051903</v>
      </c>
    </row>
    <row r="43" spans="1:28" ht="23.25" customHeight="1" x14ac:dyDescent="0.25">
      <c r="A43" s="118">
        <v>276</v>
      </c>
      <c r="B43" s="118" t="s">
        <v>1266</v>
      </c>
      <c r="C43" s="67">
        <v>45874.742199074077</v>
      </c>
      <c r="D43" s="118" t="s">
        <v>1046</v>
      </c>
      <c r="E43" s="67">
        <v>45874.742199074077</v>
      </c>
      <c r="F43" s="118" t="s">
        <v>1046</v>
      </c>
      <c r="G43" s="25">
        <v>10537</v>
      </c>
      <c r="H43" s="118"/>
      <c r="I43" s="118"/>
      <c r="J43" s="118"/>
      <c r="K43" s="122" t="s">
        <v>726</v>
      </c>
      <c r="L43" s="67">
        <v>45874.666666666664</v>
      </c>
      <c r="M43" s="145">
        <v>0.56388888888888888</v>
      </c>
      <c r="N43" s="118">
        <v>5</v>
      </c>
      <c r="O43" s="118" t="s">
        <v>8</v>
      </c>
      <c r="P43" s="118"/>
      <c r="Q43" s="118" t="s">
        <v>683</v>
      </c>
      <c r="R43" s="146" t="s">
        <v>1267</v>
      </c>
      <c r="S43" s="146">
        <v>0.45</v>
      </c>
      <c r="T43" s="118" t="s">
        <v>726</v>
      </c>
      <c r="U43" s="118" t="s">
        <v>726</v>
      </c>
      <c r="V43" s="118" t="s">
        <v>1268</v>
      </c>
      <c r="W43" s="146" t="s">
        <v>1269</v>
      </c>
      <c r="X43" s="146" t="s">
        <v>1270</v>
      </c>
      <c r="Y43" s="146" t="s">
        <v>1615</v>
      </c>
      <c r="Z43" s="118" t="s">
        <v>1271</v>
      </c>
      <c r="AA43" s="118">
        <v>-86.7959033458676</v>
      </c>
      <c r="AB43" s="118">
        <v>40.823949102802104</v>
      </c>
    </row>
    <row r="44" spans="1:28" ht="23.25" customHeight="1" x14ac:dyDescent="0.25">
      <c r="A44" s="118">
        <v>275</v>
      </c>
      <c r="B44" s="118" t="s">
        <v>1260</v>
      </c>
      <c r="C44" s="67">
        <v>45874.725046296298</v>
      </c>
      <c r="D44" s="118" t="s">
        <v>1046</v>
      </c>
      <c r="E44" s="67">
        <v>45874.725046296298</v>
      </c>
      <c r="F44" s="118" t="s">
        <v>1046</v>
      </c>
      <c r="G44" s="25">
        <v>10538</v>
      </c>
      <c r="H44" s="118"/>
      <c r="I44" s="118"/>
      <c r="J44" s="118"/>
      <c r="K44" s="122" t="s">
        <v>727</v>
      </c>
      <c r="L44" s="67">
        <v>45874.666666666664</v>
      </c>
      <c r="M44" s="145">
        <v>0.54861111111111116</v>
      </c>
      <c r="N44" s="118">
        <v>6</v>
      </c>
      <c r="O44" s="118" t="s">
        <v>8</v>
      </c>
      <c r="P44" s="118"/>
      <c r="Q44" s="118" t="s">
        <v>683</v>
      </c>
      <c r="R44" s="146" t="s">
        <v>1261</v>
      </c>
      <c r="S44" s="146">
        <v>1</v>
      </c>
      <c r="T44" s="118" t="s">
        <v>727</v>
      </c>
      <c r="U44" s="118" t="s">
        <v>727</v>
      </c>
      <c r="V44" s="118" t="s">
        <v>1262</v>
      </c>
      <c r="W44" s="146" t="s">
        <v>1263</v>
      </c>
      <c r="X44" s="146" t="s">
        <v>1264</v>
      </c>
      <c r="Y44" s="146" t="s">
        <v>1608</v>
      </c>
      <c r="Z44" s="118" t="s">
        <v>1265</v>
      </c>
      <c r="AA44" s="118">
        <v>-86.781875828450396</v>
      </c>
      <c r="AB44" s="118">
        <v>40.834960960529898</v>
      </c>
    </row>
    <row r="45" spans="1:28" ht="23.25" customHeight="1" x14ac:dyDescent="0.25">
      <c r="A45" s="118">
        <v>274</v>
      </c>
      <c r="B45" s="118" t="s">
        <v>1255</v>
      </c>
      <c r="C45" s="67">
        <v>45874.715219907404</v>
      </c>
      <c r="D45" s="118" t="s">
        <v>1046</v>
      </c>
      <c r="E45" s="67">
        <v>45874.715219907404</v>
      </c>
      <c r="F45" s="118" t="s">
        <v>1046</v>
      </c>
      <c r="G45" s="25">
        <v>10539</v>
      </c>
      <c r="H45" s="118"/>
      <c r="I45" s="118"/>
      <c r="J45" s="118"/>
      <c r="K45" s="122" t="s">
        <v>728</v>
      </c>
      <c r="L45" s="67">
        <v>45874.666666666664</v>
      </c>
      <c r="M45" s="145">
        <v>0.52708333333333335</v>
      </c>
      <c r="N45" s="118">
        <v>8</v>
      </c>
      <c r="O45" s="118" t="s">
        <v>8</v>
      </c>
      <c r="P45" s="118"/>
      <c r="Q45" s="118" t="s">
        <v>683</v>
      </c>
      <c r="R45" s="146" t="s">
        <v>1244</v>
      </c>
      <c r="S45" s="146">
        <v>0.6</v>
      </c>
      <c r="T45" s="118" t="s">
        <v>728</v>
      </c>
      <c r="U45" s="118" t="s">
        <v>728</v>
      </c>
      <c r="V45" s="118" t="s">
        <v>1256</v>
      </c>
      <c r="W45" s="146" t="s">
        <v>1257</v>
      </c>
      <c r="X45" s="146" t="s">
        <v>1258</v>
      </c>
      <c r="Y45" s="146" t="s">
        <v>1614</v>
      </c>
      <c r="Z45" s="118" t="s">
        <v>1259</v>
      </c>
      <c r="AA45" s="118">
        <v>-86.794330203868697</v>
      </c>
      <c r="AB45" s="118">
        <v>40.811186474031999</v>
      </c>
    </row>
    <row r="46" spans="1:28" ht="23.25" customHeight="1" x14ac:dyDescent="0.25">
      <c r="A46" s="118">
        <v>272</v>
      </c>
      <c r="B46" s="118" t="s">
        <v>1243</v>
      </c>
      <c r="C46" s="67">
        <v>45874.650868055556</v>
      </c>
      <c r="D46" s="118" t="s">
        <v>1046</v>
      </c>
      <c r="E46" s="67">
        <v>45874.650868055556</v>
      </c>
      <c r="F46" s="118" t="s">
        <v>1046</v>
      </c>
      <c r="G46" s="25">
        <v>10540</v>
      </c>
      <c r="H46" s="118"/>
      <c r="I46" s="118"/>
      <c r="J46" s="118"/>
      <c r="K46" s="122" t="s">
        <v>729</v>
      </c>
      <c r="L46" s="67">
        <v>45874.666666666664</v>
      </c>
      <c r="M46" s="145">
        <v>0.47291666666666665</v>
      </c>
      <c r="N46" s="118">
        <v>9</v>
      </c>
      <c r="O46" s="118" t="s">
        <v>8</v>
      </c>
      <c r="P46" s="118"/>
      <c r="Q46" s="118" t="s">
        <v>683</v>
      </c>
      <c r="R46" s="146" t="s">
        <v>1244</v>
      </c>
      <c r="S46" s="146">
        <v>0.6</v>
      </c>
      <c r="T46" s="118" t="s">
        <v>729</v>
      </c>
      <c r="U46" s="118" t="s">
        <v>729</v>
      </c>
      <c r="V46" s="118" t="s">
        <v>1245</v>
      </c>
      <c r="W46" s="146" t="s">
        <v>1246</v>
      </c>
      <c r="X46" s="146" t="s">
        <v>1247</v>
      </c>
      <c r="Y46" s="146" t="s">
        <v>1612</v>
      </c>
      <c r="Z46" s="118" t="s">
        <v>1248</v>
      </c>
      <c r="AA46" s="118">
        <v>-86.774821942976104</v>
      </c>
      <c r="AB46" s="118">
        <v>40.804292107400101</v>
      </c>
    </row>
    <row r="47" spans="1:28" ht="23.25" customHeight="1" x14ac:dyDescent="0.25">
      <c r="A47" s="118">
        <v>270</v>
      </c>
      <c r="B47" s="118" t="s">
        <v>1231</v>
      </c>
      <c r="C47" s="67">
        <v>45874.623726851853</v>
      </c>
      <c r="D47" s="118" t="s">
        <v>1046</v>
      </c>
      <c r="E47" s="67">
        <v>45874.623726851853</v>
      </c>
      <c r="F47" s="118" t="s">
        <v>1046</v>
      </c>
      <c r="G47" s="25">
        <v>10541</v>
      </c>
      <c r="H47" s="118"/>
      <c r="I47" s="118"/>
      <c r="J47" s="118"/>
      <c r="K47" s="122" t="s">
        <v>730</v>
      </c>
      <c r="L47" s="67">
        <v>45874.666666666664</v>
      </c>
      <c r="M47" s="145">
        <v>0.44791666666666669</v>
      </c>
      <c r="N47" s="118">
        <v>10</v>
      </c>
      <c r="O47" s="118" t="s">
        <v>8</v>
      </c>
      <c r="P47" s="118"/>
      <c r="Q47" s="118" t="s">
        <v>683</v>
      </c>
      <c r="R47" s="146" t="s">
        <v>1232</v>
      </c>
      <c r="S47" s="146">
        <v>0.6</v>
      </c>
      <c r="T47" s="118" t="s">
        <v>730</v>
      </c>
      <c r="U47" s="118" t="s">
        <v>730</v>
      </c>
      <c r="V47" s="146" t="s">
        <v>1233</v>
      </c>
      <c r="W47" s="146" t="s">
        <v>1234</v>
      </c>
      <c r="X47" s="118" t="s">
        <v>1235</v>
      </c>
      <c r="Y47" s="146" t="s">
        <v>1610</v>
      </c>
      <c r="Z47" s="118" t="s">
        <v>1236</v>
      </c>
      <c r="AA47" s="118">
        <v>-86.774699849441205</v>
      </c>
      <c r="AB47" s="118">
        <v>40.794741681526801</v>
      </c>
    </row>
    <row r="48" spans="1:28" ht="23.25" customHeight="1" x14ac:dyDescent="0.25">
      <c r="A48" s="118">
        <v>268</v>
      </c>
      <c r="B48" s="118" t="s">
        <v>1219</v>
      </c>
      <c r="C48" s="67">
        <v>45874.591898148145</v>
      </c>
      <c r="D48" s="118" t="s">
        <v>1046</v>
      </c>
      <c r="E48" s="67">
        <v>45874.591898148145</v>
      </c>
      <c r="F48" s="118" t="s">
        <v>1046</v>
      </c>
      <c r="G48" s="25">
        <v>10542</v>
      </c>
      <c r="H48" s="118"/>
      <c r="I48" s="118"/>
      <c r="J48" s="118"/>
      <c r="K48" s="122" t="s">
        <v>731</v>
      </c>
      <c r="L48" s="67">
        <v>45874.666666666664</v>
      </c>
      <c r="M48" s="145">
        <v>0.40763888888888888</v>
      </c>
      <c r="N48" s="118">
        <v>11</v>
      </c>
      <c r="O48" s="118" t="s">
        <v>8</v>
      </c>
      <c r="P48" s="118"/>
      <c r="Q48" s="118" t="s">
        <v>683</v>
      </c>
      <c r="R48" s="146" t="s">
        <v>1220</v>
      </c>
      <c r="S48" s="146">
        <v>0.6</v>
      </c>
      <c r="T48" s="118" t="s">
        <v>731</v>
      </c>
      <c r="U48" s="118" t="s">
        <v>731</v>
      </c>
      <c r="V48" s="146" t="s">
        <v>1221</v>
      </c>
      <c r="W48" s="146" t="s">
        <v>1222</v>
      </c>
      <c r="X48" s="146" t="s">
        <v>1223</v>
      </c>
      <c r="Y48" s="146" t="s">
        <v>1608</v>
      </c>
      <c r="Z48" s="146" t="s">
        <v>1224</v>
      </c>
      <c r="AA48" s="118">
        <v>-86.772086740762006</v>
      </c>
      <c r="AB48" s="118">
        <v>40.788612939137003</v>
      </c>
    </row>
    <row r="49" spans="1:28" ht="23.25" customHeight="1" x14ac:dyDescent="0.25">
      <c r="A49" s="118">
        <v>269</v>
      </c>
      <c r="B49" s="118" t="s">
        <v>1225</v>
      </c>
      <c r="C49" s="67">
        <v>45874.608067129629</v>
      </c>
      <c r="D49" s="118" t="s">
        <v>1046</v>
      </c>
      <c r="E49" s="67">
        <v>45874.608067129629</v>
      </c>
      <c r="F49" s="118" t="s">
        <v>1046</v>
      </c>
      <c r="G49" s="25">
        <v>10543</v>
      </c>
      <c r="H49" s="118"/>
      <c r="I49" s="118"/>
      <c r="J49" s="118"/>
      <c r="K49" s="122" t="s">
        <v>732</v>
      </c>
      <c r="L49" s="67">
        <v>45874.666666666664</v>
      </c>
      <c r="M49" s="145">
        <v>0.42708333333333331</v>
      </c>
      <c r="N49" s="118">
        <v>12</v>
      </c>
      <c r="O49" s="118" t="s">
        <v>8</v>
      </c>
      <c r="P49" s="118"/>
      <c r="Q49" s="118" t="s">
        <v>683</v>
      </c>
      <c r="R49" s="146" t="s">
        <v>1226</v>
      </c>
      <c r="S49" s="146">
        <v>0.7</v>
      </c>
      <c r="T49" s="118" t="s">
        <v>732</v>
      </c>
      <c r="U49" s="118" t="s">
        <v>732</v>
      </c>
      <c r="V49" s="146" t="s">
        <v>1227</v>
      </c>
      <c r="W49" s="146" t="s">
        <v>1228</v>
      </c>
      <c r="X49" s="146" t="s">
        <v>1229</v>
      </c>
      <c r="Y49" s="146" t="s">
        <v>1609</v>
      </c>
      <c r="Z49" s="118" t="s">
        <v>1230</v>
      </c>
      <c r="AA49" s="118">
        <v>-86.762338858064993</v>
      </c>
      <c r="AB49" s="118">
        <v>40.782407876290399</v>
      </c>
    </row>
    <row r="50" spans="1:28" ht="23.25" customHeight="1" x14ac:dyDescent="0.25">
      <c r="A50" s="118">
        <v>273</v>
      </c>
      <c r="B50" s="118" t="s">
        <v>1249</v>
      </c>
      <c r="C50" s="67">
        <v>45874.667569444442</v>
      </c>
      <c r="D50" s="118" t="s">
        <v>1046</v>
      </c>
      <c r="E50" s="67">
        <v>45874.766817129632</v>
      </c>
      <c r="F50" s="118" t="s">
        <v>1046</v>
      </c>
      <c r="G50" s="25">
        <v>10544</v>
      </c>
      <c r="H50" s="118"/>
      <c r="I50" s="118"/>
      <c r="J50" s="118"/>
      <c r="K50" s="122" t="s">
        <v>733</v>
      </c>
      <c r="L50" s="67">
        <v>45874.666666666664</v>
      </c>
      <c r="M50" s="145">
        <v>0.48888888888888887</v>
      </c>
      <c r="N50" s="118">
        <v>14</v>
      </c>
      <c r="O50" s="118" t="s">
        <v>8</v>
      </c>
      <c r="P50" s="118"/>
      <c r="Q50" s="118" t="s">
        <v>683</v>
      </c>
      <c r="R50" s="146" t="s">
        <v>1250</v>
      </c>
      <c r="S50" s="146">
        <v>0.6</v>
      </c>
      <c r="T50" s="118" t="s">
        <v>733</v>
      </c>
      <c r="U50" s="118" t="s">
        <v>733</v>
      </c>
      <c r="V50" s="118" t="s">
        <v>1251</v>
      </c>
      <c r="W50" s="146" t="s">
        <v>1252</v>
      </c>
      <c r="X50" s="146" t="s">
        <v>1253</v>
      </c>
      <c r="Y50" s="146" t="s">
        <v>1613</v>
      </c>
      <c r="Z50" s="146" t="s">
        <v>1254</v>
      </c>
      <c r="AA50" s="118">
        <v>-86.785416838958895</v>
      </c>
      <c r="AB50" s="118">
        <v>40.807363505644901</v>
      </c>
    </row>
    <row r="51" spans="1:28" ht="23.25" customHeight="1" x14ac:dyDescent="0.25">
      <c r="A51" s="118">
        <v>271</v>
      </c>
      <c r="B51" s="118" t="s">
        <v>1237</v>
      </c>
      <c r="C51" s="67">
        <v>45874.637314814812</v>
      </c>
      <c r="D51" s="118" t="s">
        <v>1046</v>
      </c>
      <c r="E51" s="67">
        <v>45874.637314814812</v>
      </c>
      <c r="F51" s="118" t="s">
        <v>1046</v>
      </c>
      <c r="G51" s="25">
        <v>10545</v>
      </c>
      <c r="H51" s="118"/>
      <c r="I51" s="118"/>
      <c r="J51" s="118"/>
      <c r="K51" s="122" t="s">
        <v>734</v>
      </c>
      <c r="L51" s="67">
        <v>45874.666666666664</v>
      </c>
      <c r="M51" s="145">
        <v>0.45833333333333331</v>
      </c>
      <c r="N51" s="118">
        <v>15</v>
      </c>
      <c r="O51" s="118" t="s">
        <v>8</v>
      </c>
      <c r="P51" s="118"/>
      <c r="Q51" s="118" t="s">
        <v>683</v>
      </c>
      <c r="R51" s="146" t="s">
        <v>1238</v>
      </c>
      <c r="S51" s="146">
        <v>0.6</v>
      </c>
      <c r="T51" s="118" t="s">
        <v>734</v>
      </c>
      <c r="U51" s="118" t="s">
        <v>734</v>
      </c>
      <c r="V51" s="118" t="s">
        <v>1239</v>
      </c>
      <c r="W51" s="146" t="s">
        <v>1240</v>
      </c>
      <c r="X51" s="146" t="s">
        <v>1241</v>
      </c>
      <c r="Y51" s="146" t="s">
        <v>1611</v>
      </c>
      <c r="Z51" s="118" t="s">
        <v>1242</v>
      </c>
      <c r="AA51" s="118">
        <v>-86.777852356195098</v>
      </c>
      <c r="AB51" s="118">
        <v>40.799284862032501</v>
      </c>
    </row>
    <row r="52" spans="1:28" ht="23.25" customHeight="1" x14ac:dyDescent="0.25">
      <c r="A52" s="118">
        <v>277</v>
      </c>
      <c r="B52" s="118" t="s">
        <v>1272</v>
      </c>
      <c r="C52" s="67">
        <v>45874.75885416667</v>
      </c>
      <c r="D52" s="118" t="s">
        <v>1046</v>
      </c>
      <c r="E52" s="67">
        <v>45874.760057870371</v>
      </c>
      <c r="F52" s="118" t="s">
        <v>1046</v>
      </c>
      <c r="G52" s="25">
        <v>10546</v>
      </c>
      <c r="H52" s="118"/>
      <c r="I52" s="118"/>
      <c r="J52" s="118"/>
      <c r="K52" s="122" t="s">
        <v>735</v>
      </c>
      <c r="L52" s="67">
        <v>45874.666666666664</v>
      </c>
      <c r="M52" s="145">
        <v>0.58263888888888893</v>
      </c>
      <c r="N52" s="118">
        <v>16</v>
      </c>
      <c r="O52" s="118" t="s">
        <v>8</v>
      </c>
      <c r="P52" s="118"/>
      <c r="Q52" s="118" t="s">
        <v>683</v>
      </c>
      <c r="R52" s="146" t="s">
        <v>1273</v>
      </c>
      <c r="S52" s="146">
        <v>0.75</v>
      </c>
      <c r="T52" s="118" t="s">
        <v>735</v>
      </c>
      <c r="U52" s="118" t="s">
        <v>735</v>
      </c>
      <c r="V52" s="146" t="s">
        <v>1274</v>
      </c>
      <c r="W52" s="146" t="s">
        <v>1275</v>
      </c>
      <c r="X52" s="118" t="s">
        <v>1276</v>
      </c>
      <c r="Y52" s="146" t="s">
        <v>1616</v>
      </c>
      <c r="Z52" s="118" t="s">
        <v>1277</v>
      </c>
      <c r="AA52" s="118">
        <v>-86.790997799464705</v>
      </c>
      <c r="AB52" s="118">
        <v>40.818374468400101</v>
      </c>
    </row>
    <row r="53" spans="1:28" ht="23.25" customHeight="1" x14ac:dyDescent="0.25">
      <c r="A53" s="118">
        <v>285</v>
      </c>
      <c r="B53" s="118" t="s">
        <v>1322</v>
      </c>
      <c r="C53" s="67">
        <v>45875.764988425923</v>
      </c>
      <c r="D53" s="118" t="s">
        <v>1046</v>
      </c>
      <c r="E53" s="67">
        <v>45875.764988425923</v>
      </c>
      <c r="F53" s="118" t="s">
        <v>1046</v>
      </c>
      <c r="G53" s="25">
        <v>10547</v>
      </c>
      <c r="H53" s="118"/>
      <c r="I53" s="118"/>
      <c r="J53" s="118"/>
      <c r="K53" s="119" t="s">
        <v>736</v>
      </c>
      <c r="L53" s="67">
        <v>45875.666666666664</v>
      </c>
      <c r="M53" s="145">
        <v>0.55555555555555558</v>
      </c>
      <c r="N53" s="118">
        <v>1</v>
      </c>
      <c r="O53" s="118" t="s">
        <v>8</v>
      </c>
      <c r="P53" s="118"/>
      <c r="Q53" s="118" t="s">
        <v>11</v>
      </c>
      <c r="R53" s="146" t="s">
        <v>1323</v>
      </c>
      <c r="S53" s="146">
        <v>0.6</v>
      </c>
      <c r="T53" s="118" t="s">
        <v>1324</v>
      </c>
      <c r="U53" s="118" t="s">
        <v>1324</v>
      </c>
      <c r="V53" s="146" t="s">
        <v>1325</v>
      </c>
      <c r="W53" s="146" t="s">
        <v>1326</v>
      </c>
      <c r="X53" s="146" t="s">
        <v>1327</v>
      </c>
      <c r="Y53" s="146" t="s">
        <v>1617</v>
      </c>
      <c r="Z53" s="118" t="s">
        <v>1328</v>
      </c>
      <c r="AA53" s="118">
        <v>-85.888865343207399</v>
      </c>
      <c r="AB53" s="118">
        <v>40.681699086124503</v>
      </c>
    </row>
    <row r="54" spans="1:28" ht="23.25" customHeight="1" x14ac:dyDescent="0.25">
      <c r="A54" s="118">
        <v>286</v>
      </c>
      <c r="B54" s="118" t="s">
        <v>1329</v>
      </c>
      <c r="C54" s="67">
        <v>45875.765046296299</v>
      </c>
      <c r="D54" s="118" t="s">
        <v>1046</v>
      </c>
      <c r="E54" s="67">
        <v>45875.765046296299</v>
      </c>
      <c r="F54" s="118" t="s">
        <v>1046</v>
      </c>
      <c r="G54" s="25">
        <v>10548</v>
      </c>
      <c r="H54" s="118"/>
      <c r="I54" s="118"/>
      <c r="J54" s="118"/>
      <c r="K54" s="119" t="s">
        <v>737</v>
      </c>
      <c r="L54" s="67">
        <v>45875.666666666664</v>
      </c>
      <c r="M54" s="145">
        <v>0.56874999999999998</v>
      </c>
      <c r="N54" s="118">
        <v>2</v>
      </c>
      <c r="O54" s="118" t="s">
        <v>8</v>
      </c>
      <c r="P54" s="118"/>
      <c r="Q54" s="118" t="s">
        <v>11</v>
      </c>
      <c r="R54" s="146" t="s">
        <v>1330</v>
      </c>
      <c r="S54" s="146">
        <v>0.5</v>
      </c>
      <c r="T54" s="118" t="s">
        <v>1331</v>
      </c>
      <c r="U54" s="118" t="s">
        <v>1331</v>
      </c>
      <c r="V54" s="146" t="s">
        <v>1332</v>
      </c>
      <c r="W54" s="146" t="s">
        <v>1333</v>
      </c>
      <c r="X54" s="146" t="s">
        <v>1334</v>
      </c>
      <c r="Y54" s="146" t="s">
        <v>1597</v>
      </c>
      <c r="Z54" s="118" t="s">
        <v>1335</v>
      </c>
      <c r="AA54" s="118">
        <v>-85.877077932975695</v>
      </c>
      <c r="AB54" s="118">
        <v>40.676850337058198</v>
      </c>
    </row>
    <row r="55" spans="1:28" ht="23.25" customHeight="1" x14ac:dyDescent="0.25">
      <c r="A55" s="118">
        <v>287</v>
      </c>
      <c r="B55" s="118" t="s">
        <v>1336</v>
      </c>
      <c r="C55" s="67">
        <v>45875.765081018515</v>
      </c>
      <c r="D55" s="118" t="s">
        <v>1046</v>
      </c>
      <c r="E55" s="67">
        <v>45875.765081018515</v>
      </c>
      <c r="F55" s="118" t="s">
        <v>1046</v>
      </c>
      <c r="G55" s="25">
        <v>10549</v>
      </c>
      <c r="H55" s="118"/>
      <c r="I55" s="118"/>
      <c r="J55" s="118"/>
      <c r="K55" s="119" t="s">
        <v>738</v>
      </c>
      <c r="L55" s="67">
        <v>45875.666666666664</v>
      </c>
      <c r="M55" s="145">
        <v>0.58194444444444449</v>
      </c>
      <c r="N55" s="118">
        <v>3</v>
      </c>
      <c r="O55" s="118" t="s">
        <v>8</v>
      </c>
      <c r="P55" s="118"/>
      <c r="Q55" s="118" t="s">
        <v>11</v>
      </c>
      <c r="R55" s="146" t="s">
        <v>1337</v>
      </c>
      <c r="S55" s="146">
        <v>0.35</v>
      </c>
      <c r="T55" s="118" t="s">
        <v>1338</v>
      </c>
      <c r="U55" s="118" t="s">
        <v>1338</v>
      </c>
      <c r="V55" s="146" t="s">
        <v>1339</v>
      </c>
      <c r="W55" s="146" t="s">
        <v>1340</v>
      </c>
      <c r="X55" s="146" t="s">
        <v>1341</v>
      </c>
      <c r="Y55" s="146" t="s">
        <v>1593</v>
      </c>
      <c r="Z55" s="118" t="s">
        <v>1342</v>
      </c>
      <c r="AA55" s="118">
        <v>-85.870347039790502</v>
      </c>
      <c r="AB55" s="118">
        <v>40.6707760913608</v>
      </c>
    </row>
    <row r="56" spans="1:28" ht="23.25" customHeight="1" x14ac:dyDescent="0.25">
      <c r="A56" s="118">
        <v>291</v>
      </c>
      <c r="B56" s="118" t="s">
        <v>1361</v>
      </c>
      <c r="C56" s="67">
        <v>45889.601655092592</v>
      </c>
      <c r="D56" s="118" t="s">
        <v>1046</v>
      </c>
      <c r="E56" s="67">
        <v>45889.601655092592</v>
      </c>
      <c r="F56" s="118" t="s">
        <v>1046</v>
      </c>
      <c r="G56" s="25">
        <v>10550</v>
      </c>
      <c r="H56" s="118"/>
      <c r="I56" s="118"/>
      <c r="J56" s="118"/>
      <c r="K56" s="119" t="s">
        <v>739</v>
      </c>
      <c r="L56" s="67">
        <v>45875.666666666664</v>
      </c>
      <c r="M56" s="145">
        <v>0.64236111111111116</v>
      </c>
      <c r="N56" s="118">
        <v>5</v>
      </c>
      <c r="O56" s="118" t="s">
        <v>8</v>
      </c>
      <c r="P56" s="118"/>
      <c r="Q56" s="118" t="s">
        <v>11</v>
      </c>
      <c r="R56" s="146" t="s">
        <v>1362</v>
      </c>
      <c r="S56" s="146">
        <v>0.15</v>
      </c>
      <c r="T56" s="118" t="s">
        <v>1363</v>
      </c>
      <c r="U56" s="118" t="s">
        <v>1363</v>
      </c>
      <c r="V56" s="146" t="s">
        <v>1364</v>
      </c>
      <c r="W56" s="146" t="s">
        <v>1365</v>
      </c>
      <c r="X56" s="146" t="s">
        <v>1366</v>
      </c>
      <c r="Y56" s="146" t="s">
        <v>1625</v>
      </c>
      <c r="Z56" s="118" t="s">
        <v>1367</v>
      </c>
      <c r="AA56" s="118">
        <v>-85.847787148494703</v>
      </c>
      <c r="AB56" s="118">
        <v>40.668582365894899</v>
      </c>
    </row>
    <row r="57" spans="1:28" ht="23.25" customHeight="1" x14ac:dyDescent="0.25">
      <c r="A57" s="118">
        <v>288</v>
      </c>
      <c r="B57" s="118" t="s">
        <v>1343</v>
      </c>
      <c r="C57" s="67">
        <v>45875.781493055554</v>
      </c>
      <c r="D57" s="118" t="s">
        <v>1046</v>
      </c>
      <c r="E57" s="67">
        <v>45875.781493055554</v>
      </c>
      <c r="F57" s="118" t="s">
        <v>1046</v>
      </c>
      <c r="G57" s="25">
        <v>10551</v>
      </c>
      <c r="K57" s="147" t="s">
        <v>740</v>
      </c>
      <c r="L57" s="67">
        <v>45875.666666666664</v>
      </c>
      <c r="M57" s="145">
        <v>0.59930555555555554</v>
      </c>
      <c r="N57" s="118">
        <v>6</v>
      </c>
      <c r="O57" s="118" t="s">
        <v>8</v>
      </c>
      <c r="P57" s="118"/>
      <c r="Q57" s="118" t="s">
        <v>11</v>
      </c>
      <c r="R57" s="146" t="s">
        <v>1344</v>
      </c>
      <c r="S57" s="146">
        <v>0.3</v>
      </c>
      <c r="T57" s="118" t="s">
        <v>739</v>
      </c>
      <c r="U57" s="118" t="s">
        <v>739</v>
      </c>
      <c r="V57" s="118" t="s">
        <v>1345</v>
      </c>
      <c r="W57" s="146" t="s">
        <v>1346</v>
      </c>
      <c r="X57" s="146" t="s">
        <v>1347</v>
      </c>
      <c r="Y57" s="146" t="s">
        <v>1623</v>
      </c>
      <c r="Z57" s="118" t="s">
        <v>1348</v>
      </c>
      <c r="AA57" s="118">
        <v>-85.866445610354404</v>
      </c>
      <c r="AB57" s="118">
        <v>40.663214093793798</v>
      </c>
    </row>
    <row r="58" spans="1:28" ht="23.25" customHeight="1" x14ac:dyDescent="0.25">
      <c r="A58" s="118">
        <v>294</v>
      </c>
      <c r="B58" s="118" t="s">
        <v>1381</v>
      </c>
      <c r="C58" s="67">
        <v>45889.601851851854</v>
      </c>
      <c r="D58" s="118" t="s">
        <v>1046</v>
      </c>
      <c r="E58" s="67">
        <v>45889.601851851854</v>
      </c>
      <c r="F58" s="118" t="s">
        <v>1046</v>
      </c>
      <c r="G58" s="25">
        <v>10552</v>
      </c>
      <c r="K58" s="147" t="s">
        <v>741</v>
      </c>
      <c r="L58" s="67">
        <v>45875.666666666664</v>
      </c>
      <c r="M58" s="145">
        <v>0.68194444444444446</v>
      </c>
      <c r="N58" s="118">
        <v>6</v>
      </c>
      <c r="O58" s="118" t="s">
        <v>8</v>
      </c>
      <c r="P58" s="118"/>
      <c r="Q58" s="118" t="s">
        <v>11</v>
      </c>
      <c r="R58" s="146" t="s">
        <v>1382</v>
      </c>
      <c r="S58" s="146">
        <v>0.1</v>
      </c>
      <c r="T58" s="118" t="s">
        <v>741</v>
      </c>
      <c r="U58" s="118" t="s">
        <v>741</v>
      </c>
      <c r="V58" s="118" t="s">
        <v>1383</v>
      </c>
      <c r="W58" s="146" t="s">
        <v>1384</v>
      </c>
      <c r="X58" s="146" t="s">
        <v>1385</v>
      </c>
      <c r="Y58" s="146" t="s">
        <v>1587</v>
      </c>
      <c r="Z58" s="118" t="s">
        <v>1386</v>
      </c>
      <c r="AA58" s="118">
        <v>-85.831866478386004</v>
      </c>
      <c r="AB58" s="118">
        <v>40.673670773428299</v>
      </c>
    </row>
    <row r="59" spans="1:28" ht="23.25" customHeight="1" x14ac:dyDescent="0.25">
      <c r="A59" s="118">
        <v>278</v>
      </c>
      <c r="B59" s="118" t="s">
        <v>1278</v>
      </c>
      <c r="C59" s="67">
        <v>45875.598229166666</v>
      </c>
      <c r="D59" s="118" t="s">
        <v>1046</v>
      </c>
      <c r="E59" s="67">
        <v>45875.598587962966</v>
      </c>
      <c r="F59" s="118" t="s">
        <v>1046</v>
      </c>
      <c r="G59" s="25">
        <v>10553</v>
      </c>
      <c r="H59" s="118"/>
      <c r="I59" s="118"/>
      <c r="J59" s="118"/>
      <c r="K59" s="149" t="s">
        <v>742</v>
      </c>
      <c r="L59" s="67">
        <v>45875.666666666664</v>
      </c>
      <c r="M59" s="145">
        <v>0.41388888888888886</v>
      </c>
      <c r="N59" s="118">
        <v>7</v>
      </c>
      <c r="O59" s="118" t="s">
        <v>8</v>
      </c>
      <c r="P59" s="118"/>
      <c r="Q59" s="118" t="s">
        <v>11</v>
      </c>
      <c r="R59" s="146" t="s">
        <v>1279</v>
      </c>
      <c r="S59" s="146">
        <v>0.6</v>
      </c>
      <c r="T59" s="118" t="s">
        <v>742</v>
      </c>
      <c r="U59" s="118" t="s">
        <v>742</v>
      </c>
      <c r="V59" s="118" t="s">
        <v>1280</v>
      </c>
      <c r="W59" s="146" t="s">
        <v>1281</v>
      </c>
      <c r="X59" s="146" t="s">
        <v>1282</v>
      </c>
      <c r="Y59" s="146" t="s">
        <v>1617</v>
      </c>
      <c r="Z59" s="118" t="s">
        <v>1283</v>
      </c>
      <c r="AA59" s="118">
        <v>-85.896527487712504</v>
      </c>
      <c r="AB59" s="118">
        <v>40.6878624052029</v>
      </c>
    </row>
    <row r="60" spans="1:28" ht="23.25" customHeight="1" x14ac:dyDescent="0.25">
      <c r="A60" s="118">
        <v>279</v>
      </c>
      <c r="B60" s="118" t="s">
        <v>1284</v>
      </c>
      <c r="C60" s="67">
        <v>45875.614386574074</v>
      </c>
      <c r="D60" s="118" t="s">
        <v>1046</v>
      </c>
      <c r="E60" s="67">
        <v>45875.614386574074</v>
      </c>
      <c r="F60" s="118" t="s">
        <v>1046</v>
      </c>
      <c r="G60" s="25">
        <v>10554</v>
      </c>
      <c r="H60" s="118"/>
      <c r="I60" s="118"/>
      <c r="J60" s="118"/>
      <c r="K60" s="149" t="s">
        <v>743</v>
      </c>
      <c r="L60" s="67">
        <v>45875.666666666664</v>
      </c>
      <c r="M60" s="145">
        <v>0.43680555555555556</v>
      </c>
      <c r="N60" s="118">
        <v>8</v>
      </c>
      <c r="O60" s="118" t="s">
        <v>8</v>
      </c>
      <c r="P60" s="118"/>
      <c r="Q60" s="118" t="s">
        <v>11</v>
      </c>
      <c r="R60" s="146" t="s">
        <v>1285</v>
      </c>
      <c r="S60" s="146">
        <v>0.7</v>
      </c>
      <c r="T60" s="118" t="s">
        <v>743</v>
      </c>
      <c r="U60" s="118" t="s">
        <v>743</v>
      </c>
      <c r="V60" s="118" t="s">
        <v>1286</v>
      </c>
      <c r="W60" s="146" t="s">
        <v>1287</v>
      </c>
      <c r="X60" s="146" t="s">
        <v>1288</v>
      </c>
      <c r="Y60" s="146" t="s">
        <v>1618</v>
      </c>
      <c r="Z60" s="118" t="s">
        <v>1289</v>
      </c>
      <c r="AA60" s="118">
        <v>-85.908289933336107</v>
      </c>
      <c r="AB60" s="118">
        <v>40.6916741148748</v>
      </c>
    </row>
    <row r="61" spans="1:28" ht="23.25" customHeight="1" x14ac:dyDescent="0.25">
      <c r="A61" s="118">
        <v>281</v>
      </c>
      <c r="B61" s="118" t="s">
        <v>1296</v>
      </c>
      <c r="C61" s="67">
        <v>45875.638402777775</v>
      </c>
      <c r="D61" s="118" t="s">
        <v>1046</v>
      </c>
      <c r="E61" s="67">
        <v>45875.638402777775</v>
      </c>
      <c r="F61" s="118" t="s">
        <v>1046</v>
      </c>
      <c r="G61" s="25">
        <v>10555</v>
      </c>
      <c r="H61" s="118"/>
      <c r="I61" s="118"/>
      <c r="J61" s="118"/>
      <c r="K61" s="149" t="s">
        <v>744</v>
      </c>
      <c r="L61" s="67">
        <v>45875.666666666664</v>
      </c>
      <c r="M61" s="145">
        <v>0.46111111111111114</v>
      </c>
      <c r="N61" s="118">
        <v>9</v>
      </c>
      <c r="O61" s="118" t="s">
        <v>8</v>
      </c>
      <c r="P61" s="118"/>
      <c r="Q61" s="118" t="s">
        <v>11</v>
      </c>
      <c r="R61" s="146" t="s">
        <v>1297</v>
      </c>
      <c r="S61" s="146">
        <v>0.7</v>
      </c>
      <c r="T61" s="118" t="s">
        <v>744</v>
      </c>
      <c r="U61" s="118" t="s">
        <v>744</v>
      </c>
      <c r="V61" s="146" t="s">
        <v>1298</v>
      </c>
      <c r="W61" s="146" t="s">
        <v>1299</v>
      </c>
      <c r="X61" s="146" t="s">
        <v>1300</v>
      </c>
      <c r="Y61" s="146" t="s">
        <v>1619</v>
      </c>
      <c r="Z61" s="118" t="s">
        <v>1301</v>
      </c>
      <c r="AA61" s="118">
        <v>-85.929923192181406</v>
      </c>
      <c r="AB61" s="118">
        <v>40.704167782880198</v>
      </c>
    </row>
    <row r="62" spans="1:28" ht="23.25" customHeight="1" x14ac:dyDescent="0.25">
      <c r="A62" s="118">
        <v>280</v>
      </c>
      <c r="B62" s="118" t="s">
        <v>1290</v>
      </c>
      <c r="C62" s="67">
        <v>45875.625439814816</v>
      </c>
      <c r="D62" s="118" t="s">
        <v>1046</v>
      </c>
      <c r="E62" s="67">
        <v>45875.625439814816</v>
      </c>
      <c r="F62" s="118" t="s">
        <v>1046</v>
      </c>
      <c r="G62" s="25">
        <v>10556</v>
      </c>
      <c r="H62" s="118"/>
      <c r="I62" s="118"/>
      <c r="J62" s="118"/>
      <c r="K62" s="149" t="s">
        <v>745</v>
      </c>
      <c r="L62" s="67">
        <v>45875.666666666664</v>
      </c>
      <c r="M62" s="145">
        <v>0.44722222222222224</v>
      </c>
      <c r="N62" s="118">
        <v>10</v>
      </c>
      <c r="O62" s="118" t="s">
        <v>8</v>
      </c>
      <c r="P62" s="118"/>
      <c r="Q62" s="118" t="s">
        <v>11</v>
      </c>
      <c r="R62" s="146" t="s">
        <v>1291</v>
      </c>
      <c r="S62" s="146">
        <v>0.7</v>
      </c>
      <c r="T62" s="118" t="s">
        <v>745</v>
      </c>
      <c r="U62" s="118" t="s">
        <v>745</v>
      </c>
      <c r="V62" s="118" t="s">
        <v>1292</v>
      </c>
      <c r="W62" s="146" t="s">
        <v>1293</v>
      </c>
      <c r="X62" s="146" t="s">
        <v>1294</v>
      </c>
      <c r="Y62" s="146" t="s">
        <v>1619</v>
      </c>
      <c r="Z62" s="118" t="s">
        <v>1295</v>
      </c>
      <c r="AA62" s="118">
        <v>-85.920210239478394</v>
      </c>
      <c r="AB62" s="118">
        <v>40.693328949160403</v>
      </c>
    </row>
    <row r="63" spans="1:28" ht="23.25" customHeight="1" x14ac:dyDescent="0.25">
      <c r="A63" s="118">
        <v>282</v>
      </c>
      <c r="B63" s="118" t="s">
        <v>1302</v>
      </c>
      <c r="C63" s="67">
        <v>45875.65053240741</v>
      </c>
      <c r="D63" s="118" t="s">
        <v>1046</v>
      </c>
      <c r="E63" s="67">
        <v>45875.65053240741</v>
      </c>
      <c r="F63" s="118" t="s">
        <v>1046</v>
      </c>
      <c r="G63" s="25">
        <v>10557</v>
      </c>
      <c r="H63" s="118"/>
      <c r="I63" s="118"/>
      <c r="J63" s="118"/>
      <c r="K63" s="149" t="s">
        <v>746</v>
      </c>
      <c r="L63" s="67">
        <v>45875.666666666664</v>
      </c>
      <c r="M63" s="145">
        <v>0.47430555555555554</v>
      </c>
      <c r="N63" s="118">
        <v>11</v>
      </c>
      <c r="O63" s="118" t="s">
        <v>8</v>
      </c>
      <c r="P63" s="118"/>
      <c r="Q63" s="118" t="s">
        <v>11</v>
      </c>
      <c r="R63" s="146" t="s">
        <v>1303</v>
      </c>
      <c r="S63" s="146">
        <v>0.6</v>
      </c>
      <c r="T63" s="118" t="s">
        <v>746</v>
      </c>
      <c r="U63" s="118" t="s">
        <v>746</v>
      </c>
      <c r="V63" s="118" t="s">
        <v>1304</v>
      </c>
      <c r="W63" s="146" t="s">
        <v>1305</v>
      </c>
      <c r="X63" s="146" t="s">
        <v>1306</v>
      </c>
      <c r="Y63" s="146" t="s">
        <v>1620</v>
      </c>
      <c r="Z63" s="118" t="s">
        <v>1307</v>
      </c>
      <c r="AA63" s="118">
        <v>-85.938609998636096</v>
      </c>
      <c r="AB63" s="118">
        <v>40.710977573480697</v>
      </c>
    </row>
    <row r="64" spans="1:28" ht="23.25" customHeight="1" x14ac:dyDescent="0.25">
      <c r="A64" s="118">
        <v>284</v>
      </c>
      <c r="B64" s="118" t="s">
        <v>1315</v>
      </c>
      <c r="C64" s="67">
        <v>45875.764965277776</v>
      </c>
      <c r="D64" s="118" t="s">
        <v>1046</v>
      </c>
      <c r="E64" s="67">
        <v>45875.764965277776</v>
      </c>
      <c r="F64" s="118" t="s">
        <v>1046</v>
      </c>
      <c r="G64" s="25">
        <v>10558</v>
      </c>
      <c r="H64" s="118"/>
      <c r="I64" s="118"/>
      <c r="J64" s="118"/>
      <c r="K64" s="149" t="s">
        <v>747</v>
      </c>
      <c r="L64" s="67">
        <v>45875.666666666664</v>
      </c>
      <c r="M64" s="145">
        <v>0.49930555555555556</v>
      </c>
      <c r="N64" s="118">
        <v>12</v>
      </c>
      <c r="O64" s="118" t="s">
        <v>8</v>
      </c>
      <c r="P64" s="118"/>
      <c r="Q64" s="118" t="s">
        <v>11</v>
      </c>
      <c r="R64" s="146" t="s">
        <v>1316</v>
      </c>
      <c r="S64" s="146">
        <v>0.85</v>
      </c>
      <c r="T64" s="118" t="s">
        <v>1317</v>
      </c>
      <c r="U64" s="118" t="s">
        <v>1317</v>
      </c>
      <c r="V64" s="118" t="s">
        <v>1318</v>
      </c>
      <c r="W64" s="146" t="s">
        <v>1319</v>
      </c>
      <c r="X64" s="146" t="s">
        <v>1320</v>
      </c>
      <c r="Y64" s="146" t="s">
        <v>1622</v>
      </c>
      <c r="Z64" s="118" t="s">
        <v>1321</v>
      </c>
      <c r="AA64" s="118">
        <v>-85.950957297963896</v>
      </c>
      <c r="AB64" s="118">
        <v>40.711642507143999</v>
      </c>
    </row>
    <row r="65" spans="1:28" ht="23.25" customHeight="1" x14ac:dyDescent="0.25">
      <c r="A65" s="118">
        <v>292</v>
      </c>
      <c r="B65" s="118" t="s">
        <v>1368</v>
      </c>
      <c r="C65" s="67">
        <v>45889.601747685185</v>
      </c>
      <c r="D65" s="118" t="s">
        <v>1046</v>
      </c>
      <c r="E65" s="67">
        <v>45889.601747685185</v>
      </c>
      <c r="F65" s="118" t="s">
        <v>1046</v>
      </c>
      <c r="G65" s="25">
        <v>10559</v>
      </c>
      <c r="H65" s="118"/>
      <c r="I65" s="118"/>
      <c r="J65" s="118"/>
      <c r="K65" s="149" t="s">
        <v>748</v>
      </c>
      <c r="L65" s="67">
        <v>45875.666666666664</v>
      </c>
      <c r="M65" s="145">
        <v>0.65763888888888888</v>
      </c>
      <c r="N65" s="118">
        <v>13</v>
      </c>
      <c r="O65" s="118" t="s">
        <v>8</v>
      </c>
      <c r="P65" s="118"/>
      <c r="Q65" s="118" t="s">
        <v>11</v>
      </c>
      <c r="R65" s="146" t="s">
        <v>1369</v>
      </c>
      <c r="S65" s="146">
        <v>0.1</v>
      </c>
      <c r="T65" s="118" t="s">
        <v>1370</v>
      </c>
      <c r="U65" s="118" t="s">
        <v>1370</v>
      </c>
      <c r="V65" s="146" t="s">
        <v>1371</v>
      </c>
      <c r="W65" s="146" t="s">
        <v>1372</v>
      </c>
      <c r="X65" s="146" t="s">
        <v>1373</v>
      </c>
      <c r="Y65" s="146" t="s">
        <v>1591</v>
      </c>
      <c r="Z65" s="118" t="s">
        <v>1374</v>
      </c>
      <c r="AA65" s="118">
        <v>-85.841428341580198</v>
      </c>
      <c r="AB65" s="118">
        <v>40.672639173060297</v>
      </c>
    </row>
    <row r="66" spans="1:28" ht="23.25" customHeight="1" x14ac:dyDescent="0.25">
      <c r="A66" s="118">
        <v>283</v>
      </c>
      <c r="B66" s="118" t="s">
        <v>1308</v>
      </c>
      <c r="C66" s="67">
        <v>45875.663993055554</v>
      </c>
      <c r="D66" s="118" t="s">
        <v>1046</v>
      </c>
      <c r="E66" s="67">
        <v>45875.663993055554</v>
      </c>
      <c r="F66" s="118" t="s">
        <v>1046</v>
      </c>
      <c r="G66" s="25">
        <v>10560</v>
      </c>
      <c r="H66" s="118"/>
      <c r="I66" s="118"/>
      <c r="J66" s="118"/>
      <c r="K66" s="149" t="s">
        <v>749</v>
      </c>
      <c r="L66" s="67">
        <v>45875.666666666664</v>
      </c>
      <c r="M66" s="145">
        <v>0.49444444444444446</v>
      </c>
      <c r="N66" s="118">
        <v>14</v>
      </c>
      <c r="O66" s="118" t="s">
        <v>8</v>
      </c>
      <c r="P66" s="118"/>
      <c r="Q66" s="118" t="s">
        <v>11</v>
      </c>
      <c r="R66" s="146" t="s">
        <v>1309</v>
      </c>
      <c r="S66" s="146">
        <v>0.6</v>
      </c>
      <c r="T66" s="118" t="s">
        <v>1310</v>
      </c>
      <c r="U66" s="118" t="s">
        <v>1310</v>
      </c>
      <c r="V66" s="118" t="s">
        <v>1311</v>
      </c>
      <c r="W66" s="146" t="s">
        <v>1312</v>
      </c>
      <c r="X66" s="146" t="s">
        <v>1313</v>
      </c>
      <c r="Y66" s="146" t="s">
        <v>1621</v>
      </c>
      <c r="Z66" s="118" t="s">
        <v>1314</v>
      </c>
      <c r="AA66" s="118">
        <v>-85.950773635567103</v>
      </c>
      <c r="AB66" s="118">
        <v>40.715589359992002</v>
      </c>
    </row>
    <row r="67" spans="1:28" ht="23.25" customHeight="1" x14ac:dyDescent="0.25">
      <c r="A67" s="118">
        <v>289</v>
      </c>
      <c r="B67" s="118" t="s">
        <v>1349</v>
      </c>
      <c r="C67" s="67">
        <v>45875.897048611114</v>
      </c>
      <c r="D67" s="118" t="s">
        <v>1046</v>
      </c>
      <c r="E67" s="67">
        <v>45875.897048611114</v>
      </c>
      <c r="F67" s="118" t="s">
        <v>1046</v>
      </c>
      <c r="G67" s="25">
        <v>10561</v>
      </c>
      <c r="H67" s="118"/>
      <c r="I67" s="118"/>
      <c r="J67" s="118"/>
      <c r="K67" s="149" t="s">
        <v>750</v>
      </c>
      <c r="L67" s="67">
        <v>45875.666666666664</v>
      </c>
      <c r="M67" s="145">
        <v>0.61597222222222225</v>
      </c>
      <c r="N67" s="118">
        <v>15</v>
      </c>
      <c r="O67" s="118" t="s">
        <v>8</v>
      </c>
      <c r="P67" s="118"/>
      <c r="Q67" s="118" t="s">
        <v>11</v>
      </c>
      <c r="R67" s="146" t="s">
        <v>1350</v>
      </c>
      <c r="S67" s="146">
        <v>0.3</v>
      </c>
      <c r="T67" s="118" t="s">
        <v>750</v>
      </c>
      <c r="U67" s="118" t="s">
        <v>750</v>
      </c>
      <c r="V67" s="118" t="s">
        <v>1351</v>
      </c>
      <c r="W67" s="146" t="s">
        <v>1352</v>
      </c>
      <c r="X67" s="146" t="s">
        <v>1353</v>
      </c>
      <c r="Y67" s="146" t="s">
        <v>1596</v>
      </c>
      <c r="Z67" s="118" t="s">
        <v>1354</v>
      </c>
      <c r="AA67" s="118">
        <v>-85.855203228642097</v>
      </c>
      <c r="AB67" s="118">
        <v>40.663695204342503</v>
      </c>
    </row>
    <row r="68" spans="1:28" ht="23.25" customHeight="1" x14ac:dyDescent="0.25">
      <c r="A68" s="118">
        <v>293</v>
      </c>
      <c r="B68" s="118" t="s">
        <v>1375</v>
      </c>
      <c r="C68" s="67">
        <v>45889.6018287037</v>
      </c>
      <c r="D68" s="118" t="s">
        <v>1046</v>
      </c>
      <c r="E68" s="67">
        <v>45889.6018287037</v>
      </c>
      <c r="F68" s="118" t="s">
        <v>1046</v>
      </c>
      <c r="G68" s="25">
        <v>10562</v>
      </c>
      <c r="H68" s="118"/>
      <c r="I68" s="118"/>
      <c r="J68" s="118"/>
      <c r="K68" s="149" t="s">
        <v>751</v>
      </c>
      <c r="L68" s="67">
        <v>45875.666666666664</v>
      </c>
      <c r="M68" s="145">
        <v>0.67083333333333328</v>
      </c>
      <c r="N68" s="118">
        <v>16</v>
      </c>
      <c r="O68" s="118" t="s">
        <v>8</v>
      </c>
      <c r="P68" s="118"/>
      <c r="Q68" s="118" t="s">
        <v>11</v>
      </c>
      <c r="R68" s="146" t="s">
        <v>1376</v>
      </c>
      <c r="S68" s="146">
        <v>0.15</v>
      </c>
      <c r="T68" s="118" t="s">
        <v>751</v>
      </c>
      <c r="U68" s="118" t="s">
        <v>751</v>
      </c>
      <c r="V68" s="146" t="s">
        <v>1377</v>
      </c>
      <c r="W68" s="146" t="s">
        <v>1378</v>
      </c>
      <c r="X68" s="146" t="s">
        <v>1379</v>
      </c>
      <c r="Y68" s="146" t="s">
        <v>1598</v>
      </c>
      <c r="Z68" s="118" t="s">
        <v>1380</v>
      </c>
      <c r="AA68" s="118">
        <v>-85.836302394486395</v>
      </c>
      <c r="AB68" s="118">
        <v>40.672891429388898</v>
      </c>
    </row>
    <row r="69" spans="1:28" ht="23.25" customHeight="1" x14ac:dyDescent="0.25">
      <c r="A69" s="118">
        <v>322</v>
      </c>
      <c r="B69" s="118" t="s">
        <v>1546</v>
      </c>
      <c r="C69" s="67">
        <v>45923.705775462964</v>
      </c>
      <c r="D69" s="118" t="s">
        <v>1547</v>
      </c>
      <c r="E69" s="67">
        <v>45923.705775462964</v>
      </c>
      <c r="F69" s="118" t="s">
        <v>1547</v>
      </c>
      <c r="G69" s="25">
        <v>10563</v>
      </c>
      <c r="H69" s="118"/>
      <c r="I69" s="118"/>
      <c r="J69" s="118"/>
      <c r="K69" s="124" t="s">
        <v>782</v>
      </c>
      <c r="L69" s="67">
        <v>45882.666666666664</v>
      </c>
      <c r="M69" s="145">
        <v>0.38333333333333336</v>
      </c>
      <c r="N69" s="118">
        <v>1</v>
      </c>
      <c r="O69" s="118" t="s">
        <v>8</v>
      </c>
      <c r="P69" s="118"/>
      <c r="Q69" s="118" t="s">
        <v>11</v>
      </c>
      <c r="R69" s="118"/>
      <c r="S69" s="118"/>
      <c r="T69" s="118" t="s">
        <v>782</v>
      </c>
      <c r="U69" s="118" t="s">
        <v>1548</v>
      </c>
      <c r="V69" s="146" t="s">
        <v>1549</v>
      </c>
      <c r="W69" s="118"/>
      <c r="X69" s="118"/>
      <c r="Y69" s="146" t="s">
        <v>115</v>
      </c>
      <c r="Z69" s="118"/>
      <c r="AA69" s="118">
        <v>-85.888788149456502</v>
      </c>
      <c r="AB69" s="118">
        <v>40.681715106607101</v>
      </c>
    </row>
    <row r="70" spans="1:28" ht="23.25" customHeight="1" x14ac:dyDescent="0.25">
      <c r="A70" s="118">
        <v>323</v>
      </c>
      <c r="B70" s="118" t="s">
        <v>1550</v>
      </c>
      <c r="C70" s="67">
        <v>45923.705787037034</v>
      </c>
      <c r="D70" s="118" t="s">
        <v>1547</v>
      </c>
      <c r="E70" s="67">
        <v>45923.705787037034</v>
      </c>
      <c r="F70" s="118" t="s">
        <v>1547</v>
      </c>
      <c r="G70" s="25">
        <v>10564</v>
      </c>
      <c r="H70" s="118"/>
      <c r="I70" s="118"/>
      <c r="J70" s="118"/>
      <c r="K70" s="124" t="s">
        <v>783</v>
      </c>
      <c r="L70" s="67">
        <v>45882.666666666664</v>
      </c>
      <c r="M70" s="145">
        <v>0.39861111111111114</v>
      </c>
      <c r="N70" s="118">
        <v>2</v>
      </c>
      <c r="O70" s="118" t="s">
        <v>8</v>
      </c>
      <c r="P70" s="118"/>
      <c r="Q70" s="118" t="s">
        <v>11</v>
      </c>
      <c r="R70" s="118"/>
      <c r="S70" s="118"/>
      <c r="T70" s="118" t="s">
        <v>1551</v>
      </c>
      <c r="U70" s="118" t="s">
        <v>1552</v>
      </c>
      <c r="V70" s="118"/>
      <c r="W70" s="118"/>
      <c r="X70" s="118"/>
      <c r="Y70" s="146" t="s">
        <v>115</v>
      </c>
      <c r="Z70" s="118"/>
      <c r="AA70" s="118">
        <v>-85.877201243577403</v>
      </c>
      <c r="AB70" s="118">
        <v>40.677154294966101</v>
      </c>
    </row>
    <row r="71" spans="1:28" ht="23.25" customHeight="1" x14ac:dyDescent="0.25">
      <c r="A71" s="118">
        <v>324</v>
      </c>
      <c r="B71" s="118" t="s">
        <v>1553</v>
      </c>
      <c r="C71" s="67">
        <v>45923.70579861111</v>
      </c>
      <c r="D71" s="118" t="s">
        <v>1547</v>
      </c>
      <c r="E71" s="67">
        <v>45923.70579861111</v>
      </c>
      <c r="F71" s="118" t="s">
        <v>1547</v>
      </c>
      <c r="G71" s="25">
        <v>10565</v>
      </c>
      <c r="H71" s="118"/>
      <c r="I71" s="118"/>
      <c r="J71" s="118"/>
      <c r="K71" s="124" t="s">
        <v>784</v>
      </c>
      <c r="L71" s="67">
        <v>45882.666666666664</v>
      </c>
      <c r="M71" s="145">
        <v>0.41111111111111109</v>
      </c>
      <c r="N71" s="118">
        <v>3</v>
      </c>
      <c r="O71" s="118" t="s">
        <v>8</v>
      </c>
      <c r="P71" s="118"/>
      <c r="Q71" s="118" t="s">
        <v>11</v>
      </c>
      <c r="R71" s="118"/>
      <c r="S71" s="118"/>
      <c r="T71" s="118" t="s">
        <v>784</v>
      </c>
      <c r="U71" s="118" t="s">
        <v>1554</v>
      </c>
      <c r="V71" s="118"/>
      <c r="W71" s="118"/>
      <c r="X71" s="118"/>
      <c r="Y71" s="146" t="s">
        <v>115</v>
      </c>
      <c r="Z71" s="118"/>
      <c r="AA71" s="118">
        <v>-85.870287405498303</v>
      </c>
      <c r="AB71" s="118">
        <v>40.670718619801697</v>
      </c>
    </row>
    <row r="72" spans="1:28" ht="23.25" customHeight="1" x14ac:dyDescent="0.25">
      <c r="A72" s="118">
        <v>325</v>
      </c>
      <c r="B72" s="118" t="s">
        <v>1555</v>
      </c>
      <c r="C72" s="67">
        <v>45923.705833333333</v>
      </c>
      <c r="D72" s="118" t="s">
        <v>1547</v>
      </c>
      <c r="E72" s="67">
        <v>45923.705833333333</v>
      </c>
      <c r="F72" s="118" t="s">
        <v>1547</v>
      </c>
      <c r="G72" s="25">
        <v>10566</v>
      </c>
      <c r="H72" s="118"/>
      <c r="I72" s="118"/>
      <c r="J72" s="118"/>
      <c r="K72" s="124" t="s">
        <v>785</v>
      </c>
      <c r="L72" s="67">
        <v>45882.666666666664</v>
      </c>
      <c r="M72" s="145">
        <v>0.41875000000000001</v>
      </c>
      <c r="N72" s="118">
        <v>4</v>
      </c>
      <c r="O72" s="118" t="s">
        <v>8</v>
      </c>
      <c r="P72" s="118"/>
      <c r="Q72" s="118" t="s">
        <v>11</v>
      </c>
      <c r="R72" s="118"/>
      <c r="S72" s="118"/>
      <c r="T72" s="118" t="s">
        <v>785</v>
      </c>
      <c r="U72" s="118" t="s">
        <v>1556</v>
      </c>
      <c r="V72" s="118"/>
      <c r="W72" s="118"/>
      <c r="X72" s="118"/>
      <c r="Y72" s="146" t="s">
        <v>115</v>
      </c>
      <c r="Z72" s="118"/>
      <c r="AA72" s="118">
        <v>-85.866485864267801</v>
      </c>
      <c r="AB72" s="118">
        <v>40.663286919955198</v>
      </c>
    </row>
    <row r="73" spans="1:28" ht="23.25" customHeight="1" x14ac:dyDescent="0.25">
      <c r="A73" s="118">
        <v>327</v>
      </c>
      <c r="B73" s="118" t="s">
        <v>1559</v>
      </c>
      <c r="C73" s="67">
        <v>45923.705868055556</v>
      </c>
      <c r="D73" s="118" t="s">
        <v>1547</v>
      </c>
      <c r="E73" s="67">
        <v>45923.705868055556</v>
      </c>
      <c r="F73" s="118" t="s">
        <v>1547</v>
      </c>
      <c r="G73" s="25">
        <v>10567</v>
      </c>
      <c r="H73" s="118"/>
      <c r="I73" s="118"/>
      <c r="J73" s="118"/>
      <c r="K73" s="124" t="s">
        <v>786</v>
      </c>
      <c r="L73" s="67">
        <v>45882.666666666664</v>
      </c>
      <c r="M73" s="145">
        <v>0.44513888888888886</v>
      </c>
      <c r="N73" s="118">
        <v>5</v>
      </c>
      <c r="O73" s="118" t="s">
        <v>8</v>
      </c>
      <c r="P73" s="118"/>
      <c r="Q73" s="118" t="s">
        <v>11</v>
      </c>
      <c r="R73" s="118"/>
      <c r="S73" s="118"/>
      <c r="T73" s="118" t="s">
        <v>786</v>
      </c>
      <c r="U73" s="118" t="s">
        <v>1560</v>
      </c>
      <c r="V73" s="118"/>
      <c r="W73" s="118"/>
      <c r="X73" s="118"/>
      <c r="Y73" s="146" t="s">
        <v>115</v>
      </c>
      <c r="Z73" s="118"/>
      <c r="AA73" s="118">
        <v>-85.847962574216595</v>
      </c>
      <c r="AB73" s="118">
        <v>40.668572255115002</v>
      </c>
    </row>
    <row r="74" spans="1:28" ht="23.25" customHeight="1" x14ac:dyDescent="0.25">
      <c r="A74" s="118">
        <v>329</v>
      </c>
      <c r="B74" s="118" t="s">
        <v>1563</v>
      </c>
      <c r="C74" s="67">
        <v>45923.70590277778</v>
      </c>
      <c r="D74" s="118" t="s">
        <v>1547</v>
      </c>
      <c r="E74" s="67">
        <v>45923.70590277778</v>
      </c>
      <c r="F74" s="118" t="s">
        <v>1547</v>
      </c>
      <c r="G74" s="25">
        <v>10568</v>
      </c>
      <c r="H74" s="118"/>
      <c r="I74" s="118"/>
      <c r="J74" s="118"/>
      <c r="K74" s="148" t="s">
        <v>787</v>
      </c>
      <c r="L74" s="67">
        <v>45882.666666666664</v>
      </c>
      <c r="M74" s="145">
        <v>0.46597222222222223</v>
      </c>
      <c r="N74" s="118">
        <v>6</v>
      </c>
      <c r="O74" s="118" t="s">
        <v>8</v>
      </c>
      <c r="P74" s="118"/>
      <c r="Q74" s="118" t="s">
        <v>11</v>
      </c>
      <c r="R74" s="118"/>
      <c r="S74" s="118"/>
      <c r="T74" s="118" t="s">
        <v>787</v>
      </c>
      <c r="U74" s="118" t="s">
        <v>1564</v>
      </c>
      <c r="V74" s="118"/>
      <c r="W74" s="118"/>
      <c r="X74" s="118"/>
      <c r="Y74" s="146" t="s">
        <v>115</v>
      </c>
      <c r="Z74" s="118"/>
      <c r="AA74" s="118">
        <v>-85.831860726015293</v>
      </c>
      <c r="AB74" s="118">
        <v>40.673722143501401</v>
      </c>
    </row>
    <row r="75" spans="1:28" ht="23.25" customHeight="1" x14ac:dyDescent="0.25">
      <c r="A75" s="118">
        <v>336</v>
      </c>
      <c r="B75" s="118" t="s">
        <v>1577</v>
      </c>
      <c r="C75" s="67">
        <v>45923.706006944441</v>
      </c>
      <c r="D75" s="118" t="s">
        <v>1547</v>
      </c>
      <c r="E75" s="67">
        <v>45923.751770833333</v>
      </c>
      <c r="F75" s="118" t="s">
        <v>1547</v>
      </c>
      <c r="G75" s="25">
        <v>10569</v>
      </c>
      <c r="H75" s="118"/>
      <c r="I75" s="118"/>
      <c r="J75" s="118"/>
      <c r="K75" s="148" t="s">
        <v>788</v>
      </c>
      <c r="L75" s="67">
        <v>45882.666666666664</v>
      </c>
      <c r="M75" s="145">
        <v>0.58194444444444449</v>
      </c>
      <c r="N75" s="118">
        <v>7</v>
      </c>
      <c r="O75" s="118" t="s">
        <v>8</v>
      </c>
      <c r="P75" s="118"/>
      <c r="Q75" s="118" t="s">
        <v>11</v>
      </c>
      <c r="R75" s="118"/>
      <c r="S75" s="118"/>
      <c r="T75" s="118" t="s">
        <v>788</v>
      </c>
      <c r="U75" s="118" t="s">
        <v>1578</v>
      </c>
      <c r="V75" s="118"/>
      <c r="W75" s="118"/>
      <c r="X75" s="118"/>
      <c r="Y75" s="146" t="s">
        <v>115</v>
      </c>
      <c r="Z75" s="118"/>
      <c r="AA75" s="118">
        <v>-85.896392727391799</v>
      </c>
      <c r="AB75" s="118">
        <v>40.687837744978602</v>
      </c>
    </row>
    <row r="76" spans="1:28" ht="23.25" customHeight="1" x14ac:dyDescent="0.25">
      <c r="A76" s="118">
        <v>335</v>
      </c>
      <c r="B76" s="118" t="s">
        <v>1575</v>
      </c>
      <c r="C76" s="67">
        <v>45923.705995370372</v>
      </c>
      <c r="D76" s="118" t="s">
        <v>1547</v>
      </c>
      <c r="E76" s="67">
        <v>45923.75172453704</v>
      </c>
      <c r="F76" s="118" t="s">
        <v>1547</v>
      </c>
      <c r="G76" s="25">
        <v>10570</v>
      </c>
      <c r="H76" s="118"/>
      <c r="I76" s="118"/>
      <c r="J76" s="118"/>
      <c r="K76" s="148" t="s">
        <v>789</v>
      </c>
      <c r="L76" s="67">
        <v>45882.666666666664</v>
      </c>
      <c r="M76" s="145">
        <v>0.57847222222222228</v>
      </c>
      <c r="N76" s="118">
        <v>8</v>
      </c>
      <c r="O76" s="118" t="s">
        <v>8</v>
      </c>
      <c r="P76" s="118"/>
      <c r="Q76" s="118" t="s">
        <v>11</v>
      </c>
      <c r="R76" s="118"/>
      <c r="S76" s="118"/>
      <c r="T76" s="118" t="s">
        <v>789</v>
      </c>
      <c r="U76" s="118" t="s">
        <v>1576</v>
      </c>
      <c r="V76" s="118"/>
      <c r="W76" s="118"/>
      <c r="X76" s="118"/>
      <c r="Y76" s="146" t="s">
        <v>115</v>
      </c>
      <c r="Z76" s="118"/>
      <c r="AA76" s="118">
        <v>-85.907788549587707</v>
      </c>
      <c r="AB76" s="118">
        <v>40.691436921490698</v>
      </c>
    </row>
    <row r="77" spans="1:28" ht="23.25" customHeight="1" x14ac:dyDescent="0.25">
      <c r="A77" s="118">
        <v>333</v>
      </c>
      <c r="B77" s="118" t="s">
        <v>1571</v>
      </c>
      <c r="C77" s="67">
        <v>45923.705960648149</v>
      </c>
      <c r="D77" s="118" t="s">
        <v>1547</v>
      </c>
      <c r="E77" s="67">
        <v>45923.751620370371</v>
      </c>
      <c r="F77" s="118" t="s">
        <v>1547</v>
      </c>
      <c r="G77" s="25">
        <v>10571</v>
      </c>
      <c r="H77" s="118"/>
      <c r="I77" s="118"/>
      <c r="J77" s="118"/>
      <c r="K77" s="148" t="s">
        <v>790</v>
      </c>
      <c r="L77" s="67">
        <v>45882.666666666664</v>
      </c>
      <c r="M77" s="145">
        <v>0.5444444444444444</v>
      </c>
      <c r="N77" s="118">
        <v>9</v>
      </c>
      <c r="O77" s="118" t="s">
        <v>8</v>
      </c>
      <c r="P77" s="118"/>
      <c r="Q77" s="118" t="s">
        <v>11</v>
      </c>
      <c r="R77" s="118"/>
      <c r="S77" s="118"/>
      <c r="T77" s="118" t="s">
        <v>790</v>
      </c>
      <c r="U77" s="118" t="s">
        <v>1572</v>
      </c>
      <c r="V77" s="118"/>
      <c r="W77" s="118"/>
      <c r="X77" s="118"/>
      <c r="Y77" s="146" t="s">
        <v>115</v>
      </c>
      <c r="Z77" s="118"/>
      <c r="AA77" s="118">
        <v>-85.930099513462096</v>
      </c>
      <c r="AB77" s="118">
        <v>40.7042358795022</v>
      </c>
    </row>
    <row r="78" spans="1:28" ht="23.25" customHeight="1" x14ac:dyDescent="0.25">
      <c r="A78" s="118">
        <v>334</v>
      </c>
      <c r="B78" s="118" t="s">
        <v>1573</v>
      </c>
      <c r="C78" s="67">
        <v>45923.705972222226</v>
      </c>
      <c r="D78" s="118" t="s">
        <v>1547</v>
      </c>
      <c r="E78" s="67">
        <v>45923.751689814817</v>
      </c>
      <c r="F78" s="118" t="s">
        <v>1547</v>
      </c>
      <c r="G78" s="25">
        <v>10572</v>
      </c>
      <c r="H78" s="118"/>
      <c r="I78" s="118"/>
      <c r="J78" s="118"/>
      <c r="K78" s="148" t="s">
        <v>791</v>
      </c>
      <c r="L78" s="67">
        <v>45882.666666666664</v>
      </c>
      <c r="M78" s="145">
        <v>0.55694444444444446</v>
      </c>
      <c r="N78" s="118">
        <v>10</v>
      </c>
      <c r="O78" s="118" t="s">
        <v>8</v>
      </c>
      <c r="P78" s="118"/>
      <c r="Q78" s="118" t="s">
        <v>11</v>
      </c>
      <c r="R78" s="118"/>
      <c r="S78" s="118"/>
      <c r="T78" s="118" t="s">
        <v>791</v>
      </c>
      <c r="U78" s="118" t="s">
        <v>1574</v>
      </c>
      <c r="V78" s="118"/>
      <c r="W78" s="118"/>
      <c r="X78" s="118"/>
      <c r="Y78" s="146" t="s">
        <v>115</v>
      </c>
      <c r="Z78" s="118"/>
      <c r="AA78" s="118">
        <v>-85.919984527129003</v>
      </c>
      <c r="AB78" s="118">
        <v>40.693064987555303</v>
      </c>
    </row>
    <row r="79" spans="1:28" ht="23.25" customHeight="1" x14ac:dyDescent="0.25">
      <c r="A79" s="118">
        <v>332</v>
      </c>
      <c r="B79" s="118" t="s">
        <v>1569</v>
      </c>
      <c r="C79" s="67">
        <v>45923.705937500003</v>
      </c>
      <c r="D79" s="118" t="s">
        <v>1547</v>
      </c>
      <c r="E79" s="67">
        <v>45923.751574074071</v>
      </c>
      <c r="F79" s="118" t="s">
        <v>1547</v>
      </c>
      <c r="G79" s="25">
        <v>10573</v>
      </c>
      <c r="H79" s="118"/>
      <c r="I79" s="118"/>
      <c r="J79" s="118"/>
      <c r="K79" s="148" t="s">
        <v>792</v>
      </c>
      <c r="L79" s="67">
        <v>45882.666666666664</v>
      </c>
      <c r="M79" s="145">
        <v>0.53263888888888888</v>
      </c>
      <c r="N79" s="118">
        <v>11</v>
      </c>
      <c r="O79" s="118" t="s">
        <v>8</v>
      </c>
      <c r="P79" s="118"/>
      <c r="Q79" s="118" t="s">
        <v>11</v>
      </c>
      <c r="R79" s="118"/>
      <c r="S79" s="118"/>
      <c r="T79" s="118" t="s">
        <v>792</v>
      </c>
      <c r="U79" s="118" t="s">
        <v>1570</v>
      </c>
      <c r="V79" s="118"/>
      <c r="W79" s="118"/>
      <c r="X79" s="118"/>
      <c r="Y79" s="146" t="s">
        <v>115</v>
      </c>
      <c r="Z79" s="118"/>
      <c r="AA79" s="118">
        <v>-85.938684960607205</v>
      </c>
      <c r="AB79" s="118">
        <v>40.7109787493496</v>
      </c>
    </row>
    <row r="80" spans="1:28" ht="23.25" customHeight="1" x14ac:dyDescent="0.25">
      <c r="A80" s="118">
        <v>331</v>
      </c>
      <c r="B80" s="118" t="s">
        <v>1567</v>
      </c>
      <c r="C80" s="67">
        <v>45923.705925925926</v>
      </c>
      <c r="D80" s="118" t="s">
        <v>1547</v>
      </c>
      <c r="E80" s="67">
        <v>45923.751539351855</v>
      </c>
      <c r="F80" s="118" t="s">
        <v>1547</v>
      </c>
      <c r="G80" s="25">
        <v>10574</v>
      </c>
      <c r="H80" s="118"/>
      <c r="I80" s="118"/>
      <c r="J80" s="118"/>
      <c r="K80" s="148" t="s">
        <v>793</v>
      </c>
      <c r="L80" s="67">
        <v>45882.666666666664</v>
      </c>
      <c r="M80" s="145">
        <v>0.5229166666666667</v>
      </c>
      <c r="N80" s="118">
        <v>12</v>
      </c>
      <c r="O80" s="118" t="s">
        <v>8</v>
      </c>
      <c r="P80" s="118"/>
      <c r="Q80" s="118" t="s">
        <v>11</v>
      </c>
      <c r="R80" s="118"/>
      <c r="S80" s="118"/>
      <c r="T80" s="118" t="s">
        <v>793</v>
      </c>
      <c r="U80" s="118" t="s">
        <v>1568</v>
      </c>
      <c r="V80" s="118"/>
      <c r="W80" s="118"/>
      <c r="X80" s="118"/>
      <c r="Y80" s="146" t="s">
        <v>115</v>
      </c>
      <c r="Z80" s="118"/>
      <c r="AA80" s="118">
        <v>-85.950778318148494</v>
      </c>
      <c r="AB80" s="118">
        <v>40.711693336855703</v>
      </c>
    </row>
    <row r="81" spans="1:28" ht="23.25" customHeight="1" x14ac:dyDescent="0.25">
      <c r="A81" s="118">
        <v>328</v>
      </c>
      <c r="B81" s="118" t="s">
        <v>1561</v>
      </c>
      <c r="C81" s="67">
        <v>45923.705891203703</v>
      </c>
      <c r="D81" s="118" t="s">
        <v>1547</v>
      </c>
      <c r="E81" s="67">
        <v>45923.705891203703</v>
      </c>
      <c r="F81" s="118" t="s">
        <v>1547</v>
      </c>
      <c r="G81" s="25">
        <v>10575</v>
      </c>
      <c r="H81" s="118"/>
      <c r="I81" s="118"/>
      <c r="J81" s="118"/>
      <c r="K81" s="148" t="s">
        <v>794</v>
      </c>
      <c r="L81" s="67">
        <v>45882.666666666664</v>
      </c>
      <c r="M81" s="145">
        <v>0.45555555555555555</v>
      </c>
      <c r="N81" s="118">
        <v>13</v>
      </c>
      <c r="O81" s="118" t="s">
        <v>8</v>
      </c>
      <c r="P81" s="118"/>
      <c r="Q81" s="118" t="s">
        <v>11</v>
      </c>
      <c r="R81" s="118"/>
      <c r="S81" s="118"/>
      <c r="T81" s="118" t="s">
        <v>794</v>
      </c>
      <c r="U81" s="118" t="s">
        <v>1562</v>
      </c>
      <c r="V81" s="118"/>
      <c r="W81" s="118"/>
      <c r="X81" s="118"/>
      <c r="Y81" s="146" t="s">
        <v>115</v>
      </c>
      <c r="Z81" s="118"/>
      <c r="AA81" s="118">
        <v>-85.841450190894093</v>
      </c>
      <c r="AB81" s="118">
        <v>40.672573608924402</v>
      </c>
    </row>
    <row r="82" spans="1:28" ht="23.25" customHeight="1" x14ac:dyDescent="0.25">
      <c r="A82" s="118">
        <v>326</v>
      </c>
      <c r="B82" s="118" t="s">
        <v>1557</v>
      </c>
      <c r="C82" s="67">
        <v>45923.70584490741</v>
      </c>
      <c r="D82" s="118" t="s">
        <v>1547</v>
      </c>
      <c r="E82" s="67">
        <v>45923.751377314817</v>
      </c>
      <c r="F82" s="118" t="s">
        <v>1547</v>
      </c>
      <c r="G82" s="25">
        <v>10576</v>
      </c>
      <c r="H82" s="118"/>
      <c r="I82" s="118"/>
      <c r="J82" s="118"/>
      <c r="K82" s="148" t="s">
        <v>795</v>
      </c>
      <c r="L82" s="67">
        <v>45882.666666666664</v>
      </c>
      <c r="M82" s="145">
        <v>0.43680555555555556</v>
      </c>
      <c r="N82" s="118">
        <v>15</v>
      </c>
      <c r="O82" s="118" t="s">
        <v>8</v>
      </c>
      <c r="P82" s="118"/>
      <c r="Q82" s="118" t="s">
        <v>11</v>
      </c>
      <c r="R82" s="118"/>
      <c r="S82" s="118"/>
      <c r="T82" s="118" t="s">
        <v>795</v>
      </c>
      <c r="U82" s="118" t="s">
        <v>1558</v>
      </c>
      <c r="V82" s="118"/>
      <c r="W82" s="118"/>
      <c r="X82" s="118"/>
      <c r="Y82" s="146" t="s">
        <v>115</v>
      </c>
      <c r="Z82" s="118"/>
      <c r="AA82" s="118">
        <v>-85.855344082132305</v>
      </c>
      <c r="AB82" s="118">
        <v>40.663149028751498</v>
      </c>
    </row>
    <row r="83" spans="1:28" ht="23.25" customHeight="1" x14ac:dyDescent="0.25">
      <c r="A83" s="118">
        <v>330</v>
      </c>
      <c r="B83" s="118" t="s">
        <v>1565</v>
      </c>
      <c r="C83" s="67">
        <v>45923.705914351849</v>
      </c>
      <c r="D83" s="118" t="s">
        <v>1547</v>
      </c>
      <c r="E83" s="67">
        <v>45923.751481481479</v>
      </c>
      <c r="F83" s="118" t="s">
        <v>1547</v>
      </c>
      <c r="G83" s="25">
        <v>10577</v>
      </c>
      <c r="H83" s="118"/>
      <c r="I83" s="118"/>
      <c r="J83" s="118"/>
      <c r="K83" s="148" t="s">
        <v>796</v>
      </c>
      <c r="L83" s="67">
        <v>45882.666666666664</v>
      </c>
      <c r="M83" s="145">
        <v>0.49236111111111114</v>
      </c>
      <c r="N83" s="118">
        <v>17</v>
      </c>
      <c r="O83" s="118" t="s">
        <v>8</v>
      </c>
      <c r="P83" s="118"/>
      <c r="Q83" s="118" t="s">
        <v>11</v>
      </c>
      <c r="R83" s="118"/>
      <c r="S83" s="118"/>
      <c r="T83" s="118" t="s">
        <v>796</v>
      </c>
      <c r="U83" s="118" t="s">
        <v>1566</v>
      </c>
      <c r="V83" s="118"/>
      <c r="W83" s="118"/>
      <c r="X83" s="118"/>
      <c r="Y83" s="146" t="s">
        <v>115</v>
      </c>
      <c r="Z83" s="118"/>
      <c r="AA83" s="118">
        <v>-85.876428639400501</v>
      </c>
      <c r="AB83" s="118">
        <v>40.677226157739803</v>
      </c>
    </row>
    <row r="84" spans="1:28" ht="23.25" customHeight="1" x14ac:dyDescent="0.25">
      <c r="A84" s="118">
        <v>303</v>
      </c>
      <c r="B84" s="118" t="s">
        <v>1438</v>
      </c>
      <c r="C84" s="67">
        <v>45891.720543981479</v>
      </c>
      <c r="D84" s="118" t="s">
        <v>1046</v>
      </c>
      <c r="E84" s="67">
        <v>45891.720543981479</v>
      </c>
      <c r="F84" s="118" t="s">
        <v>1046</v>
      </c>
      <c r="G84" s="25">
        <v>10578</v>
      </c>
      <c r="H84" s="118"/>
      <c r="I84" s="118"/>
      <c r="J84" s="118"/>
      <c r="K84" s="123" t="s">
        <v>752</v>
      </c>
      <c r="L84" s="67">
        <v>45891.666666666664</v>
      </c>
      <c r="M84" s="145">
        <v>0.5395833333333333</v>
      </c>
      <c r="N84" s="118">
        <v>1</v>
      </c>
      <c r="O84" s="118" t="s">
        <v>8</v>
      </c>
      <c r="P84" s="118"/>
      <c r="Q84" s="118" t="s">
        <v>11</v>
      </c>
      <c r="R84" s="146" t="s">
        <v>1439</v>
      </c>
      <c r="S84" s="146">
        <v>0.45</v>
      </c>
      <c r="T84" s="118" t="s">
        <v>752</v>
      </c>
      <c r="U84" s="118" t="s">
        <v>752</v>
      </c>
      <c r="V84" s="146" t="s">
        <v>1440</v>
      </c>
      <c r="W84" s="146" t="s">
        <v>1441</v>
      </c>
      <c r="X84" s="146" t="s">
        <v>1442</v>
      </c>
      <c r="Y84" s="146" t="s">
        <v>1616</v>
      </c>
      <c r="Z84" s="146" t="s">
        <v>1443</v>
      </c>
      <c r="AA84" s="118">
        <v>-85.888918001550294</v>
      </c>
      <c r="AB84" s="118">
        <v>40.6816536638119</v>
      </c>
    </row>
    <row r="85" spans="1:28" ht="23.25" customHeight="1" x14ac:dyDescent="0.25">
      <c r="A85" s="118">
        <v>302</v>
      </c>
      <c r="B85" s="118" t="s">
        <v>1432</v>
      </c>
      <c r="C85" s="67">
        <v>45891.720509259256</v>
      </c>
      <c r="D85" s="118" t="s">
        <v>1046</v>
      </c>
      <c r="E85" s="67">
        <v>45891.720509259256</v>
      </c>
      <c r="F85" s="118" t="s">
        <v>1046</v>
      </c>
      <c r="G85" s="25">
        <v>10579</v>
      </c>
      <c r="H85" s="118"/>
      <c r="I85" s="118"/>
      <c r="J85" s="118"/>
      <c r="K85" s="123" t="s">
        <v>753</v>
      </c>
      <c r="L85" s="67">
        <v>45891.666666666664</v>
      </c>
      <c r="M85" s="145">
        <v>0.50069444444444444</v>
      </c>
      <c r="N85" s="118">
        <v>2</v>
      </c>
      <c r="O85" s="118" t="s">
        <v>8</v>
      </c>
      <c r="P85" s="118"/>
      <c r="Q85" s="118" t="s">
        <v>11</v>
      </c>
      <c r="R85" s="146" t="s">
        <v>1433</v>
      </c>
      <c r="S85" s="146">
        <v>0.45</v>
      </c>
      <c r="T85" s="118" t="s">
        <v>753</v>
      </c>
      <c r="U85" s="118" t="s">
        <v>753</v>
      </c>
      <c r="V85" s="146" t="s">
        <v>1434</v>
      </c>
      <c r="W85" s="146" t="s">
        <v>1435</v>
      </c>
      <c r="X85" s="146" t="s">
        <v>1436</v>
      </c>
      <c r="Y85" s="146" t="s">
        <v>1627</v>
      </c>
      <c r="Z85" s="118" t="s">
        <v>1437</v>
      </c>
      <c r="AA85" s="118">
        <v>-85.877035047001101</v>
      </c>
      <c r="AB85" s="118">
        <v>40.676853874249602</v>
      </c>
    </row>
    <row r="86" spans="1:28" ht="23.25" customHeight="1" x14ac:dyDescent="0.25">
      <c r="A86" s="118">
        <v>301</v>
      </c>
      <c r="B86" s="118" t="s">
        <v>1425</v>
      </c>
      <c r="C86" s="67">
        <v>45891.720462962963</v>
      </c>
      <c r="D86" s="118" t="s">
        <v>1046</v>
      </c>
      <c r="E86" s="67">
        <v>45891.720462962963</v>
      </c>
      <c r="F86" s="118" t="s">
        <v>1046</v>
      </c>
      <c r="G86" s="25">
        <v>10580</v>
      </c>
      <c r="H86" s="118"/>
      <c r="I86" s="118"/>
      <c r="J86" s="118"/>
      <c r="K86" s="123" t="s">
        <v>754</v>
      </c>
      <c r="L86" s="67">
        <v>45891.666666666664</v>
      </c>
      <c r="M86" s="145">
        <v>0.48819444444444443</v>
      </c>
      <c r="N86" s="118">
        <v>3</v>
      </c>
      <c r="O86" s="118" t="s">
        <v>8</v>
      </c>
      <c r="P86" s="118"/>
      <c r="Q86" s="118" t="s">
        <v>11</v>
      </c>
      <c r="R86" s="146" t="s">
        <v>1426</v>
      </c>
      <c r="S86" s="146">
        <v>0.3</v>
      </c>
      <c r="T86" s="118" t="s">
        <v>1427</v>
      </c>
      <c r="U86" s="118" t="s">
        <v>1427</v>
      </c>
      <c r="V86" s="118" t="s">
        <v>1428</v>
      </c>
      <c r="W86" s="146" t="s">
        <v>1429</v>
      </c>
      <c r="X86" s="146" t="s">
        <v>1430</v>
      </c>
      <c r="Y86" s="146" t="s">
        <v>1627</v>
      </c>
      <c r="Z86" s="118" t="s">
        <v>1431</v>
      </c>
      <c r="AA86" s="118">
        <v>-85.8703953115144</v>
      </c>
      <c r="AB86" s="118">
        <v>40.670779334595501</v>
      </c>
    </row>
    <row r="87" spans="1:28" ht="23.25" customHeight="1" x14ac:dyDescent="0.25">
      <c r="A87" s="118">
        <v>300</v>
      </c>
      <c r="B87" s="118" t="s">
        <v>1418</v>
      </c>
      <c r="C87" s="67">
        <v>45891.720393518517</v>
      </c>
      <c r="D87" s="118" t="s">
        <v>1046</v>
      </c>
      <c r="E87" s="67">
        <v>45891.720393518517</v>
      </c>
      <c r="F87" s="118" t="s">
        <v>1046</v>
      </c>
      <c r="G87" s="25">
        <v>10581</v>
      </c>
      <c r="H87" s="118"/>
      <c r="I87" s="118"/>
      <c r="J87" s="118"/>
      <c r="K87" s="123" t="s">
        <v>755</v>
      </c>
      <c r="L87" s="67">
        <v>45891.666666666664</v>
      </c>
      <c r="M87" s="145">
        <v>0.47638888888888886</v>
      </c>
      <c r="N87" s="118">
        <v>4</v>
      </c>
      <c r="O87" s="118" t="s">
        <v>8</v>
      </c>
      <c r="P87" s="118"/>
      <c r="Q87" s="118" t="s">
        <v>11</v>
      </c>
      <c r="R87" s="146" t="s">
        <v>1419</v>
      </c>
      <c r="S87" s="146">
        <v>0.3</v>
      </c>
      <c r="T87" s="118" t="s">
        <v>1420</v>
      </c>
      <c r="U87" s="118" t="s">
        <v>1420</v>
      </c>
      <c r="V87" s="118" t="s">
        <v>1421</v>
      </c>
      <c r="W87" s="146" t="s">
        <v>1422</v>
      </c>
      <c r="X87" s="146" t="s">
        <v>1423</v>
      </c>
      <c r="Y87" s="146" t="s">
        <v>1626</v>
      </c>
      <c r="Z87" s="118" t="s">
        <v>1424</v>
      </c>
      <c r="AA87" s="118">
        <v>-85.8665417810126</v>
      </c>
      <c r="AB87" s="118">
        <v>40.663123189579501</v>
      </c>
    </row>
    <row r="88" spans="1:28" ht="23.25" customHeight="1" x14ac:dyDescent="0.25">
      <c r="A88" s="118">
        <v>298</v>
      </c>
      <c r="B88" s="118" t="s">
        <v>1404</v>
      </c>
      <c r="C88" s="67">
        <v>45891.720231481479</v>
      </c>
      <c r="D88" s="118" t="s">
        <v>1046</v>
      </c>
      <c r="E88" s="67">
        <v>45891.720231481479</v>
      </c>
      <c r="F88" s="118" t="s">
        <v>1046</v>
      </c>
      <c r="G88" s="25">
        <v>10582</v>
      </c>
      <c r="H88" s="118"/>
      <c r="I88" s="118"/>
      <c r="J88" s="118"/>
      <c r="K88" s="123" t="s">
        <v>756</v>
      </c>
      <c r="L88" s="67">
        <v>45891.666666666664</v>
      </c>
      <c r="M88" s="145">
        <v>0.44236111111111109</v>
      </c>
      <c r="N88" s="118">
        <v>5</v>
      </c>
      <c r="O88" s="118" t="s">
        <v>8</v>
      </c>
      <c r="P88" s="118"/>
      <c r="Q88" s="118" t="s">
        <v>11</v>
      </c>
      <c r="R88" s="146" t="s">
        <v>1405</v>
      </c>
      <c r="S88" s="146">
        <v>0.3</v>
      </c>
      <c r="T88" s="118" t="s">
        <v>1406</v>
      </c>
      <c r="U88" s="118" t="s">
        <v>1406</v>
      </c>
      <c r="V88" s="118" t="s">
        <v>1407</v>
      </c>
      <c r="W88" s="146" t="s">
        <v>1408</v>
      </c>
      <c r="X88" s="146" t="s">
        <v>1409</v>
      </c>
      <c r="Y88" s="146" t="s">
        <v>1616</v>
      </c>
      <c r="Z88" s="118" t="s">
        <v>1410</v>
      </c>
      <c r="AA88" s="118">
        <v>-85.847887886158901</v>
      </c>
      <c r="AB88" s="118">
        <v>40.668469884505001</v>
      </c>
    </row>
    <row r="89" spans="1:28" ht="23.25" customHeight="1" x14ac:dyDescent="0.25">
      <c r="A89" s="118">
        <v>296</v>
      </c>
      <c r="B89" s="118" t="s">
        <v>1390</v>
      </c>
      <c r="C89" s="67">
        <v>45891.568645833337</v>
      </c>
      <c r="D89" s="118" t="s">
        <v>1046</v>
      </c>
      <c r="E89" s="67">
        <v>45891.568645833337</v>
      </c>
      <c r="F89" s="118" t="s">
        <v>1046</v>
      </c>
      <c r="G89" s="25">
        <v>10583</v>
      </c>
      <c r="H89" s="118"/>
      <c r="I89" s="118"/>
      <c r="J89" s="118"/>
      <c r="K89" s="123" t="s">
        <v>757</v>
      </c>
      <c r="L89" s="67">
        <v>45891.666666666664</v>
      </c>
      <c r="M89" s="145">
        <v>0.38541666666666669</v>
      </c>
      <c r="N89" s="118">
        <v>7</v>
      </c>
      <c r="O89" s="118" t="s">
        <v>8</v>
      </c>
      <c r="P89" s="118"/>
      <c r="Q89" s="118" t="s">
        <v>11</v>
      </c>
      <c r="R89" s="146" t="s">
        <v>1391</v>
      </c>
      <c r="S89" s="146">
        <v>0.55000000000000004</v>
      </c>
      <c r="T89" s="118" t="s">
        <v>1392</v>
      </c>
      <c r="U89" s="118" t="s">
        <v>1392</v>
      </c>
      <c r="V89" s="118" t="s">
        <v>1393</v>
      </c>
      <c r="W89" s="146" t="s">
        <v>1394</v>
      </c>
      <c r="X89" s="146" t="s">
        <v>1395</v>
      </c>
      <c r="Y89" s="146" t="s">
        <v>1618</v>
      </c>
      <c r="Z89" s="118" t="s">
        <v>1396</v>
      </c>
      <c r="AA89" s="118">
        <v>-85.896579288026203</v>
      </c>
      <c r="AB89" s="118">
        <v>40.687768519894099</v>
      </c>
    </row>
    <row r="90" spans="1:28" ht="23.25" customHeight="1" x14ac:dyDescent="0.25">
      <c r="A90" s="118">
        <v>297</v>
      </c>
      <c r="B90" s="118" t="s">
        <v>1397</v>
      </c>
      <c r="C90" s="67">
        <v>45891.720069444447</v>
      </c>
      <c r="D90" s="118" t="s">
        <v>1046</v>
      </c>
      <c r="E90" s="67">
        <v>45891.720069444447</v>
      </c>
      <c r="F90" s="118" t="s">
        <v>1046</v>
      </c>
      <c r="G90" s="25">
        <v>10584</v>
      </c>
      <c r="H90" s="118"/>
      <c r="I90" s="118"/>
      <c r="J90" s="118"/>
      <c r="K90" s="123" t="s">
        <v>758</v>
      </c>
      <c r="L90" s="67">
        <v>45891.666666666664</v>
      </c>
      <c r="M90" s="145">
        <v>0.42569444444444443</v>
      </c>
      <c r="N90" s="118">
        <v>7</v>
      </c>
      <c r="O90" s="118" t="s">
        <v>8</v>
      </c>
      <c r="P90" s="118"/>
      <c r="Q90" s="118" t="s">
        <v>11</v>
      </c>
      <c r="R90" s="146" t="s">
        <v>1398</v>
      </c>
      <c r="S90" s="146">
        <v>0.3</v>
      </c>
      <c r="T90" s="118" t="s">
        <v>1399</v>
      </c>
      <c r="U90" s="118" t="s">
        <v>1399</v>
      </c>
      <c r="V90" s="146" t="s">
        <v>1400</v>
      </c>
      <c r="W90" s="146" t="s">
        <v>1401</v>
      </c>
      <c r="X90" s="146" t="s">
        <v>1402</v>
      </c>
      <c r="Y90" s="146" t="s">
        <v>1610</v>
      </c>
      <c r="Z90" s="118" t="s">
        <v>1403</v>
      </c>
      <c r="AA90" s="118">
        <v>-85.831935370051696</v>
      </c>
      <c r="AB90" s="118">
        <v>40.673772314344497</v>
      </c>
    </row>
    <row r="91" spans="1:28" ht="23.25" customHeight="1" x14ac:dyDescent="0.25">
      <c r="A91" s="118">
        <v>304</v>
      </c>
      <c r="B91" s="118" t="s">
        <v>1444</v>
      </c>
      <c r="C91" s="67">
        <v>45891.794560185182</v>
      </c>
      <c r="D91" s="118" t="s">
        <v>1046</v>
      </c>
      <c r="E91" s="67">
        <v>45891.794560185182</v>
      </c>
      <c r="F91" s="118" t="s">
        <v>1046</v>
      </c>
      <c r="G91" s="25">
        <v>10585</v>
      </c>
      <c r="H91" s="118"/>
      <c r="I91" s="118"/>
      <c r="J91" s="118"/>
      <c r="K91" s="123" t="s">
        <v>759</v>
      </c>
      <c r="L91" s="67">
        <v>45891.666666666664</v>
      </c>
      <c r="M91" s="145">
        <v>0.55902777777777779</v>
      </c>
      <c r="N91" s="118">
        <v>8</v>
      </c>
      <c r="O91" s="118" t="s">
        <v>8</v>
      </c>
      <c r="P91" s="118"/>
      <c r="Q91" s="118" t="s">
        <v>11</v>
      </c>
      <c r="R91" s="146" t="s">
        <v>1445</v>
      </c>
      <c r="S91" s="146">
        <v>0.4</v>
      </c>
      <c r="T91" s="118" t="s">
        <v>759</v>
      </c>
      <c r="U91" s="118" t="s">
        <v>759</v>
      </c>
      <c r="V91" s="118" t="s">
        <v>1446</v>
      </c>
      <c r="W91" s="146" t="s">
        <v>1447</v>
      </c>
      <c r="X91" s="146" t="s">
        <v>1448</v>
      </c>
      <c r="Y91" s="146" t="s">
        <v>1620</v>
      </c>
      <c r="Z91" s="118" t="s">
        <v>1449</v>
      </c>
      <c r="AA91" s="118">
        <v>-85.908206072747703</v>
      </c>
      <c r="AB91" s="118">
        <v>40.691689486534997</v>
      </c>
    </row>
    <row r="92" spans="1:28" ht="23.25" customHeight="1" x14ac:dyDescent="0.25">
      <c r="A92" s="118">
        <v>306</v>
      </c>
      <c r="B92" s="118" t="s">
        <v>1455</v>
      </c>
      <c r="C92" s="67">
        <v>45891.794965277775</v>
      </c>
      <c r="D92" s="118" t="s">
        <v>1046</v>
      </c>
      <c r="E92" s="67">
        <v>45891.794965277775</v>
      </c>
      <c r="F92" s="118" t="s">
        <v>1046</v>
      </c>
      <c r="G92" s="25">
        <v>10586</v>
      </c>
      <c r="H92" s="118"/>
      <c r="I92" s="118"/>
      <c r="J92" s="118"/>
      <c r="K92" s="123" t="s">
        <v>760</v>
      </c>
      <c r="L92" s="67">
        <v>45891.666666666664</v>
      </c>
      <c r="M92" s="145">
        <v>0.59722222222222221</v>
      </c>
      <c r="N92" s="118">
        <v>9</v>
      </c>
      <c r="O92" s="118" t="s">
        <v>8</v>
      </c>
      <c r="P92" s="118"/>
      <c r="Q92" s="118" t="s">
        <v>11</v>
      </c>
      <c r="R92" s="146" t="s">
        <v>1456</v>
      </c>
      <c r="S92" s="146">
        <v>0.45</v>
      </c>
      <c r="T92" s="118" t="s">
        <v>760</v>
      </c>
      <c r="U92" s="118" t="s">
        <v>760</v>
      </c>
      <c r="V92" s="146" t="s">
        <v>1457</v>
      </c>
      <c r="W92" s="146" t="s">
        <v>1458</v>
      </c>
      <c r="X92" s="146" t="s">
        <v>1459</v>
      </c>
      <c r="Y92" s="146" t="s">
        <v>1628</v>
      </c>
      <c r="Z92" s="118" t="s">
        <v>1460</v>
      </c>
      <c r="AA92" s="118">
        <v>-85.929971488917801</v>
      </c>
      <c r="AB92" s="118">
        <v>40.704189487454599</v>
      </c>
    </row>
    <row r="93" spans="1:28" ht="23.25" customHeight="1" x14ac:dyDescent="0.25">
      <c r="A93" s="118">
        <v>305</v>
      </c>
      <c r="B93" s="118" t="s">
        <v>1450</v>
      </c>
      <c r="C93" s="67">
        <v>45891.794803240744</v>
      </c>
      <c r="D93" s="118" t="s">
        <v>1046</v>
      </c>
      <c r="E93" s="67">
        <v>45891.794803240744</v>
      </c>
      <c r="F93" s="118" t="s">
        <v>1046</v>
      </c>
      <c r="G93" s="25">
        <v>10587</v>
      </c>
      <c r="H93" s="118"/>
      <c r="I93" s="118"/>
      <c r="J93" s="118"/>
      <c r="K93" s="123" t="s">
        <v>761</v>
      </c>
      <c r="L93" s="67">
        <v>45891.666666666664</v>
      </c>
      <c r="M93" s="145">
        <v>0.57638888888888884</v>
      </c>
      <c r="N93" s="118">
        <v>10</v>
      </c>
      <c r="O93" s="118" t="s">
        <v>8</v>
      </c>
      <c r="P93" s="118"/>
      <c r="Q93" s="118" t="s">
        <v>11</v>
      </c>
      <c r="R93" s="146" t="s">
        <v>1451</v>
      </c>
      <c r="S93" s="146">
        <v>0.5</v>
      </c>
      <c r="T93" s="118" t="s">
        <v>761</v>
      </c>
      <c r="U93" s="118" t="s">
        <v>761</v>
      </c>
      <c r="V93" s="146" t="s">
        <v>1452</v>
      </c>
      <c r="W93" s="146" t="s">
        <v>1453</v>
      </c>
      <c r="X93" s="146" t="s">
        <v>1454</v>
      </c>
      <c r="Y93" s="146" t="s">
        <v>1619</v>
      </c>
      <c r="Z93" s="118" t="s">
        <v>1295</v>
      </c>
      <c r="AA93" s="118">
        <v>-85.920132017041794</v>
      </c>
      <c r="AB93" s="118">
        <v>40.6933868545755</v>
      </c>
    </row>
    <row r="94" spans="1:28" ht="23.25" customHeight="1" x14ac:dyDescent="0.25">
      <c r="A94" s="118">
        <v>307</v>
      </c>
      <c r="B94" s="118" t="s">
        <v>1461</v>
      </c>
      <c r="C94" s="67">
        <v>45891.795023148145</v>
      </c>
      <c r="D94" s="118" t="s">
        <v>1046</v>
      </c>
      <c r="E94" s="67">
        <v>45891.795023148145</v>
      </c>
      <c r="F94" s="118" t="s">
        <v>1046</v>
      </c>
      <c r="G94" s="25">
        <v>10588</v>
      </c>
      <c r="H94" s="118"/>
      <c r="I94" s="118"/>
      <c r="J94" s="118"/>
      <c r="K94" s="123" t="s">
        <v>762</v>
      </c>
      <c r="L94" s="67">
        <v>45891.666666666664</v>
      </c>
      <c r="M94" s="145">
        <v>0.6118055555555556</v>
      </c>
      <c r="N94" s="118">
        <v>11</v>
      </c>
      <c r="O94" s="118" t="s">
        <v>8</v>
      </c>
      <c r="P94" s="118"/>
      <c r="Q94" s="118" t="s">
        <v>11</v>
      </c>
      <c r="R94" s="146" t="s">
        <v>1462</v>
      </c>
      <c r="S94" s="146">
        <v>0.65</v>
      </c>
      <c r="T94" s="118" t="s">
        <v>762</v>
      </c>
      <c r="U94" s="118" t="s">
        <v>762</v>
      </c>
      <c r="V94" s="118" t="s">
        <v>1463</v>
      </c>
      <c r="W94" s="146" t="s">
        <v>1464</v>
      </c>
      <c r="X94" s="118" t="s">
        <v>1465</v>
      </c>
      <c r="Y94" s="146" t="s">
        <v>1629</v>
      </c>
      <c r="Z94" s="118" t="s">
        <v>1466</v>
      </c>
      <c r="AA94" s="118">
        <v>-85.938573486479498</v>
      </c>
      <c r="AB94" s="118">
        <v>40.7109735166094</v>
      </c>
    </row>
    <row r="95" spans="1:28" ht="23.25" customHeight="1" x14ac:dyDescent="0.25">
      <c r="A95" s="118">
        <v>308</v>
      </c>
      <c r="B95" s="118" t="s">
        <v>1467</v>
      </c>
      <c r="C95" s="67">
        <v>45891.81144675926</v>
      </c>
      <c r="D95" s="118" t="s">
        <v>1046</v>
      </c>
      <c r="E95" s="67">
        <v>45891.81144675926</v>
      </c>
      <c r="F95" s="118" t="s">
        <v>1046</v>
      </c>
      <c r="G95" s="25">
        <v>10589</v>
      </c>
      <c r="H95" s="118"/>
      <c r="I95" s="118"/>
      <c r="J95" s="118"/>
      <c r="K95" s="123" t="s">
        <v>763</v>
      </c>
      <c r="L95" s="67">
        <v>45891.666666666664</v>
      </c>
      <c r="M95" s="145">
        <v>0.62986111111111109</v>
      </c>
      <c r="N95" s="118">
        <v>12</v>
      </c>
      <c r="O95" s="118" t="s">
        <v>8</v>
      </c>
      <c r="P95" s="118"/>
      <c r="Q95" s="118" t="s">
        <v>11</v>
      </c>
      <c r="R95" s="146" t="s">
        <v>1468</v>
      </c>
      <c r="S95" s="146">
        <v>0.6</v>
      </c>
      <c r="T95" s="118" t="s">
        <v>763</v>
      </c>
      <c r="U95" s="118" t="s">
        <v>763</v>
      </c>
      <c r="V95" s="118" t="s">
        <v>1469</v>
      </c>
      <c r="W95" s="146" t="s">
        <v>1470</v>
      </c>
      <c r="X95" s="146" t="s">
        <v>1471</v>
      </c>
      <c r="Y95" s="146" t="s">
        <v>1629</v>
      </c>
      <c r="Z95" s="118" t="s">
        <v>1472</v>
      </c>
      <c r="AA95" s="118">
        <v>-85.950995315973998</v>
      </c>
      <c r="AB95" s="118">
        <v>40.7115924957685</v>
      </c>
    </row>
    <row r="96" spans="1:28" ht="23.25" customHeight="1" x14ac:dyDescent="0.25">
      <c r="A96" s="118">
        <v>299</v>
      </c>
      <c r="B96" s="118" t="s">
        <v>1411</v>
      </c>
      <c r="C96" s="67">
        <v>45891.720347222225</v>
      </c>
      <c r="D96" s="118" t="s">
        <v>1046</v>
      </c>
      <c r="E96" s="67">
        <v>45891.720347222225</v>
      </c>
      <c r="F96" s="118" t="s">
        <v>1046</v>
      </c>
      <c r="G96" s="25">
        <v>10590</v>
      </c>
      <c r="H96" s="118"/>
      <c r="I96" s="118"/>
      <c r="J96" s="118"/>
      <c r="K96" s="123" t="s">
        <v>764</v>
      </c>
      <c r="L96" s="67">
        <v>45891.666666666664</v>
      </c>
      <c r="M96" s="145">
        <v>0.4597222222222222</v>
      </c>
      <c r="N96" s="118">
        <v>13</v>
      </c>
      <c r="O96" s="118" t="s">
        <v>8</v>
      </c>
      <c r="P96" s="118"/>
      <c r="Q96" s="118" t="s">
        <v>11</v>
      </c>
      <c r="R96" s="146" t="s">
        <v>1412</v>
      </c>
      <c r="S96" s="146">
        <v>0.3</v>
      </c>
      <c r="T96" s="118" t="s">
        <v>1413</v>
      </c>
      <c r="U96" s="118" t="s">
        <v>1413</v>
      </c>
      <c r="V96" s="118" t="s">
        <v>1414</v>
      </c>
      <c r="W96" s="146" t="s">
        <v>1415</v>
      </c>
      <c r="X96" s="146" t="s">
        <v>1416</v>
      </c>
      <c r="Y96" s="146" t="s">
        <v>1618</v>
      </c>
      <c r="Z96" s="118" t="s">
        <v>1417</v>
      </c>
      <c r="AA96" s="118">
        <v>-85.8414898999835</v>
      </c>
      <c r="AB96" s="118">
        <v>40.672650625967101</v>
      </c>
    </row>
    <row r="97" spans="1:28" ht="23.25" customHeight="1" x14ac:dyDescent="0.25">
      <c r="A97" s="118">
        <v>315</v>
      </c>
      <c r="B97" s="118" t="s">
        <v>1505</v>
      </c>
      <c r="C97" s="67">
        <v>45915.748402777775</v>
      </c>
      <c r="D97" s="118" t="s">
        <v>1046</v>
      </c>
      <c r="E97" s="67">
        <v>45915.748402777775</v>
      </c>
      <c r="F97" s="118" t="s">
        <v>1046</v>
      </c>
      <c r="G97" s="25">
        <v>10591</v>
      </c>
      <c r="H97" s="118"/>
      <c r="I97" s="118"/>
      <c r="J97" s="118"/>
      <c r="K97" s="119" t="s">
        <v>765</v>
      </c>
      <c r="L97" s="67">
        <v>45915.666666666664</v>
      </c>
      <c r="M97" s="145">
        <v>0.53333333333333333</v>
      </c>
      <c r="N97" s="118">
        <v>1</v>
      </c>
      <c r="O97" s="118" t="s">
        <v>8</v>
      </c>
      <c r="P97" s="118"/>
      <c r="Q97" s="118" t="s">
        <v>11</v>
      </c>
      <c r="R97" s="146" t="s">
        <v>1506</v>
      </c>
      <c r="S97" s="146">
        <v>0.6</v>
      </c>
      <c r="T97" s="118" t="s">
        <v>765</v>
      </c>
      <c r="U97" s="118" t="s">
        <v>765</v>
      </c>
      <c r="V97" s="118" t="s">
        <v>1507</v>
      </c>
      <c r="W97" s="146" t="s">
        <v>1508</v>
      </c>
      <c r="X97" s="146" t="s">
        <v>1509</v>
      </c>
      <c r="Y97" s="146" t="s">
        <v>1635</v>
      </c>
      <c r="Z97" s="118" t="s">
        <v>1510</v>
      </c>
      <c r="AA97" s="118">
        <v>-85.888716255554996</v>
      </c>
      <c r="AB97" s="118">
        <v>40.681605233637299</v>
      </c>
    </row>
    <row r="98" spans="1:28" ht="23.25" customHeight="1" x14ac:dyDescent="0.25">
      <c r="A98" s="118">
        <v>316</v>
      </c>
      <c r="B98" s="118" t="s">
        <v>1511</v>
      </c>
      <c r="C98" s="67">
        <v>45915.748483796298</v>
      </c>
      <c r="D98" s="118" t="s">
        <v>1046</v>
      </c>
      <c r="E98" s="67">
        <v>45915.748483796298</v>
      </c>
      <c r="F98" s="118" t="s">
        <v>1046</v>
      </c>
      <c r="G98" s="25">
        <v>10592</v>
      </c>
      <c r="H98" s="118"/>
      <c r="I98" s="118"/>
      <c r="J98" s="118"/>
      <c r="K98" s="119" t="s">
        <v>766</v>
      </c>
      <c r="L98" s="67">
        <v>45915.666666666664</v>
      </c>
      <c r="M98" s="145">
        <v>0.55138888888888893</v>
      </c>
      <c r="N98" s="118">
        <v>2</v>
      </c>
      <c r="O98" s="118" t="s">
        <v>8</v>
      </c>
      <c r="P98" s="118"/>
      <c r="Q98" s="118" t="s">
        <v>11</v>
      </c>
      <c r="R98" s="146" t="s">
        <v>1512</v>
      </c>
      <c r="S98" s="146">
        <v>0.4</v>
      </c>
      <c r="T98" s="118" t="s">
        <v>766</v>
      </c>
      <c r="U98" s="118" t="s">
        <v>766</v>
      </c>
      <c r="V98" s="118" t="s">
        <v>1513</v>
      </c>
      <c r="W98" s="146" t="s">
        <v>1514</v>
      </c>
      <c r="X98" s="146" t="s">
        <v>1515</v>
      </c>
      <c r="Y98" s="146" t="s">
        <v>1636</v>
      </c>
      <c r="Z98" s="118" t="s">
        <v>1516</v>
      </c>
      <c r="AA98" s="118">
        <v>-85.877080968297605</v>
      </c>
      <c r="AB98" s="118">
        <v>40.676853737547702</v>
      </c>
    </row>
    <row r="99" spans="1:28" ht="23.25" customHeight="1" x14ac:dyDescent="0.25">
      <c r="A99" s="118">
        <v>317</v>
      </c>
      <c r="B99" s="118" t="s">
        <v>1517</v>
      </c>
      <c r="C99" s="67">
        <v>45915.748541666668</v>
      </c>
      <c r="D99" s="118" t="s">
        <v>1046</v>
      </c>
      <c r="E99" s="67">
        <v>45915.748541666668</v>
      </c>
      <c r="F99" s="118" t="s">
        <v>1046</v>
      </c>
      <c r="G99" s="25">
        <v>10593</v>
      </c>
      <c r="H99" s="118"/>
      <c r="I99" s="118"/>
      <c r="J99" s="118"/>
      <c r="K99" s="119" t="s">
        <v>767</v>
      </c>
      <c r="L99" s="67">
        <v>45915.666666666664</v>
      </c>
      <c r="M99" s="145">
        <v>0.56180555555555556</v>
      </c>
      <c r="N99" s="118">
        <v>3</v>
      </c>
      <c r="O99" s="118" t="s">
        <v>8</v>
      </c>
      <c r="P99" s="118"/>
      <c r="Q99" s="118" t="s">
        <v>11</v>
      </c>
      <c r="R99" s="146" t="s">
        <v>1518</v>
      </c>
      <c r="S99" s="146">
        <v>0.3</v>
      </c>
      <c r="T99" s="118" t="s">
        <v>767</v>
      </c>
      <c r="U99" s="118" t="s">
        <v>767</v>
      </c>
      <c r="V99" s="118" t="s">
        <v>1519</v>
      </c>
      <c r="W99" s="146" t="s">
        <v>1520</v>
      </c>
      <c r="X99" s="146" t="s">
        <v>1521</v>
      </c>
      <c r="Y99" s="146" t="s">
        <v>1637</v>
      </c>
      <c r="Z99" s="118" t="s">
        <v>1522</v>
      </c>
      <c r="AA99" s="118">
        <v>-85.870470356642798</v>
      </c>
      <c r="AB99" s="118">
        <v>40.670742628229299</v>
      </c>
    </row>
    <row r="100" spans="1:28" ht="23.25" customHeight="1" x14ac:dyDescent="0.25">
      <c r="A100" s="118">
        <v>318</v>
      </c>
      <c r="B100" s="118" t="s">
        <v>1523</v>
      </c>
      <c r="C100" s="67">
        <v>45915.748576388891</v>
      </c>
      <c r="D100" s="118" t="s">
        <v>1046</v>
      </c>
      <c r="E100" s="67">
        <v>45915.748576388891</v>
      </c>
      <c r="F100" s="118" t="s">
        <v>1046</v>
      </c>
      <c r="G100" s="25">
        <v>10594</v>
      </c>
      <c r="H100" s="118"/>
      <c r="I100" s="118"/>
      <c r="J100" s="118"/>
      <c r="K100" s="147" t="s">
        <v>768</v>
      </c>
      <c r="L100" s="67">
        <v>45915.666666666664</v>
      </c>
      <c r="M100" s="145">
        <v>0.57430555555555551</v>
      </c>
      <c r="N100" s="118">
        <v>4</v>
      </c>
      <c r="O100" s="118" t="s">
        <v>8</v>
      </c>
      <c r="P100" s="118"/>
      <c r="Q100" s="118" t="s">
        <v>11</v>
      </c>
      <c r="R100" s="146" t="s">
        <v>1524</v>
      </c>
      <c r="S100" s="146">
        <v>0.4</v>
      </c>
      <c r="T100" s="118" t="s">
        <v>768</v>
      </c>
      <c r="U100" s="118" t="s">
        <v>768</v>
      </c>
      <c r="V100" s="118" t="s">
        <v>1525</v>
      </c>
      <c r="W100" s="146" t="s">
        <v>1526</v>
      </c>
      <c r="X100" s="146" t="s">
        <v>1527</v>
      </c>
      <c r="Y100" s="146" t="s">
        <v>1638</v>
      </c>
      <c r="Z100" s="118" t="s">
        <v>1528</v>
      </c>
      <c r="AA100" s="118">
        <v>-85.866717362691404</v>
      </c>
      <c r="AB100" s="118">
        <v>40.663219887201102</v>
      </c>
    </row>
    <row r="101" spans="1:28" ht="23.25" customHeight="1" x14ac:dyDescent="0.25">
      <c r="A101" s="118">
        <v>319</v>
      </c>
      <c r="B101" s="118" t="s">
        <v>1529</v>
      </c>
      <c r="C101" s="67">
        <v>45915.795706018522</v>
      </c>
      <c r="D101" s="118" t="s">
        <v>1046</v>
      </c>
      <c r="E101" s="67">
        <v>45915.795706018522</v>
      </c>
      <c r="F101" s="118" t="s">
        <v>1046</v>
      </c>
      <c r="G101" s="25">
        <v>10595</v>
      </c>
      <c r="H101" s="118"/>
      <c r="I101" s="118"/>
      <c r="J101" s="118"/>
      <c r="K101" s="147" t="s">
        <v>769</v>
      </c>
      <c r="L101" s="67">
        <v>45915.666666666664</v>
      </c>
      <c r="M101" s="145">
        <v>0.59513888888888888</v>
      </c>
      <c r="N101" s="118">
        <v>5</v>
      </c>
      <c r="O101" s="118" t="s">
        <v>8</v>
      </c>
      <c r="P101" s="118"/>
      <c r="Q101" s="118" t="s">
        <v>11</v>
      </c>
      <c r="R101" s="146" t="s">
        <v>1530</v>
      </c>
      <c r="S101" s="146">
        <v>0.3</v>
      </c>
      <c r="T101" s="118" t="s">
        <v>769</v>
      </c>
      <c r="U101" s="118" t="s">
        <v>769</v>
      </c>
      <c r="V101" s="118" t="s">
        <v>1531</v>
      </c>
      <c r="W101" s="146" t="s">
        <v>1532</v>
      </c>
      <c r="X101" s="146" t="s">
        <v>1533</v>
      </c>
      <c r="Y101" s="146" t="s">
        <v>1639</v>
      </c>
      <c r="Z101" s="118" t="s">
        <v>1534</v>
      </c>
      <c r="AA101" s="118">
        <v>-85.847892967811902</v>
      </c>
      <c r="AB101" s="118">
        <v>40.668402288920198</v>
      </c>
    </row>
    <row r="102" spans="1:28" ht="23.25" customHeight="1" x14ac:dyDescent="0.25">
      <c r="A102">
        <v>321</v>
      </c>
      <c r="B102" t="s">
        <v>1541</v>
      </c>
      <c r="C102" s="67">
        <v>45915.795787037037</v>
      </c>
      <c r="D102" t="s">
        <v>1046</v>
      </c>
      <c r="E102" s="67">
        <v>45915.795787037037</v>
      </c>
      <c r="F102" t="s">
        <v>1046</v>
      </c>
      <c r="G102" s="25">
        <v>10596</v>
      </c>
      <c r="K102" s="131" t="s">
        <v>770</v>
      </c>
      <c r="L102" s="67">
        <v>45915.666666666664</v>
      </c>
      <c r="M102" s="145">
        <v>0.62083333333333335</v>
      </c>
      <c r="N102" s="118">
        <v>6</v>
      </c>
      <c r="O102" t="s">
        <v>8</v>
      </c>
      <c r="Q102" s="118" t="s">
        <v>11</v>
      </c>
      <c r="R102" s="146" t="s">
        <v>1536</v>
      </c>
      <c r="S102" s="146">
        <v>0.3</v>
      </c>
      <c r="T102" t="s">
        <v>770</v>
      </c>
      <c r="U102" t="s">
        <v>770</v>
      </c>
      <c r="V102" t="s">
        <v>1542</v>
      </c>
      <c r="W102" s="146" t="s">
        <v>1543</v>
      </c>
      <c r="X102" s="146" t="s">
        <v>1544</v>
      </c>
      <c r="Y102" s="146" t="s">
        <v>1641</v>
      </c>
      <c r="Z102" t="s">
        <v>1545</v>
      </c>
      <c r="AA102">
        <v>-85.831880626110504</v>
      </c>
      <c r="AB102">
        <v>40.673569150821599</v>
      </c>
    </row>
    <row r="103" spans="1:28" ht="23.25" customHeight="1" x14ac:dyDescent="0.25">
      <c r="A103">
        <v>309</v>
      </c>
      <c r="B103" t="s">
        <v>1473</v>
      </c>
      <c r="C103" s="67">
        <v>45915.582048611112</v>
      </c>
      <c r="D103" t="s">
        <v>1046</v>
      </c>
      <c r="E103" s="67">
        <v>45915.582048611112</v>
      </c>
      <c r="F103" t="s">
        <v>1046</v>
      </c>
      <c r="G103" s="25">
        <v>10597</v>
      </c>
      <c r="K103" s="119" t="s">
        <v>771</v>
      </c>
      <c r="L103" s="67">
        <v>45915.666666666664</v>
      </c>
      <c r="M103" s="145">
        <v>0.39583333333333331</v>
      </c>
      <c r="N103" s="118">
        <v>7</v>
      </c>
      <c r="O103" s="118" t="s">
        <v>8</v>
      </c>
      <c r="Q103" s="118" t="s">
        <v>11</v>
      </c>
      <c r="R103" s="146" t="s">
        <v>1474</v>
      </c>
      <c r="S103" s="146">
        <v>1</v>
      </c>
      <c r="T103" t="s">
        <v>771</v>
      </c>
      <c r="U103" t="s">
        <v>771</v>
      </c>
      <c r="V103" t="s">
        <v>1475</v>
      </c>
      <c r="W103" s="146" t="s">
        <v>1476</v>
      </c>
      <c r="X103" s="146" t="s">
        <v>1477</v>
      </c>
      <c r="Y103" s="146" t="s">
        <v>1630</v>
      </c>
      <c r="Z103" t="s">
        <v>1478</v>
      </c>
      <c r="AA103">
        <v>-85.896577595730903</v>
      </c>
      <c r="AB103">
        <v>40.687801629573599</v>
      </c>
    </row>
    <row r="104" spans="1:28" ht="23.25" customHeight="1" x14ac:dyDescent="0.25">
      <c r="A104">
        <v>310</v>
      </c>
      <c r="B104" t="s">
        <v>1479</v>
      </c>
      <c r="C104" s="67">
        <v>45915.596805555557</v>
      </c>
      <c r="D104" t="s">
        <v>1046</v>
      </c>
      <c r="E104" s="67">
        <v>45915.596805555557</v>
      </c>
      <c r="F104" t="s">
        <v>1046</v>
      </c>
      <c r="G104" s="25">
        <v>10598</v>
      </c>
      <c r="K104" s="119" t="s">
        <v>772</v>
      </c>
      <c r="L104" s="67">
        <v>45915.666666666664</v>
      </c>
      <c r="M104" s="145">
        <v>0.41875000000000001</v>
      </c>
      <c r="N104" s="118">
        <v>8</v>
      </c>
      <c r="O104" s="118" t="s">
        <v>8</v>
      </c>
      <c r="Q104" s="118" t="s">
        <v>11</v>
      </c>
      <c r="R104" s="146" t="s">
        <v>1480</v>
      </c>
      <c r="S104" s="146">
        <v>0.8</v>
      </c>
      <c r="T104" t="s">
        <v>772</v>
      </c>
      <c r="U104" t="s">
        <v>772</v>
      </c>
      <c r="V104" s="146" t="s">
        <v>1481</v>
      </c>
      <c r="W104" s="146" t="s">
        <v>1482</v>
      </c>
      <c r="X104" s="146" t="s">
        <v>1483</v>
      </c>
      <c r="Y104" s="146" t="s">
        <v>1631</v>
      </c>
      <c r="Z104" t="s">
        <v>1484</v>
      </c>
      <c r="AA104">
        <v>-85.908350687222807</v>
      </c>
      <c r="AB104">
        <v>40.691624107125598</v>
      </c>
    </row>
    <row r="105" spans="1:28" ht="23.25" customHeight="1" x14ac:dyDescent="0.25">
      <c r="A105">
        <v>312</v>
      </c>
      <c r="B105" t="s">
        <v>1490</v>
      </c>
      <c r="C105" s="67">
        <v>45915.681759259256</v>
      </c>
      <c r="D105" t="s">
        <v>1046</v>
      </c>
      <c r="E105" s="67">
        <v>45915.681759259256</v>
      </c>
      <c r="F105" t="s">
        <v>1046</v>
      </c>
      <c r="G105" s="25">
        <v>10599</v>
      </c>
      <c r="K105" s="119" t="s">
        <v>773</v>
      </c>
      <c r="L105" s="67">
        <v>45915.666666666664</v>
      </c>
      <c r="M105" s="145">
        <v>0.44930555555555557</v>
      </c>
      <c r="N105" s="118">
        <v>9</v>
      </c>
      <c r="O105" s="118" t="s">
        <v>8</v>
      </c>
      <c r="Q105" s="118" t="s">
        <v>11</v>
      </c>
      <c r="R105" s="146" t="s">
        <v>1474</v>
      </c>
      <c r="S105" s="146">
        <v>1</v>
      </c>
      <c r="T105" t="s">
        <v>773</v>
      </c>
      <c r="U105" t="s">
        <v>773</v>
      </c>
      <c r="V105" s="146" t="s">
        <v>1491</v>
      </c>
      <c r="W105" s="146" t="s">
        <v>1492</v>
      </c>
      <c r="X105" s="146" t="s">
        <v>1493</v>
      </c>
      <c r="Y105" s="146" t="s">
        <v>1633</v>
      </c>
      <c r="Z105" t="s">
        <v>1494</v>
      </c>
      <c r="AA105">
        <v>-85.930015128579598</v>
      </c>
      <c r="AB105">
        <v>40.704149145676197</v>
      </c>
    </row>
    <row r="106" spans="1:28" ht="23.25" customHeight="1" x14ac:dyDescent="0.25">
      <c r="A106">
        <v>311</v>
      </c>
      <c r="B106" t="s">
        <v>1485</v>
      </c>
      <c r="C106" s="67">
        <v>45915.613634259258</v>
      </c>
      <c r="D106" t="s">
        <v>1046</v>
      </c>
      <c r="E106" s="67">
        <v>45915.613634259258</v>
      </c>
      <c r="F106" t="s">
        <v>1046</v>
      </c>
      <c r="G106" s="25">
        <v>10600</v>
      </c>
      <c r="K106" s="119" t="s">
        <v>774</v>
      </c>
      <c r="L106" s="67">
        <v>45915.666666666664</v>
      </c>
      <c r="M106" s="145">
        <v>0.43333333333333335</v>
      </c>
      <c r="N106" s="118">
        <v>10</v>
      </c>
      <c r="O106" s="118" t="s">
        <v>8</v>
      </c>
      <c r="Q106" s="118" t="s">
        <v>11</v>
      </c>
      <c r="R106" s="146" t="s">
        <v>1486</v>
      </c>
      <c r="S106" s="146">
        <v>0.9</v>
      </c>
      <c r="T106" t="s">
        <v>774</v>
      </c>
      <c r="U106" t="s">
        <v>774</v>
      </c>
      <c r="V106" t="s">
        <v>1292</v>
      </c>
      <c r="W106" s="146" t="s">
        <v>1487</v>
      </c>
      <c r="X106" s="146" t="s">
        <v>1488</v>
      </c>
      <c r="Y106" s="146" t="s">
        <v>1632</v>
      </c>
      <c r="Z106" t="s">
        <v>1489</v>
      </c>
      <c r="AA106">
        <v>-85.920376846965894</v>
      </c>
      <c r="AB106">
        <v>40.693342215129498</v>
      </c>
    </row>
    <row r="107" spans="1:28" ht="23.25" customHeight="1" x14ac:dyDescent="0.25">
      <c r="A107">
        <v>313</v>
      </c>
      <c r="B107" t="s">
        <v>1495</v>
      </c>
      <c r="C107" s="67">
        <v>45915.682118055556</v>
      </c>
      <c r="D107" t="s">
        <v>1046</v>
      </c>
      <c r="E107" s="67">
        <v>45915.682118055556</v>
      </c>
      <c r="F107" t="s">
        <v>1046</v>
      </c>
      <c r="G107" s="25">
        <v>10601</v>
      </c>
      <c r="K107" s="119" t="s">
        <v>775</v>
      </c>
      <c r="L107" s="67">
        <v>45915.666666666664</v>
      </c>
      <c r="M107" s="145">
        <v>0.46180555555555558</v>
      </c>
      <c r="N107" s="118">
        <v>11</v>
      </c>
      <c r="O107" s="118" t="s">
        <v>8</v>
      </c>
      <c r="Q107" s="118" t="s">
        <v>11</v>
      </c>
      <c r="R107" s="146" t="s">
        <v>1474</v>
      </c>
      <c r="S107" s="146">
        <v>1</v>
      </c>
      <c r="T107" t="s">
        <v>775</v>
      </c>
      <c r="U107" t="s">
        <v>775</v>
      </c>
      <c r="V107" t="s">
        <v>1496</v>
      </c>
      <c r="W107" s="146" t="s">
        <v>1497</v>
      </c>
      <c r="X107" s="146" t="s">
        <v>1498</v>
      </c>
      <c r="Y107" s="146" t="s">
        <v>1634</v>
      </c>
      <c r="Z107" t="s">
        <v>1499</v>
      </c>
      <c r="AA107">
        <v>-85.938752057903798</v>
      </c>
      <c r="AB107">
        <v>40.7109940238565</v>
      </c>
    </row>
    <row r="108" spans="1:28" ht="23.25" customHeight="1" x14ac:dyDescent="0.25">
      <c r="A108">
        <v>314</v>
      </c>
      <c r="B108" t="s">
        <v>1500</v>
      </c>
      <c r="C108" s="67">
        <v>45915.682673611111</v>
      </c>
      <c r="D108" t="s">
        <v>1046</v>
      </c>
      <c r="E108" s="67">
        <v>45915.682673611111</v>
      </c>
      <c r="F108" t="s">
        <v>1046</v>
      </c>
      <c r="G108" s="25">
        <v>10602</v>
      </c>
      <c r="K108" s="119" t="s">
        <v>776</v>
      </c>
      <c r="L108" s="67">
        <v>45915.666666666664</v>
      </c>
      <c r="M108" s="145">
        <v>0.49722222222222223</v>
      </c>
      <c r="N108" s="118">
        <v>12</v>
      </c>
      <c r="O108" s="118" t="s">
        <v>8</v>
      </c>
      <c r="Q108" s="118" t="s">
        <v>11</v>
      </c>
      <c r="R108" s="146" t="s">
        <v>1501</v>
      </c>
      <c r="S108" s="146">
        <v>0.75</v>
      </c>
      <c r="T108" t="s">
        <v>776</v>
      </c>
      <c r="U108" t="s">
        <v>776</v>
      </c>
      <c r="V108" t="s">
        <v>1311</v>
      </c>
      <c r="W108" s="146" t="s">
        <v>1502</v>
      </c>
      <c r="X108" s="146" t="s">
        <v>1503</v>
      </c>
      <c r="Y108" s="146" t="s">
        <v>1634</v>
      </c>
      <c r="Z108" s="146" t="s">
        <v>1504</v>
      </c>
      <c r="AA108">
        <v>-85.951316433096494</v>
      </c>
      <c r="AB108">
        <v>40.711676957477103</v>
      </c>
    </row>
    <row r="109" spans="1:28" ht="23.25" customHeight="1" x14ac:dyDescent="0.25">
      <c r="A109">
        <v>320</v>
      </c>
      <c r="B109" t="s">
        <v>1535</v>
      </c>
      <c r="C109" s="67">
        <v>45915.795740740738</v>
      </c>
      <c r="D109" t="s">
        <v>1046</v>
      </c>
      <c r="E109" s="67">
        <v>45915.795740740738</v>
      </c>
      <c r="F109" t="s">
        <v>1046</v>
      </c>
      <c r="G109" s="25">
        <v>10603</v>
      </c>
      <c r="K109" s="119" t="s">
        <v>777</v>
      </c>
      <c r="L109" s="67">
        <v>45915.666666666664</v>
      </c>
      <c r="M109" s="145">
        <v>0.60902777777777772</v>
      </c>
      <c r="N109" s="118">
        <v>13</v>
      </c>
      <c r="O109" s="118" t="s">
        <v>8</v>
      </c>
      <c r="Q109" s="118" t="s">
        <v>11</v>
      </c>
      <c r="R109" s="146" t="s">
        <v>1536</v>
      </c>
      <c r="S109" s="146">
        <v>0.3</v>
      </c>
      <c r="T109" t="s">
        <v>777</v>
      </c>
      <c r="U109" t="s">
        <v>777</v>
      </c>
      <c r="V109" t="s">
        <v>1537</v>
      </c>
      <c r="W109" s="146" t="s">
        <v>1538</v>
      </c>
      <c r="X109" s="146" t="s">
        <v>1539</v>
      </c>
      <c r="Y109" s="146" t="s">
        <v>1640</v>
      </c>
      <c r="Z109" t="s">
        <v>1540</v>
      </c>
      <c r="AA109">
        <v>-85.841582328131494</v>
      </c>
      <c r="AB109">
        <v>40.672530476725299</v>
      </c>
    </row>
    <row r="110" spans="1:28" ht="23.25" customHeight="1" x14ac:dyDescent="0.25">
      <c r="A110">
        <v>239</v>
      </c>
      <c r="B110" s="144" t="s">
        <v>1045</v>
      </c>
      <c r="C110" s="67">
        <v>45846.493958333333</v>
      </c>
      <c r="D110" t="s">
        <v>1046</v>
      </c>
      <c r="E110" s="67">
        <v>45846.493958333333</v>
      </c>
      <c r="F110" t="s">
        <v>1046</v>
      </c>
      <c r="G110" s="118"/>
      <c r="K110" s="150"/>
      <c r="L110" s="67">
        <v>45832.666666666664</v>
      </c>
      <c r="M110" s="145">
        <v>0.56874999999999998</v>
      </c>
      <c r="N110" s="118">
        <v>1000</v>
      </c>
      <c r="O110" s="118" t="s">
        <v>1047</v>
      </c>
      <c r="P110" t="s">
        <v>1048</v>
      </c>
      <c r="Q110" s="118" t="s">
        <v>4</v>
      </c>
      <c r="R110" s="146" t="s">
        <v>1049</v>
      </c>
      <c r="S110" s="146"/>
      <c r="T110" t="s">
        <v>1050</v>
      </c>
      <c r="U110" t="s">
        <v>1051</v>
      </c>
      <c r="V110" s="146" t="s">
        <v>1052</v>
      </c>
      <c r="AA110">
        <v>-86.995263276613301</v>
      </c>
      <c r="AB110">
        <v>40.470506016021702</v>
      </c>
    </row>
    <row r="111" spans="1:28" ht="23.25" customHeight="1" x14ac:dyDescent="0.25">
      <c r="A111">
        <v>290</v>
      </c>
      <c r="B111" t="s">
        <v>1355</v>
      </c>
      <c r="C111" s="67">
        <v>45875.897488425922</v>
      </c>
      <c r="D111" t="s">
        <v>1046</v>
      </c>
      <c r="E111" s="67">
        <v>45875.897488425922</v>
      </c>
      <c r="F111" t="s">
        <v>1046</v>
      </c>
      <c r="G111" s="118"/>
      <c r="K111" s="150"/>
      <c r="L111" s="67">
        <v>45875.666666666664</v>
      </c>
      <c r="M111" s="145">
        <v>0.63402777777777775</v>
      </c>
      <c r="N111" s="118">
        <v>1001</v>
      </c>
      <c r="O111" s="118" t="s">
        <v>8</v>
      </c>
      <c r="Q111" s="118" t="s">
        <v>11</v>
      </c>
      <c r="R111" s="146" t="s">
        <v>1356</v>
      </c>
      <c r="S111" s="146"/>
      <c r="T111" t="s">
        <v>1357</v>
      </c>
      <c r="U111" t="s">
        <v>1357</v>
      </c>
      <c r="V111" t="s">
        <v>1358</v>
      </c>
      <c r="X111" s="146" t="s">
        <v>1359</v>
      </c>
      <c r="Y111" s="146" t="s">
        <v>1624</v>
      </c>
      <c r="Z111" t="s">
        <v>1360</v>
      </c>
      <c r="AA111">
        <v>-85.848757387218299</v>
      </c>
      <c r="AB111">
        <v>40.668425449452798</v>
      </c>
    </row>
    <row r="112" spans="1:28" ht="23.25" customHeight="1" x14ac:dyDescent="0.25">
      <c r="A112">
        <v>295</v>
      </c>
      <c r="B112" t="s">
        <v>1387</v>
      </c>
      <c r="C112" s="67">
        <v>45889.601875</v>
      </c>
      <c r="D112" t="s">
        <v>1046</v>
      </c>
      <c r="E112" s="67">
        <v>45889.601875</v>
      </c>
      <c r="F112" t="s">
        <v>1046</v>
      </c>
      <c r="G112" s="118"/>
      <c r="K112" s="150"/>
      <c r="L112" s="67">
        <v>45875.666666666664</v>
      </c>
      <c r="M112" s="145">
        <v>0.71180555555555558</v>
      </c>
      <c r="N112" s="118">
        <v>1002</v>
      </c>
      <c r="O112" s="118" t="s">
        <v>8</v>
      </c>
      <c r="Q112" s="118" t="s">
        <v>11</v>
      </c>
      <c r="R112" s="118"/>
      <c r="T112" t="s">
        <v>1388</v>
      </c>
      <c r="U112" t="s">
        <v>1388</v>
      </c>
      <c r="V112" s="146" t="s">
        <v>1389</v>
      </c>
      <c r="Y112" s="146" t="s">
        <v>115</v>
      </c>
      <c r="AA112">
        <v>-85.868903291234204</v>
      </c>
      <c r="AB112">
        <v>40.667430225220301</v>
      </c>
    </row>
    <row r="113" spans="1:28" ht="23.25" customHeight="1" x14ac:dyDescent="0.25">
      <c r="A113">
        <v>337</v>
      </c>
      <c r="B113" t="s">
        <v>1579</v>
      </c>
      <c r="C113" s="67">
        <v>45933.739027777781</v>
      </c>
      <c r="D113" t="s">
        <v>1046</v>
      </c>
      <c r="E113" s="67">
        <v>45933.739027777781</v>
      </c>
      <c r="F113" t="s">
        <v>1046</v>
      </c>
      <c r="G113" s="118"/>
      <c r="K113" s="150"/>
      <c r="L113" s="67">
        <v>45933.666666666664</v>
      </c>
      <c r="M113" s="145">
        <v>0.4909722222222222</v>
      </c>
      <c r="N113" s="118">
        <v>1</v>
      </c>
      <c r="O113" s="118" t="s">
        <v>8</v>
      </c>
      <c r="Q113" s="118" t="s">
        <v>4</v>
      </c>
      <c r="R113" s="146" t="s">
        <v>1580</v>
      </c>
      <c r="S113" s="146"/>
      <c r="T113" t="s">
        <v>1581</v>
      </c>
      <c r="V113" s="146" t="s">
        <v>1582</v>
      </c>
      <c r="X113" t="s">
        <v>1583</v>
      </c>
      <c r="Y113" s="146" t="s">
        <v>115</v>
      </c>
      <c r="AA113">
        <v>-86.995274086325097</v>
      </c>
      <c r="AB113">
        <v>40.470448632593197</v>
      </c>
    </row>
    <row r="114" spans="1:28" ht="23.25" customHeight="1" x14ac:dyDescent="0.25">
      <c r="A114">
        <v>338</v>
      </c>
      <c r="B114" t="s">
        <v>1584</v>
      </c>
      <c r="C114" s="67">
        <v>45933.739374999997</v>
      </c>
      <c r="D114" t="s">
        <v>1046</v>
      </c>
      <c r="E114" s="67">
        <v>45933.739374999997</v>
      </c>
      <c r="F114" t="s">
        <v>1046</v>
      </c>
      <c r="G114" s="118"/>
      <c r="K114" s="150"/>
      <c r="L114" s="67">
        <v>45933.666666666664</v>
      </c>
      <c r="M114" s="145">
        <v>0.56944444444444442</v>
      </c>
      <c r="N114" s="118">
        <v>1</v>
      </c>
      <c r="O114" s="118" t="s">
        <v>9</v>
      </c>
      <c r="Q114" s="118" t="s">
        <v>4</v>
      </c>
      <c r="R114" s="118" t="s">
        <v>1585</v>
      </c>
      <c r="T114" t="s">
        <v>1581</v>
      </c>
      <c r="U114">
        <v>1</v>
      </c>
      <c r="V114" s="146" t="s">
        <v>1586</v>
      </c>
      <c r="Y114" s="146" t="s">
        <v>115</v>
      </c>
      <c r="AA114">
        <v>-86.995280358492394</v>
      </c>
      <c r="AB114">
        <v>40.4704848739852</v>
      </c>
    </row>
  </sheetData>
  <sortState xmlns:xlrd2="http://schemas.microsoft.com/office/spreadsheetml/2017/richdata2" ref="A2:AB114">
    <sortCondition ref="G2:G11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Code</vt:lpstr>
      <vt:lpstr>Samples Taken 2024</vt:lpstr>
      <vt:lpstr>Full List of Data</vt:lpstr>
      <vt:lpstr>YSI2023_Sorted</vt:lpstr>
      <vt:lpstr>YSI2023</vt:lpstr>
      <vt:lpstr>YSI2024</vt:lpstr>
      <vt:lpstr>YSI2025</vt:lpstr>
      <vt:lpstr>Distance</vt:lpstr>
      <vt:lpstr>FLIR</vt:lpstr>
      <vt:lpstr>Surface2025YSI</vt:lpstr>
      <vt:lpstr>Sheet1</vt:lpstr>
      <vt:lpstr>MICrocystin</vt:lpstr>
      <vt:lpstr>Sheet3</vt:lpstr>
      <vt:lpstr>TP</vt:lpstr>
      <vt:lpstr>Investigative TP</vt:lpstr>
      <vt:lpstr>NH4,PO4,NOX</vt:lpstr>
      <vt:lpstr>2025_field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Henry Bradford</dc:creator>
  <cp:lastModifiedBy>Isaac Henry Bradford</cp:lastModifiedBy>
  <cp:lastPrinted>2025-10-01T19:54:22Z</cp:lastPrinted>
  <dcterms:created xsi:type="dcterms:W3CDTF">2024-06-10T14:59:44Z</dcterms:created>
  <dcterms:modified xsi:type="dcterms:W3CDTF">2025-10-29T19:06:24Z</dcterms:modified>
</cp:coreProperties>
</file>