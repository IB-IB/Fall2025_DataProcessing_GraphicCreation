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workbookPr defaultThemeVersion="166925"/>
  <mc:AlternateContent xmlns:mc="http://schemas.openxmlformats.org/markup-compatibility/2006">
    <mc:Choice Requires="x15">
      <x15ac:absPath xmlns:x15ac="http://schemas.microsoft.com/office/spreadsheetml/2010/11/ac" url="\\pasture.ecn.purdue.edu\ibradfo\Personal\GitHub\Fall2025_DataProcessing_GraphicCreation\"/>
    </mc:Choice>
  </mc:AlternateContent>
  <xr:revisionPtr revIDLastSave="0" documentId="8_{19B9AF57-0472-4C32-807C-7E71BA97C7EE}" xr6:coauthVersionLast="47" xr6:coauthVersionMax="47" xr10:uidLastSave="{00000000-0000-0000-0000-000000000000}"/>
  <bookViews>
    <workbookView xWindow="19080" yWindow="-120" windowWidth="24240" windowHeight="13020" firstSheet="1" activeTab="2" xr2:uid="{4ABC50A2-D1DC-44E8-A227-EC9CD6767C02}"/>
  </bookViews>
  <sheets>
    <sheet name="Code" sheetId="1" r:id="rId1"/>
    <sheet name="Samples Taken 2024" sheetId="2" r:id="rId2"/>
    <sheet name="Full List of Data" sheetId="8" r:id="rId3"/>
    <sheet name="Distance" sheetId="38" r:id="rId4"/>
    <sheet name="FLIR" sheetId="37" r:id="rId5"/>
    <sheet name="Surface2025YSI" sheetId="36" r:id="rId6"/>
    <sheet name="Sheet1" sheetId="35" r:id="rId7"/>
    <sheet name="MICrocystin" sheetId="34" r:id="rId8"/>
    <sheet name="Sheet3" sheetId="31" r:id="rId9"/>
    <sheet name="TP" sheetId="29" r:id="rId10"/>
    <sheet name="Investigative TP" sheetId="32" r:id="rId11"/>
    <sheet name="NH4,PO4,NOX" sheetId="30" r:id="rId12"/>
    <sheet name="2025_field" sheetId="33"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M2" i="8" l="1"/>
  <c r="N2" i="8"/>
  <c r="O2" i="8"/>
  <c r="M3" i="8"/>
  <c r="N3" i="8"/>
  <c r="O3" i="8"/>
  <c r="M4" i="8"/>
  <c r="N4" i="8"/>
  <c r="O4" i="8"/>
  <c r="M5" i="8"/>
  <c r="N5" i="8"/>
  <c r="O5" i="8"/>
  <c r="M6" i="8"/>
  <c r="N6" i="8"/>
  <c r="O6" i="8"/>
  <c r="M7" i="8"/>
  <c r="N7" i="8"/>
  <c r="O7" i="8"/>
  <c r="M8" i="8"/>
  <c r="N8" i="8"/>
  <c r="O8" i="8"/>
  <c r="M9" i="8"/>
  <c r="N9" i="8"/>
  <c r="O9" i="8"/>
  <c r="M10" i="8"/>
  <c r="N10" i="8"/>
  <c r="O10" i="8"/>
  <c r="M11" i="8"/>
  <c r="N11" i="8"/>
  <c r="O11" i="8"/>
  <c r="M12" i="8"/>
  <c r="N12" i="8"/>
  <c r="O12" i="8"/>
  <c r="M13" i="8"/>
  <c r="N13" i="8"/>
  <c r="O13" i="8"/>
  <c r="M14" i="8"/>
  <c r="N14" i="8"/>
  <c r="O14" i="8"/>
  <c r="M15" i="8"/>
  <c r="N15" i="8"/>
  <c r="O15" i="8"/>
  <c r="M16" i="8"/>
  <c r="N16" i="8"/>
  <c r="O16" i="8"/>
  <c r="M17" i="8"/>
  <c r="N17" i="8"/>
  <c r="O17" i="8"/>
  <c r="M18" i="8"/>
  <c r="N18" i="8"/>
  <c r="O18" i="8"/>
  <c r="M19" i="8"/>
  <c r="N19" i="8"/>
  <c r="O19" i="8"/>
  <c r="M20" i="8"/>
  <c r="N20" i="8"/>
  <c r="O20" i="8"/>
  <c r="M21" i="8"/>
  <c r="N21" i="8"/>
  <c r="O21" i="8"/>
  <c r="M22" i="8"/>
  <c r="N22" i="8"/>
  <c r="O22" i="8"/>
  <c r="M23" i="8"/>
  <c r="N23" i="8"/>
  <c r="O23" i="8"/>
  <c r="M24" i="8"/>
  <c r="N24" i="8"/>
  <c r="O24" i="8"/>
  <c r="M25" i="8"/>
  <c r="N25" i="8"/>
  <c r="O25" i="8"/>
  <c r="M26" i="8"/>
  <c r="N26" i="8"/>
  <c r="O26" i="8"/>
  <c r="M27" i="8"/>
  <c r="N27" i="8"/>
  <c r="O27" i="8"/>
  <c r="M28" i="8"/>
  <c r="N28" i="8"/>
  <c r="O28" i="8"/>
  <c r="M29" i="8"/>
  <c r="N29" i="8"/>
  <c r="O29" i="8"/>
  <c r="M30" i="8"/>
  <c r="N30" i="8"/>
  <c r="O30" i="8"/>
  <c r="M31" i="8"/>
  <c r="N31" i="8"/>
  <c r="O31" i="8"/>
  <c r="M32" i="8"/>
  <c r="N32" i="8"/>
  <c r="O32" i="8"/>
  <c r="M33" i="8"/>
  <c r="N33" i="8"/>
  <c r="O33" i="8"/>
  <c r="M34" i="8"/>
  <c r="N34" i="8"/>
  <c r="O34" i="8"/>
  <c r="M35" i="8"/>
  <c r="N35" i="8"/>
  <c r="O35" i="8"/>
  <c r="M36" i="8"/>
  <c r="N36" i="8"/>
  <c r="O36" i="8"/>
  <c r="M37" i="8"/>
  <c r="N37" i="8"/>
  <c r="O37" i="8"/>
  <c r="M38" i="8"/>
  <c r="N38" i="8"/>
  <c r="O38" i="8"/>
  <c r="M39" i="8"/>
  <c r="N39" i="8"/>
  <c r="O39" i="8"/>
  <c r="M40" i="8"/>
  <c r="N40" i="8"/>
  <c r="O40" i="8"/>
  <c r="M41" i="8"/>
  <c r="N41" i="8"/>
  <c r="O41" i="8"/>
  <c r="M42" i="8"/>
  <c r="N42" i="8"/>
  <c r="O42" i="8"/>
  <c r="M43" i="8"/>
  <c r="N43" i="8"/>
  <c r="O43" i="8"/>
  <c r="M44" i="8"/>
  <c r="N44" i="8"/>
  <c r="O44" i="8"/>
  <c r="M45" i="8"/>
  <c r="N45" i="8"/>
  <c r="O45" i="8"/>
  <c r="M46" i="8"/>
  <c r="N46" i="8"/>
  <c r="O46" i="8"/>
  <c r="M47" i="8"/>
  <c r="N47" i="8"/>
  <c r="O47" i="8"/>
  <c r="M48" i="8"/>
  <c r="N48" i="8"/>
  <c r="O48" i="8"/>
  <c r="M49" i="8"/>
  <c r="N49" i="8"/>
  <c r="O49" i="8"/>
  <c r="M50" i="8"/>
  <c r="N50" i="8"/>
  <c r="O50" i="8"/>
  <c r="M51" i="8"/>
  <c r="N51" i="8"/>
  <c r="O51" i="8"/>
  <c r="M52" i="8"/>
  <c r="N52" i="8"/>
  <c r="O52" i="8"/>
  <c r="M53" i="8"/>
  <c r="N53" i="8"/>
  <c r="O53" i="8"/>
  <c r="M54" i="8"/>
  <c r="N54" i="8"/>
  <c r="O54" i="8"/>
  <c r="M55" i="8"/>
  <c r="N55" i="8"/>
  <c r="O55" i="8"/>
  <c r="M56" i="8"/>
  <c r="N56" i="8"/>
  <c r="O56" i="8"/>
  <c r="M57" i="8"/>
  <c r="N57" i="8"/>
  <c r="O57" i="8"/>
  <c r="M58" i="8"/>
  <c r="N58" i="8"/>
  <c r="O58" i="8"/>
  <c r="M59" i="8"/>
  <c r="N59" i="8"/>
  <c r="O59" i="8"/>
  <c r="M60" i="8"/>
  <c r="N60" i="8"/>
  <c r="O60" i="8"/>
  <c r="M61" i="8"/>
  <c r="N61" i="8"/>
  <c r="O61" i="8"/>
  <c r="M62" i="8"/>
  <c r="N62" i="8"/>
  <c r="O62" i="8"/>
  <c r="M63" i="8"/>
  <c r="N63" i="8"/>
  <c r="O63" i="8"/>
  <c r="M64" i="8"/>
  <c r="N64" i="8"/>
  <c r="O64" i="8"/>
  <c r="M65" i="8"/>
  <c r="N65" i="8"/>
  <c r="O65" i="8"/>
  <c r="M66" i="8"/>
  <c r="N66" i="8"/>
  <c r="O66" i="8"/>
  <c r="M67" i="8"/>
  <c r="N67" i="8"/>
  <c r="O67" i="8"/>
  <c r="M68" i="8"/>
  <c r="N68" i="8"/>
  <c r="O68" i="8"/>
  <c r="M69" i="8"/>
  <c r="N69" i="8"/>
  <c r="O69" i="8"/>
  <c r="M70" i="8"/>
  <c r="N70" i="8"/>
  <c r="O70" i="8"/>
  <c r="M71" i="8"/>
  <c r="N71" i="8"/>
  <c r="O71" i="8"/>
  <c r="M72" i="8"/>
  <c r="N72" i="8"/>
  <c r="O72" i="8"/>
  <c r="M73" i="8"/>
  <c r="N73" i="8"/>
  <c r="O73" i="8"/>
  <c r="M74" i="8"/>
  <c r="N74" i="8"/>
  <c r="O74" i="8"/>
  <c r="M75" i="8"/>
  <c r="N75" i="8"/>
  <c r="O75" i="8"/>
  <c r="M76" i="8"/>
  <c r="N76" i="8"/>
  <c r="O76" i="8"/>
  <c r="M77" i="8"/>
  <c r="N77" i="8"/>
  <c r="O77" i="8"/>
  <c r="M78" i="8"/>
  <c r="N78" i="8"/>
  <c r="O78" i="8"/>
  <c r="M79" i="8"/>
  <c r="N79" i="8"/>
  <c r="O79" i="8"/>
  <c r="M80" i="8"/>
  <c r="N80" i="8"/>
  <c r="O80" i="8"/>
  <c r="M81" i="8"/>
  <c r="N81" i="8"/>
  <c r="O81" i="8"/>
  <c r="M82" i="8"/>
  <c r="N82" i="8"/>
  <c r="O82" i="8"/>
  <c r="M83" i="8"/>
  <c r="N83" i="8"/>
  <c r="O83" i="8"/>
  <c r="M84" i="8"/>
  <c r="N84" i="8"/>
  <c r="O84" i="8"/>
  <c r="M85" i="8"/>
  <c r="N85" i="8"/>
  <c r="O85" i="8"/>
  <c r="M86" i="8"/>
  <c r="N86" i="8"/>
  <c r="O86" i="8"/>
  <c r="M87" i="8"/>
  <c r="N87" i="8"/>
  <c r="O87" i="8"/>
  <c r="M88" i="8"/>
  <c r="N88" i="8"/>
  <c r="O88" i="8"/>
  <c r="M89" i="8"/>
  <c r="N89" i="8"/>
  <c r="O89" i="8"/>
  <c r="M90" i="8"/>
  <c r="N90" i="8"/>
  <c r="O90" i="8"/>
  <c r="M91" i="8"/>
  <c r="N91" i="8"/>
  <c r="O91" i="8"/>
  <c r="M92" i="8"/>
  <c r="N92" i="8"/>
  <c r="O92" i="8"/>
  <c r="M93" i="8"/>
  <c r="N93" i="8"/>
  <c r="O93" i="8"/>
  <c r="M94" i="8"/>
  <c r="N94" i="8"/>
  <c r="O94" i="8"/>
  <c r="M95" i="8"/>
  <c r="N95" i="8"/>
  <c r="O95" i="8"/>
  <c r="M96" i="8"/>
  <c r="N96" i="8"/>
  <c r="O96" i="8"/>
  <c r="M97" i="8"/>
  <c r="N97" i="8"/>
  <c r="O97" i="8"/>
  <c r="M98" i="8"/>
  <c r="N98" i="8"/>
  <c r="O98" i="8"/>
  <c r="M99" i="8"/>
  <c r="N99" i="8"/>
  <c r="O99" i="8"/>
  <c r="M100" i="8"/>
  <c r="N100" i="8"/>
  <c r="O100" i="8"/>
  <c r="M101" i="8"/>
  <c r="N101" i="8"/>
  <c r="O101" i="8"/>
  <c r="M102" i="8"/>
  <c r="N102" i="8"/>
  <c r="O102" i="8"/>
  <c r="M103" i="8"/>
  <c r="N103" i="8"/>
  <c r="O103" i="8"/>
  <c r="M104" i="8"/>
  <c r="N104" i="8"/>
  <c r="O104" i="8"/>
  <c r="M105" i="8"/>
  <c r="N105" i="8"/>
  <c r="O105" i="8"/>
  <c r="M106" i="8"/>
  <c r="N106" i="8"/>
  <c r="O106" i="8"/>
  <c r="M107" i="8"/>
  <c r="N107" i="8"/>
  <c r="O107" i="8"/>
  <c r="M108" i="8"/>
  <c r="N108" i="8"/>
  <c r="O108" i="8"/>
  <c r="M109" i="8"/>
  <c r="N109" i="8"/>
  <c r="O109" i="8"/>
  <c r="M110" i="8"/>
  <c r="N110" i="8"/>
  <c r="O110" i="8"/>
  <c r="M111" i="8"/>
  <c r="N111" i="8"/>
  <c r="O111" i="8"/>
  <c r="M112" i="8"/>
  <c r="N112" i="8"/>
  <c r="O112" i="8"/>
  <c r="M113" i="8"/>
  <c r="N113" i="8"/>
  <c r="O113" i="8"/>
  <c r="M114" i="8"/>
  <c r="N114" i="8"/>
  <c r="O114" i="8"/>
  <c r="M115" i="8"/>
  <c r="N115" i="8"/>
  <c r="O115" i="8"/>
  <c r="M116" i="8"/>
  <c r="N116" i="8"/>
  <c r="O116" i="8"/>
  <c r="M117" i="8"/>
  <c r="N117" i="8"/>
  <c r="O117" i="8"/>
  <c r="M118" i="8"/>
  <c r="N118" i="8"/>
  <c r="O118" i="8"/>
  <c r="M119" i="8"/>
  <c r="N119" i="8"/>
  <c r="O119" i="8"/>
  <c r="M120" i="8"/>
  <c r="N120" i="8"/>
  <c r="O120" i="8"/>
  <c r="M121" i="8"/>
  <c r="N121" i="8"/>
  <c r="O121" i="8"/>
  <c r="M122" i="8"/>
  <c r="N122" i="8"/>
  <c r="O122" i="8"/>
  <c r="M123" i="8"/>
  <c r="N123" i="8"/>
  <c r="O123" i="8"/>
  <c r="M124" i="8"/>
  <c r="N124" i="8"/>
  <c r="O124" i="8"/>
  <c r="M125" i="8"/>
  <c r="N125" i="8"/>
  <c r="O125" i="8"/>
  <c r="M126" i="8"/>
  <c r="N126" i="8"/>
  <c r="O126" i="8"/>
  <c r="M127" i="8"/>
  <c r="N127" i="8"/>
  <c r="O127" i="8"/>
  <c r="M128" i="8"/>
  <c r="N128" i="8"/>
  <c r="O128" i="8"/>
  <c r="M129" i="8"/>
  <c r="N129" i="8"/>
  <c r="O129" i="8"/>
  <c r="M130" i="8"/>
  <c r="N130" i="8"/>
  <c r="O130" i="8"/>
  <c r="M131" i="8"/>
  <c r="N131" i="8"/>
  <c r="O131" i="8"/>
  <c r="M132" i="8"/>
  <c r="N132" i="8"/>
  <c r="O132" i="8"/>
  <c r="M133" i="8"/>
  <c r="N133" i="8"/>
  <c r="O133" i="8"/>
  <c r="M134" i="8"/>
  <c r="N134" i="8"/>
  <c r="O134" i="8"/>
  <c r="M135" i="8"/>
  <c r="N135" i="8"/>
  <c r="O135" i="8"/>
  <c r="M136" i="8"/>
  <c r="N136" i="8"/>
  <c r="O136" i="8"/>
  <c r="M137" i="8"/>
  <c r="N137" i="8"/>
  <c r="O137" i="8"/>
  <c r="M138" i="8"/>
  <c r="N138" i="8"/>
  <c r="O138" i="8"/>
  <c r="M139" i="8"/>
  <c r="N139" i="8"/>
  <c r="O139" i="8"/>
  <c r="M140" i="8"/>
  <c r="N140" i="8"/>
  <c r="O140" i="8"/>
  <c r="M141" i="8"/>
  <c r="N141" i="8"/>
  <c r="O141" i="8"/>
  <c r="M142" i="8"/>
  <c r="N142" i="8"/>
  <c r="O142" i="8"/>
  <c r="M143" i="8"/>
  <c r="N143" i="8"/>
  <c r="O143" i="8"/>
  <c r="M144" i="8"/>
  <c r="N144" i="8"/>
  <c r="O144" i="8"/>
  <c r="M145" i="8"/>
  <c r="N145" i="8"/>
  <c r="O145" i="8"/>
  <c r="M146" i="8"/>
  <c r="N146" i="8"/>
  <c r="O146" i="8"/>
  <c r="M147" i="8"/>
  <c r="N147" i="8"/>
  <c r="O147" i="8"/>
  <c r="M148" i="8"/>
  <c r="N148" i="8"/>
  <c r="O148" i="8"/>
  <c r="M149" i="8"/>
  <c r="N149" i="8"/>
  <c r="O149" i="8"/>
  <c r="M150" i="8"/>
  <c r="N150" i="8"/>
  <c r="O150" i="8"/>
  <c r="M151" i="8"/>
  <c r="N151" i="8"/>
  <c r="O151" i="8"/>
  <c r="M152" i="8"/>
  <c r="N152" i="8"/>
  <c r="O152" i="8"/>
  <c r="M153" i="8"/>
  <c r="N153" i="8"/>
  <c r="O153" i="8"/>
  <c r="M154" i="8"/>
  <c r="N154" i="8"/>
  <c r="O154" i="8"/>
  <c r="M155" i="8"/>
  <c r="N155" i="8"/>
  <c r="O155" i="8"/>
  <c r="M156" i="8"/>
  <c r="N156" i="8"/>
  <c r="O156" i="8"/>
  <c r="M157" i="8"/>
  <c r="N157" i="8"/>
  <c r="O157" i="8"/>
  <c r="M158" i="8"/>
  <c r="N158" i="8"/>
  <c r="O158" i="8"/>
  <c r="M159" i="8"/>
  <c r="N159" i="8"/>
  <c r="O159" i="8"/>
  <c r="M160" i="8"/>
  <c r="N160" i="8"/>
  <c r="O160" i="8"/>
  <c r="M161" i="8"/>
  <c r="N161" i="8"/>
  <c r="O161" i="8"/>
  <c r="M162" i="8"/>
  <c r="N162" i="8"/>
  <c r="O162" i="8"/>
  <c r="M163" i="8"/>
  <c r="N163" i="8"/>
  <c r="O163" i="8"/>
  <c r="M164" i="8"/>
  <c r="N164" i="8"/>
  <c r="O164" i="8"/>
  <c r="M165" i="8"/>
  <c r="N165" i="8"/>
  <c r="O165" i="8"/>
  <c r="M166" i="8"/>
  <c r="N166" i="8"/>
  <c r="O166" i="8"/>
  <c r="M167" i="8"/>
  <c r="N167" i="8"/>
  <c r="O167" i="8"/>
  <c r="M168" i="8"/>
  <c r="N168" i="8"/>
  <c r="O168" i="8"/>
  <c r="M169" i="8"/>
  <c r="N169" i="8"/>
  <c r="O169" i="8"/>
  <c r="M170" i="8"/>
  <c r="N170" i="8"/>
  <c r="O170" i="8"/>
  <c r="M171" i="8"/>
  <c r="N171" i="8"/>
  <c r="O171" i="8"/>
  <c r="M172" i="8"/>
  <c r="N172" i="8"/>
  <c r="O172" i="8"/>
  <c r="M173" i="8"/>
  <c r="N173" i="8"/>
  <c r="O173" i="8"/>
  <c r="M174" i="8"/>
  <c r="N174" i="8"/>
  <c r="O174" i="8"/>
  <c r="M175" i="8"/>
  <c r="N175" i="8"/>
  <c r="O175" i="8"/>
  <c r="M176" i="8"/>
  <c r="N176" i="8"/>
  <c r="O176" i="8"/>
  <c r="M177" i="8"/>
  <c r="N177" i="8"/>
  <c r="O177" i="8"/>
  <c r="M178" i="8"/>
  <c r="N178" i="8"/>
  <c r="O178" i="8"/>
  <c r="M179" i="8"/>
  <c r="N179" i="8"/>
  <c r="O179" i="8"/>
  <c r="M180" i="8"/>
  <c r="N180" i="8"/>
  <c r="O180" i="8"/>
  <c r="M181" i="8"/>
  <c r="N181" i="8"/>
  <c r="O181" i="8"/>
  <c r="M182" i="8"/>
  <c r="N182" i="8"/>
  <c r="O182" i="8"/>
  <c r="M183" i="8"/>
  <c r="N183" i="8"/>
  <c r="O183" i="8"/>
  <c r="M184" i="8"/>
  <c r="N184" i="8"/>
  <c r="O184" i="8"/>
  <c r="M185" i="8"/>
  <c r="N185" i="8"/>
  <c r="O185" i="8"/>
  <c r="M186" i="8"/>
  <c r="N186" i="8"/>
  <c r="O186" i="8"/>
  <c r="M187" i="8"/>
  <c r="N187" i="8"/>
  <c r="O187" i="8"/>
  <c r="M188" i="8"/>
  <c r="N188" i="8"/>
  <c r="O188" i="8"/>
  <c r="M189" i="8"/>
  <c r="N189" i="8"/>
  <c r="O189" i="8"/>
  <c r="M190" i="8"/>
  <c r="N190" i="8"/>
  <c r="O190" i="8"/>
  <c r="M191" i="8"/>
  <c r="N191" i="8"/>
  <c r="O191" i="8"/>
  <c r="M192" i="8"/>
  <c r="N192" i="8"/>
  <c r="O192" i="8"/>
  <c r="M193" i="8"/>
  <c r="N193" i="8"/>
  <c r="O193" i="8"/>
  <c r="M194" i="8"/>
  <c r="N194" i="8"/>
  <c r="O194" i="8"/>
  <c r="M195" i="8"/>
  <c r="N195" i="8"/>
  <c r="O195" i="8"/>
  <c r="M196" i="8"/>
  <c r="N196" i="8"/>
  <c r="O196" i="8"/>
  <c r="M197" i="8"/>
  <c r="N197" i="8"/>
  <c r="O197" i="8"/>
  <c r="M198" i="8"/>
  <c r="N198" i="8"/>
  <c r="O198" i="8"/>
  <c r="M199" i="8"/>
  <c r="N199" i="8"/>
  <c r="O199" i="8"/>
  <c r="M200" i="8"/>
  <c r="N200" i="8"/>
  <c r="O200" i="8"/>
  <c r="M201" i="8"/>
  <c r="N201" i="8"/>
  <c r="O201" i="8"/>
  <c r="M202" i="8"/>
  <c r="N202" i="8"/>
  <c r="O202" i="8"/>
  <c r="M203" i="8"/>
  <c r="N203" i="8"/>
  <c r="O203" i="8"/>
  <c r="M204" i="8"/>
  <c r="N204" i="8"/>
  <c r="O204" i="8"/>
  <c r="M205" i="8"/>
  <c r="N205" i="8"/>
  <c r="O205" i="8"/>
  <c r="M206" i="8"/>
  <c r="N206" i="8"/>
  <c r="O206" i="8"/>
  <c r="M207" i="8"/>
  <c r="N207" i="8"/>
  <c r="O207" i="8"/>
  <c r="M208" i="8"/>
  <c r="N208" i="8"/>
  <c r="O208" i="8"/>
  <c r="M209" i="8"/>
  <c r="N209" i="8"/>
  <c r="O209" i="8"/>
  <c r="M210" i="8"/>
  <c r="N210" i="8"/>
  <c r="O210" i="8"/>
  <c r="M211" i="8"/>
  <c r="N211" i="8"/>
  <c r="O211" i="8"/>
  <c r="M212" i="8"/>
  <c r="N212" i="8"/>
  <c r="O212" i="8"/>
  <c r="M213" i="8"/>
  <c r="N213" i="8"/>
  <c r="O213" i="8"/>
  <c r="M214" i="8"/>
  <c r="N214" i="8"/>
  <c r="O214" i="8"/>
  <c r="M215" i="8"/>
  <c r="N215" i="8"/>
  <c r="O215" i="8"/>
  <c r="M216" i="8"/>
  <c r="N216" i="8"/>
  <c r="O216" i="8"/>
  <c r="M217" i="8"/>
  <c r="N217" i="8"/>
  <c r="O217" i="8"/>
  <c r="M218" i="8"/>
  <c r="N218" i="8"/>
  <c r="O218" i="8"/>
  <c r="M219" i="8"/>
  <c r="N219" i="8"/>
  <c r="O219" i="8"/>
  <c r="M220" i="8"/>
  <c r="N220" i="8"/>
  <c r="O220" i="8"/>
  <c r="M221" i="8"/>
  <c r="N221" i="8"/>
  <c r="O221" i="8"/>
  <c r="M222" i="8"/>
  <c r="N222" i="8"/>
  <c r="O222" i="8"/>
  <c r="M223" i="8"/>
  <c r="N223" i="8"/>
  <c r="O223" i="8"/>
  <c r="M224" i="8"/>
  <c r="N224" i="8"/>
  <c r="O224" i="8"/>
  <c r="M225" i="8"/>
  <c r="N225" i="8"/>
  <c r="O225" i="8"/>
  <c r="M226" i="8"/>
  <c r="N226" i="8"/>
  <c r="O226" i="8"/>
  <c r="M227" i="8"/>
  <c r="N227" i="8"/>
  <c r="O227" i="8"/>
  <c r="M228" i="8"/>
  <c r="N228" i="8"/>
  <c r="O228" i="8"/>
  <c r="M229" i="8"/>
  <c r="N229" i="8"/>
  <c r="O229" i="8"/>
  <c r="M230" i="8"/>
  <c r="N230" i="8"/>
  <c r="O230" i="8"/>
  <c r="M231" i="8"/>
  <c r="N231" i="8"/>
  <c r="O231" i="8"/>
  <c r="M232" i="8"/>
  <c r="N232" i="8"/>
  <c r="O232" i="8"/>
  <c r="M233" i="8"/>
  <c r="N233" i="8"/>
  <c r="O233" i="8"/>
  <c r="M234" i="8"/>
  <c r="N234" i="8"/>
  <c r="O234" i="8"/>
  <c r="M235" i="8"/>
  <c r="N235" i="8"/>
  <c r="O235" i="8"/>
  <c r="M236" i="8"/>
  <c r="N236" i="8"/>
  <c r="O236" i="8"/>
  <c r="M237" i="8"/>
  <c r="N237" i="8"/>
  <c r="O237" i="8"/>
  <c r="M238" i="8"/>
  <c r="N238" i="8"/>
  <c r="O238" i="8"/>
  <c r="M239" i="8"/>
  <c r="N239" i="8"/>
  <c r="O239" i="8"/>
  <c r="M240" i="8"/>
  <c r="N240" i="8"/>
  <c r="O240" i="8"/>
  <c r="M241" i="8"/>
  <c r="N241" i="8"/>
  <c r="O241" i="8"/>
  <c r="M242" i="8"/>
  <c r="N242" i="8"/>
  <c r="O242" i="8"/>
  <c r="M243" i="8"/>
  <c r="N243" i="8"/>
  <c r="O243" i="8"/>
  <c r="M244" i="8"/>
  <c r="N244" i="8"/>
  <c r="O244" i="8"/>
  <c r="M245" i="8"/>
  <c r="N245" i="8"/>
  <c r="O245" i="8"/>
  <c r="M246" i="8"/>
  <c r="N246" i="8"/>
  <c r="O246" i="8"/>
  <c r="M247" i="8"/>
  <c r="N247" i="8"/>
  <c r="O247" i="8"/>
  <c r="M248" i="8"/>
  <c r="N248" i="8"/>
  <c r="O248" i="8"/>
  <c r="M249" i="8"/>
  <c r="N249" i="8"/>
  <c r="O249" i="8"/>
  <c r="M250" i="8"/>
  <c r="N250" i="8"/>
  <c r="O250" i="8"/>
  <c r="M251" i="8"/>
  <c r="N251" i="8"/>
  <c r="O251" i="8"/>
  <c r="M252" i="8"/>
  <c r="N252" i="8"/>
  <c r="O252" i="8"/>
  <c r="M253" i="8"/>
  <c r="N253" i="8"/>
  <c r="O253" i="8"/>
  <c r="M254" i="8"/>
  <c r="N254" i="8"/>
  <c r="O254" i="8"/>
  <c r="M255" i="8"/>
  <c r="N255" i="8"/>
  <c r="O255" i="8"/>
  <c r="M256" i="8"/>
  <c r="N256" i="8"/>
  <c r="O256" i="8"/>
  <c r="M257" i="8"/>
  <c r="N257" i="8"/>
  <c r="O257" i="8"/>
  <c r="M258" i="8"/>
  <c r="N258" i="8"/>
  <c r="O258" i="8"/>
  <c r="M259" i="8"/>
  <c r="N259" i="8"/>
  <c r="O259" i="8"/>
  <c r="M260" i="8"/>
  <c r="N260" i="8"/>
  <c r="O260" i="8"/>
  <c r="M261" i="8"/>
  <c r="N261" i="8"/>
  <c r="O261" i="8"/>
  <c r="M262" i="8"/>
  <c r="N262" i="8"/>
  <c r="O262" i="8"/>
  <c r="M263" i="8"/>
  <c r="N263" i="8"/>
  <c r="O263" i="8"/>
  <c r="M264" i="8"/>
  <c r="N264" i="8"/>
  <c r="O264" i="8"/>
  <c r="M265" i="8"/>
  <c r="N265" i="8"/>
  <c r="O265" i="8"/>
  <c r="M266" i="8"/>
  <c r="N266" i="8"/>
  <c r="O266" i="8"/>
  <c r="M267" i="8"/>
  <c r="N267" i="8"/>
  <c r="O267" i="8"/>
  <c r="M268" i="8"/>
  <c r="N268" i="8"/>
  <c r="O268" i="8"/>
  <c r="M269" i="8"/>
  <c r="N269" i="8"/>
  <c r="O269" i="8"/>
  <c r="M270" i="8"/>
  <c r="N270" i="8"/>
  <c r="O270" i="8"/>
  <c r="M271" i="8"/>
  <c r="N271" i="8"/>
  <c r="O271" i="8"/>
  <c r="M272" i="8"/>
  <c r="N272" i="8"/>
  <c r="O272" i="8"/>
  <c r="M273" i="8"/>
  <c r="N273" i="8"/>
  <c r="O273" i="8"/>
  <c r="M274" i="8"/>
  <c r="N274" i="8"/>
  <c r="O274" i="8"/>
  <c r="M275" i="8"/>
  <c r="N275" i="8"/>
  <c r="O275" i="8"/>
  <c r="M276" i="8"/>
  <c r="N276" i="8"/>
  <c r="O276" i="8"/>
  <c r="M277" i="8"/>
  <c r="N277" i="8"/>
  <c r="O277" i="8"/>
  <c r="M278" i="8"/>
  <c r="N278" i="8"/>
  <c r="O278" i="8"/>
  <c r="M279" i="8"/>
  <c r="N279" i="8"/>
  <c r="O279" i="8"/>
  <c r="M280" i="8"/>
  <c r="N280" i="8"/>
  <c r="O280" i="8"/>
  <c r="M281" i="8"/>
  <c r="N281" i="8"/>
  <c r="O281" i="8"/>
  <c r="M282" i="8"/>
  <c r="N282" i="8"/>
  <c r="O282" i="8"/>
  <c r="M283" i="8"/>
  <c r="N283" i="8"/>
  <c r="O283" i="8"/>
  <c r="M284" i="8"/>
  <c r="N284" i="8"/>
  <c r="O284" i="8"/>
  <c r="M285" i="8"/>
  <c r="N285" i="8"/>
  <c r="O285" i="8"/>
  <c r="M286" i="8"/>
  <c r="N286" i="8"/>
  <c r="O286" i="8"/>
  <c r="M287" i="8"/>
  <c r="N287" i="8"/>
  <c r="O287" i="8"/>
  <c r="M288" i="8"/>
  <c r="N288" i="8"/>
  <c r="O288" i="8"/>
  <c r="M289" i="8"/>
  <c r="N289" i="8"/>
  <c r="O289" i="8"/>
  <c r="M290" i="8"/>
  <c r="N290" i="8"/>
  <c r="O290" i="8"/>
  <c r="M291" i="8"/>
  <c r="N291" i="8"/>
  <c r="O291" i="8"/>
  <c r="M292" i="8"/>
  <c r="N292" i="8"/>
  <c r="O292" i="8"/>
  <c r="M293" i="8"/>
  <c r="N293" i="8"/>
  <c r="O293" i="8"/>
  <c r="M294" i="8"/>
  <c r="N294" i="8"/>
  <c r="O294" i="8"/>
  <c r="M295" i="8"/>
  <c r="N295" i="8"/>
  <c r="O295" i="8"/>
  <c r="M296" i="8"/>
  <c r="N296" i="8"/>
  <c r="O296" i="8"/>
  <c r="M297" i="8"/>
  <c r="N297" i="8"/>
  <c r="O297" i="8"/>
  <c r="M298" i="8"/>
  <c r="N298" i="8"/>
  <c r="O298" i="8"/>
  <c r="M299" i="8"/>
  <c r="N299" i="8"/>
  <c r="O299" i="8"/>
  <c r="M300" i="8"/>
  <c r="N300" i="8"/>
  <c r="O300" i="8"/>
  <c r="M301" i="8"/>
  <c r="N301" i="8"/>
  <c r="O301" i="8"/>
  <c r="M302" i="8"/>
  <c r="N302" i="8"/>
  <c r="O302" i="8"/>
  <c r="M303" i="8"/>
  <c r="N303" i="8"/>
  <c r="O303" i="8"/>
  <c r="M304" i="8"/>
  <c r="N304" i="8"/>
  <c r="O304" i="8"/>
  <c r="M305" i="8"/>
  <c r="N305" i="8"/>
  <c r="O305" i="8"/>
  <c r="M306" i="8"/>
  <c r="N306" i="8"/>
  <c r="O306" i="8"/>
  <c r="M307" i="8"/>
  <c r="N307" i="8"/>
  <c r="O307" i="8"/>
  <c r="M308" i="8"/>
  <c r="N308" i="8"/>
  <c r="O308" i="8"/>
  <c r="M309" i="8"/>
  <c r="N309" i="8"/>
  <c r="O309" i="8"/>
  <c r="M310" i="8"/>
  <c r="N310" i="8"/>
  <c r="O310" i="8"/>
  <c r="M311" i="8"/>
  <c r="N311" i="8"/>
  <c r="O311" i="8"/>
  <c r="M312" i="8"/>
  <c r="N312" i="8"/>
  <c r="O312" i="8"/>
  <c r="M313" i="8"/>
  <c r="N313" i="8"/>
  <c r="O313" i="8"/>
  <c r="M314" i="8"/>
  <c r="N314" i="8"/>
  <c r="O314" i="8"/>
  <c r="M315" i="8"/>
  <c r="N315" i="8"/>
  <c r="O315" i="8"/>
  <c r="M316" i="8"/>
  <c r="N316" i="8"/>
  <c r="O316" i="8"/>
  <c r="M317" i="8"/>
  <c r="N317" i="8"/>
  <c r="O317" i="8"/>
  <c r="M318" i="8"/>
  <c r="N318" i="8"/>
  <c r="O318" i="8"/>
  <c r="M319" i="8"/>
  <c r="N319" i="8"/>
  <c r="O319" i="8"/>
  <c r="M320" i="8"/>
  <c r="N320" i="8"/>
  <c r="O320" i="8"/>
  <c r="M321" i="8"/>
  <c r="N321" i="8"/>
  <c r="O321" i="8"/>
  <c r="M322" i="8"/>
  <c r="N322" i="8"/>
  <c r="O322" i="8"/>
  <c r="M323" i="8"/>
  <c r="N323" i="8"/>
  <c r="O323" i="8"/>
  <c r="M324" i="8"/>
  <c r="N324" i="8"/>
  <c r="O324" i="8"/>
  <c r="M325" i="8"/>
  <c r="N325" i="8"/>
  <c r="O325" i="8"/>
  <c r="M326" i="8"/>
  <c r="N326" i="8"/>
  <c r="O326" i="8"/>
  <c r="M327" i="8"/>
  <c r="N327" i="8"/>
  <c r="O327" i="8"/>
  <c r="M328" i="8"/>
  <c r="N328" i="8"/>
  <c r="O328" i="8"/>
  <c r="M329" i="8"/>
  <c r="N329" i="8"/>
  <c r="O329" i="8"/>
  <c r="M330" i="8"/>
  <c r="N330" i="8"/>
  <c r="O330" i="8"/>
  <c r="M331" i="8"/>
  <c r="N331" i="8"/>
  <c r="O331" i="8"/>
  <c r="M332" i="8"/>
  <c r="N332" i="8"/>
  <c r="O332" i="8"/>
  <c r="M333" i="8"/>
  <c r="N333" i="8"/>
  <c r="O333" i="8"/>
  <c r="M334" i="8"/>
  <c r="N334" i="8"/>
  <c r="O334" i="8"/>
  <c r="M335" i="8"/>
  <c r="N335" i="8"/>
  <c r="O335" i="8"/>
  <c r="M336" i="8"/>
  <c r="N336" i="8"/>
  <c r="O336" i="8"/>
  <c r="M337" i="8"/>
  <c r="N337" i="8"/>
  <c r="O337" i="8"/>
  <c r="M338" i="8"/>
  <c r="N338" i="8"/>
  <c r="O338" i="8"/>
  <c r="M339" i="8"/>
  <c r="N339" i="8"/>
  <c r="O339" i="8"/>
  <c r="M340" i="8"/>
  <c r="N340" i="8"/>
  <c r="O340" i="8"/>
  <c r="M341" i="8"/>
  <c r="N341" i="8"/>
  <c r="O341" i="8"/>
  <c r="M342" i="8"/>
  <c r="N342" i="8"/>
  <c r="O342" i="8"/>
  <c r="M343" i="8"/>
  <c r="N343" i="8"/>
  <c r="O343" i="8"/>
  <c r="M344" i="8"/>
  <c r="N344" i="8"/>
  <c r="O344" i="8"/>
  <c r="M345" i="8"/>
  <c r="N345" i="8"/>
  <c r="O345" i="8"/>
  <c r="M346" i="8"/>
  <c r="N346" i="8"/>
  <c r="O346" i="8"/>
  <c r="M347" i="8"/>
  <c r="N347" i="8"/>
  <c r="O347" i="8"/>
  <c r="M348" i="8"/>
  <c r="N348" i="8"/>
  <c r="O348" i="8"/>
  <c r="M349" i="8"/>
  <c r="N349" i="8"/>
  <c r="O349" i="8"/>
  <c r="M350" i="8"/>
  <c r="N350" i="8"/>
  <c r="O350" i="8"/>
  <c r="M351" i="8"/>
  <c r="N351" i="8"/>
  <c r="O351" i="8"/>
  <c r="M352" i="8"/>
  <c r="N352" i="8"/>
  <c r="O352" i="8"/>
  <c r="M353" i="8"/>
  <c r="N353" i="8"/>
  <c r="O353" i="8"/>
  <c r="M354" i="8"/>
  <c r="N354" i="8"/>
  <c r="O354" i="8"/>
  <c r="M355" i="8"/>
  <c r="N355" i="8"/>
  <c r="O355" i="8"/>
  <c r="M356" i="8"/>
  <c r="N356" i="8"/>
  <c r="O356" i="8"/>
  <c r="M357" i="8"/>
  <c r="N357" i="8"/>
  <c r="O357" i="8"/>
  <c r="M358" i="8"/>
  <c r="N358" i="8"/>
  <c r="O358" i="8"/>
  <c r="M359" i="8"/>
  <c r="N359" i="8"/>
  <c r="O359" i="8"/>
  <c r="M360" i="8"/>
  <c r="N360" i="8"/>
  <c r="O360" i="8"/>
  <c r="M361" i="8"/>
  <c r="N361" i="8"/>
  <c r="O361" i="8"/>
  <c r="M362" i="8"/>
  <c r="N362" i="8"/>
  <c r="O362" i="8"/>
  <c r="M363" i="8"/>
  <c r="N363" i="8"/>
  <c r="O363" i="8"/>
  <c r="M364" i="8"/>
  <c r="N364" i="8"/>
  <c r="O364" i="8"/>
  <c r="M365" i="8"/>
  <c r="N365" i="8"/>
  <c r="O365" i="8"/>
  <c r="M366" i="8"/>
  <c r="N366" i="8"/>
  <c r="O366" i="8"/>
  <c r="M367" i="8"/>
  <c r="N367" i="8"/>
  <c r="O367" i="8"/>
  <c r="M368" i="8"/>
  <c r="N368" i="8"/>
  <c r="O368" i="8"/>
  <c r="M369" i="8"/>
  <c r="N369" i="8"/>
  <c r="O369" i="8"/>
  <c r="M370" i="8"/>
  <c r="N370" i="8"/>
  <c r="O370" i="8"/>
  <c r="M371" i="8"/>
  <c r="N371" i="8"/>
  <c r="O371" i="8"/>
  <c r="M372" i="8"/>
  <c r="N372" i="8"/>
  <c r="O372" i="8"/>
  <c r="M373" i="8"/>
  <c r="N373" i="8"/>
  <c r="O373" i="8"/>
  <c r="M374" i="8"/>
  <c r="N374" i="8"/>
  <c r="O374" i="8"/>
  <c r="M375" i="8"/>
  <c r="N375" i="8"/>
  <c r="O375" i="8"/>
  <c r="M376" i="8"/>
  <c r="N376" i="8"/>
  <c r="O376" i="8"/>
  <c r="M377" i="8"/>
  <c r="N377" i="8"/>
  <c r="O377" i="8"/>
  <c r="M378" i="8"/>
  <c r="N378" i="8"/>
  <c r="O378" i="8"/>
  <c r="M379" i="8"/>
  <c r="N379" i="8"/>
  <c r="O379" i="8"/>
  <c r="M380" i="8"/>
  <c r="N380" i="8"/>
  <c r="O380" i="8"/>
  <c r="M381" i="8"/>
  <c r="N381" i="8"/>
  <c r="O381" i="8"/>
  <c r="M382" i="8"/>
  <c r="N382" i="8"/>
  <c r="O382" i="8"/>
  <c r="M383" i="8"/>
  <c r="N383" i="8"/>
  <c r="O383" i="8"/>
  <c r="M384" i="8"/>
  <c r="N384" i="8"/>
  <c r="O384" i="8"/>
  <c r="M385" i="8"/>
  <c r="N385" i="8"/>
  <c r="O385" i="8"/>
  <c r="M386" i="8"/>
  <c r="N386" i="8"/>
  <c r="O386" i="8"/>
  <c r="M387" i="8"/>
  <c r="N387" i="8"/>
  <c r="O387" i="8"/>
  <c r="M388" i="8"/>
  <c r="N388" i="8"/>
  <c r="O388" i="8"/>
  <c r="M389" i="8"/>
  <c r="N389" i="8"/>
  <c r="O389" i="8"/>
  <c r="M390" i="8"/>
  <c r="N390" i="8"/>
  <c r="O390" i="8"/>
  <c r="M391" i="8"/>
  <c r="N391" i="8"/>
  <c r="O391" i="8"/>
  <c r="M392" i="8"/>
  <c r="N392" i="8"/>
  <c r="O392" i="8"/>
  <c r="M393" i="8"/>
  <c r="N393" i="8"/>
  <c r="O393" i="8"/>
  <c r="M394" i="8"/>
  <c r="N394" i="8"/>
  <c r="O394" i="8"/>
  <c r="M395" i="8"/>
  <c r="N395" i="8"/>
  <c r="O395" i="8"/>
  <c r="M396" i="8"/>
  <c r="N396" i="8"/>
  <c r="O396" i="8"/>
  <c r="M397" i="8"/>
  <c r="N397" i="8"/>
  <c r="O397" i="8"/>
  <c r="M398" i="8"/>
  <c r="N398" i="8"/>
  <c r="O398" i="8"/>
  <c r="M399" i="8"/>
  <c r="N399" i="8"/>
  <c r="O399" i="8"/>
  <c r="M400" i="8"/>
  <c r="N400" i="8"/>
  <c r="O400" i="8"/>
  <c r="M401" i="8"/>
  <c r="N401" i="8"/>
  <c r="O401" i="8"/>
  <c r="M402" i="8"/>
  <c r="N402" i="8"/>
  <c r="O402" i="8"/>
  <c r="M403" i="8"/>
  <c r="N403" i="8"/>
  <c r="O403" i="8"/>
  <c r="M404" i="8"/>
  <c r="N404" i="8"/>
  <c r="O404" i="8"/>
  <c r="M405" i="8"/>
  <c r="N405" i="8"/>
  <c r="O405" i="8"/>
  <c r="M406" i="8"/>
  <c r="N406" i="8"/>
  <c r="O406" i="8"/>
  <c r="M407" i="8"/>
  <c r="N407" i="8"/>
  <c r="O407" i="8"/>
  <c r="M408" i="8"/>
  <c r="N408" i="8"/>
  <c r="O408" i="8"/>
  <c r="M409" i="8"/>
  <c r="N409" i="8"/>
  <c r="O409" i="8"/>
  <c r="M410" i="8"/>
  <c r="N410" i="8"/>
  <c r="O410" i="8"/>
  <c r="M411" i="8"/>
  <c r="N411" i="8"/>
  <c r="O411" i="8"/>
  <c r="M412" i="8"/>
  <c r="N412" i="8"/>
  <c r="O412" i="8"/>
  <c r="M413" i="8"/>
  <c r="N413" i="8"/>
  <c r="O413" i="8"/>
  <c r="M414" i="8"/>
  <c r="N414" i="8"/>
  <c r="O414" i="8"/>
  <c r="M415" i="8"/>
  <c r="N415" i="8"/>
  <c r="O415" i="8"/>
  <c r="M416" i="8"/>
  <c r="N416" i="8"/>
  <c r="O416" i="8"/>
  <c r="M417" i="8"/>
  <c r="N417" i="8"/>
  <c r="O417" i="8"/>
  <c r="M418" i="8"/>
  <c r="N418" i="8"/>
  <c r="O418" i="8"/>
  <c r="M419" i="8"/>
  <c r="N419" i="8"/>
  <c r="O419" i="8"/>
  <c r="M420" i="8"/>
  <c r="N420" i="8"/>
  <c r="O420" i="8"/>
  <c r="M421" i="8"/>
  <c r="N421" i="8"/>
  <c r="O421" i="8"/>
  <c r="M422" i="8"/>
  <c r="N422" i="8"/>
  <c r="O422" i="8"/>
  <c r="M423" i="8"/>
  <c r="N423" i="8"/>
  <c r="O423" i="8"/>
  <c r="M424" i="8"/>
  <c r="N424" i="8"/>
  <c r="O424" i="8"/>
  <c r="M425" i="8"/>
  <c r="N425" i="8"/>
  <c r="O425" i="8"/>
  <c r="M426" i="8"/>
  <c r="N426" i="8"/>
  <c r="O426" i="8"/>
  <c r="M427" i="8"/>
  <c r="N427" i="8"/>
  <c r="O427" i="8"/>
  <c r="M428" i="8"/>
  <c r="N428" i="8"/>
  <c r="O428" i="8"/>
  <c r="M429" i="8"/>
  <c r="N429" i="8"/>
  <c r="O429" i="8"/>
  <c r="M430" i="8"/>
  <c r="N430" i="8"/>
  <c r="O430" i="8"/>
  <c r="M431" i="8"/>
  <c r="N431" i="8"/>
  <c r="O431" i="8"/>
  <c r="M432" i="8"/>
  <c r="N432" i="8"/>
  <c r="O432" i="8"/>
  <c r="M433" i="8"/>
  <c r="N433" i="8"/>
  <c r="O433" i="8"/>
  <c r="M434" i="8"/>
  <c r="N434" i="8"/>
  <c r="O434" i="8"/>
  <c r="M435" i="8"/>
  <c r="N435" i="8"/>
  <c r="O435" i="8"/>
  <c r="M436" i="8"/>
  <c r="N436" i="8"/>
  <c r="O436" i="8"/>
  <c r="M437" i="8"/>
  <c r="N437" i="8"/>
  <c r="O437" i="8"/>
  <c r="M438" i="8"/>
  <c r="N438" i="8"/>
  <c r="O438" i="8"/>
  <c r="M439" i="8"/>
  <c r="N439" i="8"/>
  <c r="O439" i="8"/>
  <c r="M440" i="8"/>
  <c r="N440" i="8"/>
  <c r="O440" i="8"/>
  <c r="M441" i="8"/>
  <c r="N441" i="8"/>
  <c r="O441" i="8"/>
  <c r="M442" i="8"/>
  <c r="N442" i="8"/>
  <c r="O442" i="8"/>
  <c r="M443" i="8"/>
  <c r="N443" i="8"/>
  <c r="O443" i="8"/>
  <c r="M444" i="8"/>
  <c r="N444" i="8"/>
  <c r="O444" i="8"/>
  <c r="M445" i="8"/>
  <c r="N445" i="8"/>
  <c r="O445" i="8"/>
  <c r="M446" i="8"/>
  <c r="N446" i="8"/>
  <c r="O446" i="8"/>
  <c r="M447" i="8"/>
  <c r="N447" i="8"/>
  <c r="O447" i="8"/>
  <c r="M448" i="8"/>
  <c r="N448" i="8"/>
  <c r="O448" i="8"/>
  <c r="M449" i="8"/>
  <c r="N449" i="8"/>
  <c r="O449" i="8"/>
  <c r="M450" i="8"/>
  <c r="N450" i="8"/>
  <c r="O450" i="8"/>
  <c r="M451" i="8"/>
  <c r="N451" i="8"/>
  <c r="O451" i="8"/>
  <c r="M452" i="8"/>
  <c r="N452" i="8"/>
  <c r="O452" i="8"/>
  <c r="M453" i="8"/>
  <c r="N453" i="8"/>
  <c r="O453" i="8"/>
  <c r="M454" i="8"/>
  <c r="N454" i="8"/>
  <c r="O454" i="8"/>
  <c r="M455" i="8"/>
  <c r="N455" i="8"/>
  <c r="O455" i="8"/>
  <c r="M456" i="8"/>
  <c r="N456" i="8"/>
  <c r="O456" i="8"/>
  <c r="M457" i="8"/>
  <c r="N457" i="8"/>
  <c r="O457" i="8"/>
  <c r="M458" i="8"/>
  <c r="N458" i="8"/>
  <c r="O458" i="8"/>
  <c r="M459" i="8"/>
  <c r="N459" i="8"/>
  <c r="O459" i="8"/>
  <c r="M460" i="8"/>
  <c r="N460" i="8"/>
  <c r="O460" i="8"/>
  <c r="M461" i="8"/>
  <c r="N461" i="8"/>
  <c r="O461" i="8"/>
  <c r="M462" i="8"/>
  <c r="N462" i="8"/>
  <c r="O462" i="8"/>
  <c r="M463" i="8"/>
  <c r="N463" i="8"/>
  <c r="O463" i="8"/>
  <c r="M464" i="8"/>
  <c r="N464" i="8"/>
  <c r="O464" i="8"/>
  <c r="M465" i="8"/>
  <c r="N465" i="8"/>
  <c r="O465" i="8"/>
  <c r="M466" i="8"/>
  <c r="N466" i="8"/>
  <c r="O466" i="8"/>
  <c r="M467" i="8"/>
  <c r="N467" i="8"/>
  <c r="O467" i="8"/>
  <c r="M468" i="8"/>
  <c r="N468" i="8"/>
  <c r="O468" i="8"/>
  <c r="M469" i="8"/>
  <c r="N469" i="8"/>
  <c r="O469" i="8"/>
  <c r="M470" i="8"/>
  <c r="N470" i="8"/>
  <c r="O470" i="8"/>
  <c r="M471" i="8"/>
  <c r="N471" i="8"/>
  <c r="O471" i="8"/>
  <c r="M472" i="8"/>
  <c r="N472" i="8"/>
  <c r="O472" i="8"/>
  <c r="M473" i="8"/>
  <c r="N473" i="8"/>
  <c r="O473" i="8"/>
  <c r="M474" i="8"/>
  <c r="N474" i="8"/>
  <c r="O474" i="8"/>
  <c r="M475" i="8"/>
  <c r="N475" i="8"/>
  <c r="O475" i="8"/>
  <c r="M476" i="8"/>
  <c r="N476" i="8"/>
  <c r="O476" i="8"/>
  <c r="M477" i="8"/>
  <c r="N477" i="8"/>
  <c r="O477" i="8"/>
  <c r="M478" i="8"/>
  <c r="N478" i="8"/>
  <c r="O478" i="8"/>
  <c r="M479" i="8"/>
  <c r="N479" i="8"/>
  <c r="O479" i="8"/>
  <c r="M480" i="8"/>
  <c r="N480" i="8"/>
  <c r="O480" i="8"/>
  <c r="M481" i="8"/>
  <c r="N481" i="8"/>
  <c r="O481" i="8"/>
  <c r="M482" i="8"/>
  <c r="N482" i="8"/>
  <c r="O482" i="8"/>
  <c r="M483" i="8"/>
  <c r="N483" i="8"/>
  <c r="O483" i="8"/>
  <c r="M484" i="8"/>
  <c r="N484" i="8"/>
  <c r="O484" i="8"/>
  <c r="M485" i="8"/>
  <c r="N485" i="8"/>
  <c r="O485" i="8"/>
  <c r="M486" i="8"/>
  <c r="N486" i="8"/>
  <c r="O486" i="8"/>
  <c r="M487" i="8"/>
  <c r="N487" i="8"/>
  <c r="O487" i="8"/>
  <c r="M488" i="8"/>
  <c r="N488" i="8"/>
  <c r="O488" i="8"/>
  <c r="M489" i="8"/>
  <c r="N489" i="8"/>
  <c r="O489" i="8"/>
  <c r="M490" i="8"/>
  <c r="N490" i="8"/>
  <c r="O490" i="8"/>
  <c r="M491" i="8"/>
  <c r="N491" i="8"/>
  <c r="O491" i="8"/>
  <c r="M492" i="8"/>
  <c r="N492" i="8"/>
  <c r="O492" i="8"/>
  <c r="M493" i="8"/>
  <c r="N493" i="8"/>
  <c r="O493" i="8"/>
  <c r="M494" i="8"/>
  <c r="N494" i="8"/>
  <c r="O494" i="8"/>
  <c r="M495" i="8"/>
  <c r="N495" i="8"/>
  <c r="O495" i="8"/>
  <c r="M496" i="8"/>
  <c r="N496" i="8"/>
  <c r="O496" i="8"/>
  <c r="M497" i="8"/>
  <c r="N497" i="8"/>
  <c r="O497" i="8"/>
  <c r="M498" i="8"/>
  <c r="N498" i="8"/>
  <c r="O498" i="8"/>
  <c r="M499" i="8"/>
  <c r="N499" i="8"/>
  <c r="O499" i="8"/>
  <c r="M500" i="8"/>
  <c r="N500" i="8"/>
  <c r="O500" i="8"/>
  <c r="M501" i="8"/>
  <c r="N501" i="8"/>
  <c r="O501" i="8"/>
  <c r="M502" i="8"/>
  <c r="N502" i="8"/>
  <c r="O502" i="8"/>
  <c r="M503" i="8"/>
  <c r="N503" i="8"/>
  <c r="O503" i="8"/>
  <c r="M504" i="8"/>
  <c r="N504" i="8"/>
  <c r="O504" i="8"/>
  <c r="M505" i="8"/>
  <c r="N505" i="8"/>
  <c r="O505" i="8"/>
  <c r="M506" i="8"/>
  <c r="N506" i="8"/>
  <c r="O506" i="8"/>
  <c r="M507" i="8"/>
  <c r="N507" i="8"/>
  <c r="O507" i="8"/>
  <c r="M508" i="8"/>
  <c r="N508" i="8"/>
  <c r="O508" i="8"/>
  <c r="M509" i="8"/>
  <c r="N509" i="8"/>
  <c r="O509" i="8"/>
  <c r="M510" i="8"/>
  <c r="N510" i="8"/>
  <c r="O510" i="8"/>
  <c r="M511" i="8"/>
  <c r="N511" i="8"/>
  <c r="O511" i="8"/>
  <c r="M512" i="8"/>
  <c r="N512" i="8"/>
  <c r="O512" i="8"/>
  <c r="M513" i="8"/>
  <c r="N513" i="8"/>
  <c r="O513" i="8"/>
  <c r="M514" i="8"/>
  <c r="N514" i="8"/>
  <c r="O514" i="8"/>
  <c r="M515" i="8"/>
  <c r="N515" i="8"/>
  <c r="O515" i="8"/>
  <c r="M516" i="8"/>
  <c r="N516" i="8"/>
  <c r="O516" i="8"/>
  <c r="M517" i="8"/>
  <c r="N517" i="8"/>
  <c r="O517" i="8"/>
  <c r="M518" i="8"/>
  <c r="N518" i="8"/>
  <c r="O518" i="8"/>
  <c r="M519" i="8"/>
  <c r="N519" i="8"/>
  <c r="O519" i="8"/>
  <c r="M520" i="8"/>
  <c r="N520" i="8"/>
  <c r="O520" i="8"/>
  <c r="M521" i="8"/>
  <c r="N521" i="8"/>
  <c r="O521" i="8"/>
  <c r="M522" i="8"/>
  <c r="N522" i="8"/>
  <c r="O522" i="8"/>
  <c r="M523" i="8"/>
  <c r="N523" i="8"/>
  <c r="O523" i="8"/>
  <c r="M524" i="8"/>
  <c r="N524" i="8"/>
  <c r="O524" i="8"/>
  <c r="M525" i="8"/>
  <c r="N525" i="8"/>
  <c r="O525" i="8"/>
  <c r="M526" i="8"/>
  <c r="N526" i="8"/>
  <c r="O526" i="8"/>
  <c r="M527" i="8"/>
  <c r="N527" i="8"/>
  <c r="O527" i="8"/>
  <c r="M528" i="8"/>
  <c r="N528" i="8"/>
  <c r="O528" i="8"/>
  <c r="M529" i="8"/>
  <c r="N529" i="8"/>
  <c r="O529" i="8"/>
  <c r="M530" i="8"/>
  <c r="N530" i="8"/>
  <c r="O530" i="8"/>
  <c r="M531" i="8"/>
  <c r="N531" i="8"/>
  <c r="O531" i="8"/>
  <c r="M532" i="8"/>
  <c r="N532" i="8"/>
  <c r="O532" i="8"/>
  <c r="M533" i="8"/>
  <c r="N533" i="8"/>
  <c r="O533" i="8"/>
  <c r="M534" i="8"/>
  <c r="N534" i="8"/>
  <c r="O534" i="8"/>
  <c r="M535" i="8"/>
  <c r="N535" i="8"/>
  <c r="O535" i="8"/>
  <c r="M536" i="8"/>
  <c r="N536" i="8"/>
  <c r="O536" i="8"/>
  <c r="M537" i="8"/>
  <c r="N537" i="8"/>
  <c r="O537" i="8"/>
  <c r="M538" i="8"/>
  <c r="N538" i="8"/>
  <c r="O538" i="8"/>
  <c r="M539" i="8"/>
  <c r="N539" i="8"/>
  <c r="O539" i="8"/>
  <c r="M540" i="8"/>
  <c r="N540" i="8"/>
  <c r="O540" i="8"/>
  <c r="M541" i="8"/>
  <c r="N541" i="8"/>
  <c r="O541" i="8"/>
  <c r="M542" i="8"/>
  <c r="N542" i="8"/>
  <c r="O542" i="8"/>
  <c r="M543" i="8"/>
  <c r="N543" i="8"/>
  <c r="O543" i="8"/>
  <c r="M544" i="8"/>
  <c r="N544" i="8"/>
  <c r="O544" i="8"/>
  <c r="M545" i="8"/>
  <c r="N545" i="8"/>
  <c r="O545" i="8"/>
  <c r="M546" i="8"/>
  <c r="N546" i="8"/>
  <c r="O546" i="8"/>
  <c r="M547" i="8"/>
  <c r="N547" i="8"/>
  <c r="O547" i="8"/>
  <c r="M548" i="8"/>
  <c r="N548" i="8"/>
  <c r="O548" i="8"/>
  <c r="M549" i="8"/>
  <c r="N549" i="8"/>
  <c r="O549" i="8"/>
  <c r="M550" i="8"/>
  <c r="N550" i="8"/>
  <c r="O550" i="8"/>
  <c r="M551" i="8"/>
  <c r="N551" i="8"/>
  <c r="O551" i="8"/>
  <c r="M552" i="8"/>
  <c r="N552" i="8"/>
  <c r="O552" i="8"/>
  <c r="M553" i="8"/>
  <c r="N553" i="8"/>
  <c r="O553" i="8"/>
  <c r="M554" i="8"/>
  <c r="N554" i="8"/>
  <c r="O554" i="8"/>
  <c r="M555" i="8"/>
  <c r="N555" i="8"/>
  <c r="O555" i="8"/>
  <c r="M556" i="8"/>
  <c r="N556" i="8"/>
  <c r="O556" i="8"/>
  <c r="M557" i="8"/>
  <c r="N557" i="8"/>
  <c r="O557" i="8"/>
  <c r="M558" i="8"/>
  <c r="N558" i="8"/>
  <c r="O558" i="8"/>
  <c r="M559" i="8"/>
  <c r="N559" i="8"/>
  <c r="O559" i="8"/>
  <c r="M560" i="8"/>
  <c r="N560" i="8"/>
  <c r="O560" i="8"/>
  <c r="M561" i="8"/>
  <c r="N561" i="8"/>
  <c r="O561" i="8"/>
  <c r="M562" i="8"/>
  <c r="N562" i="8"/>
  <c r="O562" i="8"/>
  <c r="M563" i="8"/>
  <c r="N563" i="8"/>
  <c r="O563" i="8"/>
  <c r="M564" i="8"/>
  <c r="N564" i="8"/>
  <c r="O564" i="8"/>
  <c r="M565" i="8"/>
  <c r="N565" i="8"/>
  <c r="O565" i="8"/>
  <c r="M566" i="8"/>
  <c r="N566" i="8"/>
  <c r="O566" i="8"/>
  <c r="M567" i="8"/>
  <c r="N567" i="8"/>
  <c r="O567" i="8"/>
  <c r="M568" i="8"/>
  <c r="N568" i="8"/>
  <c r="O568" i="8"/>
  <c r="M569" i="8"/>
  <c r="N569" i="8"/>
  <c r="O569" i="8"/>
  <c r="M570" i="8"/>
  <c r="N570" i="8"/>
  <c r="O570" i="8"/>
  <c r="M571" i="8"/>
  <c r="N571" i="8"/>
  <c r="O571" i="8"/>
  <c r="M572" i="8"/>
  <c r="N572" i="8"/>
  <c r="O572" i="8"/>
  <c r="M573" i="8"/>
  <c r="N573" i="8"/>
  <c r="O573" i="8"/>
  <c r="M574" i="8"/>
  <c r="N574" i="8"/>
  <c r="O574" i="8"/>
  <c r="M575" i="8"/>
  <c r="N575" i="8"/>
  <c r="O575" i="8"/>
  <c r="M576" i="8"/>
  <c r="N576" i="8"/>
  <c r="O576" i="8"/>
  <c r="M577" i="8"/>
  <c r="N577" i="8"/>
  <c r="O577" i="8"/>
  <c r="M578" i="8"/>
  <c r="N578" i="8"/>
  <c r="O578" i="8"/>
  <c r="M579" i="8"/>
  <c r="N579" i="8"/>
  <c r="O579" i="8"/>
  <c r="M580" i="8"/>
  <c r="N580" i="8"/>
  <c r="O580" i="8"/>
  <c r="M581" i="8"/>
  <c r="N581" i="8"/>
  <c r="O581" i="8"/>
  <c r="M582" i="8"/>
  <c r="N582" i="8"/>
  <c r="O582" i="8"/>
  <c r="M583" i="8"/>
  <c r="N583" i="8"/>
  <c r="O583" i="8"/>
  <c r="M584" i="8"/>
  <c r="N584" i="8"/>
  <c r="O584" i="8"/>
  <c r="M585" i="8"/>
  <c r="N585" i="8"/>
  <c r="O585" i="8"/>
  <c r="M586" i="8"/>
  <c r="N586" i="8"/>
  <c r="O586" i="8"/>
  <c r="M587" i="8"/>
  <c r="N587" i="8"/>
  <c r="O587" i="8"/>
  <c r="M588" i="8"/>
  <c r="N588" i="8"/>
  <c r="O588" i="8"/>
  <c r="M589" i="8"/>
  <c r="N589" i="8"/>
  <c r="O589" i="8"/>
  <c r="M590" i="8"/>
  <c r="N590" i="8"/>
  <c r="O590" i="8"/>
  <c r="M591" i="8"/>
  <c r="N591" i="8"/>
  <c r="O591" i="8"/>
  <c r="M592" i="8"/>
  <c r="N592" i="8"/>
  <c r="O592" i="8"/>
  <c r="M593" i="8"/>
  <c r="N593" i="8"/>
  <c r="O593" i="8"/>
  <c r="M594" i="8"/>
  <c r="N594" i="8"/>
  <c r="O594" i="8"/>
  <c r="M595" i="8"/>
  <c r="N595" i="8"/>
  <c r="O595" i="8"/>
  <c r="M596" i="8"/>
  <c r="N596" i="8"/>
  <c r="O596" i="8"/>
  <c r="M597" i="8"/>
  <c r="N597" i="8"/>
  <c r="O597" i="8"/>
  <c r="M598" i="8"/>
  <c r="N598" i="8"/>
  <c r="O598" i="8"/>
  <c r="M599" i="8"/>
  <c r="N599" i="8"/>
  <c r="O599" i="8"/>
  <c r="M600" i="8"/>
  <c r="N600" i="8"/>
  <c r="O600" i="8"/>
  <c r="M601" i="8"/>
  <c r="N601" i="8"/>
  <c r="O601" i="8"/>
  <c r="M602" i="8"/>
  <c r="N602" i="8"/>
  <c r="O602" i="8"/>
  <c r="M603" i="8"/>
  <c r="N603" i="8"/>
  <c r="O603" i="8"/>
  <c r="M604" i="8"/>
  <c r="N604" i="8"/>
  <c r="O604"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C3" i="29"/>
  <c r="C4" i="29"/>
  <c r="C5" i="29"/>
  <c r="C6" i="29"/>
  <c r="C7" i="29"/>
  <c r="C8" i="29"/>
  <c r="C9" i="29"/>
  <c r="C10" i="29"/>
  <c r="C15" i="29"/>
  <c r="C16" i="29"/>
  <c r="C17" i="29"/>
  <c r="C18" i="29"/>
  <c r="C19" i="29"/>
  <c r="C20" i="29"/>
  <c r="C21" i="29"/>
  <c r="C22" i="29"/>
  <c r="C23" i="29"/>
  <c r="C24" i="29"/>
  <c r="C30" i="29"/>
  <c r="C31" i="29"/>
  <c r="C32" i="29"/>
  <c r="C33" i="29"/>
  <c r="C34" i="29"/>
  <c r="C35" i="29"/>
  <c r="C36" i="29"/>
  <c r="C37" i="29"/>
  <c r="C38" i="29"/>
  <c r="C43" i="29"/>
  <c r="C44" i="29"/>
  <c r="C45" i="29"/>
  <c r="C46" i="29"/>
  <c r="C54" i="29"/>
  <c r="C55" i="29"/>
  <c r="C56" i="29"/>
  <c r="C57" i="29"/>
  <c r="C58" i="29"/>
  <c r="C59" i="29"/>
  <c r="C60" i="29"/>
  <c r="C61" i="29"/>
  <c r="C69" i="29"/>
  <c r="C70" i="29"/>
  <c r="C71" i="29"/>
  <c r="C72" i="29"/>
  <c r="C73" i="29"/>
  <c r="C74" i="29"/>
  <c r="C75" i="29"/>
  <c r="C76" i="29"/>
  <c r="C77" i="29"/>
  <c r="C84" i="29"/>
  <c r="C86" i="29"/>
  <c r="C87" i="29"/>
  <c r="C88" i="29"/>
  <c r="C89" i="29"/>
  <c r="C90" i="29"/>
  <c r="C91" i="29"/>
  <c r="C92" i="29"/>
  <c r="C85" i="29"/>
  <c r="C97" i="29"/>
  <c r="C98" i="29"/>
  <c r="C99" i="29"/>
  <c r="C100" i="29"/>
  <c r="C101" i="29"/>
  <c r="C102" i="29"/>
  <c r="C103" i="29"/>
  <c r="C104" i="29"/>
  <c r="C105" i="29"/>
  <c r="C2" i="29"/>
  <c r="Y498" i="8"/>
  <c r="Z498" i="8"/>
  <c r="AA498" i="8"/>
  <c r="Y499" i="8"/>
  <c r="Z499" i="8"/>
  <c r="AA499" i="8"/>
  <c r="Y500" i="8"/>
  <c r="Z500" i="8"/>
  <c r="AA500" i="8"/>
  <c r="Y501" i="8"/>
  <c r="Z501" i="8"/>
  <c r="AA501" i="8"/>
  <c r="Y502" i="8"/>
  <c r="Z502" i="8"/>
  <c r="AA502" i="8"/>
  <c r="Y503" i="8"/>
  <c r="Z503" i="8"/>
  <c r="AA503" i="8"/>
  <c r="Y504" i="8"/>
  <c r="Z504" i="8"/>
  <c r="AA504" i="8"/>
  <c r="Y505" i="8"/>
  <c r="Z505" i="8"/>
  <c r="AA505" i="8"/>
  <c r="Y506" i="8"/>
  <c r="Z506" i="8"/>
  <c r="AA506" i="8"/>
  <c r="Y507" i="8"/>
  <c r="Z507" i="8"/>
  <c r="AA507" i="8"/>
  <c r="Y508" i="8"/>
  <c r="Z508" i="8"/>
  <c r="AA508" i="8"/>
  <c r="Y509" i="8"/>
  <c r="Z509" i="8"/>
  <c r="AA509" i="8"/>
  <c r="Y510" i="8"/>
  <c r="Z510" i="8"/>
  <c r="AA510" i="8"/>
  <c r="Y511" i="8"/>
  <c r="Z511" i="8"/>
  <c r="AA511" i="8"/>
  <c r="Y512" i="8"/>
  <c r="Z512" i="8"/>
  <c r="AA512" i="8"/>
  <c r="Y513" i="8"/>
  <c r="Z513" i="8"/>
  <c r="AA513" i="8"/>
  <c r="Y514" i="8"/>
  <c r="Z514" i="8"/>
  <c r="AA514" i="8"/>
  <c r="Y515" i="8"/>
  <c r="Z515" i="8"/>
  <c r="AA515" i="8"/>
  <c r="Y516" i="8"/>
  <c r="Z516" i="8"/>
  <c r="AA516" i="8"/>
  <c r="Y517" i="8"/>
  <c r="Z517" i="8"/>
  <c r="AA517" i="8"/>
  <c r="Y518" i="8"/>
  <c r="Z518" i="8"/>
  <c r="AA518" i="8"/>
  <c r="Y519" i="8"/>
  <c r="Z519" i="8"/>
  <c r="AA519" i="8"/>
  <c r="Y520" i="8"/>
  <c r="Z520" i="8"/>
  <c r="AA520" i="8"/>
  <c r="Y521" i="8"/>
  <c r="Z521" i="8"/>
  <c r="AA521" i="8"/>
  <c r="Y522" i="8"/>
  <c r="Z522" i="8"/>
  <c r="AA522" i="8"/>
  <c r="Y523" i="8"/>
  <c r="Z523" i="8"/>
  <c r="AA523" i="8"/>
  <c r="Y524" i="8"/>
  <c r="Z524" i="8"/>
  <c r="AA524" i="8"/>
  <c r="Y525" i="8"/>
  <c r="Z525" i="8"/>
  <c r="AA525" i="8"/>
  <c r="Y526" i="8"/>
  <c r="Z526" i="8"/>
  <c r="AA526" i="8"/>
  <c r="Y527" i="8"/>
  <c r="Z527" i="8"/>
  <c r="AA527" i="8"/>
  <c r="Y528" i="8"/>
  <c r="Z528" i="8"/>
  <c r="AA528" i="8"/>
  <c r="Y529" i="8"/>
  <c r="Z529" i="8"/>
  <c r="AA529" i="8"/>
  <c r="Y530" i="8"/>
  <c r="Z530" i="8"/>
  <c r="AA530" i="8"/>
  <c r="Y531" i="8"/>
  <c r="Z531" i="8"/>
  <c r="AA531" i="8"/>
  <c r="Y532" i="8"/>
  <c r="Z532" i="8"/>
  <c r="AA532" i="8"/>
  <c r="Y533" i="8"/>
  <c r="Z533" i="8"/>
  <c r="AA533" i="8"/>
  <c r="Y534" i="8"/>
  <c r="Z534" i="8"/>
  <c r="AA534" i="8"/>
  <c r="Y535" i="8"/>
  <c r="Z535" i="8"/>
  <c r="AA535" i="8"/>
  <c r="Y536" i="8"/>
  <c r="Z536" i="8"/>
  <c r="AA536" i="8"/>
  <c r="Y537" i="8"/>
  <c r="Z537" i="8"/>
  <c r="AA537" i="8"/>
  <c r="Y538" i="8"/>
  <c r="Z538" i="8"/>
  <c r="AA538" i="8"/>
  <c r="Y539" i="8"/>
  <c r="Z539" i="8"/>
  <c r="AA539" i="8"/>
  <c r="Y540" i="8"/>
  <c r="Z540" i="8"/>
  <c r="AA540" i="8"/>
  <c r="Y541" i="8"/>
  <c r="Z541" i="8"/>
  <c r="AA541" i="8"/>
  <c r="Y542" i="8"/>
  <c r="Z542" i="8"/>
  <c r="AA542" i="8"/>
  <c r="Y543" i="8"/>
  <c r="Z543" i="8"/>
  <c r="AA543" i="8"/>
  <c r="Y544" i="8"/>
  <c r="Z544" i="8"/>
  <c r="AA544" i="8"/>
  <c r="Y545" i="8"/>
  <c r="Z545" i="8"/>
  <c r="AA545" i="8"/>
  <c r="Y546" i="8"/>
  <c r="Z546" i="8"/>
  <c r="AA546" i="8"/>
  <c r="Y547" i="8"/>
  <c r="Z547" i="8"/>
  <c r="AA547" i="8"/>
  <c r="Y548" i="8"/>
  <c r="Z548" i="8"/>
  <c r="AA548" i="8"/>
  <c r="Y549" i="8"/>
  <c r="Z549" i="8"/>
  <c r="AA549" i="8"/>
  <c r="Y550" i="8"/>
  <c r="Z550" i="8"/>
  <c r="AA550" i="8"/>
  <c r="Y551" i="8"/>
  <c r="Z551" i="8"/>
  <c r="AA551" i="8"/>
  <c r="Y552" i="8"/>
  <c r="Z552" i="8"/>
  <c r="AA552" i="8"/>
  <c r="Y553" i="8"/>
  <c r="Z553" i="8"/>
  <c r="AA553" i="8"/>
  <c r="Y554" i="8"/>
  <c r="Z554" i="8"/>
  <c r="AA554" i="8"/>
  <c r="Y555" i="8"/>
  <c r="Z555" i="8"/>
  <c r="AA555" i="8"/>
  <c r="Y556" i="8"/>
  <c r="Z556" i="8"/>
  <c r="AA556" i="8"/>
  <c r="Y557" i="8"/>
  <c r="Z557" i="8"/>
  <c r="AA557" i="8"/>
  <c r="Y558" i="8"/>
  <c r="Z558" i="8"/>
  <c r="AA558" i="8"/>
  <c r="Y559" i="8"/>
  <c r="Z559" i="8"/>
  <c r="AA559" i="8"/>
  <c r="Y560" i="8"/>
  <c r="Z560" i="8"/>
  <c r="AA560" i="8"/>
  <c r="Y561" i="8"/>
  <c r="Z561" i="8"/>
  <c r="AA561" i="8"/>
  <c r="Y562" i="8"/>
  <c r="Z562" i="8"/>
  <c r="AA562" i="8"/>
  <c r="Y563" i="8"/>
  <c r="Z563" i="8"/>
  <c r="AA563" i="8"/>
  <c r="Y564" i="8"/>
  <c r="Z564" i="8"/>
  <c r="AA564" i="8"/>
  <c r="Y565" i="8"/>
  <c r="Z565" i="8"/>
  <c r="AA565" i="8"/>
  <c r="Y566" i="8"/>
  <c r="Z566" i="8"/>
  <c r="AA566" i="8"/>
  <c r="Y567" i="8"/>
  <c r="Z567" i="8"/>
  <c r="AA567" i="8"/>
  <c r="Y568" i="8"/>
  <c r="Z568" i="8"/>
  <c r="AA568" i="8"/>
  <c r="Y569" i="8"/>
  <c r="Z569" i="8"/>
  <c r="AA569" i="8"/>
  <c r="Y570" i="8"/>
  <c r="Z570" i="8"/>
  <c r="AA570" i="8"/>
  <c r="Y571" i="8"/>
  <c r="Z571" i="8"/>
  <c r="AA571" i="8"/>
  <c r="Y572" i="8"/>
  <c r="Z572" i="8"/>
  <c r="AA572" i="8"/>
  <c r="Y573" i="8"/>
  <c r="Z573" i="8"/>
  <c r="AA573" i="8"/>
  <c r="Y574" i="8"/>
  <c r="Z574" i="8"/>
  <c r="AA574" i="8"/>
  <c r="Y575" i="8"/>
  <c r="Z575" i="8"/>
  <c r="AA575" i="8"/>
  <c r="Y576" i="8"/>
  <c r="Z576" i="8"/>
  <c r="AA576" i="8"/>
  <c r="Y577" i="8"/>
  <c r="Z577" i="8"/>
  <c r="AA577" i="8"/>
  <c r="Y578" i="8"/>
  <c r="Z578" i="8"/>
  <c r="AA578" i="8"/>
  <c r="Y579" i="8"/>
  <c r="Z579" i="8"/>
  <c r="AA579" i="8"/>
  <c r="Y580" i="8"/>
  <c r="Z580" i="8"/>
  <c r="AA580" i="8"/>
  <c r="Y581" i="8"/>
  <c r="Z581" i="8"/>
  <c r="AA581" i="8"/>
  <c r="Y582" i="8"/>
  <c r="Z582" i="8"/>
  <c r="AA582" i="8"/>
  <c r="Y583" i="8"/>
  <c r="Z583" i="8"/>
  <c r="AA583" i="8"/>
  <c r="Y584" i="8"/>
  <c r="Z584" i="8"/>
  <c r="AA584" i="8"/>
  <c r="Y585" i="8"/>
  <c r="Z585" i="8"/>
  <c r="AA585" i="8"/>
  <c r="Y586" i="8"/>
  <c r="Z586" i="8"/>
  <c r="AA586" i="8"/>
  <c r="Y587" i="8"/>
  <c r="Z587" i="8"/>
  <c r="AA587" i="8"/>
  <c r="Y588" i="8"/>
  <c r="Z588" i="8"/>
  <c r="AA588" i="8"/>
  <c r="Y589" i="8"/>
  <c r="Z589" i="8"/>
  <c r="AA589" i="8"/>
  <c r="Y590" i="8"/>
  <c r="Z590" i="8"/>
  <c r="AA590" i="8"/>
  <c r="Y591" i="8"/>
  <c r="Z591" i="8"/>
  <c r="AA591" i="8"/>
  <c r="Y592" i="8"/>
  <c r="Z592" i="8"/>
  <c r="AA592" i="8"/>
  <c r="Y593" i="8"/>
  <c r="Z593" i="8"/>
  <c r="AA593" i="8"/>
  <c r="Y594" i="8"/>
  <c r="Z594" i="8"/>
  <c r="AA594" i="8"/>
  <c r="Y595" i="8"/>
  <c r="Z595" i="8"/>
  <c r="AA595" i="8"/>
  <c r="Y596" i="8"/>
  <c r="Z596" i="8"/>
  <c r="AA596" i="8"/>
  <c r="Y597" i="8"/>
  <c r="Z597" i="8"/>
  <c r="AA597" i="8"/>
  <c r="Y598" i="8"/>
  <c r="Z598" i="8"/>
  <c r="AA598" i="8"/>
  <c r="Y599" i="8"/>
  <c r="Z599" i="8"/>
  <c r="AA599" i="8"/>
  <c r="Y600" i="8"/>
  <c r="Z600" i="8"/>
  <c r="AA600" i="8"/>
  <c r="Y601" i="8"/>
  <c r="Z601" i="8"/>
  <c r="AA601" i="8"/>
  <c r="Y602" i="8"/>
  <c r="Z602" i="8"/>
  <c r="AA602" i="8"/>
  <c r="Y603" i="8"/>
  <c r="Z603" i="8"/>
  <c r="AA603" i="8"/>
  <c r="Y604" i="8"/>
  <c r="Z604" i="8"/>
  <c r="AA604" i="8"/>
  <c r="Y497" i="8"/>
  <c r="Z497" i="8"/>
  <c r="AA497" i="8"/>
  <c r="G4" i="30"/>
  <c r="G5" i="30"/>
  <c r="G6" i="30"/>
  <c r="G7" i="30"/>
  <c r="G8" i="30"/>
  <c r="G9" i="30"/>
  <c r="G10" i="30"/>
  <c r="G15" i="30"/>
  <c r="G24" i="30"/>
  <c r="G25" i="30"/>
  <c r="G26" i="30"/>
  <c r="G27" i="30"/>
  <c r="G16" i="30"/>
  <c r="G17" i="30"/>
  <c r="G18" i="30"/>
  <c r="G19" i="30"/>
  <c r="G20" i="30"/>
  <c r="G21" i="30"/>
  <c r="G22" i="30"/>
  <c r="G23" i="30"/>
  <c r="G28" i="30"/>
  <c r="G37" i="30"/>
  <c r="G38" i="30"/>
  <c r="G39" i="30"/>
  <c r="G40" i="30"/>
  <c r="G41" i="30"/>
  <c r="G42" i="30"/>
  <c r="G43" i="30"/>
  <c r="G29" i="30"/>
  <c r="G30" i="30"/>
  <c r="G31" i="30"/>
  <c r="G32" i="30"/>
  <c r="G33" i="30"/>
  <c r="G34" i="30"/>
  <c r="G35" i="30"/>
  <c r="G36" i="30"/>
  <c r="G44" i="30"/>
  <c r="G53" i="30"/>
  <c r="G54" i="30"/>
  <c r="G55" i="30"/>
  <c r="G56" i="30"/>
  <c r="G57" i="30"/>
  <c r="G58" i="30"/>
  <c r="G45" i="30"/>
  <c r="G46" i="30"/>
  <c r="G47" i="30"/>
  <c r="G48" i="30"/>
  <c r="G49" i="30"/>
  <c r="G50" i="30"/>
  <c r="G51" i="30"/>
  <c r="G52" i="30"/>
  <c r="G59" i="30"/>
  <c r="G68" i="30"/>
  <c r="G69" i="30"/>
  <c r="G70" i="30"/>
  <c r="G71" i="30"/>
  <c r="G60" i="30"/>
  <c r="G61" i="30"/>
  <c r="G62" i="30"/>
  <c r="G63" i="30"/>
  <c r="G64" i="30"/>
  <c r="G65" i="30"/>
  <c r="G66" i="30"/>
  <c r="G67" i="30"/>
  <c r="G72" i="30"/>
  <c r="G81" i="30"/>
  <c r="G82" i="30"/>
  <c r="G83" i="30"/>
  <c r="G84" i="30"/>
  <c r="G73" i="30"/>
  <c r="G74" i="30"/>
  <c r="G75" i="30"/>
  <c r="G76" i="30"/>
  <c r="G77" i="30"/>
  <c r="G78" i="30"/>
  <c r="G79" i="30"/>
  <c r="G80" i="30"/>
  <c r="G85" i="30"/>
  <c r="G86" i="30"/>
  <c r="G87" i="30"/>
  <c r="G88" i="30"/>
  <c r="G89" i="30"/>
  <c r="G90" i="30"/>
  <c r="G95" i="30"/>
  <c r="G96" i="30"/>
  <c r="G97" i="30"/>
  <c r="G98" i="30"/>
  <c r="G99" i="30"/>
  <c r="G91" i="30"/>
  <c r="G92" i="30"/>
  <c r="G93" i="30"/>
  <c r="G94" i="30"/>
  <c r="G104" i="30"/>
  <c r="G105" i="30"/>
  <c r="G106" i="30"/>
  <c r="G107" i="30"/>
  <c r="G108" i="30"/>
  <c r="G109" i="30"/>
  <c r="G100" i="30"/>
  <c r="G101" i="30"/>
  <c r="G102" i="30"/>
  <c r="G103" i="30"/>
  <c r="G3" i="30"/>
  <c r="R605" i="8"/>
  <c r="R606" i="8" s="1"/>
  <c r="T623" i="8"/>
  <c r="T626" i="8" s="1"/>
  <c r="U623" i="8"/>
  <c r="U629" i="8" s="1"/>
  <c r="J623" i="8"/>
  <c r="J624" i="8" s="1"/>
  <c r="K623" i="8"/>
  <c r="K624" i="8" s="1"/>
  <c r="L623" i="8"/>
  <c r="L624" i="8" s="1"/>
  <c r="Q623" i="8"/>
  <c r="Q624" i="8" s="1"/>
  <c r="R623" i="8"/>
  <c r="R624" i="8" s="1"/>
  <c r="S623" i="8"/>
  <c r="S624" i="8" s="1"/>
  <c r="I623" i="8"/>
  <c r="I624" i="8" s="1"/>
  <c r="U628" i="8"/>
  <c r="T628" i="8"/>
  <c r="S628" i="8"/>
  <c r="R628" i="8"/>
  <c r="Q628" i="8"/>
  <c r="L628" i="8"/>
  <c r="K628" i="8"/>
  <c r="J628" i="8"/>
  <c r="I628" i="8"/>
  <c r="I605" i="8"/>
  <c r="I606" i="8" s="1"/>
  <c r="J605" i="8"/>
  <c r="J606" i="8" s="1"/>
  <c r="K605" i="8"/>
  <c r="K606" i="8" s="1"/>
  <c r="K608" i="8" s="1"/>
  <c r="L605" i="8"/>
  <c r="L606" i="8" s="1"/>
  <c r="L611" i="8" s="1"/>
  <c r="Q605" i="8"/>
  <c r="Q606" i="8" s="1"/>
  <c r="S605" i="8"/>
  <c r="S606" i="8" s="1"/>
  <c r="S608" i="8" s="1"/>
  <c r="T605" i="8"/>
  <c r="T606" i="8" s="1"/>
  <c r="U605" i="8"/>
  <c r="U606" i="8" s="1"/>
  <c r="U608" i="8" s="1"/>
  <c r="I610" i="8"/>
  <c r="J610" i="8"/>
  <c r="K610" i="8"/>
  <c r="L610" i="8"/>
  <c r="Q610" i="8"/>
  <c r="R610" i="8"/>
  <c r="S610" i="8"/>
  <c r="T610" i="8"/>
  <c r="U610" i="8"/>
  <c r="I613" i="8"/>
  <c r="J613" i="8"/>
  <c r="K613" i="8"/>
  <c r="I614" i="8"/>
  <c r="I615" i="8" s="1"/>
  <c r="J614" i="8"/>
  <c r="J615" i="8" s="1"/>
  <c r="K614" i="8"/>
  <c r="K615" i="8" s="1"/>
  <c r="L614" i="8"/>
  <c r="L615" i="8" s="1"/>
  <c r="Q614" i="8"/>
  <c r="Q615" i="8" s="1"/>
  <c r="R614" i="8"/>
  <c r="R615" i="8" s="1"/>
  <c r="S614" i="8"/>
  <c r="S615" i="8" s="1"/>
  <c r="T614" i="8"/>
  <c r="T615" i="8" s="1"/>
  <c r="U614" i="8"/>
  <c r="U615" i="8" s="1"/>
  <c r="Q618" i="8"/>
  <c r="Q619" i="8" s="1"/>
  <c r="R618" i="8"/>
  <c r="R619" i="8" s="1"/>
  <c r="S618" i="8"/>
  <c r="S619" i="8" s="1"/>
  <c r="T618" i="8"/>
  <c r="T619" i="8" s="1"/>
  <c r="U618" i="8"/>
  <c r="U619" i="8" s="1"/>
  <c r="I619" i="8"/>
  <c r="J619" i="8"/>
  <c r="K619" i="8"/>
  <c r="L619" i="8"/>
  <c r="Q621" i="8"/>
  <c r="I622" i="8"/>
  <c r="J622" i="8"/>
  <c r="K622" i="8"/>
  <c r="L622" i="8"/>
  <c r="P383" i="8"/>
  <c r="P382" i="8"/>
  <c r="P381" i="8"/>
  <c r="P380" i="8"/>
  <c r="P388" i="8"/>
  <c r="P387" i="8"/>
  <c r="P386" i="8"/>
  <c r="P385" i="8"/>
  <c r="P384" i="8"/>
  <c r="P379" i="8"/>
  <c r="Y485" i="8"/>
  <c r="Z485" i="8"/>
  <c r="AA485" i="8"/>
  <c r="Y486" i="8"/>
  <c r="Z486" i="8"/>
  <c r="AA486" i="8"/>
  <c r="Y487" i="8"/>
  <c r="Z487" i="8"/>
  <c r="AA487" i="8"/>
  <c r="Y488" i="8"/>
  <c r="Z488" i="8"/>
  <c r="AA488" i="8"/>
  <c r="Y489" i="8"/>
  <c r="Z489" i="8"/>
  <c r="AA489" i="8"/>
  <c r="Y490" i="8"/>
  <c r="Z490" i="8"/>
  <c r="AA490" i="8"/>
  <c r="Y491" i="8"/>
  <c r="Z491" i="8"/>
  <c r="AA491" i="8"/>
  <c r="Y492" i="8"/>
  <c r="Z492" i="8"/>
  <c r="AA492" i="8"/>
  <c r="Y493" i="8"/>
  <c r="Z493" i="8"/>
  <c r="AA493" i="8"/>
  <c r="Y494" i="8"/>
  <c r="Z494" i="8"/>
  <c r="AA494" i="8"/>
  <c r="Y495" i="8"/>
  <c r="Z495" i="8"/>
  <c r="AA495" i="8"/>
  <c r="Y496" i="8"/>
  <c r="Z496" i="8"/>
  <c r="AA496" i="8"/>
  <c r="Y484" i="8"/>
  <c r="Z484" i="8"/>
  <c r="AA484" i="8"/>
  <c r="Y474" i="8"/>
  <c r="Z474" i="8"/>
  <c r="AA474" i="8"/>
  <c r="Y475" i="8"/>
  <c r="Z475" i="8"/>
  <c r="AA475" i="8"/>
  <c r="Y476" i="8"/>
  <c r="Z476" i="8"/>
  <c r="AA476" i="8"/>
  <c r="Y477" i="8"/>
  <c r="Z477" i="8"/>
  <c r="AA477" i="8"/>
  <c r="Y478" i="8"/>
  <c r="Z478" i="8"/>
  <c r="AA478" i="8"/>
  <c r="Y479" i="8"/>
  <c r="Z479" i="8"/>
  <c r="AA479" i="8"/>
  <c r="Y480" i="8"/>
  <c r="Z480" i="8"/>
  <c r="AA480" i="8"/>
  <c r="Y481" i="8"/>
  <c r="Z481" i="8"/>
  <c r="AA481" i="8"/>
  <c r="Y482" i="8"/>
  <c r="Z482" i="8"/>
  <c r="AA482" i="8"/>
  <c r="Y483" i="8"/>
  <c r="Z483" i="8"/>
  <c r="AA483" i="8"/>
  <c r="Y462" i="8"/>
  <c r="Z462" i="8"/>
  <c r="AA462" i="8"/>
  <c r="Y463" i="8"/>
  <c r="Z463" i="8"/>
  <c r="AA463" i="8"/>
  <c r="Y464" i="8"/>
  <c r="Z464" i="8"/>
  <c r="AA464" i="8"/>
  <c r="Y465" i="8"/>
  <c r="Z465" i="8"/>
  <c r="AA465" i="8"/>
  <c r="Y466" i="8"/>
  <c r="Z466" i="8"/>
  <c r="AA466" i="8"/>
  <c r="Y467" i="8"/>
  <c r="Z467" i="8"/>
  <c r="AA467" i="8"/>
  <c r="Y468" i="8"/>
  <c r="Z468" i="8"/>
  <c r="AA468" i="8"/>
  <c r="Y469" i="8"/>
  <c r="Z469" i="8"/>
  <c r="AA469" i="8"/>
  <c r="Y470" i="8"/>
  <c r="Z470" i="8"/>
  <c r="AA470" i="8"/>
  <c r="Y471" i="8"/>
  <c r="Z471" i="8"/>
  <c r="AA471" i="8"/>
  <c r="Y472" i="8"/>
  <c r="Z472" i="8"/>
  <c r="AA472" i="8"/>
  <c r="Y473" i="8"/>
  <c r="Z473" i="8"/>
  <c r="AA473" i="8"/>
  <c r="X7" i="8"/>
  <c r="Y437" i="8"/>
  <c r="AA438" i="8"/>
  <c r="AA439" i="8"/>
  <c r="AA440" i="8"/>
  <c r="AA441" i="8"/>
  <c r="AA442" i="8"/>
  <c r="AA443" i="8"/>
  <c r="AA444" i="8"/>
  <c r="AA445" i="8"/>
  <c r="AA446" i="8"/>
  <c r="AA447" i="8"/>
  <c r="AA448" i="8"/>
  <c r="AA449" i="8"/>
  <c r="AA450" i="8"/>
  <c r="AA451" i="8"/>
  <c r="AA452" i="8"/>
  <c r="AA453" i="8"/>
  <c r="AA454" i="8"/>
  <c r="AA455" i="8"/>
  <c r="AA456" i="8"/>
  <c r="AA457" i="8"/>
  <c r="AA458" i="8"/>
  <c r="AA459" i="8"/>
  <c r="AA460" i="8"/>
  <c r="AA461" i="8"/>
  <c r="Z438" i="8"/>
  <c r="Z439" i="8"/>
  <c r="Z440" i="8"/>
  <c r="Z441" i="8"/>
  <c r="Z442" i="8"/>
  <c r="Z443" i="8"/>
  <c r="Z444" i="8"/>
  <c r="Z445" i="8"/>
  <c r="Z446" i="8"/>
  <c r="Z447" i="8"/>
  <c r="Z448" i="8"/>
  <c r="Z449" i="8"/>
  <c r="Z450" i="8"/>
  <c r="Z451" i="8"/>
  <c r="Z452" i="8"/>
  <c r="Z453" i="8"/>
  <c r="Z454" i="8"/>
  <c r="Z455" i="8"/>
  <c r="Z456" i="8"/>
  <c r="Z457" i="8"/>
  <c r="Z458" i="8"/>
  <c r="Z459" i="8"/>
  <c r="Z460" i="8"/>
  <c r="Z461" i="8"/>
  <c r="Y438" i="8"/>
  <c r="Y439" i="8"/>
  <c r="Y440" i="8"/>
  <c r="Y441" i="8"/>
  <c r="Y442" i="8"/>
  <c r="Y443" i="8"/>
  <c r="Y444" i="8"/>
  <c r="Y445" i="8"/>
  <c r="Y446" i="8"/>
  <c r="Y447" i="8"/>
  <c r="Y448" i="8"/>
  <c r="Y449" i="8"/>
  <c r="Y450" i="8"/>
  <c r="Y451" i="8"/>
  <c r="Y452" i="8"/>
  <c r="Y453" i="8"/>
  <c r="Y454" i="8"/>
  <c r="Y455" i="8"/>
  <c r="Y456" i="8"/>
  <c r="Y457" i="8"/>
  <c r="Y458" i="8"/>
  <c r="Y459" i="8"/>
  <c r="Y460" i="8"/>
  <c r="Y461" i="8"/>
  <c r="AA269" i="8"/>
  <c r="AA270" i="8"/>
  <c r="AA271" i="8"/>
  <c r="AA272" i="8"/>
  <c r="AA273" i="8"/>
  <c r="AA274" i="8"/>
  <c r="AA275" i="8"/>
  <c r="AA276" i="8"/>
  <c r="AA277" i="8"/>
  <c r="AA278" i="8"/>
  <c r="AA279" i="8"/>
  <c r="AA280" i="8"/>
  <c r="AA281" i="8"/>
  <c r="AA282" i="8"/>
  <c r="AA283" i="8"/>
  <c r="AA284" i="8"/>
  <c r="AA285" i="8"/>
  <c r="AA286" i="8"/>
  <c r="AA287" i="8"/>
  <c r="AA288" i="8"/>
  <c r="AA289" i="8"/>
  <c r="AA290" i="8"/>
  <c r="AA291" i="8"/>
  <c r="AA292" i="8"/>
  <c r="AA293" i="8"/>
  <c r="AA294" i="8"/>
  <c r="AA295" i="8"/>
  <c r="AA296" i="8"/>
  <c r="AA297" i="8"/>
  <c r="AA298" i="8"/>
  <c r="AA299" i="8"/>
  <c r="AA300" i="8"/>
  <c r="AA301" i="8"/>
  <c r="AA302" i="8"/>
  <c r="AA303" i="8"/>
  <c r="AA304" i="8"/>
  <c r="AA305" i="8"/>
  <c r="AA306" i="8"/>
  <c r="AA307" i="8"/>
  <c r="AA308" i="8"/>
  <c r="AA309" i="8"/>
  <c r="AA310" i="8"/>
  <c r="AA311" i="8"/>
  <c r="AA312" i="8"/>
  <c r="AA313" i="8"/>
  <c r="AA314" i="8"/>
  <c r="AA315" i="8"/>
  <c r="AA316" i="8"/>
  <c r="AA317" i="8"/>
  <c r="AA318" i="8"/>
  <c r="AA319" i="8"/>
  <c r="AA320" i="8"/>
  <c r="AA321" i="8"/>
  <c r="AA322" i="8"/>
  <c r="AA323" i="8"/>
  <c r="AA324" i="8"/>
  <c r="AA325" i="8"/>
  <c r="AA326" i="8"/>
  <c r="AA327" i="8"/>
  <c r="AA328" i="8"/>
  <c r="AA329" i="8"/>
  <c r="AA330" i="8"/>
  <c r="AA331" i="8"/>
  <c r="AA332" i="8"/>
  <c r="AA333" i="8"/>
  <c r="AA334" i="8"/>
  <c r="AA335" i="8"/>
  <c r="AA336" i="8"/>
  <c r="AA337" i="8"/>
  <c r="AA338" i="8"/>
  <c r="AA339" i="8"/>
  <c r="AA340" i="8"/>
  <c r="AA341" i="8"/>
  <c r="AA342" i="8"/>
  <c r="AA343" i="8"/>
  <c r="AA344" i="8"/>
  <c r="AA345" i="8"/>
  <c r="AA346" i="8"/>
  <c r="AA347" i="8"/>
  <c r="AA348" i="8"/>
  <c r="AA349" i="8"/>
  <c r="AA350" i="8"/>
  <c r="AA351" i="8"/>
  <c r="AA352" i="8"/>
  <c r="AA353" i="8"/>
  <c r="AA354" i="8"/>
  <c r="AA355" i="8"/>
  <c r="AA356" i="8"/>
  <c r="AA357" i="8"/>
  <c r="AA358" i="8"/>
  <c r="AA359" i="8"/>
  <c r="AA360" i="8"/>
  <c r="AA361" i="8"/>
  <c r="AA362" i="8"/>
  <c r="AA363" i="8"/>
  <c r="AA364" i="8"/>
  <c r="AA365" i="8"/>
  <c r="AA366" i="8"/>
  <c r="AA367" i="8"/>
  <c r="AA368" i="8"/>
  <c r="AA369" i="8"/>
  <c r="AA370" i="8"/>
  <c r="AA371" i="8"/>
  <c r="AA372" i="8"/>
  <c r="AA373" i="8"/>
  <c r="AA374" i="8"/>
  <c r="AA375" i="8"/>
  <c r="AA376" i="8"/>
  <c r="AA377" i="8"/>
  <c r="AA378" i="8"/>
  <c r="AA379" i="8"/>
  <c r="AA380" i="8"/>
  <c r="AA381" i="8"/>
  <c r="AA382" i="8"/>
  <c r="AA383" i="8"/>
  <c r="AA384" i="8"/>
  <c r="AA385" i="8"/>
  <c r="AA386" i="8"/>
  <c r="AA387" i="8"/>
  <c r="AA388" i="8"/>
  <c r="AA389" i="8"/>
  <c r="AA390" i="8"/>
  <c r="AA391" i="8"/>
  <c r="AA392" i="8"/>
  <c r="AA393" i="8"/>
  <c r="AA394" i="8"/>
  <c r="AA395" i="8"/>
  <c r="AA396" i="8"/>
  <c r="AA397" i="8"/>
  <c r="AA398" i="8"/>
  <c r="AA399" i="8"/>
  <c r="AA400" i="8"/>
  <c r="AA401" i="8"/>
  <c r="AA402" i="8"/>
  <c r="AA403" i="8"/>
  <c r="AA404" i="8"/>
  <c r="AA405" i="8"/>
  <c r="AA406" i="8"/>
  <c r="AA407" i="8"/>
  <c r="AA408" i="8"/>
  <c r="AA409" i="8"/>
  <c r="AA410" i="8"/>
  <c r="AA411" i="8"/>
  <c r="AA412" i="8"/>
  <c r="AA413" i="8"/>
  <c r="AA414" i="8"/>
  <c r="AA415" i="8"/>
  <c r="AA416" i="8"/>
  <c r="AA417" i="8"/>
  <c r="AA418" i="8"/>
  <c r="AA419" i="8"/>
  <c r="AA420" i="8"/>
  <c r="AA421" i="8"/>
  <c r="AA422" i="8"/>
  <c r="AA423" i="8"/>
  <c r="AA424" i="8"/>
  <c r="AA425" i="8"/>
  <c r="AA426" i="8"/>
  <c r="AA427" i="8"/>
  <c r="AA428" i="8"/>
  <c r="AA429" i="8"/>
  <c r="AA430" i="8"/>
  <c r="AA431" i="8"/>
  <c r="AA432" i="8"/>
  <c r="AA433" i="8"/>
  <c r="AA435" i="8"/>
  <c r="AA436" i="8"/>
  <c r="AA437" i="8"/>
  <c r="Z269" i="8"/>
  <c r="Z270" i="8"/>
  <c r="Z271" i="8"/>
  <c r="Z272" i="8"/>
  <c r="Z273"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Z311" i="8"/>
  <c r="Z312" i="8"/>
  <c r="Z313" i="8"/>
  <c r="Z314" i="8"/>
  <c r="Z315" i="8"/>
  <c r="Z316" i="8"/>
  <c r="Z317" i="8"/>
  <c r="Z318" i="8"/>
  <c r="Z319" i="8"/>
  <c r="Z320" i="8"/>
  <c r="Z321" i="8"/>
  <c r="Z322" i="8"/>
  <c r="Z323" i="8"/>
  <c r="Z324" i="8"/>
  <c r="Z325" i="8"/>
  <c r="Z326" i="8"/>
  <c r="Z327" i="8"/>
  <c r="Z328" i="8"/>
  <c r="Z329" i="8"/>
  <c r="Z330" i="8"/>
  <c r="Z331" i="8"/>
  <c r="Z332" i="8"/>
  <c r="Z333" i="8"/>
  <c r="Z334" i="8"/>
  <c r="Z335" i="8"/>
  <c r="Z336" i="8"/>
  <c r="Z337" i="8"/>
  <c r="Z338" i="8"/>
  <c r="Z339" i="8"/>
  <c r="Z340" i="8"/>
  <c r="Z341" i="8"/>
  <c r="Z342" i="8"/>
  <c r="Z343" i="8"/>
  <c r="Z344" i="8"/>
  <c r="Z345" i="8"/>
  <c r="Z346" i="8"/>
  <c r="Z347" i="8"/>
  <c r="Z348" i="8"/>
  <c r="Z349" i="8"/>
  <c r="Z350" i="8"/>
  <c r="Z351" i="8"/>
  <c r="Z352" i="8"/>
  <c r="Z353" i="8"/>
  <c r="Z354" i="8"/>
  <c r="Z355" i="8"/>
  <c r="Z356" i="8"/>
  <c r="Z357" i="8"/>
  <c r="Z358" i="8"/>
  <c r="Z359" i="8"/>
  <c r="Z360" i="8"/>
  <c r="Z361" i="8"/>
  <c r="Z362" i="8"/>
  <c r="Z363" i="8"/>
  <c r="Z364" i="8"/>
  <c r="Z365" i="8"/>
  <c r="Z366" i="8"/>
  <c r="Z367" i="8"/>
  <c r="Z368" i="8"/>
  <c r="Z369" i="8"/>
  <c r="Z370" i="8"/>
  <c r="Z371" i="8"/>
  <c r="Z372" i="8"/>
  <c r="Z373" i="8"/>
  <c r="Z374" i="8"/>
  <c r="Z375" i="8"/>
  <c r="Z376" i="8"/>
  <c r="Z377" i="8"/>
  <c r="Z378" i="8"/>
  <c r="Z379" i="8"/>
  <c r="Z380" i="8"/>
  <c r="Z381" i="8"/>
  <c r="Z382" i="8"/>
  <c r="Z383" i="8"/>
  <c r="Z384" i="8"/>
  <c r="Z385" i="8"/>
  <c r="Z386" i="8"/>
  <c r="Z387" i="8"/>
  <c r="Z388" i="8"/>
  <c r="Z389" i="8"/>
  <c r="Z390" i="8"/>
  <c r="Z391" i="8"/>
  <c r="Z392" i="8"/>
  <c r="Z393" i="8"/>
  <c r="Z394" i="8"/>
  <c r="Z395" i="8"/>
  <c r="Z396" i="8"/>
  <c r="Z397" i="8"/>
  <c r="Z398" i="8"/>
  <c r="Z399" i="8"/>
  <c r="Z400" i="8"/>
  <c r="Z401" i="8"/>
  <c r="Z402" i="8"/>
  <c r="Z403" i="8"/>
  <c r="Z404" i="8"/>
  <c r="Z405" i="8"/>
  <c r="Z406" i="8"/>
  <c r="Z407" i="8"/>
  <c r="Z408" i="8"/>
  <c r="Z409" i="8"/>
  <c r="Z410" i="8"/>
  <c r="Z411" i="8"/>
  <c r="Z412" i="8"/>
  <c r="Z413" i="8"/>
  <c r="Z414" i="8"/>
  <c r="Z415" i="8"/>
  <c r="Z416" i="8"/>
  <c r="Z417" i="8"/>
  <c r="Z418" i="8"/>
  <c r="Z419" i="8"/>
  <c r="Z420" i="8"/>
  <c r="Z421" i="8"/>
  <c r="Z422" i="8"/>
  <c r="Z423" i="8"/>
  <c r="Z424" i="8"/>
  <c r="Z425" i="8"/>
  <c r="Z426" i="8"/>
  <c r="Z427" i="8"/>
  <c r="Z428" i="8"/>
  <c r="Z429" i="8"/>
  <c r="Z430" i="8"/>
  <c r="Z431" i="8"/>
  <c r="Z432" i="8"/>
  <c r="Z433" i="8"/>
  <c r="Z435" i="8"/>
  <c r="Z436" i="8"/>
  <c r="Z437" i="8"/>
  <c r="Y269" i="8"/>
  <c r="Y270" i="8"/>
  <c r="Y271" i="8"/>
  <c r="Y272" i="8"/>
  <c r="Y273" i="8"/>
  <c r="Y274" i="8"/>
  <c r="Y275" i="8"/>
  <c r="Y276" i="8"/>
  <c r="Y277" i="8"/>
  <c r="Y278" i="8"/>
  <c r="Y279" i="8"/>
  <c r="Y280" i="8"/>
  <c r="Y281" i="8"/>
  <c r="Y282" i="8"/>
  <c r="Y283" i="8"/>
  <c r="Y284" i="8"/>
  <c r="Y285" i="8"/>
  <c r="Y286" i="8"/>
  <c r="Y287" i="8"/>
  <c r="Y288" i="8"/>
  <c r="Y289" i="8"/>
  <c r="Y290" i="8"/>
  <c r="Y291" i="8"/>
  <c r="Y292" i="8"/>
  <c r="Y293" i="8"/>
  <c r="Y294" i="8"/>
  <c r="Y295" i="8"/>
  <c r="Y296" i="8"/>
  <c r="Y297" i="8"/>
  <c r="Y298" i="8"/>
  <c r="Y299" i="8"/>
  <c r="Y300" i="8"/>
  <c r="Y301" i="8"/>
  <c r="Y302" i="8"/>
  <c r="Y303" i="8"/>
  <c r="Y304" i="8"/>
  <c r="Y305" i="8"/>
  <c r="Y306" i="8"/>
  <c r="Y307" i="8"/>
  <c r="Y308" i="8"/>
  <c r="Y309" i="8"/>
  <c r="Y310" i="8"/>
  <c r="Y311" i="8"/>
  <c r="Y312" i="8"/>
  <c r="Y313" i="8"/>
  <c r="Y314" i="8"/>
  <c r="Y315" i="8"/>
  <c r="Y316" i="8"/>
  <c r="Y317" i="8"/>
  <c r="Y318" i="8"/>
  <c r="Y319" i="8"/>
  <c r="Y320" i="8"/>
  <c r="Y321" i="8"/>
  <c r="Y322" i="8"/>
  <c r="Y323" i="8"/>
  <c r="Y324" i="8"/>
  <c r="Y325" i="8"/>
  <c r="Y326" i="8"/>
  <c r="Y327" i="8"/>
  <c r="Y328" i="8"/>
  <c r="Y329" i="8"/>
  <c r="Y330" i="8"/>
  <c r="Y331" i="8"/>
  <c r="Y332" i="8"/>
  <c r="Y333" i="8"/>
  <c r="Y334" i="8"/>
  <c r="Y335" i="8"/>
  <c r="Y336" i="8"/>
  <c r="Y337" i="8"/>
  <c r="Y338" i="8"/>
  <c r="Y339" i="8"/>
  <c r="Y340" i="8"/>
  <c r="Y341" i="8"/>
  <c r="Y342" i="8"/>
  <c r="Y343" i="8"/>
  <c r="Y344" i="8"/>
  <c r="Y345" i="8"/>
  <c r="Y346" i="8"/>
  <c r="Y347" i="8"/>
  <c r="Y348" i="8"/>
  <c r="Y349" i="8"/>
  <c r="Y350" i="8"/>
  <c r="Y351" i="8"/>
  <c r="Y352" i="8"/>
  <c r="Y353" i="8"/>
  <c r="Y354" i="8"/>
  <c r="Y355" i="8"/>
  <c r="Y356" i="8"/>
  <c r="Y357" i="8"/>
  <c r="Y358" i="8"/>
  <c r="Y359" i="8"/>
  <c r="Y360" i="8"/>
  <c r="Y361" i="8"/>
  <c r="Y362" i="8"/>
  <c r="Y363" i="8"/>
  <c r="Y364" i="8"/>
  <c r="Y365" i="8"/>
  <c r="Y366" i="8"/>
  <c r="Y367" i="8"/>
  <c r="Y368" i="8"/>
  <c r="Y369" i="8"/>
  <c r="Y370" i="8"/>
  <c r="Y371" i="8"/>
  <c r="Y372" i="8"/>
  <c r="Y373" i="8"/>
  <c r="Y374" i="8"/>
  <c r="Y375" i="8"/>
  <c r="Y376" i="8"/>
  <c r="Y377" i="8"/>
  <c r="Y378" i="8"/>
  <c r="Y379" i="8"/>
  <c r="Y380" i="8"/>
  <c r="Y381" i="8"/>
  <c r="Y382" i="8"/>
  <c r="Y383" i="8"/>
  <c r="Y384" i="8"/>
  <c r="Y385" i="8"/>
  <c r="Y386" i="8"/>
  <c r="Y387" i="8"/>
  <c r="Y388" i="8"/>
  <c r="Y389" i="8"/>
  <c r="Y390" i="8"/>
  <c r="Y391" i="8"/>
  <c r="Y392" i="8"/>
  <c r="Y393" i="8"/>
  <c r="Y394" i="8"/>
  <c r="Y395" i="8"/>
  <c r="Y396" i="8"/>
  <c r="Y397" i="8"/>
  <c r="Y398" i="8"/>
  <c r="Y399" i="8"/>
  <c r="Y400" i="8"/>
  <c r="Y401" i="8"/>
  <c r="Y402" i="8"/>
  <c r="Y403" i="8"/>
  <c r="Y404" i="8"/>
  <c r="Y405" i="8"/>
  <c r="Y406" i="8"/>
  <c r="Y407" i="8"/>
  <c r="Y408" i="8"/>
  <c r="Y409" i="8"/>
  <c r="Y410" i="8"/>
  <c r="Y411" i="8"/>
  <c r="Y412" i="8"/>
  <c r="Y413" i="8"/>
  <c r="Y414" i="8"/>
  <c r="Y415" i="8"/>
  <c r="Y416" i="8"/>
  <c r="Y417" i="8"/>
  <c r="Y418" i="8"/>
  <c r="Y419" i="8"/>
  <c r="Y420" i="8"/>
  <c r="Y421" i="8"/>
  <c r="Y422" i="8"/>
  <c r="Y423" i="8"/>
  <c r="Y424" i="8"/>
  <c r="Y425" i="8"/>
  <c r="Y426" i="8"/>
  <c r="Y427" i="8"/>
  <c r="Y428" i="8"/>
  <c r="Y429" i="8"/>
  <c r="Y430" i="8"/>
  <c r="Y431" i="8"/>
  <c r="Y432" i="8"/>
  <c r="Y433" i="8"/>
  <c r="Y435" i="8"/>
  <c r="Y436" i="8"/>
  <c r="AA268" i="8"/>
  <c r="Z268" i="8"/>
  <c r="Y268" i="8"/>
  <c r="E238" i="8"/>
  <c r="E207" i="8"/>
  <c r="E206" i="8"/>
  <c r="E205" i="8"/>
  <c r="E204" i="8"/>
  <c r="E203" i="8"/>
  <c r="E202" i="8"/>
  <c r="E201" i="8"/>
  <c r="E200" i="8"/>
  <c r="E199" i="8"/>
  <c r="E198" i="8"/>
  <c r="E197" i="8"/>
  <c r="E196" i="8"/>
  <c r="E195" i="8"/>
  <c r="E194" i="8"/>
  <c r="E193" i="8"/>
  <c r="E192" i="8"/>
  <c r="E181" i="8"/>
  <c r="E180" i="8"/>
  <c r="E179" i="8"/>
  <c r="E178" i="8"/>
  <c r="E177" i="8"/>
  <c r="E176" i="8"/>
  <c r="E175" i="8"/>
  <c r="E174" i="8"/>
  <c r="E173" i="8"/>
  <c r="E172" i="8"/>
  <c r="E171" i="8"/>
  <c r="E170" i="8"/>
  <c r="E169" i="8"/>
  <c r="E168" i="8"/>
  <c r="E167" i="8"/>
  <c r="E166" i="8"/>
  <c r="E165" i="8"/>
  <c r="E164" i="8"/>
  <c r="E163" i="8"/>
  <c r="E162" i="8"/>
  <c r="E161" i="8"/>
  <c r="E160" i="8"/>
  <c r="E159"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3" i="8"/>
  <c r="E114" i="8"/>
  <c r="E112" i="8"/>
  <c r="E111" i="8"/>
  <c r="E110" i="8"/>
  <c r="E109" i="8"/>
  <c r="E108" i="8"/>
  <c r="E107" i="8"/>
  <c r="E106" i="8"/>
  <c r="E105" i="8"/>
  <c r="E104" i="8"/>
  <c r="E103" i="8"/>
  <c r="E91" i="8"/>
  <c r="E90" i="8"/>
  <c r="E89" i="8"/>
  <c r="E88" i="8"/>
  <c r="E87" i="8"/>
  <c r="E86" i="8"/>
  <c r="E85" i="8"/>
  <c r="E84" i="8"/>
  <c r="E83" i="8"/>
  <c r="E82" i="8"/>
  <c r="E81" i="8"/>
  <c r="E80" i="8"/>
  <c r="E79" i="8"/>
  <c r="E78" i="8"/>
  <c r="E77" i="8"/>
  <c r="E76" i="8"/>
  <c r="E75" i="8"/>
  <c r="E74" i="8"/>
  <c r="E73" i="8"/>
  <c r="E72" i="8"/>
  <c r="E71" i="8"/>
  <c r="E70" i="8"/>
  <c r="E69" i="8"/>
  <c r="E59" i="8"/>
  <c r="E58" i="8"/>
  <c r="E57" i="8"/>
  <c r="E56" i="8"/>
  <c r="E55" i="8"/>
  <c r="E54" i="8"/>
  <c r="E53" i="8"/>
  <c r="E52" i="8"/>
  <c r="E51" i="8"/>
  <c r="E50" i="8"/>
  <c r="E49" i="8"/>
  <c r="E48" i="8"/>
  <c r="E47" i="8"/>
  <c r="E46" i="8"/>
  <c r="E45" i="8"/>
  <c r="E32" i="8"/>
  <c r="E31" i="8"/>
  <c r="E30" i="8"/>
  <c r="E29" i="8"/>
  <c r="E28" i="8"/>
  <c r="E27" i="8"/>
  <c r="E26" i="8"/>
  <c r="E25" i="8"/>
  <c r="E24" i="8"/>
  <c r="E23" i="8"/>
  <c r="E22" i="8"/>
  <c r="E21" i="8"/>
  <c r="E20" i="8"/>
  <c r="E19" i="8"/>
  <c r="E18" i="8"/>
  <c r="E17" i="8"/>
  <c r="E16" i="8"/>
  <c r="E15" i="8"/>
  <c r="E14" i="8"/>
  <c r="E13" i="8"/>
  <c r="E12" i="8"/>
  <c r="E11" i="8"/>
  <c r="E10" i="8"/>
  <c r="E9" i="8"/>
  <c r="E8" i="8"/>
  <c r="E7" i="8"/>
  <c r="E6" i="8"/>
  <c r="F15" i="2"/>
  <c r="P605" i="8" l="1"/>
  <c r="P606" i="8" s="1"/>
  <c r="O605" i="8"/>
  <c r="O606" i="8" s="1"/>
  <c r="N605" i="8"/>
  <c r="N606" i="8" s="1"/>
  <c r="M606" i="8"/>
  <c r="P623" i="8"/>
  <c r="R620" i="8"/>
  <c r="L608" i="8"/>
  <c r="K629" i="8"/>
  <c r="K626" i="8"/>
  <c r="L626" i="8"/>
  <c r="L629" i="8"/>
  <c r="I629" i="8"/>
  <c r="I626" i="8"/>
  <c r="J626" i="8"/>
  <c r="J629" i="8"/>
  <c r="Q629" i="8"/>
  <c r="Q626" i="8"/>
  <c r="R629" i="8"/>
  <c r="R626" i="8"/>
  <c r="S629" i="8"/>
  <c r="S626" i="8"/>
  <c r="U626" i="8"/>
  <c r="T629" i="8"/>
  <c r="Q620" i="8"/>
  <c r="Q617" i="8"/>
  <c r="L620" i="8"/>
  <c r="L617" i="8"/>
  <c r="K620" i="8"/>
  <c r="K617" i="8"/>
  <c r="K611" i="8"/>
  <c r="T620" i="8"/>
  <c r="J617" i="8"/>
  <c r="J620" i="8"/>
  <c r="Q611" i="8"/>
  <c r="Q608" i="8"/>
  <c r="I617" i="8"/>
  <c r="I620" i="8"/>
  <c r="T608" i="8"/>
  <c r="T611" i="8"/>
  <c r="U620" i="8"/>
  <c r="U617" i="8"/>
  <c r="S620" i="8"/>
  <c r="S617" i="8"/>
  <c r="R608" i="8"/>
  <c r="R611" i="8"/>
  <c r="J611" i="8"/>
  <c r="J608" i="8"/>
  <c r="I608" i="8"/>
  <c r="I611" i="8"/>
  <c r="U611" i="8"/>
  <c r="S611" i="8"/>
  <c r="T617" i="8"/>
  <c r="R617" i="8"/>
  <c r="W608" i="8" l="1"/>
  <c r="W617" i="8"/>
</calcChain>
</file>

<file path=xl/sharedStrings.xml><?xml version="1.0" encoding="utf-8"?>
<sst xmlns="http://schemas.openxmlformats.org/spreadsheetml/2006/main" count="8454" uniqueCount="1756">
  <si>
    <t>Digit 1</t>
  </si>
  <si>
    <t>Digit 2</t>
  </si>
  <si>
    <t>Digit 3</t>
  </si>
  <si>
    <t>Digit 4</t>
  </si>
  <si>
    <t>Freeman</t>
  </si>
  <si>
    <t>Missisinewa</t>
  </si>
  <si>
    <t>Salamonie</t>
  </si>
  <si>
    <t>Schafer</t>
  </si>
  <si>
    <t>Boat</t>
  </si>
  <si>
    <t>Shore</t>
  </si>
  <si>
    <t>Example:</t>
  </si>
  <si>
    <t>Mississinewa</t>
  </si>
  <si>
    <t>Sample Location</t>
  </si>
  <si>
    <t>Sample Type</t>
  </si>
  <si>
    <t>Lake</t>
  </si>
  <si>
    <t>Number:</t>
  </si>
  <si>
    <t>Date</t>
  </si>
  <si>
    <t>Sample Code</t>
  </si>
  <si>
    <t>Planet</t>
  </si>
  <si>
    <t>MISS</t>
  </si>
  <si>
    <t>SHAF</t>
  </si>
  <si>
    <t>Lake CODE</t>
  </si>
  <si>
    <t>SALA</t>
  </si>
  <si>
    <t>CODED CODE</t>
  </si>
  <si>
    <t>Needs to be 4105, B5, the point is not B4…..</t>
  </si>
  <si>
    <t>*GPS is incorrect, used point gps, not sample gps coords, paper copy values had to be submitted, 4110 didn't get submitted on SURVEY123</t>
  </si>
  <si>
    <t>UniqueID</t>
  </si>
  <si>
    <t>BottleNo</t>
  </si>
  <si>
    <t>10202022FM1</t>
  </si>
  <si>
    <t>10202022FM2</t>
  </si>
  <si>
    <t>10202022FM3</t>
  </si>
  <si>
    <t>10202022FM4</t>
  </si>
  <si>
    <t>20230310-1</t>
  </si>
  <si>
    <t>20230310-2</t>
  </si>
  <si>
    <t>20230310-3</t>
  </si>
  <si>
    <t>20230310-4</t>
  </si>
  <si>
    <t>20230310-5</t>
  </si>
  <si>
    <t>20230310-6</t>
  </si>
  <si>
    <t>20230310-7</t>
  </si>
  <si>
    <t>20230310-8</t>
  </si>
  <si>
    <t>20230310-9</t>
  </si>
  <si>
    <t>20230310-10</t>
  </si>
  <si>
    <t>20230310-11</t>
  </si>
  <si>
    <t>20230310-12</t>
  </si>
  <si>
    <t>20230310-13</t>
  </si>
  <si>
    <t>20230310-14</t>
  </si>
  <si>
    <t>20230310-15</t>
  </si>
  <si>
    <t>20230310-16</t>
  </si>
  <si>
    <t>20230310-17</t>
  </si>
  <si>
    <t>20230310-18</t>
  </si>
  <si>
    <t>20230310-19</t>
  </si>
  <si>
    <t>20230407-1</t>
  </si>
  <si>
    <t>20230407-2</t>
  </si>
  <si>
    <t>20230407-3</t>
  </si>
  <si>
    <t>20230407-4</t>
  </si>
  <si>
    <t>20230407-5</t>
  </si>
  <si>
    <t>20230407-6</t>
  </si>
  <si>
    <t>20230407-7</t>
  </si>
  <si>
    <t>20230407-8</t>
  </si>
  <si>
    <t>20230424-1</t>
  </si>
  <si>
    <t>20230424-2</t>
  </si>
  <si>
    <t>20230424-3</t>
  </si>
  <si>
    <t>20230424-4</t>
  </si>
  <si>
    <t>20230424-5</t>
  </si>
  <si>
    <t>20230424-6</t>
  </si>
  <si>
    <t>20230424-7</t>
  </si>
  <si>
    <t>20230424-8</t>
  </si>
  <si>
    <t>20230424-9</t>
  </si>
  <si>
    <t>20230424-10</t>
  </si>
  <si>
    <t>20230424-11</t>
  </si>
  <si>
    <t>20230424-12</t>
  </si>
  <si>
    <t>20230424-13</t>
  </si>
  <si>
    <t>20230510-S1</t>
  </si>
  <si>
    <t>20230510-S2</t>
  </si>
  <si>
    <t>20230510-S3</t>
  </si>
  <si>
    <t>20230510-S4</t>
  </si>
  <si>
    <t>20230510-S5</t>
  </si>
  <si>
    <t>20230510-S6</t>
  </si>
  <si>
    <t>20230510-S7</t>
  </si>
  <si>
    <t>20230510-S8</t>
  </si>
  <si>
    <t>20230510-S9</t>
  </si>
  <si>
    <t>20230510-S10</t>
  </si>
  <si>
    <t>20230510-S11</t>
  </si>
  <si>
    <t>20230510-S12</t>
  </si>
  <si>
    <t>20230510-AS21</t>
  </si>
  <si>
    <t>20230510-AS22</t>
  </si>
  <si>
    <t>20230517-1</t>
  </si>
  <si>
    <t>20230517-2</t>
  </si>
  <si>
    <t>20230517-3</t>
  </si>
  <si>
    <t>20230517-4</t>
  </si>
  <si>
    <t>20230517-5</t>
  </si>
  <si>
    <t>20230517-6</t>
  </si>
  <si>
    <t>20230517-7</t>
  </si>
  <si>
    <t>20230517-8</t>
  </si>
  <si>
    <t>20230517-9</t>
  </si>
  <si>
    <t>20230522-K1</t>
  </si>
  <si>
    <t>20230522-K2</t>
  </si>
  <si>
    <t>20230522-K4</t>
  </si>
  <si>
    <t>20230522-K5</t>
  </si>
  <si>
    <t>20230522-K6</t>
  </si>
  <si>
    <t>20230522-K7</t>
  </si>
  <si>
    <t>20230522-K8</t>
  </si>
  <si>
    <t>20230522-K9</t>
  </si>
  <si>
    <t>20230522-10</t>
  </si>
  <si>
    <t>20230522-11</t>
  </si>
  <si>
    <t>20230522-12</t>
  </si>
  <si>
    <t>20230522-13</t>
  </si>
  <si>
    <t>20230522-14</t>
  </si>
  <si>
    <t>20230522-15</t>
  </si>
  <si>
    <t>20230522-16</t>
  </si>
  <si>
    <t>20230522-17</t>
  </si>
  <si>
    <t>20230522-18</t>
  </si>
  <si>
    <t>20230522-19</t>
  </si>
  <si>
    <t>20230522-20</t>
  </si>
  <si>
    <t>20230522-21</t>
  </si>
  <si>
    <t/>
  </si>
  <si>
    <t>20230525-1</t>
  </si>
  <si>
    <t>20230525-2</t>
  </si>
  <si>
    <t>20230525-3</t>
  </si>
  <si>
    <t>20230525-4</t>
  </si>
  <si>
    <t>20230525-6</t>
  </si>
  <si>
    <t>20230525-7</t>
  </si>
  <si>
    <t>20230525-8</t>
  </si>
  <si>
    <t>20230525-9</t>
  </si>
  <si>
    <t>20230525-10</t>
  </si>
  <si>
    <t>20230525-11</t>
  </si>
  <si>
    <t>20230525-13</t>
  </si>
  <si>
    <t>20230525-14</t>
  </si>
  <si>
    <t>20230525-15</t>
  </si>
  <si>
    <t>20230525-16</t>
  </si>
  <si>
    <t>20230531-1</t>
  </si>
  <si>
    <t>20230531-2</t>
  </si>
  <si>
    <t>20230531-3</t>
  </si>
  <si>
    <t>20230531-4</t>
  </si>
  <si>
    <t>20230531-5</t>
  </si>
  <si>
    <t>20230531-6</t>
  </si>
  <si>
    <t>20230531-7</t>
  </si>
  <si>
    <t>20230531-8</t>
  </si>
  <si>
    <t>20230608-SALA-S1</t>
  </si>
  <si>
    <t>20230608-SALA-S2</t>
  </si>
  <si>
    <t>20230608-SALA-S3</t>
  </si>
  <si>
    <t>20230608-SALA-S4</t>
  </si>
  <si>
    <t>20230608-SALA-S5</t>
  </si>
  <si>
    <t>20230608-SALA-S6</t>
  </si>
  <si>
    <t>20230608-SALA-S7</t>
  </si>
  <si>
    <t>20230608-SALA-S8</t>
  </si>
  <si>
    <t>20230609-FREE-S1</t>
  </si>
  <si>
    <t>20230609-FREE-S2</t>
  </si>
  <si>
    <t>20230609-FREE-S3</t>
  </si>
  <si>
    <t>20230609-FREE-S4</t>
  </si>
  <si>
    <t>20230609-FREE-S5</t>
  </si>
  <si>
    <t>20230609-FREE-BR1</t>
  </si>
  <si>
    <t>20230615-1</t>
  </si>
  <si>
    <t>20230615-2</t>
  </si>
  <si>
    <t>20230615-3</t>
  </si>
  <si>
    <t>20230615-4</t>
  </si>
  <si>
    <t>20230615-5</t>
  </si>
  <si>
    <t>20230615-6</t>
  </si>
  <si>
    <t>20230615-7</t>
  </si>
  <si>
    <t>20230615-8</t>
  </si>
  <si>
    <t>20230620-SHAF-S2</t>
  </si>
  <si>
    <t>20230620-SHAF-S3</t>
  </si>
  <si>
    <t>20230620-SHAF-S4</t>
  </si>
  <si>
    <t>20230620-FREE-S1</t>
  </si>
  <si>
    <t>20230620-FREE-S2</t>
  </si>
  <si>
    <t>20230620-FREE-S3</t>
  </si>
  <si>
    <t>20230620-FREE-S4</t>
  </si>
  <si>
    <t>20230620-FREE-S5</t>
  </si>
  <si>
    <t>20230623-SALA-B1</t>
  </si>
  <si>
    <t>20230623-SALA-B2</t>
  </si>
  <si>
    <t>20230623-SALA-B3</t>
  </si>
  <si>
    <t>20230623-SALA-B4</t>
  </si>
  <si>
    <t>20230623-SALA-B5</t>
  </si>
  <si>
    <t>20230623-SALA-B6</t>
  </si>
  <si>
    <t>20230623-SALA-B7</t>
  </si>
  <si>
    <t>20230623-SALA-B8</t>
  </si>
  <si>
    <t>20230623-SALA-B9</t>
  </si>
  <si>
    <t>20230623-SALA-B10</t>
  </si>
  <si>
    <t>20230623-SALA-B11</t>
  </si>
  <si>
    <t>20230623-SALA-B12</t>
  </si>
  <si>
    <t>20230623-SALA-B13</t>
  </si>
  <si>
    <t>20230627-MISS-S1</t>
  </si>
  <si>
    <t>20230627-MISS-S2</t>
  </si>
  <si>
    <t>20230627-MISS-S3</t>
  </si>
  <si>
    <t>20230627-MISS-S4</t>
  </si>
  <si>
    <t>20230627-MISS-S5</t>
  </si>
  <si>
    <t>20230627-MISS-S6</t>
  </si>
  <si>
    <t>20230627-MISS-S7</t>
  </si>
  <si>
    <t>20230627-MISS-S8</t>
  </si>
  <si>
    <t>20230630-SHAF-S2</t>
  </si>
  <si>
    <t>20230630-SHAF-S3</t>
  </si>
  <si>
    <t>20230630-SHAF-S4</t>
  </si>
  <si>
    <t>20230630-FREE-S1</t>
  </si>
  <si>
    <t>20230630-FREE-S2</t>
  </si>
  <si>
    <t>20230630-FREE-S3</t>
  </si>
  <si>
    <t>20230630-FREE-S4</t>
  </si>
  <si>
    <t>20230630-FREE-S5</t>
  </si>
  <si>
    <t>20230706-SALA-S1</t>
  </si>
  <si>
    <t>20230706-SALA-S2</t>
  </si>
  <si>
    <t>20230706-SALA-S3</t>
  </si>
  <si>
    <t>20230706-SALA-S4</t>
  </si>
  <si>
    <t>20230706-SALA-S6</t>
  </si>
  <si>
    <t>20230706-SALA-S7</t>
  </si>
  <si>
    <t>20230706-SALA-S8</t>
  </si>
  <si>
    <t>20230711-MISS-B1</t>
  </si>
  <si>
    <t>20230711-MISS-B2</t>
  </si>
  <si>
    <t>20230711-MISS-B3</t>
  </si>
  <si>
    <t>20230711-MISS-B4</t>
  </si>
  <si>
    <t>20230711-MISS-B5</t>
  </si>
  <si>
    <t>20230711-MISS-B6</t>
  </si>
  <si>
    <t>20230711-MISS-B7</t>
  </si>
  <si>
    <t>20230711-MISS-B8</t>
  </si>
  <si>
    <t>20230711-MISS-B9</t>
  </si>
  <si>
    <t>20230711-MISS-B10</t>
  </si>
  <si>
    <t>20230713-SHAF-S2</t>
  </si>
  <si>
    <t>20230713-SHAF-S3</t>
  </si>
  <si>
    <t>20230713-SHAF-S4</t>
  </si>
  <si>
    <t>20230713-FREE-S1</t>
  </si>
  <si>
    <t>20230713-FREE-S2</t>
  </si>
  <si>
    <t>20230713-FREE-S3</t>
  </si>
  <si>
    <t>20230713-FREE-S4</t>
  </si>
  <si>
    <t>20230713-FREE-S5</t>
  </si>
  <si>
    <t>20230718-SHAF-S2</t>
  </si>
  <si>
    <t>20230718-SHAF-S3</t>
  </si>
  <si>
    <t>20230718-SHAF-S4</t>
  </si>
  <si>
    <t>20230718-FREE-S1</t>
  </si>
  <si>
    <t>20230718-FREE-S2</t>
  </si>
  <si>
    <t>20230718-FREE-S3</t>
  </si>
  <si>
    <t>20230718-FREE-S4</t>
  </si>
  <si>
    <t>20230718-FREE-S5</t>
  </si>
  <si>
    <t>20230721-SALA-B1</t>
  </si>
  <si>
    <t>20230721-SALA-B2</t>
  </si>
  <si>
    <t>20230721-SALA-B3</t>
  </si>
  <si>
    <t>20230721-SALA-B4</t>
  </si>
  <si>
    <t>20230721-SALA-B5</t>
  </si>
  <si>
    <t>20230721-SALA-B6</t>
  </si>
  <si>
    <t>20230721-SALA-B7</t>
  </si>
  <si>
    <t>20230721-SALA-B8</t>
  </si>
  <si>
    <t>20230721-SALA-B9</t>
  </si>
  <si>
    <t>20230721-SALA-B10</t>
  </si>
  <si>
    <t>20230721-SALA-B11</t>
  </si>
  <si>
    <t>20230721-SALA-B12</t>
  </si>
  <si>
    <t>20230721-SALA-B13</t>
  </si>
  <si>
    <t>20230727-MISS-B1</t>
  </si>
  <si>
    <t>20230727-MISS-B2</t>
  </si>
  <si>
    <t>20230727-MISS-B3</t>
  </si>
  <si>
    <t>20230727-MISS-B4</t>
  </si>
  <si>
    <t>20230727-MISS-B5</t>
  </si>
  <si>
    <t>20230727-MISS-B6</t>
  </si>
  <si>
    <t>20230727-MISS-B7</t>
  </si>
  <si>
    <t>20230727-MISS-B8</t>
  </si>
  <si>
    <t>20230727-MISS-B9</t>
  </si>
  <si>
    <t>20230727-MISS-B10</t>
  </si>
  <si>
    <t>20230727-MISS-B11</t>
  </si>
  <si>
    <t>20230727-MISS-B12</t>
  </si>
  <si>
    <t>20230727-MISS-B13</t>
  </si>
  <si>
    <t>20230727-MISS-B14</t>
  </si>
  <si>
    <t>20230727-MISS-B15</t>
  </si>
  <si>
    <t>20230801-FREE-B1</t>
  </si>
  <si>
    <t>20230801-FREE-B2</t>
  </si>
  <si>
    <t>20230801-FREE-B3</t>
  </si>
  <si>
    <t>20230801-FREE-B4</t>
  </si>
  <si>
    <t>20230801-FREE-B5</t>
  </si>
  <si>
    <t>20230801-FREE-B6</t>
  </si>
  <si>
    <t>20230801-FREE-B7</t>
  </si>
  <si>
    <t>20230801-FREE-B8</t>
  </si>
  <si>
    <t>20230801-FREE-B9</t>
  </si>
  <si>
    <t>20230801-FREE-B10</t>
  </si>
  <si>
    <t>20230801-FREE-B11</t>
  </si>
  <si>
    <t>20230801-FREE-B12</t>
  </si>
  <si>
    <t>20230801-FREE-B13</t>
  </si>
  <si>
    <t>20230801-FREE-B14</t>
  </si>
  <si>
    <t>20230801-FREE-B15</t>
  </si>
  <si>
    <t>20230804-SALA-B1</t>
  </si>
  <si>
    <t>20230804-SALA-B2</t>
  </si>
  <si>
    <t>20230804-SALA-B3</t>
  </si>
  <si>
    <t>20230804-SALA-B4</t>
  </si>
  <si>
    <t>20230804-SALA-B5</t>
  </si>
  <si>
    <t>20230804-SALA-B6</t>
  </si>
  <si>
    <t>20230804-SALA-B7</t>
  </si>
  <si>
    <t>20230804-SALA-B8</t>
  </si>
  <si>
    <t>20230804-SALA-B9</t>
  </si>
  <si>
    <t>20230804-SALA-B10</t>
  </si>
  <si>
    <t>20230804-SALA-B11</t>
  </si>
  <si>
    <t>20230804-SALA-B12</t>
  </si>
  <si>
    <t>20230804-SALA-B13</t>
  </si>
  <si>
    <t>2023922-FM-B1</t>
  </si>
  <si>
    <t>2023922-FM-B2</t>
  </si>
  <si>
    <t>2023922-FM-B3</t>
  </si>
  <si>
    <t>2023922-FM-B4</t>
  </si>
  <si>
    <t>Location No</t>
  </si>
  <si>
    <t>NumID</t>
  </si>
  <si>
    <t>True Bottle ID</t>
  </si>
  <si>
    <t>20240516-MISS-B1</t>
  </si>
  <si>
    <t>20240516-MISS-B2</t>
  </si>
  <si>
    <t>20240516-MISS-B3</t>
  </si>
  <si>
    <t>20240516-MISS-B4</t>
  </si>
  <si>
    <t>20240516-MISS-B5</t>
  </si>
  <si>
    <t>20240516-MISS-B6</t>
  </si>
  <si>
    <t>20240516-MISS-B7</t>
  </si>
  <si>
    <t>20240516-MISS-B8</t>
  </si>
  <si>
    <t>20240516-MISS-B9</t>
  </si>
  <si>
    <t>20240516-MISS-B10</t>
  </si>
  <si>
    <t>20240516-MISS-B11</t>
  </si>
  <si>
    <t>20240516-MISS-B12</t>
  </si>
  <si>
    <t>20240516-MISS-B13</t>
  </si>
  <si>
    <t>20240530-MISS-S1</t>
  </si>
  <si>
    <t>20240530-MISS-S2</t>
  </si>
  <si>
    <t>20240530-MISS-S3</t>
  </si>
  <si>
    <t>20240530-MISS-S4</t>
  </si>
  <si>
    <t>20240530-MISS-S5</t>
  </si>
  <si>
    <t>20240530-MISS-S6</t>
  </si>
  <si>
    <t>20240530-MISS-S7</t>
  </si>
  <si>
    <t>20240530-MISS-S8</t>
  </si>
  <si>
    <t>20240604-SHAF-B6</t>
  </si>
  <si>
    <t>20240604-SHAF-B8</t>
  </si>
  <si>
    <t>20240604-SHAF-B9</t>
  </si>
  <si>
    <t>20240604-SHAF-B10</t>
  </si>
  <si>
    <t>20240604-SHAF-B11</t>
  </si>
  <si>
    <t>20240604-SHAF-B12</t>
  </si>
  <si>
    <t>20240604-SHAF-B14</t>
  </si>
  <si>
    <t>20240604-SHAF-B15</t>
  </si>
  <si>
    <t>20240606-SALA-B1</t>
  </si>
  <si>
    <t>20240606-SALA-B2</t>
  </si>
  <si>
    <t>20240606-SALA-B3</t>
  </si>
  <si>
    <t>20240606-SALA-B4</t>
  </si>
  <si>
    <t>20240606-SALA-B5</t>
  </si>
  <si>
    <t>20240606-SALA-B6</t>
  </si>
  <si>
    <t>20240606-SALA-B7</t>
  </si>
  <si>
    <t>20240606-SALA-B8</t>
  </si>
  <si>
    <t>20240606-SALA-B9</t>
  </si>
  <si>
    <t>20240606-SALA-B10</t>
  </si>
  <si>
    <t>20240606-SALA-B13</t>
  </si>
  <si>
    <t>20240606-SALA-B14</t>
  </si>
  <si>
    <t>20240612-MISS-B1</t>
  </si>
  <si>
    <t>20240612-MISS-B2</t>
  </si>
  <si>
    <t>20240612-MISS-B3</t>
  </si>
  <si>
    <t>20240612-MISS-B4</t>
  </si>
  <si>
    <t>20240612-MISS-B5</t>
  </si>
  <si>
    <t>20240612-MISS-B6</t>
  </si>
  <si>
    <t>20240612-MISS-B7</t>
  </si>
  <si>
    <t>20240612-MISS-B8</t>
  </si>
  <si>
    <t>20240612-MISS-B9</t>
  </si>
  <si>
    <t>20240612-MISS-B10</t>
  </si>
  <si>
    <t>20240612-MISS-B11</t>
  </si>
  <si>
    <t>20240612-MISS-B12</t>
  </si>
  <si>
    <t>20240612-MISS-B13</t>
  </si>
  <si>
    <t>20240613-SHAF-B1</t>
  </si>
  <si>
    <t>20240613-SHAF-B5</t>
  </si>
  <si>
    <t>20240613-SHAF-B6</t>
  </si>
  <si>
    <t>20240613-SHAF-B8</t>
  </si>
  <si>
    <t>20240613-SHAF-B9</t>
  </si>
  <si>
    <t>20240613-SHAF-B10</t>
  </si>
  <si>
    <t>20240613-SHAF-B11</t>
  </si>
  <si>
    <t>20240613-SHAF-B12</t>
  </si>
  <si>
    <t>20240613-SHAF-B14</t>
  </si>
  <si>
    <t>20240613-SHAF-B15</t>
  </si>
  <si>
    <t>20240617-SALA-B1</t>
  </si>
  <si>
    <t>20240617-SALA-B2</t>
  </si>
  <si>
    <t>20240617-SALA-B3</t>
  </si>
  <si>
    <t>20240617-SALA-B4</t>
  </si>
  <si>
    <t>20240617-SALA-B5</t>
  </si>
  <si>
    <t>20240617-SALA-B6</t>
  </si>
  <si>
    <t>20240617-SALA-B7</t>
  </si>
  <si>
    <t>20240617-SALA-B8</t>
  </si>
  <si>
    <t>20240617-SALA-B9</t>
  </si>
  <si>
    <t>20240617-SALA-B10</t>
  </si>
  <si>
    <t>20240617-SALA-B13</t>
  </si>
  <si>
    <t>20240617-SALA-B14</t>
  </si>
  <si>
    <t>20240619-SHAF-B5</t>
  </si>
  <si>
    <t>20240619-SHAF-B6</t>
  </si>
  <si>
    <t>20240619-SHAF-B8</t>
  </si>
  <si>
    <t>20240619-SHAF-B9</t>
  </si>
  <si>
    <t>20240619-SHAF-B10</t>
  </si>
  <si>
    <t>20240619-SHAF-B11</t>
  </si>
  <si>
    <t>20240619-SHAF-B12</t>
  </si>
  <si>
    <t>20240619-SHAF-B14</t>
  </si>
  <si>
    <t>20240619-SHAF-B15</t>
  </si>
  <si>
    <t>20240624-MISS-B1</t>
  </si>
  <si>
    <t>20240624-MISS-B2</t>
  </si>
  <si>
    <t>20240624-MISS-B3</t>
  </si>
  <si>
    <t>20240624-MISS-B4</t>
  </si>
  <si>
    <t>20240624-MISS-B5</t>
  </si>
  <si>
    <t>20240624-MISS-B6</t>
  </si>
  <si>
    <t>20240624-MISS-B7</t>
  </si>
  <si>
    <t>20240624-MISS-B8</t>
  </si>
  <si>
    <t>20240624-MISS-B9</t>
  </si>
  <si>
    <t>20240624-MISS-B10</t>
  </si>
  <si>
    <t>20240624-MISS-B11</t>
  </si>
  <si>
    <t>20240624-MISS-B12</t>
  </si>
  <si>
    <t>20240624-MISS-B13</t>
  </si>
  <si>
    <t>20240627-SALA-B1</t>
  </si>
  <si>
    <t>20240627-SALA-B2</t>
  </si>
  <si>
    <t>20240627-SALA-B3</t>
  </si>
  <si>
    <t>20240627-SALA-B4</t>
  </si>
  <si>
    <t>20240627-SALA-B5</t>
  </si>
  <si>
    <t>20240627-SALA-B6</t>
  </si>
  <si>
    <t>20240627-SALA-B7</t>
  </si>
  <si>
    <t>20240627-SALA-B8</t>
  </si>
  <si>
    <t>20240627-SALA-B9</t>
  </si>
  <si>
    <t>20240627-SALA-B10</t>
  </si>
  <si>
    <t>20240627-SALA-B13</t>
  </si>
  <si>
    <t>20240627-SALA-B14</t>
  </si>
  <si>
    <t>20240701-SHAF-B1</t>
  </si>
  <si>
    <t>20240701-SHAF-B5</t>
  </si>
  <si>
    <t>20240701-SHAF-B6</t>
  </si>
  <si>
    <t>20240701-SHAF-B8</t>
  </si>
  <si>
    <t>20240701-SHAF-B9</t>
  </si>
  <si>
    <t>20240701-SHAF-B10</t>
  </si>
  <si>
    <t>20240701-SHAF-B11</t>
  </si>
  <si>
    <t>20240701-SHAF-B12</t>
  </si>
  <si>
    <t>20240701-SHAF-B14</t>
  </si>
  <si>
    <t>20240701-SHAF-B15</t>
  </si>
  <si>
    <t>20240711-MISS-S9</t>
  </si>
  <si>
    <t>20240711-MISS-S10</t>
  </si>
  <si>
    <t>20240711-MISS-S11</t>
  </si>
  <si>
    <t>20240711-MISS-S12</t>
  </si>
  <si>
    <t>20240717-SHAF-B5</t>
  </si>
  <si>
    <t>20240717-SHAF-B6</t>
  </si>
  <si>
    <t>20240717-SHAF-B8</t>
  </si>
  <si>
    <t>20240717-SHAF-B9</t>
  </si>
  <si>
    <t>20240717-SHAF-B10</t>
  </si>
  <si>
    <t>20240717-SHAF-B11</t>
  </si>
  <si>
    <t>20240717-SHAF-B12</t>
  </si>
  <si>
    <t>20240717-SHAF-B14</t>
  </si>
  <si>
    <t>20240717-SHAF-B15</t>
  </si>
  <si>
    <t>20240718-MISS-B1</t>
  </si>
  <si>
    <t>20240718-MISS-B2</t>
  </si>
  <si>
    <t>20240718-MISS-B3</t>
  </si>
  <si>
    <t>20240718-MISS-B4</t>
  </si>
  <si>
    <t>20240718-MISS-B5</t>
  </si>
  <si>
    <t>20240718-MISS-B6</t>
  </si>
  <si>
    <t>20240718-MISS-B7</t>
  </si>
  <si>
    <t>20240718-MISS-B8</t>
  </si>
  <si>
    <t>20240718-MISS-B9</t>
  </si>
  <si>
    <t>20240718-MISS-B10</t>
  </si>
  <si>
    <t>20240718-MISS-B11</t>
  </si>
  <si>
    <t>20240718-MISS-B12</t>
  </si>
  <si>
    <t>20240718-MISS-B13</t>
  </si>
  <si>
    <t>20240722-SHAF-B1</t>
  </si>
  <si>
    <t>20240722-SHAF-B5</t>
  </si>
  <si>
    <t>20240722-SHAF-B6</t>
  </si>
  <si>
    <t>20240722-SHAF-B8</t>
  </si>
  <si>
    <t>20240722-SHAF-B9</t>
  </si>
  <si>
    <t>20240722-SHAF-B10</t>
  </si>
  <si>
    <t>20240722-SHAF-B11</t>
  </si>
  <si>
    <t>20240722-SHAF-B12</t>
  </si>
  <si>
    <t>20240722-SHAF-B14</t>
  </si>
  <si>
    <t>20240722-SHAF-B15</t>
  </si>
  <si>
    <t>20240723-SALA-B1</t>
  </si>
  <si>
    <t>20240723-SALA-B2</t>
  </si>
  <si>
    <t>20240723-SALA-B3</t>
  </si>
  <si>
    <t>20240723-SALA-B4</t>
  </si>
  <si>
    <t>20240723-SALA-B5</t>
  </si>
  <si>
    <t>20240723-SALA-B6</t>
  </si>
  <si>
    <t>20240723-SALA-B7</t>
  </si>
  <si>
    <t>20240723-SALA-B8</t>
  </si>
  <si>
    <t>20240723-SALA-B9</t>
  </si>
  <si>
    <t>20240723-SALA-B10</t>
  </si>
  <si>
    <t>20240723-SALA-B13</t>
  </si>
  <si>
    <t>20240723-SALA-B14</t>
  </si>
  <si>
    <t>20230801-SHAF-B5</t>
  </si>
  <si>
    <t>2101</t>
  </si>
  <si>
    <t>2102</t>
  </si>
  <si>
    <t>2103</t>
  </si>
  <si>
    <t>2104</t>
  </si>
  <si>
    <t>2105</t>
  </si>
  <si>
    <t>2106</t>
  </si>
  <si>
    <t>2107</t>
  </si>
  <si>
    <t>2108</t>
  </si>
  <si>
    <t>2109</t>
  </si>
  <si>
    <t>2110</t>
  </si>
  <si>
    <t>2111</t>
  </si>
  <si>
    <t>2112</t>
  </si>
  <si>
    <t>2113</t>
  </si>
  <si>
    <t>2201</t>
  </si>
  <si>
    <t>2202</t>
  </si>
  <si>
    <t>2203</t>
  </si>
  <si>
    <t>2204</t>
  </si>
  <si>
    <t>2205</t>
  </si>
  <si>
    <t>2206</t>
  </si>
  <si>
    <t>2207</t>
  </si>
  <si>
    <t>2208</t>
  </si>
  <si>
    <t>4106</t>
  </si>
  <si>
    <t>4108</t>
  </si>
  <si>
    <t>4109</t>
  </si>
  <si>
    <t>4110</t>
  </si>
  <si>
    <t>4111</t>
  </si>
  <si>
    <t>4112</t>
  </si>
  <si>
    <t>4114</t>
  </si>
  <si>
    <t>4115</t>
  </si>
  <si>
    <t>3101</t>
  </si>
  <si>
    <t>3102</t>
  </si>
  <si>
    <t>3103</t>
  </si>
  <si>
    <t>3104</t>
  </si>
  <si>
    <t>3105</t>
  </si>
  <si>
    <t>3106</t>
  </si>
  <si>
    <t>3107</t>
  </si>
  <si>
    <t>3108</t>
  </si>
  <si>
    <t>3109</t>
  </si>
  <si>
    <t>3110</t>
  </si>
  <si>
    <t>3113</t>
  </si>
  <si>
    <t>3114</t>
  </si>
  <si>
    <t>4101</t>
  </si>
  <si>
    <t>4105</t>
  </si>
  <si>
    <t>2209</t>
  </si>
  <si>
    <t>2210</t>
  </si>
  <si>
    <t>2211</t>
  </si>
  <si>
    <t>2212</t>
  </si>
  <si>
    <t>4102</t>
  </si>
  <si>
    <t>Sampling Type (B/S)</t>
  </si>
  <si>
    <t>Lake ID (4 dig.)</t>
  </si>
  <si>
    <t>Bridge</t>
  </si>
  <si>
    <t>Kayak</t>
  </si>
  <si>
    <t>FREE</t>
  </si>
  <si>
    <t>NULL</t>
  </si>
  <si>
    <t>?</t>
  </si>
  <si>
    <t>20221020-FREE-B1</t>
  </si>
  <si>
    <t>20221020-FREE-B2</t>
  </si>
  <si>
    <t>20230310-SHAF-S?</t>
  </si>
  <si>
    <t>20230407-MISS-S?</t>
  </si>
  <si>
    <t>20230407-SALA-S?</t>
  </si>
  <si>
    <t>20230424-SHAF-B1</t>
  </si>
  <si>
    <t>20230424-SHAF-B2</t>
  </si>
  <si>
    <t>20230424-SHAF-B3</t>
  </si>
  <si>
    <t>20230424-SHAF-B4</t>
  </si>
  <si>
    <t>20230424-SHAF-B5</t>
  </si>
  <si>
    <t>20230424-SHAF-B8</t>
  </si>
  <si>
    <t>20230424-SHAF-B9</t>
  </si>
  <si>
    <t>20230424-SHAF-B10</t>
  </si>
  <si>
    <t>20230424-SHAF-B11</t>
  </si>
  <si>
    <t>20230424-SHAF-B12</t>
  </si>
  <si>
    <t>20230424-SHAF-S?</t>
  </si>
  <si>
    <t>20230510-MISS-S?</t>
  </si>
  <si>
    <t>20230517-FREE-B1</t>
  </si>
  <si>
    <t>20230517-FREE-B2</t>
  </si>
  <si>
    <t>20230517-FREE-B3</t>
  </si>
  <si>
    <t>20230522-SALA-S?</t>
  </si>
  <si>
    <t>-SALA-S?</t>
  </si>
  <si>
    <t>20230525-SHAF-B1</t>
  </si>
  <si>
    <t>20230525-SHAF-B2</t>
  </si>
  <si>
    <t>20230525-SHAF-B3</t>
  </si>
  <si>
    <t>20230525-SHAF-B4</t>
  </si>
  <si>
    <t>20230525-SHAF-B6</t>
  </si>
  <si>
    <t>20230525-SHAF-B7</t>
  </si>
  <si>
    <t>20230525-SHAF-B8</t>
  </si>
  <si>
    <t>20230525-SHAF-B9</t>
  </si>
  <si>
    <t>20230525-SHAF-B10</t>
  </si>
  <si>
    <t>20230525-SHAF-B11</t>
  </si>
  <si>
    <t>20230525-SHAF-B13</t>
  </si>
  <si>
    <t>20230525-SHAF-S?</t>
  </si>
  <si>
    <t>20230531-MISS-S?</t>
  </si>
  <si>
    <t>-MISS-S?</t>
  </si>
  <si>
    <t>20230608-SALA-S?</t>
  </si>
  <si>
    <t>20230609-FREE-S?</t>
  </si>
  <si>
    <t>20230615-MISS-S?</t>
  </si>
  <si>
    <t>20230620-SHAF-S?</t>
  </si>
  <si>
    <t>20230620-FREE-S?</t>
  </si>
  <si>
    <t>20230627-MISS-S?</t>
  </si>
  <si>
    <t>20230630-SHAF-S?</t>
  </si>
  <si>
    <t>20230630-FREE-S?</t>
  </si>
  <si>
    <t>20230706-SALA-S?</t>
  </si>
  <si>
    <t>20230713-SHAF-S?</t>
  </si>
  <si>
    <t>20230713-FREE-S?</t>
  </si>
  <si>
    <t>20230718-SHAF-S?</t>
  </si>
  <si>
    <t>20230718-FREE-S?</t>
  </si>
  <si>
    <t>20230801-SHAF-B2</t>
  </si>
  <si>
    <t>20230801-SHAF-BLL</t>
  </si>
  <si>
    <t>20230801-SHAF-B4</t>
  </si>
  <si>
    <t>20230801-SHAF-B6</t>
  </si>
  <si>
    <t>20230801-SHAF-B7</t>
  </si>
  <si>
    <t>20230801-SHAF-B8</t>
  </si>
  <si>
    <t>20230801-SHAF-B9</t>
  </si>
  <si>
    <t>20230801-SHAF-B10</t>
  </si>
  <si>
    <t>20230801-SHAF-B11</t>
  </si>
  <si>
    <t>20230801-SHAF-B12</t>
  </si>
  <si>
    <t>20230801-SHAF-B14</t>
  </si>
  <si>
    <t>20230801-SHAF-B15</t>
  </si>
  <si>
    <t>20230922-FREE-B1</t>
  </si>
  <si>
    <t>20230922-FREE-B2</t>
  </si>
  <si>
    <t>20230922-FREE-B3</t>
  </si>
  <si>
    <t>20230922-FREE-B11</t>
  </si>
  <si>
    <t>NH4Results</t>
  </si>
  <si>
    <t>NOxResults</t>
  </si>
  <si>
    <t>PO4Results</t>
  </si>
  <si>
    <t>TPResults</t>
  </si>
  <si>
    <t>Lat</t>
  </si>
  <si>
    <t>Long</t>
  </si>
  <si>
    <t>Month</t>
  </si>
  <si>
    <t>Day</t>
  </si>
  <si>
    <t>Year</t>
  </si>
  <si>
    <t>Exclude</t>
  </si>
  <si>
    <t>Microcystin Concentration</t>
  </si>
  <si>
    <t>20240731-MISS-B1</t>
  </si>
  <si>
    <t>20240731-MISS-B2</t>
  </si>
  <si>
    <t>20240731-MISS-B3</t>
  </si>
  <si>
    <t>20240731-MISS-B4</t>
  </si>
  <si>
    <t>20240731-MISS-B5</t>
  </si>
  <si>
    <t>20240731-MISS-B6</t>
  </si>
  <si>
    <t>20240731-MISS-B7</t>
  </si>
  <si>
    <t>20240731-MISS-B8</t>
  </si>
  <si>
    <t>20240731-MISS-B9</t>
  </si>
  <si>
    <t>20240731-MISS-B10</t>
  </si>
  <si>
    <t>20240731-MISS-B11</t>
  </si>
  <si>
    <t>20240731-MISS-B12</t>
  </si>
  <si>
    <t>20240731-MISS-B13</t>
  </si>
  <si>
    <t>20240730-SHAF-B1</t>
  </si>
  <si>
    <t>20240730-SHAF-B2</t>
  </si>
  <si>
    <t>20240730-SHAF-B5</t>
  </si>
  <si>
    <t>20240730-SHAF-B6</t>
  </si>
  <si>
    <t>20240730-SHAF-B8</t>
  </si>
  <si>
    <t>20240730-SHAF-B9</t>
  </si>
  <si>
    <t>20240730-SHAF-B10</t>
  </si>
  <si>
    <t>20240730-SHAF-B11</t>
  </si>
  <si>
    <t>20240730-SHAF-B12</t>
  </si>
  <si>
    <t>20240730-SHAF-B14</t>
  </si>
  <si>
    <t>20240730-SHAF-B15</t>
  </si>
  <si>
    <t>20240805-SALA-B1</t>
  </si>
  <si>
    <t>20240805-SALA-B2</t>
  </si>
  <si>
    <t>20240805-SALA-B3</t>
  </si>
  <si>
    <t>20240805-SALA-B4</t>
  </si>
  <si>
    <t>20240805-SALA-B5</t>
  </si>
  <si>
    <t>20240805-SALA-B6</t>
  </si>
  <si>
    <t>20240805-SALA-B7</t>
  </si>
  <si>
    <t>20240805-SALA-B8</t>
  </si>
  <si>
    <t>20240805-SALA-B9</t>
  </si>
  <si>
    <t>20240805-SALA-B10</t>
  </si>
  <si>
    <t>20240805-SALA-B13</t>
  </si>
  <si>
    <t>20240805-SALA-B14</t>
  </si>
  <si>
    <t>Chla (Avg 24 and on)</t>
  </si>
  <si>
    <t>Pheo (Avg 24 and on)</t>
  </si>
  <si>
    <t>20240604-SHAF-B5</t>
  </si>
  <si>
    <t>20240814-SHAF-B1</t>
  </si>
  <si>
    <t>20240814-SHAF-B5</t>
  </si>
  <si>
    <t>20240814-SHAF-B6</t>
  </si>
  <si>
    <t>20240814-SHAF-B8</t>
  </si>
  <si>
    <t>20240814-SHAF-B9</t>
  </si>
  <si>
    <t>20240814-SHAF-B10</t>
  </si>
  <si>
    <t>20240814-SHAF-B11</t>
  </si>
  <si>
    <t>20240814-SHAF-B12</t>
  </si>
  <si>
    <t>20240814-SHAF-B14</t>
  </si>
  <si>
    <t>20240814-SHAF-B15</t>
  </si>
  <si>
    <t>OUT OF</t>
  </si>
  <si>
    <t>20240723-SALA-B4 (Special/Algae)</t>
  </si>
  <si>
    <t>No DATA</t>
  </si>
  <si>
    <t>DATA</t>
  </si>
  <si>
    <t>Null Count</t>
  </si>
  <si>
    <t>Null %</t>
  </si>
  <si>
    <t>% Progress</t>
  </si>
  <si>
    <t># Data Points</t>
  </si>
  <si>
    <t>2024 Only</t>
  </si>
  <si>
    <t>below detected limit</t>
  </si>
  <si>
    <t>Sample ID</t>
  </si>
  <si>
    <t>Test</t>
  </si>
  <si>
    <t>Results</t>
  </si>
  <si>
    <t>Units</t>
  </si>
  <si>
    <t>Absorbance</t>
  </si>
  <si>
    <t>Date and Time</t>
  </si>
  <si>
    <t>Ammonia</t>
  </si>
  <si>
    <t>mg N/L</t>
  </si>
  <si>
    <t xml:space="preserve"> </t>
  </si>
  <si>
    <t>20240912-MISS-B11</t>
  </si>
  <si>
    <t>20240912-MISS-B3</t>
  </si>
  <si>
    <t>20240912-MISS-B9</t>
  </si>
  <si>
    <t>20240912-MISS-B13</t>
  </si>
  <si>
    <t>20240912-MISS-B7</t>
  </si>
  <si>
    <t>20240912-MISS-B5</t>
  </si>
  <si>
    <t>20240912-MISS-B10</t>
  </si>
  <si>
    <t>20240912-MISS-B6</t>
  </si>
  <si>
    <t>20240912-MISS-B4</t>
  </si>
  <si>
    <t>20240912-MISS-B8</t>
  </si>
  <si>
    <t>20240912-MISS-B12</t>
  </si>
  <si>
    <t>20240912-MISS-B1</t>
  </si>
  <si>
    <t>mg P/L</t>
  </si>
  <si>
    <t>20240912-MISS-B2</t>
  </si>
  <si>
    <t>Negative Values (b.d.l)</t>
  </si>
  <si>
    <t>NO DATA</t>
  </si>
  <si>
    <t>2023 Only</t>
  </si>
  <si>
    <t>TN (AVG) mg/L? [TOC]</t>
  </si>
  <si>
    <t>NPOC (AVG) mg/L? [TOC]</t>
  </si>
  <si>
    <t>TOTAL</t>
  </si>
  <si>
    <t>TP BDL</t>
  </si>
  <si>
    <t>Raccoon</t>
  </si>
  <si>
    <t>Shafer</t>
  </si>
  <si>
    <t>RACC</t>
  </si>
  <si>
    <t>20250510-MISS-B1</t>
  </si>
  <si>
    <t>20250510-MISS-B2</t>
  </si>
  <si>
    <t>20250510-MISS-B3</t>
  </si>
  <si>
    <t>20250510-MISS-B4</t>
  </si>
  <si>
    <t>20250510-MISS-B5</t>
  </si>
  <si>
    <t>20250510-MISS-B6</t>
  </si>
  <si>
    <t>20250510-MISS-B7</t>
  </si>
  <si>
    <t>20250510-MISS-B8</t>
  </si>
  <si>
    <t>20250510-MISS-B9</t>
  </si>
  <si>
    <t>20250510-MISS-B10</t>
  </si>
  <si>
    <t>20250510-MISS-B11</t>
  </si>
  <si>
    <t>20250510-MISS-B12</t>
  </si>
  <si>
    <t>20250510-MISS-B13</t>
  </si>
  <si>
    <t>20250708-RACC-B1</t>
  </si>
  <si>
    <t>20250708-RACC-B2</t>
  </si>
  <si>
    <t>20250708-RACC-B3</t>
  </si>
  <si>
    <t>20250708-RACC-B4</t>
  </si>
  <si>
    <t>20250708-RACC-B5</t>
  </si>
  <si>
    <t>20250708-RACC-B6</t>
  </si>
  <si>
    <t>20250714-SHAF-B5</t>
  </si>
  <si>
    <t>20250714-SHAF-B6</t>
  </si>
  <si>
    <t>20250714-SHAF-B8</t>
  </si>
  <si>
    <t>20250714-SHAF-B9</t>
  </si>
  <si>
    <t>20250714-SHAF-B10</t>
  </si>
  <si>
    <t>20250714-SHAF-B11</t>
  </si>
  <si>
    <t>20250714-SHAF-B12</t>
  </si>
  <si>
    <t>20250714-SHAF-B14</t>
  </si>
  <si>
    <t>20250714-SHAF-B15</t>
  </si>
  <si>
    <t>20250729-MISS-B1</t>
  </si>
  <si>
    <t>20250729-MISS-B2</t>
  </si>
  <si>
    <t>20250729-MISS-B3</t>
  </si>
  <si>
    <t>20250729-MISS-B4</t>
  </si>
  <si>
    <t>20250729-MISS-B5</t>
  </si>
  <si>
    <t>20250729-MISS-B6</t>
  </si>
  <si>
    <t>20250729-MISS-B7</t>
  </si>
  <si>
    <t>20250729-MISS-B8</t>
  </si>
  <si>
    <t>20250729-MISS-B9</t>
  </si>
  <si>
    <t>20250729-MISS-B10</t>
  </si>
  <si>
    <t>20250729-MISS-B11</t>
  </si>
  <si>
    <t>20250729-MISS-B12</t>
  </si>
  <si>
    <t>20250729-MISS-B13</t>
  </si>
  <si>
    <t>20250805-SHAF-B5</t>
  </si>
  <si>
    <t>20250805-SHAF-B6</t>
  </si>
  <si>
    <t>20250805-SHAF-B8</t>
  </si>
  <si>
    <t>20250805-SHAF-B9</t>
  </si>
  <si>
    <t>20250805-SHAF-B10</t>
  </si>
  <si>
    <t>20250805-SHAF-B11</t>
  </si>
  <si>
    <t>20250805-SHAF-B12</t>
  </si>
  <si>
    <t>20250805-SHAF-B14</t>
  </si>
  <si>
    <t>20250805-SHAF-B15</t>
  </si>
  <si>
    <t>20250805-SHAF-B16</t>
  </si>
  <si>
    <t>20250806-MISS-B1</t>
  </si>
  <si>
    <t>20250806-MISS-B2</t>
  </si>
  <si>
    <t>20250806-MISS-B3</t>
  </si>
  <si>
    <t>20250806-MISS-B4</t>
  </si>
  <si>
    <t>20250806-MISS-B5</t>
  </si>
  <si>
    <t>20250806-MISS-B6</t>
  </si>
  <si>
    <t>20250806-MISS-B7</t>
  </si>
  <si>
    <t>20250806-MISS-B8</t>
  </si>
  <si>
    <t>20250806-MISS-B9</t>
  </si>
  <si>
    <t>20250806-MISS-B10</t>
  </si>
  <si>
    <t>20250806-MISS-B11</t>
  </si>
  <si>
    <t>20250806-MISS-B12</t>
  </si>
  <si>
    <t>20250806-MISS-B13</t>
  </si>
  <si>
    <t>20250806-MISS-B14</t>
  </si>
  <si>
    <t>20250806-MISS-B15</t>
  </si>
  <si>
    <t>20250806-MISS-B16</t>
  </si>
  <si>
    <t>20250822-MISS-B1</t>
  </si>
  <si>
    <t>20250822-MISS-B2</t>
  </si>
  <si>
    <t>20250822-MISS-B3</t>
  </si>
  <si>
    <t>20250822-MISS-B4</t>
  </si>
  <si>
    <t>20250822-MISS-B5</t>
  </si>
  <si>
    <t>20250822-MISS-B6</t>
  </si>
  <si>
    <t>20250822-MISS-B7</t>
  </si>
  <si>
    <t>20250822-MISS-B8</t>
  </si>
  <si>
    <t>20250822-MISS-B9</t>
  </si>
  <si>
    <t>20250822-MISS-B10</t>
  </si>
  <si>
    <t>20250822-MISS-B11</t>
  </si>
  <si>
    <t>20250822-MISS-B12</t>
  </si>
  <si>
    <t>20250822-MISS-B13</t>
  </si>
  <si>
    <t>20250915-MISS-B1</t>
  </si>
  <si>
    <t>20250915-MISS-B2</t>
  </si>
  <si>
    <t>20250915-MISS-B3</t>
  </si>
  <si>
    <t>20250915-MISS-B4</t>
  </si>
  <si>
    <t>20250915-MISS-B5</t>
  </si>
  <si>
    <t>20250915-MISS-B6</t>
  </si>
  <si>
    <t>20250915-MISS-B7</t>
  </si>
  <si>
    <t>20250915-MISS-B8</t>
  </si>
  <si>
    <t>20250915-MISS-B9</t>
  </si>
  <si>
    <t>20250915-MISS-B10</t>
  </si>
  <si>
    <t>20250915-MISS-B11</t>
  </si>
  <si>
    <t>20250915-MISS-B12</t>
  </si>
  <si>
    <t>20250915-MISS-B13</t>
  </si>
  <si>
    <t>2025 Only</t>
  </si>
  <si>
    <t>2114</t>
  </si>
  <si>
    <t>2115</t>
  </si>
  <si>
    <t>2116</t>
  </si>
  <si>
    <t>20250813-MISS-B1</t>
  </si>
  <si>
    <t>20250813-MISS-B2</t>
  </si>
  <si>
    <t>20250813-MISS-B3</t>
  </si>
  <si>
    <t>20250813-MISS-B4</t>
  </si>
  <si>
    <t>20250813-MISS-B5</t>
  </si>
  <si>
    <t>20250813-MISS-B6</t>
  </si>
  <si>
    <t>20250813-MISS-B7</t>
  </si>
  <si>
    <t>20250813-MISS-B8</t>
  </si>
  <si>
    <t>20250813-MISS-B9</t>
  </si>
  <si>
    <t>20250813-MISS-B10</t>
  </si>
  <si>
    <t>20250813-MISS-B11</t>
  </si>
  <si>
    <t>20250813-MISS-B12</t>
  </si>
  <si>
    <t>20250813-MISS-B13</t>
  </si>
  <si>
    <t>20250813-MISS-B15</t>
  </si>
  <si>
    <t>20250813-MISS-B17</t>
  </si>
  <si>
    <t>T-Phos 1</t>
  </si>
  <si>
    <t>0805 S16</t>
  </si>
  <si>
    <t>0805 S8</t>
  </si>
  <si>
    <t>0805 S9</t>
  </si>
  <si>
    <t>0805 S14</t>
  </si>
  <si>
    <t>0806 M13</t>
  </si>
  <si>
    <t>0822 M6</t>
  </si>
  <si>
    <t>0822 M4</t>
  </si>
  <si>
    <t>0822 M9</t>
  </si>
  <si>
    <t>0915 M5</t>
  </si>
  <si>
    <t>0915 M13</t>
  </si>
  <si>
    <t>0915 M3</t>
  </si>
  <si>
    <t>0915 M11</t>
  </si>
  <si>
    <t>0915 M2</t>
  </si>
  <si>
    <t>0915 M8</t>
  </si>
  <si>
    <t>0915 M6</t>
  </si>
  <si>
    <t>0915 M1</t>
  </si>
  <si>
    <t>0915 M10</t>
  </si>
  <si>
    <t>0915 M12</t>
  </si>
  <si>
    <t>0915 M9</t>
  </si>
  <si>
    <t>0915 M4</t>
  </si>
  <si>
    <t>0915 M7</t>
  </si>
  <si>
    <t>0822 M8</t>
  </si>
  <si>
    <t>0822 M2</t>
  </si>
  <si>
    <t>0822 M10</t>
  </si>
  <si>
    <t>0822 M13</t>
  </si>
  <si>
    <t>0822 M3</t>
  </si>
  <si>
    <t>0822 M12</t>
  </si>
  <si>
    <t>0822 M11</t>
  </si>
  <si>
    <t>0822 M7</t>
  </si>
  <si>
    <t>0822 M1</t>
  </si>
  <si>
    <t>0806 M16</t>
  </si>
  <si>
    <t>0806 M3</t>
  </si>
  <si>
    <t>0806 M10</t>
  </si>
  <si>
    <t>0806 M2</t>
  </si>
  <si>
    <t>0806 M15</t>
  </si>
  <si>
    <t>0806 M7</t>
  </si>
  <si>
    <t>0806 M11</t>
  </si>
  <si>
    <t>0806 M6</t>
  </si>
  <si>
    <t>0806M 14</t>
  </si>
  <si>
    <t>0806 M12</t>
  </si>
  <si>
    <t>0806 M5</t>
  </si>
  <si>
    <t>0806 M4</t>
  </si>
  <si>
    <t>0806 M9</t>
  </si>
  <si>
    <t>0806 M8</t>
  </si>
  <si>
    <t>0510 M7</t>
  </si>
  <si>
    <t>0510 M3</t>
  </si>
  <si>
    <t>0510 M11</t>
  </si>
  <si>
    <t>0510 M2</t>
  </si>
  <si>
    <t>0510 M13</t>
  </si>
  <si>
    <t>0510 M1</t>
  </si>
  <si>
    <t>0510 M4</t>
  </si>
  <si>
    <t>0510 M12</t>
  </si>
  <si>
    <t>0510 M5</t>
  </si>
  <si>
    <t>0510 M8</t>
  </si>
  <si>
    <t>0813 M1</t>
  </si>
  <si>
    <t>0813 M2</t>
  </si>
  <si>
    <t>0813 M3</t>
  </si>
  <si>
    <t>0813 M4</t>
  </si>
  <si>
    <t>0813 M5</t>
  </si>
  <si>
    <t>0813 M6</t>
  </si>
  <si>
    <t>0813 M7</t>
  </si>
  <si>
    <t>0813 M8</t>
  </si>
  <si>
    <t>0813 M9</t>
  </si>
  <si>
    <t>0813 M10</t>
  </si>
  <si>
    <t>0813 M11</t>
  </si>
  <si>
    <t>0813 M12</t>
  </si>
  <si>
    <t>0813 M13</t>
  </si>
  <si>
    <t>0813 M15</t>
  </si>
  <si>
    <t>0813 M17</t>
  </si>
  <si>
    <t>Nitrate+Nitrite</t>
  </si>
  <si>
    <t>M0510 1</t>
  </si>
  <si>
    <t>M0510 2</t>
  </si>
  <si>
    <t>M0510 3</t>
  </si>
  <si>
    <t>M0510 4</t>
  </si>
  <si>
    <t>M0510 5</t>
  </si>
  <si>
    <t>M0510 6</t>
  </si>
  <si>
    <t>M0510 7</t>
  </si>
  <si>
    <t>M0510 8</t>
  </si>
  <si>
    <t>M0510 9</t>
  </si>
  <si>
    <t>M0510 10</t>
  </si>
  <si>
    <t>M0510 11</t>
  </si>
  <si>
    <t>M0510 12</t>
  </si>
  <si>
    <t>M0510 13</t>
  </si>
  <si>
    <t>M0729 3</t>
  </si>
  <si>
    <t>M0729 5</t>
  </si>
  <si>
    <t>M0729 6</t>
  </si>
  <si>
    <t>M0729 9</t>
  </si>
  <si>
    <t>M0729 11</t>
  </si>
  <si>
    <t>M0729 12</t>
  </si>
  <si>
    <t>M0806 2</t>
  </si>
  <si>
    <t>M0806 4</t>
  </si>
  <si>
    <t>M0806 16</t>
  </si>
  <si>
    <t>M0822 1</t>
  </si>
  <si>
    <t>M0822 6</t>
  </si>
  <si>
    <t>M0822 8</t>
  </si>
  <si>
    <t>M0822 9</t>
  </si>
  <si>
    <t>M0822 12</t>
  </si>
  <si>
    <t>M0915 1</t>
  </si>
  <si>
    <t>M0915 2</t>
  </si>
  <si>
    <t>M0915 3</t>
  </si>
  <si>
    <t>M0915 4</t>
  </si>
  <si>
    <t>M0915 9</t>
  </si>
  <si>
    <t>M0915 11</t>
  </si>
  <si>
    <t>M0915 13</t>
  </si>
  <si>
    <t>o-Phos</t>
  </si>
  <si>
    <t>M0729 1</t>
  </si>
  <si>
    <t>M0729 2</t>
  </si>
  <si>
    <t>M0729 4</t>
  </si>
  <si>
    <t>M0729 7</t>
  </si>
  <si>
    <t>M0729 8</t>
  </si>
  <si>
    <t>M0729 10</t>
  </si>
  <si>
    <t>M0729 13</t>
  </si>
  <si>
    <t>M0806 1</t>
  </si>
  <si>
    <t>M0806 3</t>
  </si>
  <si>
    <t>M0806 5</t>
  </si>
  <si>
    <t>M0806 6</t>
  </si>
  <si>
    <t>M0806 7</t>
  </si>
  <si>
    <t>M0806 8</t>
  </si>
  <si>
    <t>M0806 9</t>
  </si>
  <si>
    <t>M0806 10</t>
  </si>
  <si>
    <t>M0806 11</t>
  </si>
  <si>
    <t>M0806 12</t>
  </si>
  <si>
    <t>M0806 13</t>
  </si>
  <si>
    <t>M0806 14</t>
  </si>
  <si>
    <t>M0806 15</t>
  </si>
  <si>
    <t>M0822 2</t>
  </si>
  <si>
    <t>M0822 3</t>
  </si>
  <si>
    <t>M0822 4</t>
  </si>
  <si>
    <t>M0822 5</t>
  </si>
  <si>
    <t>M0822 7</t>
  </si>
  <si>
    <t>M0822 10</t>
  </si>
  <si>
    <t>M0822 11</t>
  </si>
  <si>
    <t>M0822 13</t>
  </si>
  <si>
    <t>M0915 5</t>
  </si>
  <si>
    <t>M0915 6</t>
  </si>
  <si>
    <t>M0915 7</t>
  </si>
  <si>
    <t>M0915 8</t>
  </si>
  <si>
    <t>M0915 10</t>
  </si>
  <si>
    <t>M0915 12</t>
  </si>
  <si>
    <t>R0708 1</t>
  </si>
  <si>
    <t>R0708 2</t>
  </si>
  <si>
    <t>R0708 3</t>
  </si>
  <si>
    <t>R0708 4</t>
  </si>
  <si>
    <t>R0708 5</t>
  </si>
  <si>
    <t>R0708 6</t>
  </si>
  <si>
    <t>S0714 5</t>
  </si>
  <si>
    <t>S0714 6</t>
  </si>
  <si>
    <t>S0714 8</t>
  </si>
  <si>
    <t>S0714 9</t>
  </si>
  <si>
    <t>S0714 10</t>
  </si>
  <si>
    <t>S0714 11</t>
  </si>
  <si>
    <t>S0714 12</t>
  </si>
  <si>
    <t>S0714 14</t>
  </si>
  <si>
    <t>S0714 15</t>
  </si>
  <si>
    <t>S0805 5</t>
  </si>
  <si>
    <t>S0805 6</t>
  </si>
  <si>
    <t>S0805 8</t>
  </si>
  <si>
    <t>S0805 9</t>
  </si>
  <si>
    <t>S0805 10</t>
  </si>
  <si>
    <t>S0805 11</t>
  </si>
  <si>
    <t>S0805 12</t>
  </si>
  <si>
    <t>S0805 14</t>
  </si>
  <si>
    <t>S0805 15</t>
  </si>
  <si>
    <t>S0805 16</t>
  </si>
  <si>
    <t>M0813 1</t>
  </si>
  <si>
    <t>M0813 2</t>
  </si>
  <si>
    <t>M0813 3</t>
  </si>
  <si>
    <t>M0813 4</t>
  </si>
  <si>
    <t>M0813 5</t>
  </si>
  <si>
    <t>M0813 6</t>
  </si>
  <si>
    <t>M0813 7</t>
  </si>
  <si>
    <t>M0813 8</t>
  </si>
  <si>
    <t>M0813 9</t>
  </si>
  <si>
    <t>M0813 10</t>
  </si>
  <si>
    <t>M0813 11</t>
  </si>
  <si>
    <t>M0813 12</t>
  </si>
  <si>
    <t>M0813 13</t>
  </si>
  <si>
    <t>M0813 15</t>
  </si>
  <si>
    <t>M0813 17</t>
  </si>
  <si>
    <t>0510 M10</t>
  </si>
  <si>
    <t>0510 M9</t>
  </si>
  <si>
    <t>0510 M6</t>
  </si>
  <si>
    <t>0805 S15</t>
  </si>
  <si>
    <t>0805 S6</t>
  </si>
  <si>
    <t>0805 S11</t>
  </si>
  <si>
    <t>0805 S10</t>
  </si>
  <si>
    <t>0805 S5</t>
  </si>
  <si>
    <t>0805 S12</t>
  </si>
  <si>
    <t>0714 S12</t>
  </si>
  <si>
    <t>0714 S15</t>
  </si>
  <si>
    <t>0714 S14</t>
  </si>
  <si>
    <t>0714 S10</t>
  </si>
  <si>
    <t>0714 S11</t>
  </si>
  <si>
    <t>0714 S8</t>
  </si>
  <si>
    <t>0714 S5</t>
  </si>
  <si>
    <t>0714 S9</t>
  </si>
  <si>
    <t>0714 S6</t>
  </si>
  <si>
    <t>0729 M7</t>
  </si>
  <si>
    <t>0729 M1</t>
  </si>
  <si>
    <t>0729 M3</t>
  </si>
  <si>
    <t>0729 M9</t>
  </si>
  <si>
    <t>0729 M6</t>
  </si>
  <si>
    <t>0729 M5</t>
  </si>
  <si>
    <t>0729 M13</t>
  </si>
  <si>
    <t>0729 M12</t>
  </si>
  <si>
    <t>0729 M4</t>
  </si>
  <si>
    <t>0729 M8</t>
  </si>
  <si>
    <t>0729 M11</t>
  </si>
  <si>
    <t>0729 M10</t>
  </si>
  <si>
    <t>0729 M2</t>
  </si>
  <si>
    <t>0708 R4</t>
  </si>
  <si>
    <t>0708 R1</t>
  </si>
  <si>
    <t>0708 R6</t>
  </si>
  <si>
    <t>0708 R5</t>
  </si>
  <si>
    <t>0708 R2</t>
  </si>
  <si>
    <t>0708 R3</t>
  </si>
  <si>
    <t>Index</t>
  </si>
  <si>
    <t>Number</t>
  </si>
  <si>
    <t>*probably 1</t>
  </si>
  <si>
    <t>Based off the order in which the samples were recorded and placed the original 'duplicate 0806 M13' is actually the real M13, the seecond recorded M13 right before the M16 is actually M1 for the same date. M13 was in a different group of samples in another Rack, the rest of the 15 were together and the order went 1,16,3,10 so I deduced that the M13 that is second is actually the M! that is within the pattern. Whew glad I figured it out!</t>
  </si>
  <si>
    <t>0806 M1</t>
  </si>
  <si>
    <t>NH4 BDL</t>
  </si>
  <si>
    <t>Nox BDL</t>
  </si>
  <si>
    <t>PO4 BDL</t>
  </si>
  <si>
    <t>ObjectID</t>
  </si>
  <si>
    <t>GlobalID</t>
  </si>
  <si>
    <t>CreationDate</t>
  </si>
  <si>
    <t>Creator</t>
  </si>
  <si>
    <t>EditDate</t>
  </si>
  <si>
    <t>Editor</t>
  </si>
  <si>
    <t>Reservoir</t>
  </si>
  <si>
    <t>Other - Reservoir</t>
  </si>
  <si>
    <t>Site Name</t>
  </si>
  <si>
    <t>Bottle Number</t>
  </si>
  <si>
    <t>Time</t>
  </si>
  <si>
    <t>Location</t>
  </si>
  <si>
    <t>Sampling Type</t>
  </si>
  <si>
    <t>Other - Sampling Type</t>
  </si>
  <si>
    <t>Notes</t>
  </si>
  <si>
    <t>SD</t>
  </si>
  <si>
    <t>GER Reference and Target File Numbers</t>
  </si>
  <si>
    <t>YSI Measurements</t>
  </si>
  <si>
    <t xml:space="preserve">Omegaette Measurements </t>
  </si>
  <si>
    <t>FLIR</t>
  </si>
  <si>
    <t xml:space="preserve">FLIR Measurements </t>
  </si>
  <si>
    <t>x</t>
  </si>
  <si>
    <t>y</t>
  </si>
  <si>
    <t>2355e894-4113-43bb-9cca-e50d0755a5a0</t>
  </si>
  <si>
    <t>ibradfo@purdue.edu_purdueuniversity</t>
  </si>
  <si>
    <t>other</t>
  </si>
  <si>
    <t>Field</t>
  </si>
  <si>
    <t xml:space="preserve">Some clouds, very bright day, low wind.
A point to test GER Surface Reflectance calculations </t>
  </si>
  <si>
    <t>NotAWaterSample</t>
  </si>
  <si>
    <t>NorAWaterSample</t>
  </si>
  <si>
    <t xml:space="preserve">00 - ref check
01,02 - 11%
          </t>
  </si>
  <si>
    <t>f2d74902-c043-46b7-9a46-4746d12f4afc</t>
  </si>
  <si>
    <t xml:space="preserve">SecchiD=.9m
No Rbr </t>
  </si>
  <si>
    <t>Sp: 00-02
W: 03-05
Sk: 06-08</t>
  </si>
  <si>
    <t>14:03, .33m
14:04. 1.37
14:07, 2.25
14:08, 3.29
14:09, 4.15</t>
  </si>
  <si>
    <t>28.2c
67.7rh</t>
  </si>
  <si>
    <t>28.7+/-.2</t>
  </si>
  <si>
    <t>2ceca688-2719-4ac1-8fe5-c1d641d76dbc</t>
  </si>
  <si>
    <t>SD: 0.75m</t>
  </si>
  <si>
    <t>So:10-12
W:14-16
Sk:17-19</t>
  </si>
  <si>
    <t>14:28, .28
14:29, 1.18
14:30, 2.26
14:31, 3.15
14:32, 4.57</t>
  </si>
  <si>
    <t>30.6c
61rh</t>
  </si>
  <si>
    <t>29.3+/-.3</t>
  </si>
  <si>
    <t>b44ccf61-a6d9-40ee-a128-4f24b14d3e72</t>
  </si>
  <si>
    <t>No Rbr
SD=.75m</t>
  </si>
  <si>
    <t>Sp:20-22
W: 23-25
Sk:26-28</t>
  </si>
  <si>
    <t>15:03, .44
15:04, 1.25
15:05, 2.19
15:06, 3.15
15:07, 4.45
15:08, 5.39
15:09, 6.32
15:10, 7.48
15:11, 8.43
15:12, 9.47
15:13, 10.56
15:14, 11.84
15:15, 12.75
15:16, 13.57
15:17, 14.81</t>
  </si>
  <si>
    <t>31.3c (bad)
47.2rh</t>
  </si>
  <si>
    <t>28.3+/-.3</t>
  </si>
  <si>
    <t>5a8e50cd-cb4e-424a-ac8e-aca99cf74974</t>
  </si>
  <si>
    <t>No Rbr
SD:.75m</t>
  </si>
  <si>
    <t>Sp: 33,37.38
Dark Current(Cap): 33,34,35
W: 39,40,41
Sk: 42,43,44</t>
  </si>
  <si>
    <t>15:47, 0.44
15:48, 1.15
15.49, 2.25
15:50, 3.28
15:51, 4.35
15:52, 5.43
15:53, 6.32
15:54, 7.44</t>
  </si>
  <si>
    <t>30.2c
54rh</t>
  </si>
  <si>
    <t>29.4+/-0.1</t>
  </si>
  <si>
    <t>19f683ae-14c5-4c34-9082-b18aebc6e903</t>
  </si>
  <si>
    <t>No Rbr 
SD: .6m</t>
  </si>
  <si>
    <t xml:space="preserve">Dc: 54,55,56
Sp:51,52,53
W: 58,58,60
Sk: 61,62,63
</t>
  </si>
  <si>
    <t>16:16, .37m
16:17, 1.41
16:18, 2.46
16:19, 3.32
16:20, 4.31
16:21, 5.34
16:22, 6.48
16:23, 7.51
16:24, 8.51
16:25, 9.69
16:26, 10.76</t>
  </si>
  <si>
    <t>30.9c
57.3rh</t>
  </si>
  <si>
    <t>30.1+/-.2</t>
  </si>
  <si>
    <t>db0bf9f4-89d1-43e6-9c9f-1bce066fb9ba</t>
  </si>
  <si>
    <t>No Rbr 
SD: .7m</t>
  </si>
  <si>
    <t>Sp: 64,65,66
Dc: 67,68,69
W: 70,71,72
Sk:73,74,75</t>
  </si>
  <si>
    <t>16:50, .30
16:51, 1.26
16:52, 2.31
16:53, 3.51
16:54, 4.43
16:55, 5.35
16:56, 6.54</t>
  </si>
  <si>
    <t>29.7c
56.5rh</t>
  </si>
  <si>
    <t>29.9+/-0.1</t>
  </si>
  <si>
    <t>2347c621-fd47-45a5-9ab9-015a49fef74c</t>
  </si>
  <si>
    <t>Sd: .6m
No Rbr
Isaac</t>
  </si>
  <si>
    <t>Sp:00-02
Dc:03-05
W:06-08
Sk:09-11</t>
  </si>
  <si>
    <t>13:31, .31m
13:32, 1.36
13:33, 2.25
13:34, 3.97</t>
  </si>
  <si>
    <t>25.8c
86.0rh</t>
  </si>
  <si>
    <t>28.6 +/- .2</t>
  </si>
  <si>
    <t>d58ee264-727a-49f1-bf2b-e985ba05a474</t>
  </si>
  <si>
    <t>No Rbr
As: .85m</t>
  </si>
  <si>
    <t>Sp: 12-14
Dc: 15-17
W: 18-20
Sk: 21-23</t>
  </si>
  <si>
    <t>13:52, .32m
13:53, 1.27
13:54, 2.16
13:55, 3.39
13:56, 4.3</t>
  </si>
  <si>
    <t>27.6c, 
76.8rh</t>
  </si>
  <si>
    <t>29.2+/- .2</t>
  </si>
  <si>
    <t>ce35b8f7-9f44-4e60-892e-7ee2804936cf</t>
  </si>
  <si>
    <t xml:space="preserve">No Rbr
Sd: .35m
</t>
  </si>
  <si>
    <t>So: 24-26
Dc:27-29
W: 31-33
Sk:34-36</t>
  </si>
  <si>
    <t>14:14, .2
14:15, 1.11
14:16, 2.4
14:17, 3.31</t>
  </si>
  <si>
    <t xml:space="preserve">29.9c
68.9rh
</t>
  </si>
  <si>
    <t>28.1+.2</t>
  </si>
  <si>
    <t>7f03d17c-5740-49c7-8d83-72fad4541970</t>
  </si>
  <si>
    <t>No Rbr:
Sd: .4m
Isaac</t>
  </si>
  <si>
    <t>Sp: 37-39
Dc: 40-42
W:44-46
Sk:47-49</t>
  </si>
  <si>
    <t>14:32, .4m
14:33, 1.2
14:34, 2.34</t>
  </si>
  <si>
    <t>30.7c
68.8rh</t>
  </si>
  <si>
    <t>28.9+/-.2</t>
  </si>
  <si>
    <t>0bf4defd-a575-47c6-903c-8ca11703dbc9</t>
  </si>
  <si>
    <t>No Rbr
Sd: .6 m</t>
  </si>
  <si>
    <t>Sp:50-52
Dc:54-56
W:57-59
Sk: 60-62</t>
  </si>
  <si>
    <t>14:53, .35
14:54, 1.26
14:55, 2.3
14:56, 3.48</t>
  </si>
  <si>
    <t>32.6c?
56.4rh</t>
  </si>
  <si>
    <t>28.2+/-.2</t>
  </si>
  <si>
    <t>7a84dc5f-9f8b-4a9e-90f2-8f4f67c58784</t>
  </si>
  <si>
    <t>No Rbr
Sd=.35</t>
  </si>
  <si>
    <t xml:space="preserve">So:63,64,66
D:67-69
W:70-72
Sk:73-75
</t>
  </si>
  <si>
    <t>15:14, .27
15:15, 1.26
15:16, 2.51
15:17, 3.26
15:18, 4.32</t>
  </si>
  <si>
    <t>34.0c
51.9rh</t>
  </si>
  <si>
    <t>28.1+/-.1</t>
  </si>
  <si>
    <t>c86af9f2-f796-42f8-a168-c7b568885d3e</t>
  </si>
  <si>
    <t>No Rbr
Sd: .3m</t>
  </si>
  <si>
    <t>So: 77-79
Dc:80-82
W: 83-85
Sk:86-88</t>
  </si>
  <si>
    <t>15:30, .34
15:31, 1.22
15:32, 2.2</t>
  </si>
  <si>
    <t xml:space="preserve">31.6c
58.7rh
</t>
  </si>
  <si>
    <t>29.2+/-.2</t>
  </si>
  <si>
    <t>28850955-e2f5-4e63-b22f-39cb07c9faa6</t>
  </si>
  <si>
    <t>No Rbr 
Sd: .2m
Green water
GER of water matches olamson’s spectra peaks</t>
  </si>
  <si>
    <t xml:space="preserve">Sp:89-91
Dc:92-94
W:95-97
Sk:98-100
</t>
  </si>
  <si>
    <t>16:00, .41
16:01, 1.18
16:02, 2.12</t>
  </si>
  <si>
    <t>29.1c
65.6rh</t>
  </si>
  <si>
    <t>28.1+/-.3</t>
  </si>
  <si>
    <t>fe167a1d-e74d-43a1-95d9-3ae6f3faec2f</t>
  </si>
  <si>
    <t>No Rbr 
Sd: .6m
Not super green, but some, source of algae other tributary</t>
  </si>
  <si>
    <t>First set: 101-112
Sp: 115-117
Dc: 118-120
W: 121-123
Sk: 124-126</t>
  </si>
  <si>
    <t xml:space="preserve">16:23, .4
16:24, 1.15
16:25, 2.06
16:26, </t>
  </si>
  <si>
    <t>27.8c
67.9rh</t>
  </si>
  <si>
    <t>29.7+/-.2</t>
  </si>
  <si>
    <t>bf4cfbb9-58f6-4fe3-a57c-bbff1b95500f</t>
  </si>
  <si>
    <t>Sd: .35m
Rbr yes
Isaac
Rental said water has been this green for a month</t>
  </si>
  <si>
    <t xml:space="preserve">Sp:0-2
Dc:3-5
W: 6-8
Sk: 9-12
</t>
  </si>
  <si>
    <t>14:19, .25
14:23, 1.209
14:24, 2.19
14:25, 3.25
14:26, 4.17
14:27, 5.2
14:28, 6.11
14:29, 7.97
14:30, 8.27
14:31, 9.61
14:32, 10.62
14:33, 11.39</t>
  </si>
  <si>
    <t>30.2c
78.1rh</t>
  </si>
  <si>
    <t>30.3+/-.1</t>
  </si>
  <si>
    <t>468151b7-179a-4088-aad7-af8939b4ad23</t>
  </si>
  <si>
    <t>Yes Rbr
Sd: .45m
Isaac</t>
  </si>
  <si>
    <t>Sp: 13-15
Dc: 16-18
W: 20-22
Sk:23-25</t>
  </si>
  <si>
    <t>14:46, .29
14:47, 1.33
48, 2.33
49, 3.18
50, 4.23
51, 5.3
52, 6.31
53, 7.32
54, 8.26
55, 9.24
55, 10.56</t>
  </si>
  <si>
    <t>36.2c
66.8rh</t>
  </si>
  <si>
    <t>30+/-0.2</t>
  </si>
  <si>
    <t>6825f4c7-4140-4f27-9a6c-6feaffa0734a</t>
  </si>
  <si>
    <t>Rbr yes
Sd: .45m
Isaac</t>
  </si>
  <si>
    <t>Sp: 26-28
Dc: 29-31
W: 32-34
Sk: 35-38</t>
  </si>
  <si>
    <t>15:05, .14
06, 1.21
07, 2.15
08, 3.11
10, 4.21
11, 6.13
12, 7.14
13, 8.03
14, 9.09
15,10.06
16, 11.14
15:17, 12.16
18, 13.18
19,14.27
20, 15.24</t>
  </si>
  <si>
    <t>37.7c?
54.2rh</t>
  </si>
  <si>
    <t>30.1+/-.1</t>
  </si>
  <si>
    <t>e0065ab6-d50a-4904-b423-adce0716bcef</t>
  </si>
  <si>
    <t>Rbr
Isaac 
Sd: .5m
Drifted fair distance towards dam</t>
  </si>
  <si>
    <t>Sp: 39-41
Dc: 42-44
W: 46-48
Sk:49-51</t>
  </si>
  <si>
    <t>15:32, .2
33, 1.32
34, 2.07
35, 3.14
36, 4.13
37, 5.19
38, 6.07</t>
  </si>
  <si>
    <t>32.7c
75.6rh</t>
  </si>
  <si>
    <t>29.8+/-.1</t>
  </si>
  <si>
    <t>616e9618-1076-4038-9ca3-0fc5b8f59d8f</t>
  </si>
  <si>
    <t>Rbr
Isaac
Sd: .45
Pic taken as driving away</t>
  </si>
  <si>
    <t>So:52,54,55
Dc:56,58,58
W:59,60,61
Sk:62,63,64</t>
  </si>
  <si>
    <t>15:47, 0.17
48, 1.16
49, 2.14
50, 3.35
51, 4.54
52, 5.33
53, 6.46
54, 7.45
55, 8.43
56, 9.37
57, 10.36</t>
  </si>
  <si>
    <t>34c
66.9rh</t>
  </si>
  <si>
    <t>fc41f00b-959e-40a3-bdb0-47d0e0e594c9</t>
  </si>
  <si>
    <t>Isaac
Rbr at 12:05
2 Rbr at 12:15 w/FLIR both 30.1+/-.1
Sd: .6m</t>
  </si>
  <si>
    <t>So:
Dc:
W:
Sk:</t>
  </si>
  <si>
    <t>16:07, 0.09
08, .17
09, .7
10, 1.07
11, 2.12
12, 3.08
13, 4.18
14, 5.09
15, 6.13
16,7.22
16, 8.29
17, 9.09
17, 10.02
18, 11.17
19, 12.06
20, 13.26
21, 14.09</t>
  </si>
  <si>
    <t>38.0?c
55rh</t>
  </si>
  <si>
    <t>30.5+/-.2</t>
  </si>
  <si>
    <t>9f4ae444-a02b-4499-9b39-dc6ee197d942</t>
  </si>
  <si>
    <t>Rbr
Sd: .3m
Isaac</t>
  </si>
  <si>
    <t>So:77-79
Dc: 81-83
W: 84-86
Sk: 87-89</t>
  </si>
  <si>
    <t>17:32, .28
33, 1.3
34, 2.29
35, 3.29
36, 4.34
37, 5.20
38, 6.40
39, 7.19
40, 8.28</t>
  </si>
  <si>
    <t>33c
63.5rh</t>
  </si>
  <si>
    <t>31.5+/-.1</t>
  </si>
  <si>
    <t>01cb98c9-6d97-4c6a-ad21-5a9bfc741ee9</t>
  </si>
  <si>
    <t>Isaac
Rbr
Sd:.3</t>
  </si>
  <si>
    <t>So: 95-97
Dc: 98-100
W: 101-103
Sk: 104-106</t>
  </si>
  <si>
    <t>17:41, 0.22
42, 1.92
43, 2.37
44, 3.41
45, 4.45
46, 5.46
47, 6.49
48, 6.74</t>
  </si>
  <si>
    <t>33.9c
62.7rh</t>
  </si>
  <si>
    <t>33.2+/-.1</t>
  </si>
  <si>
    <t>610cbbfe-a742-4829-9d99-31ec48bef698</t>
  </si>
  <si>
    <t>Image from driving away
Isaac
Rbr
Sd:.3m</t>
  </si>
  <si>
    <t>Sp: 107-109
Dc: 110-112
W: 113-115
Sk:116-118</t>
  </si>
  <si>
    <t>17:59, 0.28
00, 1.22
01, 2.06
02, 2.99
03, 3.50
04, 4.1</t>
  </si>
  <si>
    <t>34c
64.7rh</t>
  </si>
  <si>
    <t xml:space="preserve">31.3+/-.2
</t>
  </si>
  <si>
    <t>9f5b99c6-169c-4c2e-bb27-876ee3d138e0</t>
  </si>
  <si>
    <t>Rbr
Sd: 33 +/-.1
Isaac</t>
  </si>
  <si>
    <t>So: 127-129
Dc: 130-132
W: 133-135
Sk: 136-138</t>
  </si>
  <si>
    <t>18:17, 0.24
18:18, 1.27
19, 2.19
20, 3.43
21, 4.54
22, 5.49
23, 6.55
24, 7.57</t>
  </si>
  <si>
    <t xml:space="preserve">34.4c
58.7-59.1rh
</t>
  </si>
  <si>
    <t>33+/-.1</t>
  </si>
  <si>
    <t>a81dee68-7631-4580-8bf0-a6c3e97d2143</t>
  </si>
  <si>
    <t>Isaac
Rbr
Sd: .1m
Lots of algae</t>
  </si>
  <si>
    <t>So: 139-142
Dc: 143-145
W: 146-148
Sk: 149-151</t>
  </si>
  <si>
    <t>18:40, .25
41, 1.11
42, 2.11
43, 3.15
44, 4.21
45, 5.12
46, 6.25</t>
  </si>
  <si>
    <t>34.3c
60.1rh</t>
  </si>
  <si>
    <t>36.8+/-.3</t>
  </si>
  <si>
    <t>8c648342-7a13-4dc3-89c7-ae6c5390327d</t>
  </si>
  <si>
    <t>Picture while driving away
Isaac
Rbr
Sd:.12m</t>
  </si>
  <si>
    <t>So:152-154
Dc:155-157
W:159-161
Sk:162-164</t>
  </si>
  <si>
    <t>19:02, 0.26
03, 1.46
05, 2.3
06, 4.15
07, 4.39</t>
  </si>
  <si>
    <t>34c
63.1rh</t>
  </si>
  <si>
    <t>33+/-.2</t>
  </si>
  <si>
    <t>2264ab07-08b9-47e1-92b0-6a84bbe4bbc7</t>
  </si>
  <si>
    <t>Rbr
Isaac
Sd:.15m</t>
  </si>
  <si>
    <t>So: 165-167
Dc: 168-170
W: 171-173
Sk: 174-176</t>
  </si>
  <si>
    <t>19:21, .25
19:22, 1.05
19:23, 1.96
24, 3.14
25, 3.8</t>
  </si>
  <si>
    <t>36.2c
59.6rh</t>
  </si>
  <si>
    <t>e0cd8ff9-f80f-4ccd-9fd9-f21cfd85143b</t>
  </si>
  <si>
    <t>Image taken while driving away
Isaac
Rbr
Sd:.6m</t>
  </si>
  <si>
    <t>So: 00-02
Dc: 04-06
W: 07-09
Sk: 10-12</t>
  </si>
  <si>
    <t>13:56, .4
57, 1.1
59, 1.8
00, 2.5
01, 2.98</t>
  </si>
  <si>
    <t>23.7c
89.1rh</t>
  </si>
  <si>
    <t xml:space="preserve">24.7+/-.1
</t>
  </si>
  <si>
    <t>9dd48e64-91e8-47e9-b503-a366822a2c74</t>
  </si>
  <si>
    <t>Sd:.7
Rbr
Isaac</t>
  </si>
  <si>
    <t>So: 13-16
Dc: 17-19
W: 20-22
Sk: 22-25</t>
  </si>
  <si>
    <t>14:23, .41
24, 1.13
25, 1.95
27, 2.8
28, 3.81
29, 5.05</t>
  </si>
  <si>
    <t>28.5C
66rh</t>
  </si>
  <si>
    <t>24.3+/-.3</t>
  </si>
  <si>
    <t>5e43a216-a8f9-4869-b997-2423e2a21e61</t>
  </si>
  <si>
    <t>Isaac
Rbr
Sd: .6</t>
  </si>
  <si>
    <t>So, 
Dc,w,Sk: 26-37</t>
  </si>
  <si>
    <t>14:49, .4
50, 1.34
51, 2.4
52, 3.6</t>
  </si>
  <si>
    <t>30.1c, 51.7rh</t>
  </si>
  <si>
    <t>23.9+/-.3</t>
  </si>
  <si>
    <t>cba949bc-df28-4077-b355-f9d97b5b416b</t>
  </si>
  <si>
    <t>Rbr
Isaac
Sd: 0.6</t>
  </si>
  <si>
    <t>So,dc,w,sk:42-53</t>
  </si>
  <si>
    <t>15:09, .4
10, 1.33
11, 2.3
12, 2.7</t>
  </si>
  <si>
    <t>32.4c
52.2rh</t>
  </si>
  <si>
    <t>22.3+/-.1</t>
  </si>
  <si>
    <t>c1a2a161-aafd-4e05-a4c6-4e5be14d8d89</t>
  </si>
  <si>
    <t>Isaac
Rbr
Sd: .6m</t>
  </si>
  <si>
    <t>So, dc, w, sk: 57-68</t>
  </si>
  <si>
    <t xml:space="preserve">15:29, .4
30, 1.27
31, 2.3
32, 3.1
</t>
  </si>
  <si>
    <t>34.2c
48rh</t>
  </si>
  <si>
    <t>23.5+/-.4</t>
  </si>
  <si>
    <t>10893459-eaaf-479f-9e59-24874bb99727</t>
  </si>
  <si>
    <t xml:space="preserve">Isaac Rbr 
Sd: .6
Semi cloudy
Image taken at 2:23 after rest of lake </t>
  </si>
  <si>
    <t>So,dc,w,sk:69-80</t>
  </si>
  <si>
    <t>15:50, .33
51, 1.2
52, 2.1
53, 3.5
54,4.1</t>
  </si>
  <si>
    <t>36c ?
49rh</t>
  </si>
  <si>
    <t xml:space="preserve">24.4+/-.2
</t>
  </si>
  <si>
    <t>fef69173-8f5d-4e43-9ad2-3687c37cb7ea</t>
  </si>
  <si>
    <t>Sp, dc, w, sk: 81-92</t>
  </si>
  <si>
    <t>16:51, .29
52, 1.1
53, 2.2</t>
  </si>
  <si>
    <t>26.7c
77rh</t>
  </si>
  <si>
    <t>24.9+/-.2</t>
  </si>
  <si>
    <t>abda89ed-b8fb-46d1-93ef-3414516db6b6</t>
  </si>
  <si>
    <t>Isaac
Rbr
Sd: 1.0m</t>
  </si>
  <si>
    <t>Sp, dc, w, sk: 98-109</t>
  </si>
  <si>
    <t>16:17, .47
18, 1.4</t>
  </si>
  <si>
    <t>29.1c
68.8rh</t>
  </si>
  <si>
    <t>24.7+/-0.1</t>
  </si>
  <si>
    <t>02156125-d862-4bfe-ae21-2c046a30eb7c</t>
  </si>
  <si>
    <t>Isaac
Rbr
Sd: .45</t>
  </si>
  <si>
    <t>So, dc, w, sk: 112-123</t>
  </si>
  <si>
    <t>16:40, .33
16:41, 1.2
42, 2.3
43, 3.37</t>
  </si>
  <si>
    <t>25.2c
67rh</t>
  </si>
  <si>
    <t>26.7+/-.2</t>
  </si>
  <si>
    <t>62a64277-6715-433b-92b8-b8686eec6bbd</t>
  </si>
  <si>
    <t>Isaac
Rbr
Sd:.75m</t>
  </si>
  <si>
    <t>So:
Dc:
W:
Sk: was pointed at a cloud, higher band values show it
All: 125-136</t>
  </si>
  <si>
    <t>17:07, 0.4
08, 1.4</t>
  </si>
  <si>
    <t>30.6c, 61rh</t>
  </si>
  <si>
    <t>26.0+/-.1</t>
  </si>
  <si>
    <t>4ba08d6a-f37a-46b3-bf20-bda90bb1ea40</t>
  </si>
  <si>
    <t>Isaac
Rbr
Sd: .6m
Haze</t>
  </si>
  <si>
    <t>All: 00-11</t>
  </si>
  <si>
    <t>14:11, .58
12, 1.51
13, 2.48
14, 3.65
15, 4.55
16, 5.68
17, 6.67
18, 7.66
19, 8.52
20, 9.54
21, 10.50
22, 11.38
23 (14:20), 11.64
14:27, 10.29</t>
  </si>
  <si>
    <t>30.7c
70.6rh</t>
  </si>
  <si>
    <t>26.6+/-.1</t>
  </si>
  <si>
    <t>445740d4-a854-4b36-b28a-dcd09ea9a382</t>
  </si>
  <si>
    <t>Isaac 
Rbr
Sd:.7m</t>
  </si>
  <si>
    <t>All: 12-23</t>
  </si>
  <si>
    <t>14:32, .49
33, 1.48
34, 2.53
35, 3.63
36, 4.72
37, 5.75
38, 6.52
39, 7.53
40, 8.67
41,9.59
42, 10.42</t>
  </si>
  <si>
    <t>28.2c
80.8rh</t>
  </si>
  <si>
    <t>25.6+/-.1</t>
  </si>
  <si>
    <t>a61dc635-98cd-48b3-9bbe-501625b3df6e</t>
  </si>
  <si>
    <t>Isaac
Rbr
Sd: .7m
Has surface algae</t>
  </si>
  <si>
    <t>All: 24-35</t>
  </si>
  <si>
    <t>14:46, .52
47, 1.43
48, 2.65
49, 3.46
50, 4.54
51, 5.75
52, 6.47
53, 7.72
54, 8.95
55, 9.67
56, 10.80
57, 11.50
58, 12.53
59, 13.43
15:01, 14.28
02, 15.04</t>
  </si>
  <si>
    <t>27.2c
82.2rh</t>
  </si>
  <si>
    <t>26.2+/-.1</t>
  </si>
  <si>
    <t>fe18b710-a3d3-4cfc-a2a5-c8e1fdd081b6</t>
  </si>
  <si>
    <t>Isaac
Rbr
Sd: .7m</t>
  </si>
  <si>
    <t>So: 36-38
Dc: 39-41
W: 43-45
Sk: 46-48</t>
  </si>
  <si>
    <t>15:11, .48
12, 1.47
13, 2.61
14, 3.69
15, 4.74
16, 5.72
17, 6.91</t>
  </si>
  <si>
    <t>28.2c
80.7rh</t>
  </si>
  <si>
    <t>26.2+/-0.0</t>
  </si>
  <si>
    <t>a2c89f8a-414b-41bd-b6de-0aa0724e97d1</t>
  </si>
  <si>
    <t>Rbr
Isaac
Sd:.6</t>
  </si>
  <si>
    <t>All: 49-60</t>
  </si>
  <si>
    <t xml:space="preserve">15:20, .47
21, 0.7
22, 1.72
23, 2.75
24, 3.77
25, 4.76
26, 5.75
27, 6.75
28, 7.75
29, 8.74
30, 9.70
31, 10.71
32, 11.7
33, 12.17
</t>
  </si>
  <si>
    <t>30.6c
72.4rh</t>
  </si>
  <si>
    <t>26.4+/-72.4</t>
  </si>
  <si>
    <t>2cde3cd4-6cca-4ccd-a093-453eefaa82da</t>
  </si>
  <si>
    <t>Isaac Rbr
Sd: 0.6m</t>
  </si>
  <si>
    <t>20250805-MISS-B14</t>
  </si>
  <si>
    <t>All: 61-72</t>
  </si>
  <si>
    <t>15:42, .42
43, .78
44, 1.77
45, 2.78
46, 3.81
47, 4.79
48, 5.74
49, 6.77
50, 7.76
51, 8.51
52, 8.63</t>
  </si>
  <si>
    <t>29.9c
74.9rh</t>
  </si>
  <si>
    <t>27.3+/-.2</t>
  </si>
  <si>
    <t>13b0a2fe-0a64-4bd1-9c85-d6bf4fa79e4c</t>
  </si>
  <si>
    <t>Landsat Flyover: 12:15-12:26
Isaac
Rbr: (#1, 16:17, 28.0+/-.2, 28.1+/-0.0, #2, 16:20, 28.1+/-0.2)
Sd: .85m</t>
  </si>
  <si>
    <t>20250805-MISS-B12</t>
  </si>
  <si>
    <t>All: 73-84</t>
  </si>
  <si>
    <t>15:56, .42
57, 72
58, 1.76
59, 2.77
16:00, 3.76
01, 4.75
02, 5.73
03, 6.72
04, 7.76
05, 8.76
06, 9.75
07, 10.75
08, 11.73
09, 12.21
10, 12.72
11, 13.33
16:12, 13.70
16:13, 14.32
16:13, 14.53
16:13, 14.39</t>
  </si>
  <si>
    <t>30.1c
72.4rh</t>
  </si>
  <si>
    <t>27.9+/-.1</t>
  </si>
  <si>
    <t>00ab99c2-b0e2-40a1-871d-2cec8852d11d</t>
  </si>
  <si>
    <t>Isaac
Rbr
Sd:0.6</t>
  </si>
  <si>
    <t>20250805-MISS-B1</t>
  </si>
  <si>
    <t>So: 89-91
Dc: 92-94
W: 96-98
Sk: higher angle to avoid bridge 102-104</t>
  </si>
  <si>
    <t xml:space="preserve">17:22, .32
17:22, 0.73
17:23, 1.71
17:23, 2.70
17:24, 3.78
24, 4.78
25, 5.75
25, 6.74
26, 7.72
27, 8.74
</t>
  </si>
  <si>
    <t>30.8c
72.3rh</t>
  </si>
  <si>
    <t>26.6+/-0.2</t>
  </si>
  <si>
    <t>27caa20e-c252-47c4-8faf-93862c23a9ee</t>
  </si>
  <si>
    <t>Isaac
Rbr
Sd:0.5m</t>
  </si>
  <si>
    <t>20250805-MISS-B2</t>
  </si>
  <si>
    <t>so: 106-108
Dc: 109-111
W: 112-114
Cloud: 115-117
Off angle sky: 119-121</t>
  </si>
  <si>
    <t>17:45, .48
46, .73
46, 1.74
47, 2.74
48, 3.72
49, 4.68
50, 5.47
51, 6.74
52, 7.48
52, 8.19</t>
  </si>
  <si>
    <t>30.2c
73.5rh</t>
  </si>
  <si>
    <t>28.2+/-0.2</t>
  </si>
  <si>
    <t>32f34b10-8ebe-438c-8103-251bfe102d24</t>
  </si>
  <si>
    <t>Isaac
Rbr
Sd: .35m</t>
  </si>
  <si>
    <t>20250805-MISS-B3</t>
  </si>
  <si>
    <t>All: 131-142
Little cloud in sky reading</t>
  </si>
  <si>
    <t>18:04, .5
04, 0.75
05, 1.74
06, 2.74
06, 3.74
07, 4.75
08, 4.99</t>
  </si>
  <si>
    <t>32.6c
62.3rh</t>
  </si>
  <si>
    <t>28.6+/-0.1</t>
  </si>
  <si>
    <t>2746662b-10d8-4f3d-81f1-6e56e039e2ba</t>
  </si>
  <si>
    <t xml:space="preserve">Isaac
Rbr
Sd: 0.3m
</t>
  </si>
  <si>
    <t>All: 143-154</t>
  </si>
  <si>
    <t>18:31, .47
31, .77
32, 1.78
32, 2.78
33, 3.77
33, 4.74
34, 5.75
35, 5.94</t>
  </si>
  <si>
    <t>31.3c
70.0rh</t>
  </si>
  <si>
    <t>31.2 +/- 0.2</t>
  </si>
  <si>
    <t>5befbb19-121d-40fc-99de-0926629e3ddc</t>
  </si>
  <si>
    <t>Isaac
Rbr
Sd: 0.3m</t>
  </si>
  <si>
    <t>All: 155-156</t>
  </si>
  <si>
    <t>18:51, .49
52, .76
52, 1.77
53, 2.76
54, 3.76
54, 4.72
55, 5.20</t>
  </si>
  <si>
    <t>31.1c
68.1rh</t>
  </si>
  <si>
    <t>28.9 +/- 0.2</t>
  </si>
  <si>
    <t>2fe3ec90-3766-4bba-bceb-464a23968b55</t>
  </si>
  <si>
    <t>Isaac
Just a point of the ramp
Because of the algae and smell</t>
  </si>
  <si>
    <t>8525-BGA-01</t>
  </si>
  <si>
    <t>All: 168-179</t>
  </si>
  <si>
    <t xml:space="preserve">
</t>
  </si>
  <si>
    <t>33.1+/-.1</t>
  </si>
  <si>
    <t>f5e161fd-5366-4a37-8c46-9a601f5e1109</t>
  </si>
  <si>
    <t>Isaac
Rbr
Sd: .15</t>
  </si>
  <si>
    <t>20250805-MISS-B5</t>
  </si>
  <si>
    <t>Sp: 180-183
Dc: 184-186
W: 188-190
Sk (corrected to avoid cloud): 191-193</t>
  </si>
  <si>
    <t>19:32, .48
33, .74
33, 1.72
34, 2.71
35, 3.72
35, 4.66
36, 5.48
36, 6.51
37, 7.23
37, 7.36</t>
  </si>
  <si>
    <t>33.7c
62.8rh</t>
  </si>
  <si>
    <t>30.7 +/- 0.1</t>
  </si>
  <si>
    <t>5c6cb0f0-9541-4e9b-91ec-8c01aaad5caf</t>
  </si>
  <si>
    <t>Isaac
Rbr
SD:.1m</t>
  </si>
  <si>
    <t>20250805-MISS-B13</t>
  </si>
  <si>
    <t>Sp, DC: 194-199
W: 201-203
Sk: 204-206</t>
  </si>
  <si>
    <t>19:54, .44
54, .73
55, 1.72
55, 2.73
56, 3.65
56, 4.73
57, 5.73
58, 6.73
58, 6.45</t>
  </si>
  <si>
    <t>33.2c
62.3rh</t>
  </si>
  <si>
    <t>30.1 +/- 0.1</t>
  </si>
  <si>
    <t>fdcd67bb-33ff-4f17-82d2-dfe2c6e8a822</t>
  </si>
  <si>
    <t>Isaac
Rbr
Sd:.15m</t>
  </si>
  <si>
    <t>So, Dc: 207-212
W: 214-216
Sk: 217-219</t>
  </si>
  <si>
    <t>20:17, .45
18, 1.75
18, 2.73
19, 3.26
20, 3.57
20, 3.96
21, 4.59
22, 5.18
22, 5.64
23, 6.22</t>
  </si>
  <si>
    <t>36.1c
52.7rh</t>
  </si>
  <si>
    <t>29.7 +/- 0.2</t>
  </si>
  <si>
    <t>88391b8c-1f48-4b3f-a3d7-09ecfde748da</t>
  </si>
  <si>
    <t>Isaac
Rbr
Sd: 0.1m</t>
  </si>
  <si>
    <t>All: 220-231</t>
  </si>
  <si>
    <t>20:29, .41
30, 0.71
30, 1.71
31, 2.76
32, 3.74
33, 4.04
34, 4.15</t>
  </si>
  <si>
    <t>36.4c
55.5rh</t>
  </si>
  <si>
    <t>28.7 +/- 0.2</t>
  </si>
  <si>
    <t>e24ef490-3801-44fa-ab3c-a58d39e4a80b</t>
  </si>
  <si>
    <t>08052025-BGA-NB3</t>
  </si>
  <si>
    <t>So: 234-236
Dc: 237-239
W: 240-243
Sk: 244-246
BlugeGreenAlage: 247-249</t>
  </si>
  <si>
    <t>0af94584-8b81-4021-a097-344e6f255f81</t>
  </si>
  <si>
    <t>Isaac
Rbr
So cloudy
Sd: .55m</t>
  </si>
  <si>
    <t>08222025-MISS-B7</t>
  </si>
  <si>
    <t>All:03-14</t>
  </si>
  <si>
    <t>13:28, .3
13:29, 1.1
13:31, 2.3
13:32, 3.4
13:33, 4.3
13:34, 5.3
13:35, 6.7
13:36, 7.3
13:36, 8.5
13:37, 9.4
13:38, 10.7</t>
  </si>
  <si>
    <t>20.3c
96%</t>
  </si>
  <si>
    <t>25.6+/- .3</t>
  </si>
  <si>
    <t>4a83d72c-819d-484c-8774-25532f528524</t>
  </si>
  <si>
    <t>Isaac
Rbr
Sd: 0.3m
Cloudy still</t>
  </si>
  <si>
    <t>08222025-MISS-6</t>
  </si>
  <si>
    <t>So,Dc: 15-20
W: 23-25
Sk: 26-28</t>
  </si>
  <si>
    <t>14:22, .375
14:23, 1.2
14:24, 2.2
14:25, 3.3
14:26,4.2</t>
  </si>
  <si>
    <t>22.1c
95.2rh</t>
  </si>
  <si>
    <t>23.9 +/-0.3</t>
  </si>
  <si>
    <t>f5df96e5-7c6f-44ea-af1b-6baf08a351bb</t>
  </si>
  <si>
    <t xml:space="preserve">Isaac
Sd: .3m
Rbr
Still full overcast </t>
  </si>
  <si>
    <t>08222025-MISS-B5</t>
  </si>
  <si>
    <t>All:29-40</t>
  </si>
  <si>
    <t>14:48, .35
49, 1.2
49, 2.5
50, 3.5
50, 4.4
51, 5.6
52,6.6
52, 7.5</t>
  </si>
  <si>
    <t>22.2c
93.6rh</t>
  </si>
  <si>
    <t>26.0+/- .2</t>
  </si>
  <si>
    <t>e6cd551e-a9a4-47d5-92bc-d171904243f7</t>
  </si>
  <si>
    <t>Isaac
Rbr
Sd: .3
Cloudy</t>
  </si>
  <si>
    <t>08222025-MISS-B13</t>
  </si>
  <si>
    <t>All:41-52</t>
  </si>
  <si>
    <t>15:07, .24
08, 1.3
09, 2.4
10, 3.4
11, 4.3
12, 5.4</t>
  </si>
  <si>
    <t>23.8c
88.8rh</t>
  </si>
  <si>
    <t>25.6+/-.3</t>
  </si>
  <si>
    <t>5a7fd2e7-7caa-4514-b10e-84c2e9218137</t>
  </si>
  <si>
    <t>Isaac
Rbr
Sd: .3m
Cloudy</t>
  </si>
  <si>
    <t>08222025-MISS-B4</t>
  </si>
  <si>
    <t>All: 53-64</t>
  </si>
  <si>
    <t>15:32, .29
33, 1.26
34, 2.4
35, 3.6
36, 4.4
37, 5.39
38, 6.6</t>
  </si>
  <si>
    <t>24.8c
85.5rh</t>
  </si>
  <si>
    <t>25.3+/-0.3</t>
  </si>
  <si>
    <t>d7cea837-068c-4447-adac-4dba3958e924</t>
  </si>
  <si>
    <t>Isaac
Rbr
Sd:.3
Cloudy</t>
  </si>
  <si>
    <t>08222025-MISS-B3</t>
  </si>
  <si>
    <t>All:65-76</t>
  </si>
  <si>
    <t>15:49, 0.4
50, 1.2
51, 2.4
52, 3.4
53, 4.6</t>
  </si>
  <si>
    <t>24.8c
82.9rh</t>
  </si>
  <si>
    <t>25.7+/-.3</t>
  </si>
  <si>
    <t>c27a43e4-d98e-442c-8ea0-e3c0fc4d4860</t>
  </si>
  <si>
    <t>Isaac
Rbr
Sd: .45
Cloudy
Rbr: 17:24, flir: 26.9+/-.2
Rbr: 17:24, flir: 26.7 +/-.0</t>
  </si>
  <si>
    <t>So: 77,78,79
Dc: 80,81,82
W: 83,84,85
Sk: 86,87,88</t>
  </si>
  <si>
    <t>16:07, .36
08, 1.38
09, 2.34
10, 3.54
11, 4.54
12, 5.55
13, 6.53
14, 7.5</t>
  </si>
  <si>
    <t>24.2c
88.8rh</t>
  </si>
  <si>
    <t>25.7+/-0.2</t>
  </si>
  <si>
    <t>b42ac995-8423-4f27-9c73-04ea80a1f247</t>
  </si>
  <si>
    <t>Isaac
Rbr
Sd:.45
Cloudy</t>
  </si>
  <si>
    <t xml:space="preserve">So: 92,93,94
Dc: 95-97
W: 98-100
Sk: 102-104
</t>
  </si>
  <si>
    <t>17:04, 0.445
05, 1.38
06, 2.32
07, 3.65
08, 4.5
09, 5.7
10, 6.7
11, 7.49
12, 8.7</t>
  </si>
  <si>
    <t>28.3c
67.0rh</t>
  </si>
  <si>
    <t xml:space="preserve">26.0+/-.1
</t>
  </si>
  <si>
    <t>4a7c1447-a6fc-4f16-b89e-c320852eb48c</t>
  </si>
  <si>
    <t>Isaac
Rbr
Sd: .4m
Cloudy</t>
  </si>
  <si>
    <t>All:105-116</t>
  </si>
  <si>
    <t>17:32, 0.353
33, 1.43
34, 2.39
35, 3.61
36, 4.43
37, 5.54
38, 6.55
39, 7.58
40, 8.6
41, 9.7</t>
  </si>
  <si>
    <t>25.1c
73.0rh</t>
  </si>
  <si>
    <t>26.4 +/- .2</t>
  </si>
  <si>
    <t>ff993b4c-ad8a-47c5-a81b-3a20c500fa9e</t>
  </si>
  <si>
    <t>Isaac
Rbr
Sd: .5m
Cloudy</t>
  </si>
  <si>
    <t>Sp, dc: 120-125
W: 126-128
Sk: 129,131,132</t>
  </si>
  <si>
    <t>17:55, .325
56, 1.750
57, 2.44
58, 3.498
59, 4.66
18:00, 5.40
18:01, 6.58
18:02, 7.68
18:03, 8.67
18:04, 9.8
18:05, 10.6
18:06, 11.35
07, 12.44
08, 13.5
09, 14.57
11, 15.7</t>
  </si>
  <si>
    <t>29.1c
65.0rh</t>
  </si>
  <si>
    <t>b9b89b37-c833-42aa-a2c1-8f0a4c7fd94c</t>
  </si>
  <si>
    <t>Isaac
Rbr
Sd: .45m
Cloudy</t>
  </si>
  <si>
    <t>Sp: 133-135
Dc:136-139
W: 140-142
Sk: 145-147</t>
  </si>
  <si>
    <t>18:26, 0.313
27, 1.27
28, 2.51
29, 3.61
30, 4.53
31, 5.47
32, 6.56</t>
  </si>
  <si>
    <t>29.8c
55.7rh</t>
  </si>
  <si>
    <t>26.8+/-0</t>
  </si>
  <si>
    <t>c4caf016-9d93-4537-9f63-18486d19a0b9</t>
  </si>
  <si>
    <t>Isaac
Rbr
Sd: .65
Cloudy</t>
  </si>
  <si>
    <t>All:149-160</t>
  </si>
  <si>
    <t>18:46, 0.387
47, 1.58
48, 2.50
49, 3.45
50, 4.52
51, 5.54
52, 6.50
53, 7.62
54, 8.55
55, 9.39
56, 10.44
57, 11.48</t>
  </si>
  <si>
    <t>28.2c+/-66.2</t>
  </si>
  <si>
    <t>25.8+/-0.1</t>
  </si>
  <si>
    <t>1635c321-5408-47ee-99b9-e3224891cec1</t>
  </si>
  <si>
    <t>Isaac
Rbr
Sd: .6
Cloudy</t>
  </si>
  <si>
    <t>All: 161-173</t>
  </si>
  <si>
    <t>19:13, .304
14, 1.47
15, 2.37
16, 3.4
17, 4.39
18, 5.5
19, 6.6
20, 7.47
21, 8.56
22, 9.4
23, 10.33
24, 11.55
25, 12.54
26, 13.30</t>
  </si>
  <si>
    <t>29.4c
59.0rh</t>
  </si>
  <si>
    <t>25.8+/-0.0</t>
  </si>
  <si>
    <t>a44e2fbf-59ed-4f2b-9976-3b8216cc3265</t>
  </si>
  <si>
    <t>Isaac
Rbr
Sd=1.0m</t>
  </si>
  <si>
    <t>All: 0-11</t>
  </si>
  <si>
    <t>1347, 0.448
48, 1.7
49, 2.7
50, 3.6
51, 4.6
52, 5.7
53, 6.5
54, 7.4
55, 8.4
56, 9.5
57, 10.4</t>
  </si>
  <si>
    <t>22.7c
78.5rh</t>
  </si>
  <si>
    <t>20.3+/-.3</t>
  </si>
  <si>
    <t>1b437e6c-5ecd-49f0-bdd9-8262ae9b328f</t>
  </si>
  <si>
    <t>Isaac
Rbr
Sd=0.8m</t>
  </si>
  <si>
    <t xml:space="preserve">All:12-23
</t>
  </si>
  <si>
    <t>1406, 0.4
08, 1.3
09, 2.4
10, 3.6
11, 4.4
12, 5.5
13, 6.3
14, 7.3
15, 8.4
16, 9.5
17, 10.5</t>
  </si>
  <si>
    <t>25.7c
67.2rh</t>
  </si>
  <si>
    <t>19.9+/-.2c</t>
  </si>
  <si>
    <t>1e9c5034-ccd1-468f-b6e3-e90bea52c215</t>
  </si>
  <si>
    <t>Isaac
Rbr
Sd=.9</t>
  </si>
  <si>
    <t>1426, 0.3
28, 1.5
29, 2.5
30, 3.4
31, 4.3
32, 5.6
33, 6.3
34, 7.3
35, 8.6
36, 9.5
37, 10.5
38, 11.7
39, 12.3</t>
  </si>
  <si>
    <t>26.3c
71.7rh</t>
  </si>
  <si>
    <t>20.4+/-.4</t>
  </si>
  <si>
    <t>a8c50a0f-b5bb-4125-86e5-f9d727b69c5a</t>
  </si>
  <si>
    <t>So: 36-38
Rest: 40-48</t>
  </si>
  <si>
    <t>1449, 0.4
50, 1.5
51, 2.6
52, 3.6
53, 4.6
54, 5.5</t>
  </si>
  <si>
    <t>25.8c
68.5rh</t>
  </si>
  <si>
    <t xml:space="preserve">21.4+/-.3 </t>
  </si>
  <si>
    <t>a71be927-e63e-4471-9752-fa2ec5c477f8</t>
  </si>
  <si>
    <t>All:49-60</t>
  </si>
  <si>
    <t>1508, 0.4
09, 1.4
10, 2.5
11, 3.5
12, 4.5
13, 5.3
14, 6.7
15, 7.6
16, 8.5
17, 9.3
18, 10.5</t>
  </si>
  <si>
    <t>28.9c
63.1rh</t>
  </si>
  <si>
    <t>21.2+/-.2</t>
  </si>
  <si>
    <t>a36ad7ae-60fc-4f81-8b43-d3ee54aa4584</t>
  </si>
  <si>
    <t>Isaac
Rbr 
Sd=.75
Western drift slightly south
extra 1Flir:19.6+/-.3, 12,17
Extra 2 Flir;20.2+/-.3 12.20</t>
  </si>
  <si>
    <t>1558, 0.34
59, 1.2
1600, 2.5
01, 3.5
02, 4.6
03, 5.6
04, 6.5
05, 7.4
06, 8.4
07, 9.5
08, 10.3
09, 11.5
10, 12.5
11, 13.6</t>
  </si>
  <si>
    <t>32.4c
49.6rh</t>
  </si>
  <si>
    <t xml:space="preserve">21.2+/-.3
</t>
  </si>
  <si>
    <t>5cfb2c14-c324-42bc-86e4-e37bb6044587</t>
  </si>
  <si>
    <t>Isaac
Rbr
Sd=.6m</t>
  </si>
  <si>
    <t>All:73-84</t>
  </si>
  <si>
    <t>1655, 0.4
56, 1.4
57, 2.5
1700, 3.4
01, 4.2
02, 5.4
03, 6.5
04, 7.6
05, 8.8</t>
  </si>
  <si>
    <t>27.9c
60.5rh</t>
  </si>
  <si>
    <t>22.0+/-.2</t>
  </si>
  <si>
    <t>bb510915-a997-4d83-82fe-9f8b2237ca92</t>
  </si>
  <si>
    <t>Isaac
Rbr
Sd=.4</t>
  </si>
  <si>
    <t>All: 85-96</t>
  </si>
  <si>
    <t>1717, 0.3
18, 1.4
19, 2.7
20, 3.5
21, 4.5
22, 5.5
23, 6.4
24, 7.3</t>
  </si>
  <si>
    <t>30.3c
51.8rh</t>
  </si>
  <si>
    <t>22.9+/-.3</t>
  </si>
  <si>
    <t>96ab4ef1-6b69-4008-ab2d-c132ab704fb2</t>
  </si>
  <si>
    <t>Isaac 
Rbr
Sd=.3m</t>
  </si>
  <si>
    <t>All:97-108</t>
  </si>
  <si>
    <t>1735, 0.3
36, 1.4
37, 2.5
38, 3.5
39, 4.4</t>
  </si>
  <si>
    <t>31.4c
45.9rh</t>
  </si>
  <si>
    <t>22.5 +/- 0.3</t>
  </si>
  <si>
    <t>80180b69-36d7-4602-9daf-0b2f21b5ab9a</t>
  </si>
  <si>
    <t>Isaac
Rbr
Sd= .4m</t>
  </si>
  <si>
    <t>ALL:109-120</t>
  </si>
  <si>
    <t>1749, 0.3
50, 1.5
51, 2.6
52, 3.5
53, 4.7
54, 5.5
55, 6.5</t>
  </si>
  <si>
    <t>31.7c
54.3rh</t>
  </si>
  <si>
    <t>22.1+/-.1</t>
  </si>
  <si>
    <t>b188e69c-4d60-4bd4-a009-69249bfcc6e6</t>
  </si>
  <si>
    <t>Isaac
Rbr
Sd=.3m</t>
  </si>
  <si>
    <t>All:121-132</t>
  </si>
  <si>
    <t>1820, 0.42
21, 1.5
22, 2.7
23, 3.6
24, 4.6
25, 5.8
30, 6.8</t>
  </si>
  <si>
    <t>30.6c
51.5rh</t>
  </si>
  <si>
    <t>22.8+/-.3</t>
  </si>
  <si>
    <t>911a9bf4-aabe-49d4-8e30-7b0fcc13505c</t>
  </si>
  <si>
    <t>Isaac
Rbr
Sd=.3</t>
  </si>
  <si>
    <t>All:133-144</t>
  </si>
  <si>
    <t>1840, 0.4
41, 1.5
42, 2.3
43, 3.6
44, 4.6
45, 5.5
46, 6.5</t>
  </si>
  <si>
    <t>32.3c
48.7rh</t>
  </si>
  <si>
    <t>22+/-0.3</t>
  </si>
  <si>
    <t>348b7762-cad3-4ded-a4f7-250dd68b5537</t>
  </si>
  <si>
    <t>All: 145-156</t>
  </si>
  <si>
    <t>1859, 0.4
1900, 1.4
01, 2.4
02, 3.6</t>
  </si>
  <si>
    <t>31.6c
44.7rh</t>
  </si>
  <si>
    <t>22.4+/-0.2</t>
  </si>
  <si>
    <t>d1b04e5a-6cd5-47f2-abd6-817d6fd8f853</t>
  </si>
  <si>
    <t>pham69@purdue.edu_purdueuniversity</t>
  </si>
  <si>
    <t>B1</t>
  </si>
  <si>
    <t>000102
030405
060708
091011</t>
  </si>
  <si>
    <t>97d4fdf1-f2c6-46ab-b6de-17ab32b5e0db</t>
  </si>
  <si>
    <t>20250814-MISS-B2</t>
  </si>
  <si>
    <t>B2</t>
  </si>
  <si>
    <t>23825909-8c1a-4d66-b294-c82292bb6e72</t>
  </si>
  <si>
    <t>B3</t>
  </si>
  <si>
    <t>11bbe0b7-3d64-4f20-89f3-57a8e13b8e1c</t>
  </si>
  <si>
    <t>B4</t>
  </si>
  <si>
    <t>78a5bb47-0493-43e2-8f35-8f1f251b5f64</t>
  </si>
  <si>
    <t>B15</t>
  </si>
  <si>
    <t>d8bcd0ce-a8fd-4732-a38c-5944971ae727</t>
  </si>
  <si>
    <t>B5</t>
  </si>
  <si>
    <t>119902f6-89ab-470c-9fdf-95d2d2c15118</t>
  </si>
  <si>
    <t>B13</t>
  </si>
  <si>
    <t>52a926c1-0d0c-49ec-966b-e1a89db30149</t>
  </si>
  <si>
    <t>B6</t>
  </si>
  <si>
    <t>ddeb5ce4-1e7f-48a6-860a-4a354c0dee8d</t>
  </si>
  <si>
    <t>B17</t>
  </si>
  <si>
    <t>80a8ce16-a6bb-4fa6-a1fd-b4bd9153eacb</t>
  </si>
  <si>
    <t>B12</t>
  </si>
  <si>
    <t>8de93de1-f3fb-4552-9d6f-4b74017cdc82</t>
  </si>
  <si>
    <t>B11</t>
  </si>
  <si>
    <t>12ff5db1-dfe6-43c8-8297-479a7f98633d</t>
  </si>
  <si>
    <t>B9</t>
  </si>
  <si>
    <t>746d8432-50d7-482c-a02e-f42fd203154e</t>
  </si>
  <si>
    <t>B10</t>
  </si>
  <si>
    <t>28541e62-79f2-45a6-a4d8-33c019f90ada</t>
  </si>
  <si>
    <t>B8</t>
  </si>
  <si>
    <t>2e24e064-f2fa-4970-94e4-f697165b65a4</t>
  </si>
  <si>
    <t>B7</t>
  </si>
  <si>
    <t>0158ad49-f000-4b65-9692-a78ae9378868</t>
  </si>
  <si>
    <t>Isaac
GER calibration, non solar noon, near 12:00 noon</t>
  </si>
  <si>
    <t>20251003-ACRE-S1</t>
  </si>
  <si>
    <t>Refer: small spec
Spec: 0-2
Big Spec: 3-5
11%: 6-8
Dc: 9-11
30%: 12-14
56%15-17</t>
  </si>
  <si>
    <t>I</t>
  </si>
  <si>
    <t>fe88ce58-dfec-41b0-91ad-12071c15aa8d</t>
  </si>
  <si>
    <t>Isaac</t>
  </si>
  <si>
    <t xml:space="preserve">1:36
Ref: small spec
3 small spec 58-60
3 big spec 61-63
3: 11% 64-66
3: 30%  67-69
3: 56% 70,71,72,77,78
3: DC 73,74,76
1:26-1:30
Ref: small spec
3 small spec 39-42
3 big spec 43-45
3: 11% 46-48
3: 30% 49-51
3: 56% 52-54
3: DC 55-57
</t>
  </si>
  <si>
    <t>28.7</t>
  </si>
  <si>
    <t>29.3</t>
  </si>
  <si>
    <t>28.3</t>
  </si>
  <si>
    <t>29.4</t>
  </si>
  <si>
    <t>30.1</t>
  </si>
  <si>
    <t>29.9</t>
  </si>
  <si>
    <t>28.6</t>
  </si>
  <si>
    <t>29.2</t>
  </si>
  <si>
    <t>28.1</t>
  </si>
  <si>
    <t>28.9</t>
  </si>
  <si>
    <t>28.2</t>
  </si>
  <si>
    <t>29.7</t>
  </si>
  <si>
    <t>30.3</t>
  </si>
  <si>
    <t>30+/</t>
  </si>
  <si>
    <t>29.8</t>
  </si>
  <si>
    <t>30.5</t>
  </si>
  <si>
    <t>31.5</t>
  </si>
  <si>
    <t>33.2</t>
  </si>
  <si>
    <t>31.3</t>
  </si>
  <si>
    <t>33+/</t>
  </si>
  <si>
    <t>36.8</t>
  </si>
  <si>
    <t>24.7</t>
  </si>
  <si>
    <t>24.3</t>
  </si>
  <si>
    <t>23.9</t>
  </si>
  <si>
    <t>22.3</t>
  </si>
  <si>
    <t>23.5</t>
  </si>
  <si>
    <t>24.4</t>
  </si>
  <si>
    <t>24.9</t>
  </si>
  <si>
    <t>26.7</t>
  </si>
  <si>
    <t>26.0</t>
  </si>
  <si>
    <t>26.6</t>
  </si>
  <si>
    <t>25.6</t>
  </si>
  <si>
    <t>26.2</t>
  </si>
  <si>
    <t>26.4</t>
  </si>
  <si>
    <t>27.3</t>
  </si>
  <si>
    <t>27.9</t>
  </si>
  <si>
    <t>31.2</t>
  </si>
  <si>
    <t>33.1</t>
  </si>
  <si>
    <t>30.7</t>
  </si>
  <si>
    <t>25.3</t>
  </si>
  <si>
    <t>25.7</t>
  </si>
  <si>
    <t>26.8</t>
  </si>
  <si>
    <t>25.8</t>
  </si>
  <si>
    <t>20.3</t>
  </si>
  <si>
    <t>19.9</t>
  </si>
  <si>
    <t>20.4</t>
  </si>
  <si>
    <t>21.4</t>
  </si>
  <si>
    <t>21.2</t>
  </si>
  <si>
    <t>22.0</t>
  </si>
  <si>
    <t>22.9</t>
  </si>
  <si>
    <t>22.5</t>
  </si>
  <si>
    <t>22.1</t>
  </si>
  <si>
    <t>22.8</t>
  </si>
  <si>
    <t>22+/</t>
  </si>
  <si>
    <t>22.4</t>
  </si>
  <si>
    <t>Nhu</t>
  </si>
  <si>
    <t>Secchi Depth (m)</t>
  </si>
  <si>
    <t>Site name</t>
  </si>
  <si>
    <t>MC(ug L)</t>
  </si>
  <si>
    <t>sample ID</t>
  </si>
  <si>
    <t>MC ADDA (ug/L</t>
  </si>
  <si>
    <t>R1</t>
  </si>
  <si>
    <t>S5</t>
  </si>
  <si>
    <t>M1</t>
  </si>
  <si>
    <t>R2</t>
  </si>
  <si>
    <t>S6</t>
  </si>
  <si>
    <t>M3</t>
  </si>
  <si>
    <t>M2</t>
  </si>
  <si>
    <t>R3</t>
  </si>
  <si>
    <t>S8</t>
  </si>
  <si>
    <t>M4</t>
  </si>
  <si>
    <t>R4</t>
  </si>
  <si>
    <t>S9</t>
  </si>
  <si>
    <t>M5</t>
  </si>
  <si>
    <t>R5</t>
  </si>
  <si>
    <t>S10</t>
  </si>
  <si>
    <t>M6</t>
  </si>
  <si>
    <t>R6</t>
  </si>
  <si>
    <t>S11</t>
  </si>
  <si>
    <t>M11</t>
  </si>
  <si>
    <t>S12</t>
  </si>
  <si>
    <t>M8</t>
  </si>
  <si>
    <t>M7</t>
  </si>
  <si>
    <t>S8*</t>
  </si>
  <si>
    <t>S14</t>
  </si>
  <si>
    <t>M9</t>
  </si>
  <si>
    <t>S15</t>
  </si>
  <si>
    <t>M10</t>
  </si>
  <si>
    <t>S16</t>
  </si>
  <si>
    <t>M12</t>
  </si>
  <si>
    <t>M13</t>
  </si>
  <si>
    <t>S5*</t>
  </si>
  <si>
    <t>M14</t>
  </si>
  <si>
    <t>M15</t>
  </si>
  <si>
    <t>M16</t>
  </si>
  <si>
    <t>M3a</t>
  </si>
  <si>
    <t>M17</t>
  </si>
  <si>
    <t>TIMEHHMMSS</t>
  </si>
  <si>
    <t>DATEMMDDYYYY</t>
  </si>
  <si>
    <t>FILENAME</t>
  </si>
  <si>
    <t>FAULTCODE</t>
  </si>
  <si>
    <t>BAROMETERMMHG</t>
  </si>
  <si>
    <t>CONDSCM</t>
  </si>
  <si>
    <t>SPCONDSCM</t>
  </si>
  <si>
    <t>TDSMGL</t>
  </si>
  <si>
    <t>SALPSU</t>
  </si>
  <si>
    <t>NLFCONDSCM</t>
  </si>
  <si>
    <t>DEPTHM</t>
  </si>
  <si>
    <t>VERTICALPOSITIONM</t>
  </si>
  <si>
    <t>PRESSUREPSIA</t>
  </si>
  <si>
    <t>ODOSAT</t>
  </si>
  <si>
    <t>ODOMGL</t>
  </si>
  <si>
    <t>ODOCB</t>
  </si>
  <si>
    <t>GPSLATITUDE</t>
  </si>
  <si>
    <t>GPSLONGITUDE</t>
  </si>
  <si>
    <t>ALTITUDEM</t>
  </si>
  <si>
    <t>ORPMV</t>
  </si>
  <si>
    <t>PH</t>
  </si>
  <si>
    <t>PHMV</t>
  </si>
  <si>
    <t>CABLEPWRV</t>
  </si>
  <si>
    <t>BATTERYV</t>
  </si>
  <si>
    <t>TEMPC</t>
  </si>
  <si>
    <t>TURBIDITYFNU</t>
  </si>
  <si>
    <t>TSSMGL</t>
  </si>
  <si>
    <t>SITE</t>
  </si>
  <si>
    <t>MISS-B6</t>
  </si>
  <si>
    <t>MISS-B5</t>
  </si>
  <si>
    <t>MISS-B4</t>
  </si>
  <si>
    <t>MISS-B3</t>
  </si>
  <si>
    <t>MISS-B2</t>
  </si>
  <si>
    <t>MISS-B1</t>
  </si>
  <si>
    <t>MISS-B9</t>
  </si>
  <si>
    <t>MISS-B11</t>
  </si>
  <si>
    <t>MISS-B12</t>
  </si>
  <si>
    <t>MISS-B13</t>
  </si>
  <si>
    <t>MISS-B8</t>
  </si>
  <si>
    <t>MISS-B17</t>
  </si>
  <si>
    <t>MISS-B7</t>
  </si>
  <si>
    <t>MISS-B10</t>
  </si>
  <si>
    <t>MISS-B14</t>
  </si>
  <si>
    <t>MISS-B15</t>
  </si>
  <si>
    <t>MISS-B16</t>
  </si>
  <si>
    <t>RACC-B1</t>
  </si>
  <si>
    <t>RACC-B2</t>
  </si>
  <si>
    <t>RACC-B3</t>
  </si>
  <si>
    <t>RACC-B4</t>
  </si>
  <si>
    <t>RACC-B5</t>
  </si>
  <si>
    <t>RACC-B6</t>
  </si>
  <si>
    <t>SHAF-B5</t>
  </si>
  <si>
    <t>SHAF-B6</t>
  </si>
  <si>
    <t>SHAF-B8</t>
  </si>
  <si>
    <t>SHAF-B14</t>
  </si>
  <si>
    <t>SHAF-B9</t>
  </si>
  <si>
    <t>SHAF-B15</t>
  </si>
  <si>
    <t>SHAF-B10</t>
  </si>
  <si>
    <t>SHAF-B11</t>
  </si>
  <si>
    <t>SHAF-B12</t>
  </si>
  <si>
    <t>1</t>
  </si>
  <si>
    <t>2</t>
  </si>
  <si>
    <t>3</t>
  </si>
  <si>
    <t>4</t>
  </si>
  <si>
    <t>5</t>
  </si>
  <si>
    <t>6</t>
  </si>
  <si>
    <t>8</t>
  </si>
  <si>
    <t>9</t>
  </si>
  <si>
    <t>7</t>
  </si>
  <si>
    <t>ID</t>
  </si>
  <si>
    <t>Distance From Dam</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</si>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</sst>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3" x14ac:knownFonts="1">
    <font>
      <sz val="11"/>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sz val="11"/>
      <color rgb="FF000000"/>
      <name val="Calibri"/>
      <family val="2"/>
    </font>
    <font>
      <sz val="11"/>
      <name val="Calibri"/>
      <family val="2"/>
      <scheme val="minor"/>
    </font>
    <font>
      <sz val="11"/>
      <name val="Calibri"/>
      <family val="2"/>
    </font>
    <font>
      <b/>
      <sz val="11"/>
      <color rgb="FF000000"/>
      <name val="Calibri"/>
      <family val="2"/>
    </font>
    <font>
      <sz val="11"/>
      <color rgb="FFFF0000"/>
      <name val="Calibri"/>
      <family val="2"/>
      <scheme val="minor"/>
    </font>
    <font>
      <sz val="11"/>
      <color theme="9"/>
      <name val="Calibri"/>
      <family val="2"/>
      <scheme val="minor"/>
    </font>
    <font>
      <sz val="8"/>
      <name val="Calibri"/>
      <family val="2"/>
      <scheme val="minor"/>
    </font>
    <font>
      <sz val="11"/>
      <color rgb="FF00B050"/>
      <name val="Calibri"/>
      <family val="2"/>
    </font>
    <font>
      <sz val="11"/>
      <color rgb="FF00B050"/>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7"/>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0"/>
        <bgColor indexed="64"/>
      </patternFill>
    </fill>
  </fills>
  <borders count="38">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D0D7E5"/>
      </left>
      <right style="thin">
        <color rgb="FFD0D7E5"/>
      </right>
      <top style="thin">
        <color rgb="FFD0D7E5"/>
      </top>
      <bottom style="thin">
        <color rgb="FFD0D7E5"/>
      </bottom>
      <diagonal/>
    </border>
    <border>
      <left style="thin">
        <color rgb="FFD0D7E5"/>
      </left>
      <right style="thin">
        <color rgb="FFD0D7E5"/>
      </right>
      <top/>
      <bottom style="thin">
        <color rgb="FFD0D7E5"/>
      </bottom>
      <diagonal/>
    </border>
    <border>
      <left style="thin">
        <color indexed="64"/>
      </left>
      <right style="thin">
        <color indexed="64"/>
      </right>
      <top/>
      <bottom/>
      <diagonal/>
    </border>
    <border>
      <left/>
      <right/>
      <top/>
      <bottom style="thin">
        <color indexed="64"/>
      </bottom>
      <diagonal/>
    </border>
    <border>
      <left style="medium">
        <color indexed="64"/>
      </left>
      <right style="thin">
        <color rgb="FFD0D7E5"/>
      </right>
      <top style="medium">
        <color indexed="64"/>
      </top>
      <bottom style="thin">
        <color rgb="FFD0D7E5"/>
      </bottom>
      <diagonal/>
    </border>
    <border>
      <left/>
      <right/>
      <top style="medium">
        <color indexed="64"/>
      </top>
      <bottom/>
      <diagonal/>
    </border>
    <border>
      <left style="medium">
        <color indexed="64"/>
      </left>
      <right style="thin">
        <color rgb="FFD0D7E5"/>
      </right>
      <top style="thin">
        <color rgb="FFD0D7E5"/>
      </top>
      <bottom style="thin">
        <color rgb="FFD0D7E5"/>
      </bottom>
      <diagonal/>
    </border>
    <border>
      <left style="medium">
        <color indexed="64"/>
      </left>
      <right style="thin">
        <color rgb="FFD0D7E5"/>
      </right>
      <top style="thin">
        <color rgb="FFD0D7E5"/>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rgb="FFD0D7E5"/>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rgb="FFD0D7E5"/>
      </right>
      <top/>
      <bottom style="thin">
        <color rgb="FFD0D7E5"/>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2">
    <xf numFmtId="0" fontId="0" fillId="0" borderId="0"/>
    <xf numFmtId="9" fontId="3" fillId="0" borderId="0" applyFont="0" applyFill="0" applyBorder="0" applyAlignment="0" applyProtection="0"/>
  </cellStyleXfs>
  <cellXfs count="202">
    <xf numFmtId="0" fontId="0" fillId="0" borderId="0" xfId="0"/>
    <xf numFmtId="0" fontId="0" fillId="0" borderId="3" xfId="0" applyBorder="1"/>
    <xf numFmtId="0" fontId="0" fillId="2" borderId="6" xfId="0" applyFill="1" applyBorder="1"/>
    <xf numFmtId="0" fontId="0" fillId="3" borderId="6" xfId="0" applyFill="1" applyBorder="1"/>
    <xf numFmtId="0" fontId="0" fillId="4" borderId="3" xfId="0" applyFill="1" applyBorder="1"/>
    <xf numFmtId="0" fontId="0" fillId="4" borderId="4" xfId="0" applyFill="1" applyBorder="1"/>
    <xf numFmtId="0" fontId="1" fillId="0" borderId="1" xfId="0" applyFont="1" applyBorder="1" applyAlignment="1">
      <alignment wrapText="1"/>
    </xf>
    <xf numFmtId="0" fontId="1" fillId="2" borderId="5" xfId="0" applyFont="1" applyFill="1" applyBorder="1" applyAlignment="1">
      <alignment wrapText="1"/>
    </xf>
    <xf numFmtId="0" fontId="1" fillId="3" borderId="5" xfId="0" applyFont="1" applyFill="1" applyBorder="1" applyAlignment="1">
      <alignment wrapText="1"/>
    </xf>
    <xf numFmtId="0" fontId="1" fillId="4" borderId="1" xfId="0" applyFont="1" applyFill="1" applyBorder="1" applyAlignment="1">
      <alignment wrapText="1"/>
    </xf>
    <xf numFmtId="0" fontId="1" fillId="4" borderId="2" xfId="0" applyFont="1" applyFill="1" applyBorder="1" applyAlignment="1">
      <alignment wrapText="1"/>
    </xf>
    <xf numFmtId="0" fontId="0" fillId="0" borderId="7" xfId="0" applyBorder="1"/>
    <xf numFmtId="0" fontId="0" fillId="0" borderId="8" xfId="0" applyFill="1" applyBorder="1"/>
    <xf numFmtId="0" fontId="0" fillId="0" borderId="7" xfId="0" applyFill="1" applyBorder="1"/>
    <xf numFmtId="0" fontId="0" fillId="0" borderId="9" xfId="0" applyFill="1" applyBorder="1"/>
    <xf numFmtId="0" fontId="2" fillId="0" borderId="8" xfId="0" applyFont="1" applyBorder="1"/>
    <xf numFmtId="0" fontId="2" fillId="0" borderId="8" xfId="0" applyFont="1" applyFill="1" applyBorder="1"/>
    <xf numFmtId="0" fontId="2" fillId="0" borderId="7" xfId="0" applyFont="1" applyFill="1" applyBorder="1"/>
    <xf numFmtId="0" fontId="1" fillId="0" borderId="9" xfId="0" applyFont="1" applyFill="1" applyBorder="1"/>
    <xf numFmtId="14" fontId="0" fillId="0" borderId="0" xfId="0" applyNumberFormat="1"/>
    <xf numFmtId="14" fontId="0" fillId="2" borderId="0" xfId="0" applyNumberFormat="1" applyFill="1"/>
    <xf numFmtId="0" fontId="0" fillId="2" borderId="0" xfId="0" applyFill="1"/>
    <xf numFmtId="14" fontId="0" fillId="0" borderId="0" xfId="0" applyNumberFormat="1" applyFill="1"/>
    <xf numFmtId="0" fontId="0" fillId="0" borderId="0" xfId="0" applyFill="1"/>
    <xf numFmtId="0" fontId="4" fillId="0" borderId="11" xfId="0" applyFont="1" applyBorder="1" applyAlignment="1">
      <alignment vertical="center" wrapText="1"/>
    </xf>
    <xf numFmtId="0" fontId="0" fillId="0" borderId="0" xfId="0" applyAlignment="1">
      <alignment horizontal="left"/>
    </xf>
    <xf numFmtId="0" fontId="0" fillId="10" borderId="0" xfId="0" applyFill="1"/>
    <xf numFmtId="0" fontId="0" fillId="0" borderId="0" xfId="0" applyAlignment="1">
      <alignment horizontal="center"/>
    </xf>
    <xf numFmtId="0" fontId="0" fillId="11" borderId="0" xfId="0" applyFill="1"/>
    <xf numFmtId="0" fontId="0" fillId="7" borderId="0" xfId="0" applyFill="1"/>
    <xf numFmtId="0" fontId="0" fillId="10" borderId="0" xfId="0" applyFill="1" applyAlignment="1">
      <alignment horizontal="center"/>
    </xf>
    <xf numFmtId="0" fontId="4" fillId="0" borderId="12" xfId="0" applyFont="1" applyBorder="1" applyAlignment="1">
      <alignment vertical="center" wrapText="1"/>
    </xf>
    <xf numFmtId="0" fontId="1" fillId="9" borderId="10" xfId="0" applyFont="1" applyFill="1" applyBorder="1" applyAlignment="1">
      <alignment wrapText="1"/>
    </xf>
    <xf numFmtId="0" fontId="1" fillId="9" borderId="13" xfId="0" applyFont="1" applyFill="1" applyBorder="1" applyAlignment="1">
      <alignment wrapText="1"/>
    </xf>
    <xf numFmtId="0" fontId="4" fillId="0" borderId="0" xfId="0" applyFont="1" applyBorder="1" applyAlignment="1">
      <alignment vertical="center" wrapText="1"/>
    </xf>
    <xf numFmtId="0" fontId="1" fillId="9" borderId="10" xfId="0" applyFont="1" applyFill="1" applyBorder="1" applyAlignment="1">
      <alignment horizontal="center" wrapText="1"/>
    </xf>
    <xf numFmtId="0" fontId="5" fillId="0" borderId="0" xfId="0" applyFont="1" applyFill="1" applyAlignment="1">
      <alignment horizontal="left"/>
    </xf>
    <xf numFmtId="0" fontId="5" fillId="0" borderId="0" xfId="0" applyFont="1" applyFill="1"/>
    <xf numFmtId="0" fontId="5" fillId="0" borderId="0" xfId="0" applyFont="1" applyFill="1" applyAlignment="1">
      <alignment horizontal="center"/>
    </xf>
    <xf numFmtId="0" fontId="6" fillId="0" borderId="11" xfId="0" applyFont="1" applyFill="1" applyBorder="1" applyAlignment="1">
      <alignment vertical="center" wrapText="1"/>
    </xf>
    <xf numFmtId="14" fontId="5" fillId="0" borderId="0" xfId="0" applyNumberFormat="1" applyFont="1" applyFill="1"/>
    <xf numFmtId="0" fontId="0" fillId="13" borderId="0" xfId="0" applyFill="1" applyAlignment="1">
      <alignment horizontal="left"/>
    </xf>
    <xf numFmtId="0" fontId="0" fillId="13" borderId="0" xfId="0" applyFill="1"/>
    <xf numFmtId="0" fontId="0" fillId="13" borderId="0" xfId="0" applyFill="1" applyAlignment="1">
      <alignment horizontal="center"/>
    </xf>
    <xf numFmtId="0" fontId="4" fillId="13" borderId="11" xfId="0" applyFont="1" applyFill="1" applyBorder="1" applyAlignment="1">
      <alignment vertical="center" wrapText="1"/>
    </xf>
    <xf numFmtId="14" fontId="0" fillId="13" borderId="0" xfId="0" applyNumberFormat="1" applyFill="1"/>
    <xf numFmtId="0" fontId="0" fillId="0" borderId="0" xfId="0" applyAlignment="1">
      <alignment horizontal="center" vertical="center"/>
    </xf>
    <xf numFmtId="0" fontId="0" fillId="0" borderId="14" xfId="0" applyBorder="1" applyAlignment="1">
      <alignment horizontal="left"/>
    </xf>
    <xf numFmtId="0" fontId="0" fillId="9" borderId="14" xfId="0" applyFill="1" applyBorder="1"/>
    <xf numFmtId="0" fontId="0" fillId="9" borderId="14" xfId="0" applyFill="1" applyBorder="1" applyAlignment="1">
      <alignment horizontal="center"/>
    </xf>
    <xf numFmtId="0" fontId="4" fillId="9" borderId="14" xfId="0" applyFont="1" applyFill="1" applyBorder="1" applyAlignment="1">
      <alignment vertical="center" wrapText="1"/>
    </xf>
    <xf numFmtId="0" fontId="0" fillId="0" borderId="14" xfId="0" applyBorder="1"/>
    <xf numFmtId="14" fontId="0" fillId="0" borderId="14" xfId="0" applyNumberFormat="1" applyBorder="1"/>
    <xf numFmtId="0" fontId="7" fillId="0" borderId="15" xfId="0" applyFont="1" applyBorder="1" applyAlignment="1">
      <alignment vertical="center" wrapText="1"/>
    </xf>
    <xf numFmtId="0" fontId="7" fillId="0" borderId="17" xfId="0" applyFont="1" applyBorder="1" applyAlignment="1">
      <alignment vertical="center" wrapText="1"/>
    </xf>
    <xf numFmtId="0" fontId="7" fillId="0" borderId="18" xfId="0" applyFont="1" applyBorder="1" applyAlignment="1">
      <alignment vertical="center" wrapText="1"/>
    </xf>
    <xf numFmtId="0" fontId="0" fillId="0" borderId="0" xfId="0" applyFill="1" applyAlignment="1">
      <alignment horizontal="center"/>
    </xf>
    <xf numFmtId="0" fontId="7" fillId="0" borderId="21" xfId="0" applyFont="1" applyFill="1" applyBorder="1" applyAlignment="1">
      <alignment vertical="center" wrapText="1"/>
    </xf>
    <xf numFmtId="0" fontId="0" fillId="0" borderId="19" xfId="0" applyBorder="1"/>
    <xf numFmtId="0" fontId="0" fillId="0" borderId="20" xfId="0" applyBorder="1"/>
    <xf numFmtId="0" fontId="7" fillId="0" borderId="3" xfId="0" applyFont="1" applyFill="1" applyBorder="1" applyAlignment="1">
      <alignment vertical="center" wrapText="1"/>
    </xf>
    <xf numFmtId="9" fontId="0" fillId="0" borderId="0" xfId="1" applyFont="1" applyBorder="1"/>
    <xf numFmtId="9" fontId="0" fillId="0" borderId="4" xfId="1" applyFont="1" applyBorder="1"/>
    <xf numFmtId="0" fontId="0" fillId="3" borderId="0" xfId="0" applyFill="1"/>
    <xf numFmtId="0" fontId="0" fillId="3" borderId="0" xfId="0" applyFill="1" applyAlignment="1">
      <alignment horizontal="center"/>
    </xf>
    <xf numFmtId="0" fontId="4" fillId="3" borderId="11" xfId="0" applyFont="1" applyFill="1" applyBorder="1" applyAlignment="1">
      <alignment vertical="center" wrapText="1"/>
    </xf>
    <xf numFmtId="0" fontId="4" fillId="10" borderId="11" xfId="0" applyFont="1" applyFill="1" applyBorder="1" applyAlignment="1">
      <alignment vertical="center" wrapText="1"/>
    </xf>
    <xf numFmtId="22" fontId="0" fillId="0" borderId="0" xfId="0" applyNumberFormat="1"/>
    <xf numFmtId="0" fontId="9" fillId="0" borderId="0" xfId="0" applyFont="1"/>
    <xf numFmtId="0" fontId="5" fillId="11" borderId="0" xfId="0" applyFont="1" applyFill="1"/>
    <xf numFmtId="0" fontId="0" fillId="0" borderId="0" xfId="0" applyFill="1" applyAlignment="1">
      <alignment horizontal="center" vertical="center"/>
    </xf>
    <xf numFmtId="164" fontId="0" fillId="0" borderId="0" xfId="0" applyNumberFormat="1"/>
    <xf numFmtId="0" fontId="0" fillId="10" borderId="3" xfId="0" applyFill="1" applyBorder="1" applyAlignment="1">
      <alignment horizontal="center"/>
    </xf>
    <xf numFmtId="0" fontId="0" fillId="10" borderId="21" xfId="0" applyFill="1" applyBorder="1" applyAlignment="1">
      <alignment horizontal="center"/>
    </xf>
    <xf numFmtId="0" fontId="0" fillId="10" borderId="0" xfId="0" applyFill="1" applyBorder="1" applyAlignment="1">
      <alignment horizontal="right"/>
    </xf>
    <xf numFmtId="0" fontId="0" fillId="10" borderId="19" xfId="0" applyFill="1" applyBorder="1" applyAlignment="1">
      <alignment horizontal="right"/>
    </xf>
    <xf numFmtId="0" fontId="0" fillId="7" borderId="3" xfId="0" applyFill="1" applyBorder="1" applyAlignment="1">
      <alignment horizontal="center"/>
    </xf>
    <xf numFmtId="0" fontId="0" fillId="7" borderId="21" xfId="0" applyFill="1" applyBorder="1" applyAlignment="1">
      <alignment horizontal="center"/>
    </xf>
    <xf numFmtId="0" fontId="0" fillId="7" borderId="19" xfId="0" applyFill="1" applyBorder="1" applyAlignment="1">
      <alignment horizontal="center"/>
    </xf>
    <xf numFmtId="0" fontId="0" fillId="7" borderId="0" xfId="0" applyFill="1" applyBorder="1" applyAlignment="1">
      <alignment horizontal="right"/>
    </xf>
    <xf numFmtId="0" fontId="0" fillId="7" borderId="19" xfId="0" applyFill="1" applyBorder="1" applyAlignment="1">
      <alignment horizontal="right"/>
    </xf>
    <xf numFmtId="0" fontId="0" fillId="7" borderId="22" xfId="0" applyFill="1" applyBorder="1"/>
    <xf numFmtId="0" fontId="0" fillId="7" borderId="24" xfId="0" applyFill="1" applyBorder="1"/>
    <xf numFmtId="0" fontId="7" fillId="0" borderId="25" xfId="0" applyFont="1" applyBorder="1" applyAlignment="1">
      <alignment vertical="center" wrapText="1"/>
    </xf>
    <xf numFmtId="0" fontId="0" fillId="10" borderId="22" xfId="0" applyFill="1" applyBorder="1"/>
    <xf numFmtId="0" fontId="0" fillId="10" borderId="24" xfId="0" applyFill="1" applyBorder="1"/>
    <xf numFmtId="0" fontId="11" fillId="0" borderId="23" xfId="0" applyFont="1" applyBorder="1" applyAlignment="1">
      <alignment vertical="center" wrapText="1"/>
    </xf>
    <xf numFmtId="9" fontId="12" fillId="0" borderId="8" xfId="1" applyFont="1" applyBorder="1"/>
    <xf numFmtId="9" fontId="12" fillId="0" borderId="9" xfId="1" applyFont="1" applyBorder="1"/>
    <xf numFmtId="0" fontId="0" fillId="4" borderId="16" xfId="0" applyFont="1" applyFill="1" applyBorder="1"/>
    <xf numFmtId="0" fontId="0" fillId="4" borderId="2" xfId="0" applyFont="1" applyFill="1" applyBorder="1"/>
    <xf numFmtId="0" fontId="0" fillId="6" borderId="0" xfId="0" applyFont="1" applyFill="1" applyBorder="1"/>
    <xf numFmtId="0" fontId="0" fillId="6" borderId="4" xfId="0" applyFont="1" applyFill="1" applyBorder="1"/>
    <xf numFmtId="0" fontId="0" fillId="14" borderId="19" xfId="0" applyFont="1" applyFill="1" applyBorder="1"/>
    <xf numFmtId="0" fontId="0" fillId="14" borderId="20" xfId="0" applyFont="1" applyFill="1" applyBorder="1"/>
    <xf numFmtId="0" fontId="0" fillId="4" borderId="0" xfId="0" applyFont="1" applyFill="1" applyBorder="1"/>
    <xf numFmtId="0" fontId="0" fillId="4" borderId="4" xfId="0" applyFont="1" applyFill="1" applyBorder="1"/>
    <xf numFmtId="0" fontId="0" fillId="7" borderId="26" xfId="0" applyFill="1" applyBorder="1"/>
    <xf numFmtId="0" fontId="0" fillId="7" borderId="27" xfId="0" applyFill="1" applyBorder="1"/>
    <xf numFmtId="0" fontId="7" fillId="12" borderId="28" xfId="0" applyFont="1" applyFill="1" applyBorder="1" applyAlignment="1">
      <alignment vertical="center" wrapText="1"/>
    </xf>
    <xf numFmtId="0" fontId="1" fillId="12" borderId="29" xfId="0" applyFont="1" applyFill="1" applyBorder="1"/>
    <xf numFmtId="0" fontId="1" fillId="12" borderId="30" xfId="0" applyFont="1" applyFill="1" applyBorder="1"/>
    <xf numFmtId="0" fontId="0" fillId="10" borderId="26" xfId="0" applyFill="1" applyBorder="1"/>
    <xf numFmtId="0" fontId="0" fillId="10" borderId="27" xfId="0" applyFill="1" applyBorder="1"/>
    <xf numFmtId="0" fontId="0" fillId="0" borderId="31" xfId="0" applyBorder="1"/>
    <xf numFmtId="0" fontId="0" fillId="4" borderId="0" xfId="0" applyFill="1"/>
    <xf numFmtId="0" fontId="8" fillId="10" borderId="0" xfId="0" applyFont="1" applyFill="1"/>
    <xf numFmtId="9" fontId="12" fillId="0" borderId="0" xfId="1" applyFont="1" applyFill="1" applyBorder="1"/>
    <xf numFmtId="0" fontId="0" fillId="6" borderId="0" xfId="0" applyFill="1"/>
    <xf numFmtId="0" fontId="0" fillId="16" borderId="0" xfId="0" applyFill="1"/>
    <xf numFmtId="0" fontId="0" fillId="15" borderId="0" xfId="0" applyFill="1"/>
    <xf numFmtId="0" fontId="0" fillId="8" borderId="0" xfId="0" applyFill="1"/>
    <xf numFmtId="0" fontId="0" fillId="17" borderId="10" xfId="0" applyFill="1" applyBorder="1"/>
    <xf numFmtId="0" fontId="0" fillId="3" borderId="10" xfId="0" applyFill="1" applyBorder="1"/>
    <xf numFmtId="0" fontId="0" fillId="4" borderId="10" xfId="0" applyFill="1" applyBorder="1"/>
    <xf numFmtId="0" fontId="0" fillId="7" borderId="10" xfId="0" applyFill="1" applyBorder="1"/>
    <xf numFmtId="0" fontId="0" fillId="16" borderId="10" xfId="0" applyFill="1" applyBorder="1"/>
    <xf numFmtId="0" fontId="0" fillId="15" borderId="10" xfId="0" applyFill="1" applyBorder="1"/>
    <xf numFmtId="0" fontId="0" fillId="0" borderId="0" xfId="0"/>
    <xf numFmtId="0" fontId="0" fillId="3" borderId="10" xfId="0" applyFill="1" applyBorder="1"/>
    <xf numFmtId="0" fontId="0" fillId="4" borderId="10" xfId="0" applyFill="1" applyBorder="1"/>
    <xf numFmtId="0" fontId="0" fillId="7" borderId="10" xfId="0" applyFill="1" applyBorder="1"/>
    <xf numFmtId="0" fontId="0" fillId="16" borderId="10" xfId="0" applyFill="1" applyBorder="1"/>
    <xf numFmtId="0" fontId="0" fillId="15" borderId="10" xfId="0" applyFill="1" applyBorder="1"/>
    <xf numFmtId="0" fontId="0" fillId="6" borderId="13" xfId="0" applyFill="1" applyBorder="1"/>
    <xf numFmtId="2" fontId="0" fillId="0" borderId="0" xfId="0" applyNumberFormat="1"/>
    <xf numFmtId="2" fontId="5" fillId="0" borderId="0" xfId="0" applyNumberFormat="1" applyFont="1" applyFill="1"/>
    <xf numFmtId="2" fontId="0" fillId="13" borderId="0" xfId="0" applyNumberFormat="1" applyFill="1"/>
    <xf numFmtId="2" fontId="0" fillId="10" borderId="0" xfId="0" applyNumberFormat="1" applyFill="1"/>
    <xf numFmtId="2" fontId="0" fillId="3" borderId="0" xfId="0" applyNumberFormat="1" applyFill="1"/>
    <xf numFmtId="2" fontId="0" fillId="0" borderId="14" xfId="0" applyNumberFormat="1" applyBorder="1"/>
    <xf numFmtId="0" fontId="0" fillId="3" borderId="26" xfId="0" applyFill="1" applyBorder="1"/>
    <xf numFmtId="0" fontId="0" fillId="0" borderId="14" xfId="0" applyBorder="1" applyAlignment="1">
      <alignment horizontal="center"/>
    </xf>
    <xf numFmtId="0" fontId="0" fillId="0" borderId="14" xfId="0" applyBorder="1" applyAlignment="1">
      <alignment horizontal="center" vertical="center"/>
    </xf>
    <xf numFmtId="0" fontId="0" fillId="5" borderId="0" xfId="0" applyFill="1"/>
    <xf numFmtId="22" fontId="0" fillId="5" borderId="0" xfId="0" applyNumberFormat="1" applyFill="1"/>
    <xf numFmtId="22" fontId="0" fillId="10" borderId="0" xfId="0" applyNumberFormat="1" applyFill="1"/>
    <xf numFmtId="22" fontId="0" fillId="3" borderId="0" xfId="0" applyNumberFormat="1" applyFill="1"/>
    <xf numFmtId="22" fontId="0" fillId="7" borderId="0" xfId="0" applyNumberFormat="1" applyFill="1"/>
    <xf numFmtId="22" fontId="0" fillId="4" borderId="0" xfId="0" applyNumberFormat="1" applyFill="1"/>
    <xf numFmtId="0" fontId="0" fillId="0" borderId="0" xfId="0" applyFill="1" applyBorder="1"/>
    <xf numFmtId="0" fontId="0" fillId="0" borderId="14" xfId="0" applyFill="1" applyBorder="1"/>
    <xf numFmtId="0" fontId="1" fillId="9" borderId="32" xfId="0" applyFont="1" applyFill="1" applyBorder="1" applyAlignment="1">
      <alignment wrapText="1"/>
    </xf>
    <xf numFmtId="0" fontId="1" fillId="0" borderId="0" xfId="0" applyFont="1" applyFill="1" applyBorder="1" applyAlignment="1">
      <alignment wrapText="1"/>
    </xf>
    <xf numFmtId="11" fontId="0" fillId="0" borderId="0" xfId="0" applyNumberFormat="1"/>
    <xf numFmtId="20" fontId="0" fillId="0" borderId="0" xfId="0" applyNumberFormat="1"/>
    <xf numFmtId="0" fontId="0" fillId="0" borderId="0" xfId="0" applyAlignment="1">
      <alignment wrapText="1"/>
    </xf>
    <xf numFmtId="0" fontId="0" fillId="3" borderId="0" xfId="0" applyFill="1" applyBorder="1"/>
    <xf numFmtId="0" fontId="0" fillId="6" borderId="10" xfId="0" applyFill="1" applyBorder="1"/>
    <xf numFmtId="0" fontId="0" fillId="3" borderId="13" xfId="0" applyFill="1" applyBorder="1"/>
    <xf numFmtId="0" fontId="0" fillId="0" borderId="10" xfId="0" applyBorder="1"/>
    <xf numFmtId="0" fontId="0" fillId="0" borderId="0" xfId="0" applyBorder="1"/>
    <xf numFmtId="0" fontId="0" fillId="14" borderId="0" xfId="0" applyFont="1" applyFill="1" applyBorder="1"/>
    <xf numFmtId="9" fontId="12" fillId="0" borderId="0" xfId="1" applyFont="1" applyBorder="1"/>
    <xf numFmtId="0" fontId="1" fillId="12" borderId="0" xfId="0" applyFont="1" applyFill="1" applyBorder="1"/>
    <xf numFmtId="0" fontId="0" fillId="10" borderId="0" xfId="0" applyFill="1" applyBorder="1"/>
    <xf numFmtId="0" fontId="0" fillId="7" borderId="0" xfId="0" applyFill="1" applyBorder="1"/>
    <xf numFmtId="165" fontId="0" fillId="0" borderId="0" xfId="0" applyNumberFormat="1" applyAlignment="1">
      <alignment horizontal="center"/>
    </xf>
    <xf numFmtId="0" fontId="1" fillId="0" borderId="0" xfId="0" applyFont="1" applyAlignment="1">
      <alignment horizontal="center"/>
    </xf>
    <xf numFmtId="164" fontId="0" fillId="0" borderId="0" xfId="0" applyNumberFormat="1" applyAlignment="1">
      <alignment horizontal="center"/>
    </xf>
    <xf numFmtId="0" fontId="1" fillId="9" borderId="33" xfId="0" applyFont="1" applyFill="1" applyBorder="1" applyAlignment="1">
      <alignment horizontal="right" wrapText="1"/>
    </xf>
    <xf numFmtId="0" fontId="0" fillId="0" borderId="0" xfId="0" applyAlignment="1">
      <alignment horizontal="right"/>
    </xf>
    <xf numFmtId="0" fontId="0" fillId="10" borderId="0" xfId="0" applyFill="1" applyAlignment="1">
      <alignment horizontal="right"/>
    </xf>
    <xf numFmtId="0" fontId="0" fillId="3" borderId="0" xfId="0" applyFill="1" applyAlignment="1">
      <alignment horizontal="right"/>
    </xf>
    <xf numFmtId="0" fontId="0" fillId="0" borderId="14" xfId="0" applyBorder="1" applyAlignment="1">
      <alignment horizontal="right"/>
    </xf>
    <xf numFmtId="0" fontId="0" fillId="13" borderId="0" xfId="0" applyFill="1" applyAlignment="1">
      <alignment horizontal="right"/>
    </xf>
    <xf numFmtId="0" fontId="8" fillId="0" borderId="0" xfId="0" applyFont="1" applyAlignment="1">
      <alignment horizontal="right"/>
    </xf>
    <xf numFmtId="0" fontId="0" fillId="4" borderId="16" xfId="0" applyFont="1" applyFill="1" applyBorder="1" applyAlignment="1">
      <alignment horizontal="right"/>
    </xf>
    <xf numFmtId="0" fontId="0" fillId="6" borderId="0" xfId="0" applyFont="1" applyFill="1" applyBorder="1" applyAlignment="1">
      <alignment horizontal="right"/>
    </xf>
    <xf numFmtId="0" fontId="0" fillId="14" borderId="19" xfId="0" applyFont="1" applyFill="1" applyBorder="1" applyAlignment="1">
      <alignment horizontal="right"/>
    </xf>
    <xf numFmtId="9" fontId="12" fillId="0" borderId="8" xfId="1" applyFont="1" applyBorder="1" applyAlignment="1">
      <alignment horizontal="right"/>
    </xf>
    <xf numFmtId="0" fontId="0" fillId="0" borderId="19" xfId="0" applyBorder="1" applyAlignment="1">
      <alignment horizontal="right"/>
    </xf>
    <xf numFmtId="9" fontId="0" fillId="0" borderId="0" xfId="1" applyFont="1" applyBorder="1" applyAlignment="1">
      <alignment horizontal="right"/>
    </xf>
    <xf numFmtId="0" fontId="1" fillId="12" borderId="29" xfId="0" applyFont="1" applyFill="1" applyBorder="1" applyAlignment="1">
      <alignment horizontal="right"/>
    </xf>
    <xf numFmtId="0" fontId="0" fillId="10" borderId="26" xfId="0" applyFill="1" applyBorder="1" applyAlignment="1">
      <alignment horizontal="right"/>
    </xf>
    <xf numFmtId="0" fontId="0" fillId="10" borderId="22" xfId="0" applyFill="1" applyBorder="1" applyAlignment="1">
      <alignment horizontal="right"/>
    </xf>
    <xf numFmtId="0" fontId="0" fillId="4" borderId="0" xfId="0" applyFont="1" applyFill="1" applyBorder="1" applyAlignment="1">
      <alignment horizontal="right"/>
    </xf>
    <xf numFmtId="0" fontId="0" fillId="7" borderId="26" xfId="0" applyFill="1" applyBorder="1" applyAlignment="1">
      <alignment horizontal="right"/>
    </xf>
    <xf numFmtId="0" fontId="0" fillId="7" borderId="22" xfId="0" applyFill="1" applyBorder="1" applyAlignment="1">
      <alignment horizontal="right"/>
    </xf>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wrapText="1"/>
    </xf>
    <xf numFmtId="0" fontId="0" fillId="0" borderId="1" xfId="0" applyBorder="1"/>
    <xf numFmtId="0" fontId="0" fillId="0" borderId="16" xfId="0" applyBorder="1"/>
    <xf numFmtId="0" fontId="1" fillId="9" borderId="34" xfId="0" applyFont="1" applyFill="1" applyBorder="1" applyAlignment="1">
      <alignment wrapText="1"/>
    </xf>
    <xf numFmtId="0" fontId="1" fillId="9" borderId="35" xfId="0" applyFont="1" applyFill="1" applyBorder="1" applyAlignment="1">
      <alignment wrapText="1"/>
    </xf>
    <xf numFmtId="0" fontId="1" fillId="9" borderId="36" xfId="0" applyFont="1" applyFill="1" applyBorder="1" applyAlignment="1">
      <alignment horizontal="right" wrapText="1"/>
    </xf>
    <xf numFmtId="0" fontId="1" fillId="9" borderId="37" xfId="0" applyFont="1" applyFill="1" applyBorder="1" applyAlignment="1">
      <alignment wrapText="1"/>
    </xf>
    <xf numFmtId="19" fontId="0" fillId="0" borderId="0" xfId="0" applyNumberFormat="1"/>
    <xf numFmtId="14" fontId="0" fillId="0" borderId="0" xfId="0" applyNumberFormat="1" applyBorder="1"/>
    <xf numFmtId="0" fontId="0" fillId="0" borderId="1" xfId="0" applyBorder="1" applyAlignment="1">
      <alignment horizontal="center" vertical="center" wrapText="1"/>
    </xf>
    <xf numFmtId="0" fontId="0" fillId="0" borderId="16"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0" xfId="0" applyBorder="1" applyAlignment="1">
      <alignment horizontal="center" vertical="center" wrapText="1"/>
    </xf>
    <xf numFmtId="0" fontId="0" fillId="0" borderId="4" xfId="0" applyBorder="1" applyAlignment="1">
      <alignment horizontal="center" vertical="center" wrapText="1"/>
    </xf>
    <xf numFmtId="0" fontId="0" fillId="0" borderId="21" xfId="0"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14" fontId="0" fillId="0" borderId="0" xfId="0" applyNumberFormat="1" applyAlignment="1">
      <alignment horizontal="center"/>
    </xf>
    <xf numFmtId="0" fontId="0" fillId="0" borderId="0" xfId="0" applyAlignment="1">
      <alignment horizontal="center"/>
    </xf>
    <xf numFmtId="0" fontId="0" fillId="0" borderId="0" xfId="0" applyAlignment="1">
      <alignment horizontal="center" vertical="center" wrapText="1"/>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9</xdr:col>
      <xdr:colOff>583294</xdr:colOff>
      <xdr:row>1</xdr:row>
      <xdr:rowOff>142874</xdr:rowOff>
    </xdr:from>
    <xdr:to>
      <xdr:col>25</xdr:col>
      <xdr:colOff>209550</xdr:colOff>
      <xdr:row>35</xdr:row>
      <xdr:rowOff>157534</xdr:rowOff>
    </xdr:to>
    <xdr:pic>
      <xdr:nvPicPr>
        <xdr:cNvPr id="2" name="Picture 1">
          <a:extLst>
            <a:ext uri="{FF2B5EF4-FFF2-40B4-BE49-F238E27FC236}">
              <a16:creationId xmlns:a16="http://schemas.microsoft.com/office/drawing/2014/main" id="{187DE2F2-676F-4243-9E7C-F639BFC3603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07819" y="466724"/>
          <a:ext cx="9379856" cy="67297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9</xdr:col>
      <xdr:colOff>5665679</xdr:colOff>
      <xdr:row>0</xdr:row>
      <xdr:rowOff>1552575</xdr:rowOff>
    </xdr:to>
    <xdr:pic>
      <xdr:nvPicPr>
        <xdr:cNvPr id="4" name="Picture 3">
          <a:extLst>
            <a:ext uri="{FF2B5EF4-FFF2-40B4-BE49-F238E27FC236}">
              <a16:creationId xmlns:a16="http://schemas.microsoft.com/office/drawing/2014/main" id="{3000D45F-9A12-42C6-96E1-81BE2DBF7EE9}"/>
            </a:ext>
          </a:extLst>
        </xdr:cNvPr>
        <xdr:cNvPicPr>
          <a:picLocks noChangeAspect="1"/>
        </xdr:cNvPicPr>
      </xdr:nvPicPr>
      <xdr:blipFill rotWithShape="1">
        <a:blip xmlns:r="http://schemas.openxmlformats.org/officeDocument/2006/relationships" r:embed="rId1"/>
        <a:srcRect l="7272" t="3453" r="26312" b="75543"/>
        <a:stretch/>
      </xdr:blipFill>
      <xdr:spPr>
        <a:xfrm>
          <a:off x="4352925" y="28575"/>
          <a:ext cx="5532329" cy="1524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447675</xdr:colOff>
      <xdr:row>4</xdr:row>
      <xdr:rowOff>123825</xdr:rowOff>
    </xdr:from>
    <xdr:to>
      <xdr:col>15</xdr:col>
      <xdr:colOff>457200</xdr:colOff>
      <xdr:row>15</xdr:row>
      <xdr:rowOff>152400</xdr:rowOff>
    </xdr:to>
    <xdr:pic>
      <xdr:nvPicPr>
        <xdr:cNvPr id="2" name="Picture 1">
          <a:extLst>
            <a:ext uri="{FF2B5EF4-FFF2-40B4-BE49-F238E27FC236}">
              <a16:creationId xmlns:a16="http://schemas.microsoft.com/office/drawing/2014/main" id="{B1B9C78A-3748-44F8-8CB5-74847EEFC7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66875" y="1476375"/>
          <a:ext cx="7934325" cy="2733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219075</xdr:colOff>
      <xdr:row>0</xdr:row>
      <xdr:rowOff>142875</xdr:rowOff>
    </xdr:from>
    <xdr:to>
      <xdr:col>12</xdr:col>
      <xdr:colOff>567211</xdr:colOff>
      <xdr:row>34</xdr:row>
      <xdr:rowOff>73326</xdr:rowOff>
    </xdr:to>
    <xdr:pic>
      <xdr:nvPicPr>
        <xdr:cNvPr id="2" name="Picture 1">
          <a:extLst>
            <a:ext uri="{FF2B5EF4-FFF2-40B4-BE49-F238E27FC236}">
              <a16:creationId xmlns:a16="http://schemas.microsoft.com/office/drawing/2014/main" id="{639DB72C-9F88-4EA5-88A1-AD4972B37B6B}"/>
            </a:ext>
          </a:extLst>
        </xdr:cNvPr>
        <xdr:cNvPicPr>
          <a:picLocks noChangeAspect="1"/>
        </xdr:cNvPicPr>
      </xdr:nvPicPr>
      <xdr:blipFill>
        <a:blip xmlns:r="http://schemas.openxmlformats.org/officeDocument/2006/relationships" r:embed="rId1"/>
        <a:stretch>
          <a:fillRect/>
        </a:stretch>
      </xdr:blipFill>
      <xdr:spPr>
        <a:xfrm>
          <a:off x="219075" y="142875"/>
          <a:ext cx="7663336" cy="640745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5E0A95-57ED-46DC-8B48-B1ACEB80854D}">
  <dimension ref="A1:H19"/>
  <sheetViews>
    <sheetView zoomScale="85" zoomScaleNormal="85" workbookViewId="0">
      <selection activeCell="J8" sqref="J8"/>
    </sheetView>
  </sheetViews>
  <sheetFormatPr defaultRowHeight="15" x14ac:dyDescent="0.25"/>
  <cols>
    <col min="2" max="2" width="12.7109375" bestFit="1" customWidth="1"/>
  </cols>
  <sheetData>
    <row r="1" spans="2:8" ht="25.5" customHeight="1" thickBot="1" x14ac:dyDescent="0.3"/>
    <row r="2" spans="2:8" ht="31.5" customHeight="1" x14ac:dyDescent="0.25">
      <c r="B2" s="6" t="s">
        <v>14</v>
      </c>
      <c r="C2" s="7" t="s">
        <v>0</v>
      </c>
      <c r="D2" s="6" t="s">
        <v>13</v>
      </c>
      <c r="E2" s="8" t="s">
        <v>1</v>
      </c>
      <c r="F2" s="6" t="s">
        <v>12</v>
      </c>
      <c r="G2" s="9" t="s">
        <v>2</v>
      </c>
      <c r="H2" s="10" t="s">
        <v>3</v>
      </c>
    </row>
    <row r="3" spans="2:8" x14ac:dyDescent="0.25">
      <c r="B3" s="1" t="s">
        <v>4</v>
      </c>
      <c r="C3" s="2">
        <v>1</v>
      </c>
      <c r="D3" s="1" t="s">
        <v>8</v>
      </c>
      <c r="E3" s="3">
        <v>1</v>
      </c>
      <c r="F3" s="1">
        <v>1</v>
      </c>
      <c r="G3" s="4">
        <v>0</v>
      </c>
      <c r="H3" s="5">
        <v>1</v>
      </c>
    </row>
    <row r="4" spans="2:8" x14ac:dyDescent="0.25">
      <c r="B4" s="1" t="s">
        <v>5</v>
      </c>
      <c r="C4" s="2">
        <v>2</v>
      </c>
      <c r="D4" s="1" t="s">
        <v>9</v>
      </c>
      <c r="E4" s="3">
        <v>2</v>
      </c>
      <c r="F4" s="1">
        <v>2</v>
      </c>
      <c r="G4" s="4">
        <v>0</v>
      </c>
      <c r="H4" s="5">
        <v>2</v>
      </c>
    </row>
    <row r="5" spans="2:8" x14ac:dyDescent="0.25">
      <c r="B5" s="1" t="s">
        <v>6</v>
      </c>
      <c r="C5" s="2">
        <v>3</v>
      </c>
      <c r="D5" s="1"/>
      <c r="E5" s="3"/>
      <c r="F5" s="1">
        <v>3</v>
      </c>
      <c r="G5" s="4">
        <v>0</v>
      </c>
      <c r="H5" s="5">
        <v>3</v>
      </c>
    </row>
    <row r="6" spans="2:8" x14ac:dyDescent="0.25">
      <c r="B6" s="1" t="s">
        <v>7</v>
      </c>
      <c r="C6" s="2">
        <v>4</v>
      </c>
      <c r="D6" s="1"/>
      <c r="E6" s="3"/>
      <c r="F6" s="1">
        <v>4</v>
      </c>
      <c r="G6" s="4">
        <v>0</v>
      </c>
      <c r="H6" s="5">
        <v>4</v>
      </c>
    </row>
    <row r="7" spans="2:8" x14ac:dyDescent="0.25">
      <c r="B7" s="1"/>
      <c r="C7" s="2"/>
      <c r="D7" s="1"/>
      <c r="E7" s="3"/>
      <c r="F7" s="1">
        <v>5</v>
      </c>
      <c r="G7" s="4">
        <v>0</v>
      </c>
      <c r="H7" s="5">
        <v>5</v>
      </c>
    </row>
    <row r="8" spans="2:8" x14ac:dyDescent="0.25">
      <c r="B8" s="1"/>
      <c r="C8" s="2"/>
      <c r="D8" s="1"/>
      <c r="E8" s="3"/>
      <c r="F8" s="1">
        <v>6</v>
      </c>
      <c r="G8" s="4">
        <v>0</v>
      </c>
      <c r="H8" s="5">
        <v>6</v>
      </c>
    </row>
    <row r="9" spans="2:8" x14ac:dyDescent="0.25">
      <c r="B9" s="1"/>
      <c r="C9" s="2"/>
      <c r="D9" s="1"/>
      <c r="E9" s="3"/>
      <c r="F9" s="1">
        <v>7</v>
      </c>
      <c r="G9" s="4">
        <v>0</v>
      </c>
      <c r="H9" s="5">
        <v>7</v>
      </c>
    </row>
    <row r="10" spans="2:8" x14ac:dyDescent="0.25">
      <c r="B10" s="1"/>
      <c r="C10" s="2"/>
      <c r="D10" s="1"/>
      <c r="E10" s="3"/>
      <c r="F10" s="1">
        <v>8</v>
      </c>
      <c r="G10" s="4">
        <v>0</v>
      </c>
      <c r="H10" s="5">
        <v>8</v>
      </c>
    </row>
    <row r="11" spans="2:8" x14ac:dyDescent="0.25">
      <c r="B11" s="1"/>
      <c r="C11" s="2"/>
      <c r="D11" s="1"/>
      <c r="E11" s="3"/>
      <c r="F11" s="1">
        <v>9</v>
      </c>
      <c r="G11" s="4">
        <v>0</v>
      </c>
      <c r="H11" s="5">
        <v>9</v>
      </c>
    </row>
    <row r="12" spans="2:8" x14ac:dyDescent="0.25">
      <c r="B12" s="1"/>
      <c r="C12" s="2"/>
      <c r="D12" s="1"/>
      <c r="E12" s="3"/>
      <c r="F12" s="1">
        <v>10</v>
      </c>
      <c r="G12" s="4">
        <v>1</v>
      </c>
      <c r="H12" s="5">
        <v>0</v>
      </c>
    </row>
    <row r="13" spans="2:8" x14ac:dyDescent="0.25">
      <c r="B13" s="1"/>
      <c r="C13" s="2"/>
      <c r="D13" s="1"/>
      <c r="E13" s="3"/>
      <c r="F13" s="1">
        <v>11</v>
      </c>
      <c r="G13" s="4">
        <v>1</v>
      </c>
      <c r="H13" s="5">
        <v>1</v>
      </c>
    </row>
    <row r="14" spans="2:8" x14ac:dyDescent="0.25">
      <c r="B14" s="1"/>
      <c r="C14" s="2"/>
      <c r="D14" s="1"/>
      <c r="E14" s="3"/>
      <c r="F14" s="1">
        <v>12</v>
      </c>
      <c r="G14" s="4">
        <v>1</v>
      </c>
      <c r="H14" s="5">
        <v>2</v>
      </c>
    </row>
    <row r="15" spans="2:8" x14ac:dyDescent="0.25">
      <c r="B15" s="1"/>
      <c r="C15" s="2"/>
      <c r="D15" s="1"/>
      <c r="E15" s="3"/>
      <c r="F15" s="1">
        <v>13</v>
      </c>
      <c r="G15" s="4">
        <v>1</v>
      </c>
      <c r="H15" s="5">
        <v>3</v>
      </c>
    </row>
    <row r="16" spans="2:8" x14ac:dyDescent="0.25">
      <c r="B16" s="1"/>
      <c r="C16" s="2"/>
      <c r="D16" s="1"/>
      <c r="E16" s="3"/>
      <c r="F16" s="1">
        <v>14</v>
      </c>
      <c r="G16" s="4">
        <v>1</v>
      </c>
      <c r="H16" s="5">
        <v>4</v>
      </c>
    </row>
    <row r="17" spans="1:8" ht="15.75" thickBot="1" x14ac:dyDescent="0.3">
      <c r="B17" s="1"/>
      <c r="C17" s="2"/>
      <c r="D17" s="1"/>
      <c r="E17" s="3"/>
      <c r="F17" s="1">
        <v>15</v>
      </c>
      <c r="G17" s="4">
        <v>1</v>
      </c>
      <c r="H17" s="5">
        <v>5</v>
      </c>
    </row>
    <row r="18" spans="1:8" ht="15.75" thickBot="1" x14ac:dyDescent="0.3">
      <c r="A18" s="11" t="s">
        <v>10</v>
      </c>
      <c r="B18" s="15" t="s">
        <v>11</v>
      </c>
      <c r="C18" s="12">
        <v>2</v>
      </c>
      <c r="D18" s="16" t="s">
        <v>8</v>
      </c>
      <c r="E18" s="12">
        <v>1</v>
      </c>
      <c r="F18" s="17">
        <v>15</v>
      </c>
      <c r="G18" s="13">
        <v>1</v>
      </c>
      <c r="H18" s="14">
        <v>5</v>
      </c>
    </row>
    <row r="19" spans="1:8" ht="15.75" thickBot="1" x14ac:dyDescent="0.3">
      <c r="G19" s="11" t="s">
        <v>15</v>
      </c>
      <c r="H19" s="18">
        <v>2115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2686E-6DC5-4B32-896B-6318F1B9BCC2}">
  <dimension ref="A1:J358"/>
  <sheetViews>
    <sheetView zoomScaleNormal="100" workbookViewId="0">
      <pane ySplit="1" topLeftCell="A44" activePane="bottomLeft" state="frozen"/>
      <selection pane="bottomLeft" activeCell="E70" sqref="E70"/>
    </sheetView>
  </sheetViews>
  <sheetFormatPr defaultRowHeight="15" x14ac:dyDescent="0.25"/>
  <cols>
    <col min="1" max="1" width="9.7109375" bestFit="1" customWidth="1"/>
    <col min="2" max="2" width="12.5703125" bestFit="1" customWidth="1"/>
    <col min="4" max="4" width="10.28515625" bestFit="1" customWidth="1"/>
    <col min="5" max="5" width="12.42578125" bestFit="1" customWidth="1"/>
    <col min="6" max="6" width="12.42578125" customWidth="1"/>
    <col min="7" max="8" width="12.7109375" customWidth="1"/>
    <col min="10" max="10" width="88.42578125" customWidth="1"/>
  </cols>
  <sheetData>
    <row r="1" spans="1:9" ht="126.75" customHeight="1" x14ac:dyDescent="0.25">
      <c r="A1" t="s">
        <v>16</v>
      </c>
      <c r="B1" t="s">
        <v>17</v>
      </c>
      <c r="D1" t="s">
        <v>21</v>
      </c>
      <c r="E1" t="s">
        <v>23</v>
      </c>
      <c r="I1" t="s">
        <v>18</v>
      </c>
    </row>
    <row r="2" spans="1:9" x14ac:dyDescent="0.25">
      <c r="A2" s="19">
        <v>45428</v>
      </c>
      <c r="B2">
        <v>2101</v>
      </c>
      <c r="C2">
        <v>1</v>
      </c>
      <c r="D2" t="s">
        <v>19</v>
      </c>
    </row>
    <row r="3" spans="1:9" x14ac:dyDescent="0.25">
      <c r="A3" s="19">
        <v>45428</v>
      </c>
      <c r="B3">
        <v>2102</v>
      </c>
      <c r="C3">
        <v>2</v>
      </c>
      <c r="D3" t="s">
        <v>19</v>
      </c>
    </row>
    <row r="4" spans="1:9" x14ac:dyDescent="0.25">
      <c r="A4" s="19">
        <v>45428</v>
      </c>
      <c r="B4">
        <v>2103</v>
      </c>
      <c r="C4">
        <v>3</v>
      </c>
      <c r="D4" t="s">
        <v>19</v>
      </c>
    </row>
    <row r="5" spans="1:9" x14ac:dyDescent="0.25">
      <c r="A5" s="19">
        <v>45428</v>
      </c>
      <c r="B5">
        <v>2104</v>
      </c>
      <c r="C5">
        <v>4</v>
      </c>
      <c r="D5" t="s">
        <v>19</v>
      </c>
    </row>
    <row r="6" spans="1:9" x14ac:dyDescent="0.25">
      <c r="A6" s="19">
        <v>45428</v>
      </c>
      <c r="B6">
        <v>2105</v>
      </c>
      <c r="C6">
        <v>5</v>
      </c>
      <c r="D6" t="s">
        <v>19</v>
      </c>
    </row>
    <row r="7" spans="1:9" x14ac:dyDescent="0.25">
      <c r="A7" s="19">
        <v>45428</v>
      </c>
      <c r="B7">
        <v>2106</v>
      </c>
      <c r="C7">
        <v>6</v>
      </c>
      <c r="D7" t="s">
        <v>19</v>
      </c>
    </row>
    <row r="8" spans="1:9" x14ac:dyDescent="0.25">
      <c r="A8" s="19">
        <v>45428</v>
      </c>
      <c r="B8">
        <v>2107</v>
      </c>
      <c r="C8">
        <v>7</v>
      </c>
      <c r="D8" t="s">
        <v>19</v>
      </c>
    </row>
    <row r="9" spans="1:9" x14ac:dyDescent="0.25">
      <c r="A9" s="19">
        <v>45428</v>
      </c>
      <c r="B9">
        <v>2108</v>
      </c>
      <c r="C9">
        <v>8</v>
      </c>
      <c r="D9" t="s">
        <v>19</v>
      </c>
    </row>
    <row r="10" spans="1:9" x14ac:dyDescent="0.25">
      <c r="A10" s="19">
        <v>45428</v>
      </c>
      <c r="B10">
        <v>2109</v>
      </c>
      <c r="C10">
        <v>9</v>
      </c>
      <c r="D10" t="s">
        <v>19</v>
      </c>
    </row>
    <row r="11" spans="1:9" x14ac:dyDescent="0.25">
      <c r="A11" s="19">
        <v>45428</v>
      </c>
      <c r="B11">
        <v>2110</v>
      </c>
      <c r="C11">
        <v>10</v>
      </c>
      <c r="D11" t="s">
        <v>19</v>
      </c>
    </row>
    <row r="12" spans="1:9" x14ac:dyDescent="0.25">
      <c r="A12" s="19">
        <v>45428</v>
      </c>
      <c r="B12">
        <v>2111</v>
      </c>
      <c r="C12">
        <v>11</v>
      </c>
      <c r="D12" t="s">
        <v>19</v>
      </c>
    </row>
    <row r="13" spans="1:9" x14ac:dyDescent="0.25">
      <c r="A13" s="19">
        <v>45428</v>
      </c>
      <c r="B13">
        <v>2112</v>
      </c>
      <c r="C13">
        <v>12</v>
      </c>
      <c r="D13" t="s">
        <v>19</v>
      </c>
    </row>
    <row r="14" spans="1:9" x14ac:dyDescent="0.25">
      <c r="A14" s="19">
        <v>45428</v>
      </c>
      <c r="B14">
        <v>2113</v>
      </c>
      <c r="C14">
        <v>13</v>
      </c>
      <c r="D14" t="s">
        <v>19</v>
      </c>
    </row>
    <row r="15" spans="1:9" x14ac:dyDescent="0.25">
      <c r="A15" s="19">
        <v>45442</v>
      </c>
      <c r="B15">
        <v>2201</v>
      </c>
      <c r="C15">
        <v>1</v>
      </c>
      <c r="D15" t="s">
        <v>19</v>
      </c>
      <c r="F15" t="str">
        <f>TEXT(A15, "yyyymmdd")</f>
        <v>20240530</v>
      </c>
      <c r="I15">
        <v>1</v>
      </c>
    </row>
    <row r="16" spans="1:9" x14ac:dyDescent="0.25">
      <c r="A16" s="19">
        <v>45442</v>
      </c>
      <c r="B16">
        <v>2202</v>
      </c>
      <c r="C16">
        <v>2</v>
      </c>
      <c r="D16" t="s">
        <v>19</v>
      </c>
      <c r="I16">
        <v>1</v>
      </c>
    </row>
    <row r="17" spans="1:10" x14ac:dyDescent="0.25">
      <c r="A17" s="19">
        <v>45442</v>
      </c>
      <c r="B17">
        <v>2203</v>
      </c>
      <c r="C17">
        <v>3</v>
      </c>
      <c r="D17" t="s">
        <v>19</v>
      </c>
      <c r="I17">
        <v>1</v>
      </c>
    </row>
    <row r="18" spans="1:10" x14ac:dyDescent="0.25">
      <c r="A18" s="19">
        <v>45442</v>
      </c>
      <c r="B18">
        <v>2204</v>
      </c>
      <c r="C18">
        <v>4</v>
      </c>
      <c r="D18" t="s">
        <v>19</v>
      </c>
      <c r="I18">
        <v>1</v>
      </c>
    </row>
    <row r="19" spans="1:10" x14ac:dyDescent="0.25">
      <c r="A19" s="19">
        <v>45442</v>
      </c>
      <c r="B19">
        <v>2205</v>
      </c>
      <c r="C19">
        <v>5</v>
      </c>
      <c r="D19" t="s">
        <v>19</v>
      </c>
      <c r="I19">
        <v>1</v>
      </c>
    </row>
    <row r="20" spans="1:10" x14ac:dyDescent="0.25">
      <c r="A20" s="19">
        <v>45442</v>
      </c>
      <c r="B20">
        <v>2206</v>
      </c>
      <c r="C20">
        <v>6</v>
      </c>
      <c r="D20" t="s">
        <v>19</v>
      </c>
      <c r="I20">
        <v>1</v>
      </c>
    </row>
    <row r="21" spans="1:10" x14ac:dyDescent="0.25">
      <c r="A21" s="19">
        <v>45442</v>
      </c>
      <c r="B21">
        <v>2207</v>
      </c>
      <c r="C21">
        <v>7</v>
      </c>
      <c r="D21" t="s">
        <v>19</v>
      </c>
      <c r="I21">
        <v>1</v>
      </c>
    </row>
    <row r="22" spans="1:10" x14ac:dyDescent="0.25">
      <c r="A22" s="19">
        <v>45442</v>
      </c>
      <c r="B22">
        <v>2208</v>
      </c>
      <c r="C22">
        <v>8</v>
      </c>
      <c r="D22" t="s">
        <v>19</v>
      </c>
      <c r="I22">
        <v>1</v>
      </c>
    </row>
    <row r="23" spans="1:10" x14ac:dyDescent="0.25">
      <c r="A23" s="20">
        <v>45447</v>
      </c>
      <c r="B23" s="21">
        <v>4104</v>
      </c>
      <c r="C23" s="21">
        <v>4</v>
      </c>
      <c r="D23" s="21" t="s">
        <v>20</v>
      </c>
      <c r="E23" s="21"/>
      <c r="F23" s="21"/>
      <c r="G23" s="21"/>
      <c r="H23" s="21"/>
      <c r="I23" s="21">
        <v>1</v>
      </c>
      <c r="J23" s="21" t="s">
        <v>24</v>
      </c>
    </row>
    <row r="24" spans="1:10" x14ac:dyDescent="0.25">
      <c r="A24" s="19">
        <v>45447</v>
      </c>
      <c r="B24">
        <v>4106</v>
      </c>
      <c r="C24">
        <v>6</v>
      </c>
      <c r="D24" t="s">
        <v>20</v>
      </c>
      <c r="I24">
        <v>1</v>
      </c>
    </row>
    <row r="25" spans="1:10" x14ac:dyDescent="0.25">
      <c r="A25" s="19">
        <v>45447</v>
      </c>
      <c r="B25">
        <v>4108</v>
      </c>
      <c r="C25">
        <v>8</v>
      </c>
      <c r="D25" t="s">
        <v>20</v>
      </c>
      <c r="I25">
        <v>1</v>
      </c>
    </row>
    <row r="26" spans="1:10" x14ac:dyDescent="0.25">
      <c r="A26" s="19">
        <v>45447</v>
      </c>
      <c r="B26">
        <v>4109</v>
      </c>
      <c r="C26">
        <v>9</v>
      </c>
      <c r="D26" t="s">
        <v>20</v>
      </c>
      <c r="I26">
        <v>1</v>
      </c>
    </row>
    <row r="27" spans="1:10" x14ac:dyDescent="0.25">
      <c r="A27" s="19">
        <v>45447</v>
      </c>
      <c r="B27">
        <v>4110</v>
      </c>
      <c r="C27">
        <v>10</v>
      </c>
      <c r="D27" t="s">
        <v>20</v>
      </c>
      <c r="I27">
        <v>1</v>
      </c>
    </row>
    <row r="28" spans="1:10" x14ac:dyDescent="0.25">
      <c r="A28" s="19">
        <v>45447</v>
      </c>
      <c r="B28">
        <v>4111</v>
      </c>
      <c r="C28">
        <v>11</v>
      </c>
      <c r="D28" t="s">
        <v>20</v>
      </c>
      <c r="I28">
        <v>1</v>
      </c>
    </row>
    <row r="29" spans="1:10" x14ac:dyDescent="0.25">
      <c r="A29" s="19">
        <v>45447</v>
      </c>
      <c r="B29">
        <v>4112</v>
      </c>
      <c r="C29">
        <v>12</v>
      </c>
      <c r="D29" t="s">
        <v>20</v>
      </c>
      <c r="I29">
        <v>1</v>
      </c>
    </row>
    <row r="30" spans="1:10" x14ac:dyDescent="0.25">
      <c r="A30" s="19">
        <v>45447</v>
      </c>
      <c r="B30">
        <v>4114</v>
      </c>
      <c r="C30">
        <v>14</v>
      </c>
      <c r="D30" t="s">
        <v>20</v>
      </c>
      <c r="I30">
        <v>1</v>
      </c>
    </row>
    <row r="31" spans="1:10" x14ac:dyDescent="0.25">
      <c r="A31" s="19">
        <v>45447</v>
      </c>
      <c r="B31">
        <v>4115</v>
      </c>
      <c r="C31">
        <v>15</v>
      </c>
      <c r="D31" t="s">
        <v>20</v>
      </c>
      <c r="I31">
        <v>1</v>
      </c>
    </row>
    <row r="32" spans="1:10" x14ac:dyDescent="0.25">
      <c r="A32" s="19">
        <v>45449</v>
      </c>
      <c r="B32">
        <v>3101</v>
      </c>
      <c r="C32">
        <v>1</v>
      </c>
      <c r="D32" t="s">
        <v>22</v>
      </c>
      <c r="I32">
        <v>1</v>
      </c>
    </row>
    <row r="33" spans="1:9" x14ac:dyDescent="0.25">
      <c r="A33" s="19">
        <v>45449</v>
      </c>
      <c r="B33">
        <v>3102</v>
      </c>
      <c r="C33">
        <v>2</v>
      </c>
      <c r="D33" t="s">
        <v>22</v>
      </c>
      <c r="I33">
        <v>1</v>
      </c>
    </row>
    <row r="34" spans="1:9" x14ac:dyDescent="0.25">
      <c r="A34" s="19">
        <v>45449</v>
      </c>
      <c r="B34">
        <v>3103</v>
      </c>
      <c r="C34">
        <v>3</v>
      </c>
      <c r="D34" t="s">
        <v>22</v>
      </c>
      <c r="I34">
        <v>1</v>
      </c>
    </row>
    <row r="35" spans="1:9" x14ac:dyDescent="0.25">
      <c r="A35" s="19">
        <v>45449</v>
      </c>
      <c r="B35">
        <v>3104</v>
      </c>
      <c r="C35">
        <v>4</v>
      </c>
      <c r="D35" t="s">
        <v>22</v>
      </c>
      <c r="I35">
        <v>1</v>
      </c>
    </row>
    <row r="36" spans="1:9" x14ac:dyDescent="0.25">
      <c r="A36" s="19">
        <v>45449</v>
      </c>
      <c r="B36">
        <v>3105</v>
      </c>
      <c r="C36">
        <v>5</v>
      </c>
      <c r="D36" t="s">
        <v>22</v>
      </c>
      <c r="I36">
        <v>1</v>
      </c>
    </row>
    <row r="37" spans="1:9" x14ac:dyDescent="0.25">
      <c r="A37" s="19">
        <v>45449</v>
      </c>
      <c r="B37">
        <v>3106</v>
      </c>
      <c r="C37">
        <v>6</v>
      </c>
      <c r="D37" t="s">
        <v>22</v>
      </c>
      <c r="I37">
        <v>1</v>
      </c>
    </row>
    <row r="38" spans="1:9" x14ac:dyDescent="0.25">
      <c r="A38" s="19">
        <v>45449</v>
      </c>
      <c r="B38">
        <v>3107</v>
      </c>
      <c r="C38">
        <v>7</v>
      </c>
      <c r="D38" t="s">
        <v>22</v>
      </c>
      <c r="I38">
        <v>1</v>
      </c>
    </row>
    <row r="39" spans="1:9" x14ac:dyDescent="0.25">
      <c r="A39" s="19">
        <v>45449</v>
      </c>
      <c r="B39">
        <v>3108</v>
      </c>
      <c r="C39">
        <v>8</v>
      </c>
      <c r="D39" t="s">
        <v>22</v>
      </c>
      <c r="I39">
        <v>1</v>
      </c>
    </row>
    <row r="40" spans="1:9" x14ac:dyDescent="0.25">
      <c r="A40" s="19">
        <v>45449</v>
      </c>
      <c r="B40">
        <v>3109</v>
      </c>
      <c r="C40">
        <v>9</v>
      </c>
      <c r="D40" t="s">
        <v>22</v>
      </c>
      <c r="I40">
        <v>1</v>
      </c>
    </row>
    <row r="41" spans="1:9" x14ac:dyDescent="0.25">
      <c r="A41" s="19">
        <v>45449</v>
      </c>
      <c r="B41">
        <v>3110</v>
      </c>
      <c r="C41">
        <v>10</v>
      </c>
      <c r="D41" t="s">
        <v>22</v>
      </c>
      <c r="I41">
        <v>1</v>
      </c>
    </row>
    <row r="42" spans="1:9" x14ac:dyDescent="0.25">
      <c r="A42" s="19">
        <v>45449</v>
      </c>
      <c r="B42">
        <v>3113</v>
      </c>
      <c r="C42">
        <v>13</v>
      </c>
      <c r="D42" t="s">
        <v>22</v>
      </c>
      <c r="I42">
        <v>1</v>
      </c>
    </row>
    <row r="43" spans="1:9" x14ac:dyDescent="0.25">
      <c r="A43" s="19">
        <v>45449</v>
      </c>
      <c r="B43">
        <v>3114</v>
      </c>
      <c r="C43">
        <v>14</v>
      </c>
      <c r="D43" t="s">
        <v>22</v>
      </c>
      <c r="I43">
        <v>1</v>
      </c>
    </row>
    <row r="44" spans="1:9" x14ac:dyDescent="0.25">
      <c r="A44" s="19">
        <v>45455</v>
      </c>
      <c r="B44">
        <v>2101</v>
      </c>
      <c r="C44">
        <v>1</v>
      </c>
      <c r="D44" t="s">
        <v>19</v>
      </c>
      <c r="I44">
        <v>1</v>
      </c>
    </row>
    <row r="45" spans="1:9" x14ac:dyDescent="0.25">
      <c r="A45" s="19">
        <v>45455</v>
      </c>
      <c r="B45">
        <v>2102</v>
      </c>
      <c r="C45">
        <v>2</v>
      </c>
      <c r="D45" t="s">
        <v>19</v>
      </c>
      <c r="I45">
        <v>1</v>
      </c>
    </row>
    <row r="46" spans="1:9" x14ac:dyDescent="0.25">
      <c r="A46" s="19">
        <v>45455</v>
      </c>
      <c r="B46">
        <v>2103</v>
      </c>
      <c r="C46">
        <v>3</v>
      </c>
      <c r="D46" t="s">
        <v>19</v>
      </c>
      <c r="I46">
        <v>1</v>
      </c>
    </row>
    <row r="47" spans="1:9" x14ac:dyDescent="0.25">
      <c r="A47" s="19">
        <v>45455</v>
      </c>
      <c r="B47">
        <v>2104</v>
      </c>
      <c r="C47">
        <v>4</v>
      </c>
      <c r="D47" t="s">
        <v>19</v>
      </c>
      <c r="I47">
        <v>1</v>
      </c>
    </row>
    <row r="48" spans="1:9" x14ac:dyDescent="0.25">
      <c r="A48" s="19">
        <v>45455</v>
      </c>
      <c r="B48">
        <v>2105</v>
      </c>
      <c r="C48">
        <v>5</v>
      </c>
      <c r="D48" t="s">
        <v>19</v>
      </c>
      <c r="I48">
        <v>1</v>
      </c>
    </row>
    <row r="49" spans="1:9" x14ac:dyDescent="0.25">
      <c r="A49" s="19">
        <v>45455</v>
      </c>
      <c r="B49">
        <v>2106</v>
      </c>
      <c r="C49">
        <v>6</v>
      </c>
      <c r="D49" t="s">
        <v>19</v>
      </c>
      <c r="I49">
        <v>1</v>
      </c>
    </row>
    <row r="50" spans="1:9" x14ac:dyDescent="0.25">
      <c r="A50" s="19">
        <v>45455</v>
      </c>
      <c r="B50">
        <v>2107</v>
      </c>
      <c r="C50">
        <v>7</v>
      </c>
      <c r="D50" t="s">
        <v>19</v>
      </c>
      <c r="I50">
        <v>1</v>
      </c>
    </row>
    <row r="51" spans="1:9" x14ac:dyDescent="0.25">
      <c r="A51" s="19">
        <v>45455</v>
      </c>
      <c r="B51">
        <v>2108</v>
      </c>
      <c r="C51">
        <v>8</v>
      </c>
      <c r="D51" t="s">
        <v>19</v>
      </c>
      <c r="I51">
        <v>1</v>
      </c>
    </row>
    <row r="52" spans="1:9" x14ac:dyDescent="0.25">
      <c r="A52" s="19">
        <v>45455</v>
      </c>
      <c r="B52">
        <v>2109</v>
      </c>
      <c r="C52">
        <v>9</v>
      </c>
      <c r="D52" t="s">
        <v>19</v>
      </c>
      <c r="I52">
        <v>1</v>
      </c>
    </row>
    <row r="53" spans="1:9" x14ac:dyDescent="0.25">
      <c r="A53" s="19">
        <v>45455</v>
      </c>
      <c r="B53">
        <v>2110</v>
      </c>
      <c r="C53">
        <v>10</v>
      </c>
      <c r="D53" t="s">
        <v>19</v>
      </c>
      <c r="I53">
        <v>1</v>
      </c>
    </row>
    <row r="54" spans="1:9" x14ac:dyDescent="0.25">
      <c r="A54" s="19">
        <v>45455</v>
      </c>
      <c r="B54">
        <v>2111</v>
      </c>
      <c r="C54">
        <v>11</v>
      </c>
      <c r="D54" t="s">
        <v>19</v>
      </c>
      <c r="I54">
        <v>1</v>
      </c>
    </row>
    <row r="55" spans="1:9" x14ac:dyDescent="0.25">
      <c r="A55" s="19">
        <v>45455</v>
      </c>
      <c r="B55">
        <v>2112</v>
      </c>
      <c r="C55">
        <v>12</v>
      </c>
      <c r="D55" t="s">
        <v>19</v>
      </c>
      <c r="I55">
        <v>1</v>
      </c>
    </row>
    <row r="56" spans="1:9" x14ac:dyDescent="0.25">
      <c r="A56" s="19">
        <v>45455</v>
      </c>
      <c r="B56">
        <v>2113</v>
      </c>
      <c r="C56">
        <v>13</v>
      </c>
      <c r="D56" t="s">
        <v>19</v>
      </c>
      <c r="I56">
        <v>1</v>
      </c>
    </row>
    <row r="57" spans="1:9" x14ac:dyDescent="0.25">
      <c r="A57" s="19">
        <v>45456</v>
      </c>
      <c r="B57">
        <v>4101</v>
      </c>
      <c r="C57">
        <v>1</v>
      </c>
      <c r="D57" t="s">
        <v>20</v>
      </c>
      <c r="I57">
        <v>1</v>
      </c>
    </row>
    <row r="58" spans="1:9" x14ac:dyDescent="0.25">
      <c r="A58" s="19">
        <v>45456</v>
      </c>
      <c r="B58">
        <v>4105</v>
      </c>
      <c r="C58">
        <v>5</v>
      </c>
      <c r="D58" t="s">
        <v>20</v>
      </c>
      <c r="I58">
        <v>1</v>
      </c>
    </row>
    <row r="59" spans="1:9" x14ac:dyDescent="0.25">
      <c r="A59" s="19">
        <v>45456</v>
      </c>
      <c r="B59">
        <v>4106</v>
      </c>
      <c r="C59">
        <v>6</v>
      </c>
      <c r="D59" t="s">
        <v>20</v>
      </c>
      <c r="I59">
        <v>1</v>
      </c>
    </row>
    <row r="60" spans="1:9" x14ac:dyDescent="0.25">
      <c r="A60" s="19">
        <v>45456</v>
      </c>
      <c r="B60">
        <v>4108</v>
      </c>
      <c r="C60">
        <v>8</v>
      </c>
      <c r="D60" t="s">
        <v>20</v>
      </c>
      <c r="I60">
        <v>1</v>
      </c>
    </row>
    <row r="61" spans="1:9" x14ac:dyDescent="0.25">
      <c r="A61" s="19">
        <v>45456</v>
      </c>
      <c r="B61">
        <v>4109</v>
      </c>
      <c r="C61">
        <v>9</v>
      </c>
      <c r="D61" t="s">
        <v>20</v>
      </c>
      <c r="I61">
        <v>1</v>
      </c>
    </row>
    <row r="62" spans="1:9" x14ac:dyDescent="0.25">
      <c r="A62" s="19">
        <v>45456</v>
      </c>
      <c r="B62">
        <v>4110</v>
      </c>
      <c r="C62">
        <v>10</v>
      </c>
      <c r="D62" t="s">
        <v>20</v>
      </c>
      <c r="I62">
        <v>1</v>
      </c>
    </row>
    <row r="63" spans="1:9" x14ac:dyDescent="0.25">
      <c r="A63" s="19">
        <v>45456</v>
      </c>
      <c r="B63">
        <v>4111</v>
      </c>
      <c r="C63">
        <v>11</v>
      </c>
      <c r="D63" t="s">
        <v>20</v>
      </c>
      <c r="I63">
        <v>1</v>
      </c>
    </row>
    <row r="64" spans="1:9" x14ac:dyDescent="0.25">
      <c r="A64" s="19">
        <v>45456</v>
      </c>
      <c r="B64">
        <v>4112</v>
      </c>
      <c r="C64">
        <v>12</v>
      </c>
      <c r="D64" t="s">
        <v>20</v>
      </c>
      <c r="I64">
        <v>1</v>
      </c>
    </row>
    <row r="65" spans="1:9" x14ac:dyDescent="0.25">
      <c r="A65" s="19">
        <v>45456</v>
      </c>
      <c r="B65">
        <v>4114</v>
      </c>
      <c r="C65">
        <v>14</v>
      </c>
      <c r="D65" t="s">
        <v>20</v>
      </c>
      <c r="I65">
        <v>1</v>
      </c>
    </row>
    <row r="66" spans="1:9" x14ac:dyDescent="0.25">
      <c r="A66" s="19">
        <v>45456</v>
      </c>
      <c r="B66">
        <v>4115</v>
      </c>
      <c r="C66">
        <v>15</v>
      </c>
      <c r="D66" t="s">
        <v>20</v>
      </c>
      <c r="I66">
        <v>1</v>
      </c>
    </row>
    <row r="67" spans="1:9" x14ac:dyDescent="0.25">
      <c r="A67" s="19">
        <v>45460</v>
      </c>
      <c r="B67">
        <v>3101</v>
      </c>
      <c r="C67">
        <v>1</v>
      </c>
      <c r="D67" t="s">
        <v>22</v>
      </c>
      <c r="I67">
        <v>1</v>
      </c>
    </row>
    <row r="68" spans="1:9" x14ac:dyDescent="0.25">
      <c r="A68" s="19">
        <v>45460</v>
      </c>
      <c r="B68">
        <v>3102</v>
      </c>
      <c r="C68">
        <v>2</v>
      </c>
      <c r="D68" t="s">
        <v>22</v>
      </c>
      <c r="I68">
        <v>1</v>
      </c>
    </row>
    <row r="69" spans="1:9" x14ac:dyDescent="0.25">
      <c r="A69" s="19">
        <v>45460</v>
      </c>
      <c r="B69">
        <v>3103</v>
      </c>
      <c r="C69">
        <v>3</v>
      </c>
      <c r="D69" t="s">
        <v>22</v>
      </c>
      <c r="I69">
        <v>1</v>
      </c>
    </row>
    <row r="70" spans="1:9" x14ac:dyDescent="0.25">
      <c r="A70" s="19">
        <v>45460</v>
      </c>
      <c r="B70">
        <v>3104</v>
      </c>
      <c r="C70">
        <v>4</v>
      </c>
      <c r="D70" t="s">
        <v>22</v>
      </c>
      <c r="I70">
        <v>1</v>
      </c>
    </row>
    <row r="71" spans="1:9" x14ac:dyDescent="0.25">
      <c r="A71" s="19">
        <v>45460</v>
      </c>
      <c r="B71">
        <v>3105</v>
      </c>
      <c r="C71">
        <v>5</v>
      </c>
      <c r="D71" t="s">
        <v>22</v>
      </c>
      <c r="I71">
        <v>1</v>
      </c>
    </row>
    <row r="72" spans="1:9" x14ac:dyDescent="0.25">
      <c r="A72" s="19">
        <v>45460</v>
      </c>
      <c r="B72">
        <v>3106</v>
      </c>
      <c r="C72">
        <v>6</v>
      </c>
      <c r="D72" t="s">
        <v>22</v>
      </c>
      <c r="I72">
        <v>1</v>
      </c>
    </row>
    <row r="73" spans="1:9" x14ac:dyDescent="0.25">
      <c r="A73" s="19">
        <v>45460</v>
      </c>
      <c r="B73">
        <v>3107</v>
      </c>
      <c r="C73">
        <v>7</v>
      </c>
      <c r="D73" t="s">
        <v>22</v>
      </c>
      <c r="I73">
        <v>1</v>
      </c>
    </row>
    <row r="74" spans="1:9" x14ac:dyDescent="0.25">
      <c r="A74" s="19">
        <v>45460</v>
      </c>
      <c r="B74">
        <v>3108</v>
      </c>
      <c r="C74">
        <v>8</v>
      </c>
      <c r="D74" t="s">
        <v>22</v>
      </c>
      <c r="I74">
        <v>1</v>
      </c>
    </row>
    <row r="75" spans="1:9" x14ac:dyDescent="0.25">
      <c r="A75" s="19">
        <v>45460</v>
      </c>
      <c r="B75">
        <v>3109</v>
      </c>
      <c r="C75">
        <v>9</v>
      </c>
      <c r="D75" t="s">
        <v>22</v>
      </c>
      <c r="I75">
        <v>1</v>
      </c>
    </row>
    <row r="76" spans="1:9" x14ac:dyDescent="0.25">
      <c r="A76" s="19">
        <v>45460</v>
      </c>
      <c r="B76">
        <v>3110</v>
      </c>
      <c r="C76">
        <v>10</v>
      </c>
      <c r="D76" t="s">
        <v>22</v>
      </c>
      <c r="I76">
        <v>1</v>
      </c>
    </row>
    <row r="77" spans="1:9" x14ac:dyDescent="0.25">
      <c r="A77" s="19">
        <v>45460</v>
      </c>
      <c r="B77">
        <v>3113</v>
      </c>
      <c r="C77">
        <v>13</v>
      </c>
      <c r="D77" t="s">
        <v>22</v>
      </c>
      <c r="I77">
        <v>1</v>
      </c>
    </row>
    <row r="78" spans="1:9" x14ac:dyDescent="0.25">
      <c r="A78" s="19">
        <v>45460</v>
      </c>
      <c r="B78">
        <v>3114</v>
      </c>
      <c r="C78">
        <v>14</v>
      </c>
      <c r="D78" t="s">
        <v>22</v>
      </c>
      <c r="I78">
        <v>1</v>
      </c>
    </row>
    <row r="79" spans="1:9" x14ac:dyDescent="0.25">
      <c r="A79" s="19">
        <v>45462</v>
      </c>
      <c r="B79">
        <v>4105</v>
      </c>
      <c r="C79">
        <v>5</v>
      </c>
      <c r="D79" t="s">
        <v>20</v>
      </c>
      <c r="I79">
        <v>1</v>
      </c>
    </row>
    <row r="80" spans="1:9" x14ac:dyDescent="0.25">
      <c r="A80" s="19">
        <v>45462</v>
      </c>
      <c r="B80">
        <v>4106</v>
      </c>
      <c r="C80">
        <v>6</v>
      </c>
      <c r="D80" t="s">
        <v>20</v>
      </c>
      <c r="I80">
        <v>1</v>
      </c>
    </row>
    <row r="81" spans="1:9" x14ac:dyDescent="0.25">
      <c r="A81" s="19">
        <v>45462</v>
      </c>
      <c r="B81">
        <v>4108</v>
      </c>
      <c r="C81">
        <v>8</v>
      </c>
      <c r="D81" t="s">
        <v>20</v>
      </c>
      <c r="I81">
        <v>1</v>
      </c>
    </row>
    <row r="82" spans="1:9" x14ac:dyDescent="0.25">
      <c r="A82" s="19">
        <v>45462</v>
      </c>
      <c r="B82">
        <v>4109</v>
      </c>
      <c r="C82">
        <v>9</v>
      </c>
      <c r="D82" t="s">
        <v>20</v>
      </c>
      <c r="I82">
        <v>1</v>
      </c>
    </row>
    <row r="83" spans="1:9" x14ac:dyDescent="0.25">
      <c r="A83" s="19">
        <v>45462</v>
      </c>
      <c r="B83">
        <v>4110</v>
      </c>
      <c r="C83">
        <v>10</v>
      </c>
      <c r="D83" t="s">
        <v>20</v>
      </c>
      <c r="I83">
        <v>1</v>
      </c>
    </row>
    <row r="84" spans="1:9" x14ac:dyDescent="0.25">
      <c r="A84" s="19">
        <v>45462</v>
      </c>
      <c r="B84">
        <v>4111</v>
      </c>
      <c r="C84">
        <v>11</v>
      </c>
      <c r="D84" t="s">
        <v>20</v>
      </c>
      <c r="I84">
        <v>1</v>
      </c>
    </row>
    <row r="85" spans="1:9" x14ac:dyDescent="0.25">
      <c r="A85" s="19">
        <v>45462</v>
      </c>
      <c r="B85">
        <v>4112</v>
      </c>
      <c r="C85">
        <v>12</v>
      </c>
      <c r="D85" t="s">
        <v>20</v>
      </c>
      <c r="I85">
        <v>1</v>
      </c>
    </row>
    <row r="86" spans="1:9" x14ac:dyDescent="0.25">
      <c r="A86" s="19">
        <v>45462</v>
      </c>
      <c r="B86">
        <v>4114</v>
      </c>
      <c r="C86">
        <v>14</v>
      </c>
      <c r="D86" t="s">
        <v>20</v>
      </c>
      <c r="I86">
        <v>1</v>
      </c>
    </row>
    <row r="87" spans="1:9" x14ac:dyDescent="0.25">
      <c r="A87" s="19">
        <v>45462</v>
      </c>
      <c r="B87">
        <v>4115</v>
      </c>
      <c r="C87">
        <v>15</v>
      </c>
      <c r="D87" t="s">
        <v>20</v>
      </c>
      <c r="I87">
        <v>1</v>
      </c>
    </row>
    <row r="88" spans="1:9" x14ac:dyDescent="0.25">
      <c r="A88" s="19">
        <v>45467</v>
      </c>
      <c r="B88">
        <v>2101</v>
      </c>
      <c r="C88">
        <v>1</v>
      </c>
      <c r="D88" t="s">
        <v>19</v>
      </c>
      <c r="I88">
        <v>1</v>
      </c>
    </row>
    <row r="89" spans="1:9" x14ac:dyDescent="0.25">
      <c r="A89" s="19">
        <v>45467</v>
      </c>
      <c r="B89">
        <v>2102</v>
      </c>
      <c r="C89">
        <v>2</v>
      </c>
      <c r="D89" t="s">
        <v>19</v>
      </c>
      <c r="I89">
        <v>1</v>
      </c>
    </row>
    <row r="90" spans="1:9" x14ac:dyDescent="0.25">
      <c r="A90" s="19">
        <v>45467</v>
      </c>
      <c r="B90">
        <v>2103</v>
      </c>
      <c r="C90">
        <v>3</v>
      </c>
      <c r="D90" t="s">
        <v>19</v>
      </c>
      <c r="I90">
        <v>1</v>
      </c>
    </row>
    <row r="91" spans="1:9" x14ac:dyDescent="0.25">
      <c r="A91" s="19">
        <v>45467</v>
      </c>
      <c r="B91">
        <v>2104</v>
      </c>
      <c r="C91">
        <v>4</v>
      </c>
      <c r="D91" t="s">
        <v>19</v>
      </c>
      <c r="I91">
        <v>1</v>
      </c>
    </row>
    <row r="92" spans="1:9" x14ac:dyDescent="0.25">
      <c r="A92" s="19">
        <v>45467</v>
      </c>
      <c r="B92">
        <v>2105</v>
      </c>
      <c r="C92">
        <v>5</v>
      </c>
      <c r="D92" t="s">
        <v>19</v>
      </c>
      <c r="I92">
        <v>1</v>
      </c>
    </row>
    <row r="93" spans="1:9" x14ac:dyDescent="0.25">
      <c r="A93" s="19">
        <v>45467</v>
      </c>
      <c r="B93">
        <v>2106</v>
      </c>
      <c r="C93">
        <v>6</v>
      </c>
      <c r="D93" t="s">
        <v>19</v>
      </c>
      <c r="I93">
        <v>1</v>
      </c>
    </row>
    <row r="94" spans="1:9" x14ac:dyDescent="0.25">
      <c r="A94" s="19">
        <v>45467</v>
      </c>
      <c r="B94">
        <v>2107</v>
      </c>
      <c r="C94">
        <v>7</v>
      </c>
      <c r="D94" t="s">
        <v>19</v>
      </c>
      <c r="I94">
        <v>1</v>
      </c>
    </row>
    <row r="95" spans="1:9" x14ac:dyDescent="0.25">
      <c r="A95" s="19">
        <v>45467</v>
      </c>
      <c r="B95">
        <v>2108</v>
      </c>
      <c r="C95">
        <v>8</v>
      </c>
      <c r="D95" t="s">
        <v>19</v>
      </c>
      <c r="I95">
        <v>1</v>
      </c>
    </row>
    <row r="96" spans="1:9" x14ac:dyDescent="0.25">
      <c r="A96" s="19">
        <v>45467</v>
      </c>
      <c r="B96">
        <v>2109</v>
      </c>
      <c r="C96">
        <v>9</v>
      </c>
      <c r="D96" t="s">
        <v>19</v>
      </c>
      <c r="I96">
        <v>1</v>
      </c>
    </row>
    <row r="97" spans="1:9" x14ac:dyDescent="0.25">
      <c r="A97" s="19">
        <v>45467</v>
      </c>
      <c r="B97">
        <v>2110</v>
      </c>
      <c r="C97">
        <v>10</v>
      </c>
      <c r="D97" t="s">
        <v>19</v>
      </c>
      <c r="I97">
        <v>1</v>
      </c>
    </row>
    <row r="98" spans="1:9" x14ac:dyDescent="0.25">
      <c r="A98" s="19">
        <v>45467</v>
      </c>
      <c r="B98">
        <v>2111</v>
      </c>
      <c r="C98">
        <v>11</v>
      </c>
      <c r="D98" t="s">
        <v>19</v>
      </c>
      <c r="I98">
        <v>1</v>
      </c>
    </row>
    <row r="99" spans="1:9" x14ac:dyDescent="0.25">
      <c r="A99" s="19">
        <v>45467</v>
      </c>
      <c r="B99">
        <v>2112</v>
      </c>
      <c r="C99">
        <v>12</v>
      </c>
      <c r="D99" t="s">
        <v>19</v>
      </c>
      <c r="I99">
        <v>1</v>
      </c>
    </row>
    <row r="100" spans="1:9" x14ac:dyDescent="0.25">
      <c r="A100" s="19">
        <v>45467</v>
      </c>
      <c r="B100">
        <v>2113</v>
      </c>
      <c r="C100">
        <v>13</v>
      </c>
      <c r="D100" t="s">
        <v>19</v>
      </c>
      <c r="I100">
        <v>1</v>
      </c>
    </row>
    <row r="101" spans="1:9" x14ac:dyDescent="0.25">
      <c r="A101" s="19">
        <v>45470</v>
      </c>
      <c r="B101">
        <v>3101</v>
      </c>
      <c r="C101">
        <v>1</v>
      </c>
      <c r="D101" t="s">
        <v>22</v>
      </c>
      <c r="I101">
        <v>1</v>
      </c>
    </row>
    <row r="102" spans="1:9" x14ac:dyDescent="0.25">
      <c r="A102" s="19">
        <v>45470</v>
      </c>
      <c r="B102">
        <v>3102</v>
      </c>
      <c r="C102">
        <v>2</v>
      </c>
      <c r="D102" t="s">
        <v>22</v>
      </c>
      <c r="I102">
        <v>1</v>
      </c>
    </row>
    <row r="103" spans="1:9" x14ac:dyDescent="0.25">
      <c r="A103" s="19">
        <v>45470</v>
      </c>
      <c r="B103">
        <v>3103</v>
      </c>
      <c r="C103">
        <v>3</v>
      </c>
      <c r="D103" t="s">
        <v>22</v>
      </c>
      <c r="I103">
        <v>1</v>
      </c>
    </row>
    <row r="104" spans="1:9" x14ac:dyDescent="0.25">
      <c r="A104" s="19">
        <v>45470</v>
      </c>
      <c r="B104">
        <v>3104</v>
      </c>
      <c r="C104">
        <v>4</v>
      </c>
      <c r="D104" t="s">
        <v>22</v>
      </c>
      <c r="I104">
        <v>1</v>
      </c>
    </row>
    <row r="105" spans="1:9" x14ac:dyDescent="0.25">
      <c r="A105" s="19">
        <v>45470</v>
      </c>
      <c r="B105">
        <v>3105</v>
      </c>
      <c r="C105">
        <v>5</v>
      </c>
      <c r="D105" t="s">
        <v>22</v>
      </c>
      <c r="I105">
        <v>1</v>
      </c>
    </row>
    <row r="106" spans="1:9" x14ac:dyDescent="0.25">
      <c r="A106" s="19">
        <v>45470</v>
      </c>
      <c r="B106">
        <v>3106</v>
      </c>
      <c r="C106">
        <v>6</v>
      </c>
      <c r="D106" t="s">
        <v>22</v>
      </c>
      <c r="I106">
        <v>1</v>
      </c>
    </row>
    <row r="107" spans="1:9" x14ac:dyDescent="0.25">
      <c r="A107" s="19">
        <v>45470</v>
      </c>
      <c r="B107">
        <v>3107</v>
      </c>
      <c r="C107">
        <v>7</v>
      </c>
      <c r="D107" t="s">
        <v>22</v>
      </c>
      <c r="I107">
        <v>1</v>
      </c>
    </row>
    <row r="108" spans="1:9" x14ac:dyDescent="0.25">
      <c r="A108" s="19">
        <v>45470</v>
      </c>
      <c r="B108">
        <v>3108</v>
      </c>
      <c r="C108">
        <v>8</v>
      </c>
      <c r="D108" t="s">
        <v>22</v>
      </c>
      <c r="I108">
        <v>1</v>
      </c>
    </row>
    <row r="109" spans="1:9" x14ac:dyDescent="0.25">
      <c r="A109" s="19">
        <v>45470</v>
      </c>
      <c r="B109">
        <v>3109</v>
      </c>
      <c r="C109">
        <v>9</v>
      </c>
      <c r="D109" t="s">
        <v>22</v>
      </c>
      <c r="I109">
        <v>1</v>
      </c>
    </row>
    <row r="110" spans="1:9" x14ac:dyDescent="0.25">
      <c r="A110" s="19">
        <v>45470</v>
      </c>
      <c r="B110">
        <v>3110</v>
      </c>
      <c r="C110">
        <v>10</v>
      </c>
      <c r="D110" t="s">
        <v>22</v>
      </c>
      <c r="I110">
        <v>1</v>
      </c>
    </row>
    <row r="111" spans="1:9" x14ac:dyDescent="0.25">
      <c r="A111" s="19">
        <v>45470</v>
      </c>
      <c r="B111">
        <v>3113</v>
      </c>
      <c r="C111">
        <v>13</v>
      </c>
      <c r="D111" t="s">
        <v>22</v>
      </c>
      <c r="I111">
        <v>1</v>
      </c>
    </row>
    <row r="112" spans="1:9" x14ac:dyDescent="0.25">
      <c r="A112" s="19">
        <v>45470</v>
      </c>
      <c r="B112">
        <v>3114</v>
      </c>
      <c r="C112">
        <v>14</v>
      </c>
      <c r="D112" t="s">
        <v>22</v>
      </c>
      <c r="I112">
        <v>1</v>
      </c>
    </row>
    <row r="113" spans="1:9" x14ac:dyDescent="0.25">
      <c r="A113" s="19">
        <v>45474</v>
      </c>
      <c r="B113">
        <v>4101</v>
      </c>
      <c r="C113">
        <v>1</v>
      </c>
      <c r="D113" t="s">
        <v>20</v>
      </c>
      <c r="I113">
        <v>1</v>
      </c>
    </row>
    <row r="114" spans="1:9" x14ac:dyDescent="0.25">
      <c r="A114" s="19">
        <v>45474</v>
      </c>
      <c r="B114">
        <v>4105</v>
      </c>
      <c r="C114">
        <v>5</v>
      </c>
      <c r="D114" t="s">
        <v>20</v>
      </c>
      <c r="I114">
        <v>1</v>
      </c>
    </row>
    <row r="115" spans="1:9" x14ac:dyDescent="0.25">
      <c r="A115" s="19">
        <v>45474</v>
      </c>
      <c r="B115">
        <v>4106</v>
      </c>
      <c r="C115">
        <v>6</v>
      </c>
      <c r="D115" t="s">
        <v>20</v>
      </c>
      <c r="I115">
        <v>1</v>
      </c>
    </row>
    <row r="116" spans="1:9" x14ac:dyDescent="0.25">
      <c r="A116" s="19">
        <v>45474</v>
      </c>
      <c r="B116">
        <v>4108</v>
      </c>
      <c r="C116">
        <v>8</v>
      </c>
      <c r="D116" t="s">
        <v>20</v>
      </c>
      <c r="I116">
        <v>1</v>
      </c>
    </row>
    <row r="117" spans="1:9" x14ac:dyDescent="0.25">
      <c r="A117" s="19">
        <v>45474</v>
      </c>
      <c r="B117">
        <v>4109</v>
      </c>
      <c r="C117">
        <v>9</v>
      </c>
      <c r="D117" t="s">
        <v>20</v>
      </c>
      <c r="I117">
        <v>1</v>
      </c>
    </row>
    <row r="118" spans="1:9" x14ac:dyDescent="0.25">
      <c r="A118" s="19">
        <v>45474</v>
      </c>
      <c r="B118">
        <v>4110</v>
      </c>
      <c r="C118">
        <v>10</v>
      </c>
      <c r="D118" t="s">
        <v>20</v>
      </c>
      <c r="I118">
        <v>1</v>
      </c>
    </row>
    <row r="119" spans="1:9" x14ac:dyDescent="0.25">
      <c r="A119" s="19">
        <v>45474</v>
      </c>
      <c r="B119">
        <v>4111</v>
      </c>
      <c r="C119">
        <v>11</v>
      </c>
      <c r="D119" t="s">
        <v>20</v>
      </c>
      <c r="I119">
        <v>1</v>
      </c>
    </row>
    <row r="120" spans="1:9" x14ac:dyDescent="0.25">
      <c r="A120" s="19">
        <v>45474</v>
      </c>
      <c r="B120">
        <v>4112</v>
      </c>
      <c r="C120">
        <v>12</v>
      </c>
      <c r="D120" t="s">
        <v>20</v>
      </c>
      <c r="I120">
        <v>1</v>
      </c>
    </row>
    <row r="121" spans="1:9" x14ac:dyDescent="0.25">
      <c r="A121" s="19">
        <v>45474</v>
      </c>
      <c r="B121">
        <v>4114</v>
      </c>
      <c r="C121">
        <v>14</v>
      </c>
      <c r="D121" t="s">
        <v>20</v>
      </c>
      <c r="I121">
        <v>1</v>
      </c>
    </row>
    <row r="122" spans="1:9" x14ac:dyDescent="0.25">
      <c r="A122" s="19">
        <v>45474</v>
      </c>
      <c r="B122">
        <v>4115</v>
      </c>
      <c r="C122">
        <v>15</v>
      </c>
      <c r="D122" t="s">
        <v>20</v>
      </c>
      <c r="I122">
        <v>1</v>
      </c>
    </row>
    <row r="123" spans="1:9" x14ac:dyDescent="0.25">
      <c r="A123" s="19">
        <v>45484</v>
      </c>
      <c r="B123">
        <v>2209</v>
      </c>
      <c r="C123">
        <v>9</v>
      </c>
      <c r="D123" t="s">
        <v>19</v>
      </c>
      <c r="I123">
        <v>1</v>
      </c>
    </row>
    <row r="124" spans="1:9" x14ac:dyDescent="0.25">
      <c r="A124" s="19">
        <v>45484</v>
      </c>
      <c r="B124">
        <v>2210</v>
      </c>
      <c r="C124">
        <v>10</v>
      </c>
      <c r="D124" t="s">
        <v>19</v>
      </c>
      <c r="I124">
        <v>1</v>
      </c>
    </row>
    <row r="125" spans="1:9" x14ac:dyDescent="0.25">
      <c r="A125" s="19">
        <v>45484</v>
      </c>
      <c r="B125">
        <v>2211</v>
      </c>
      <c r="C125">
        <v>11</v>
      </c>
      <c r="D125" t="s">
        <v>19</v>
      </c>
      <c r="I125">
        <v>1</v>
      </c>
    </row>
    <row r="126" spans="1:9" x14ac:dyDescent="0.25">
      <c r="A126" s="19">
        <v>45484</v>
      </c>
      <c r="B126">
        <v>2212</v>
      </c>
      <c r="C126">
        <v>12</v>
      </c>
      <c r="D126" t="s">
        <v>19</v>
      </c>
      <c r="I126">
        <v>1</v>
      </c>
    </row>
    <row r="127" spans="1:9" x14ac:dyDescent="0.25">
      <c r="A127" s="19">
        <v>45490</v>
      </c>
      <c r="B127">
        <v>4105</v>
      </c>
      <c r="C127">
        <v>5</v>
      </c>
      <c r="D127" t="s">
        <v>20</v>
      </c>
      <c r="I127">
        <v>1</v>
      </c>
    </row>
    <row r="128" spans="1:9" x14ac:dyDescent="0.25">
      <c r="A128" s="19">
        <v>45490</v>
      </c>
      <c r="B128">
        <v>4106</v>
      </c>
      <c r="C128">
        <v>6</v>
      </c>
      <c r="D128" t="s">
        <v>20</v>
      </c>
      <c r="I128">
        <v>1</v>
      </c>
    </row>
    <row r="129" spans="1:9" x14ac:dyDescent="0.25">
      <c r="A129" s="19">
        <v>45490</v>
      </c>
      <c r="B129">
        <v>4108</v>
      </c>
      <c r="C129">
        <v>8</v>
      </c>
      <c r="D129" t="s">
        <v>20</v>
      </c>
      <c r="I129">
        <v>1</v>
      </c>
    </row>
    <row r="130" spans="1:9" x14ac:dyDescent="0.25">
      <c r="A130" s="19">
        <v>45490</v>
      </c>
      <c r="B130">
        <v>4109</v>
      </c>
      <c r="C130">
        <v>9</v>
      </c>
      <c r="D130" t="s">
        <v>20</v>
      </c>
      <c r="I130">
        <v>1</v>
      </c>
    </row>
    <row r="131" spans="1:9" x14ac:dyDescent="0.25">
      <c r="A131" s="19">
        <v>45490</v>
      </c>
      <c r="B131">
        <v>4110</v>
      </c>
      <c r="C131">
        <v>10</v>
      </c>
      <c r="D131" t="s">
        <v>20</v>
      </c>
      <c r="I131">
        <v>1</v>
      </c>
    </row>
    <row r="132" spans="1:9" x14ac:dyDescent="0.25">
      <c r="A132" s="19">
        <v>45490</v>
      </c>
      <c r="B132">
        <v>4111</v>
      </c>
      <c r="C132">
        <v>11</v>
      </c>
      <c r="D132" t="s">
        <v>20</v>
      </c>
      <c r="I132">
        <v>1</v>
      </c>
    </row>
    <row r="133" spans="1:9" x14ac:dyDescent="0.25">
      <c r="A133" s="19">
        <v>45490</v>
      </c>
      <c r="B133">
        <v>4112</v>
      </c>
      <c r="C133">
        <v>12</v>
      </c>
      <c r="D133" t="s">
        <v>20</v>
      </c>
      <c r="I133">
        <v>1</v>
      </c>
    </row>
    <row r="134" spans="1:9" x14ac:dyDescent="0.25">
      <c r="A134" s="19">
        <v>45490</v>
      </c>
      <c r="B134">
        <v>4114</v>
      </c>
      <c r="C134">
        <v>14</v>
      </c>
      <c r="D134" t="s">
        <v>20</v>
      </c>
      <c r="I134">
        <v>1</v>
      </c>
    </row>
    <row r="135" spans="1:9" x14ac:dyDescent="0.25">
      <c r="A135" s="19">
        <v>45490</v>
      </c>
      <c r="B135">
        <v>4115</v>
      </c>
      <c r="C135">
        <v>15</v>
      </c>
      <c r="D135" t="s">
        <v>20</v>
      </c>
      <c r="I135">
        <v>1</v>
      </c>
    </row>
    <row r="136" spans="1:9" x14ac:dyDescent="0.25">
      <c r="A136" s="19">
        <v>45491</v>
      </c>
      <c r="B136">
        <v>2101</v>
      </c>
      <c r="C136">
        <v>1</v>
      </c>
      <c r="D136" t="s">
        <v>19</v>
      </c>
      <c r="I136">
        <v>1</v>
      </c>
    </row>
    <row r="137" spans="1:9" x14ac:dyDescent="0.25">
      <c r="A137" s="19">
        <v>45491</v>
      </c>
      <c r="B137">
        <v>2102</v>
      </c>
      <c r="C137">
        <v>2</v>
      </c>
      <c r="D137" t="s">
        <v>19</v>
      </c>
      <c r="I137">
        <v>1</v>
      </c>
    </row>
    <row r="138" spans="1:9" x14ac:dyDescent="0.25">
      <c r="A138" s="19">
        <v>45491</v>
      </c>
      <c r="B138">
        <v>2103</v>
      </c>
      <c r="C138">
        <v>3</v>
      </c>
      <c r="D138" t="s">
        <v>19</v>
      </c>
      <c r="I138">
        <v>1</v>
      </c>
    </row>
    <row r="139" spans="1:9" x14ac:dyDescent="0.25">
      <c r="A139" s="19">
        <v>45491</v>
      </c>
      <c r="B139">
        <v>2104</v>
      </c>
      <c r="C139">
        <v>4</v>
      </c>
      <c r="D139" t="s">
        <v>19</v>
      </c>
      <c r="I139">
        <v>1</v>
      </c>
    </row>
    <row r="140" spans="1:9" x14ac:dyDescent="0.25">
      <c r="A140" s="19">
        <v>45491</v>
      </c>
      <c r="B140">
        <v>2105</v>
      </c>
      <c r="C140">
        <v>5</v>
      </c>
      <c r="D140" t="s">
        <v>19</v>
      </c>
      <c r="I140">
        <v>1</v>
      </c>
    </row>
    <row r="141" spans="1:9" x14ac:dyDescent="0.25">
      <c r="A141" s="19">
        <v>45491</v>
      </c>
      <c r="B141">
        <v>2106</v>
      </c>
      <c r="C141">
        <v>6</v>
      </c>
      <c r="D141" t="s">
        <v>19</v>
      </c>
      <c r="I141">
        <v>1</v>
      </c>
    </row>
    <row r="142" spans="1:9" x14ac:dyDescent="0.25">
      <c r="A142" s="19">
        <v>45491</v>
      </c>
      <c r="B142">
        <v>2107</v>
      </c>
      <c r="C142">
        <v>7</v>
      </c>
      <c r="D142" t="s">
        <v>19</v>
      </c>
      <c r="I142">
        <v>1</v>
      </c>
    </row>
    <row r="143" spans="1:9" x14ac:dyDescent="0.25">
      <c r="A143" s="19">
        <v>45491</v>
      </c>
      <c r="B143">
        <v>2108</v>
      </c>
      <c r="C143">
        <v>8</v>
      </c>
      <c r="D143" t="s">
        <v>19</v>
      </c>
      <c r="I143">
        <v>1</v>
      </c>
    </row>
    <row r="144" spans="1:9" x14ac:dyDescent="0.25">
      <c r="A144" s="19">
        <v>45491</v>
      </c>
      <c r="B144">
        <v>2109</v>
      </c>
      <c r="C144">
        <v>9</v>
      </c>
      <c r="D144" t="s">
        <v>19</v>
      </c>
      <c r="I144">
        <v>1</v>
      </c>
    </row>
    <row r="145" spans="1:10" x14ac:dyDescent="0.25">
      <c r="A145" s="19">
        <v>45491</v>
      </c>
      <c r="B145">
        <v>2110</v>
      </c>
      <c r="C145">
        <v>10</v>
      </c>
      <c r="D145" t="s">
        <v>19</v>
      </c>
      <c r="I145">
        <v>1</v>
      </c>
    </row>
    <row r="146" spans="1:10" x14ac:dyDescent="0.25">
      <c r="A146" s="19">
        <v>45491</v>
      </c>
      <c r="B146">
        <v>2111</v>
      </c>
      <c r="C146">
        <v>11</v>
      </c>
      <c r="D146" t="s">
        <v>19</v>
      </c>
      <c r="I146">
        <v>1</v>
      </c>
      <c r="J146" s="19"/>
    </row>
    <row r="147" spans="1:10" x14ac:dyDescent="0.25">
      <c r="A147" s="19">
        <v>45491</v>
      </c>
      <c r="B147">
        <v>2112</v>
      </c>
      <c r="C147">
        <v>12</v>
      </c>
      <c r="D147" t="s">
        <v>19</v>
      </c>
      <c r="I147">
        <v>1</v>
      </c>
    </row>
    <row r="148" spans="1:10" x14ac:dyDescent="0.25">
      <c r="A148" s="19">
        <v>45491</v>
      </c>
      <c r="B148">
        <v>2113</v>
      </c>
      <c r="C148">
        <v>13</v>
      </c>
      <c r="D148" t="s">
        <v>19</v>
      </c>
      <c r="I148">
        <v>1</v>
      </c>
    </row>
    <row r="149" spans="1:10" x14ac:dyDescent="0.25">
      <c r="A149" s="19">
        <v>45495</v>
      </c>
      <c r="B149">
        <v>4101</v>
      </c>
      <c r="C149">
        <v>1</v>
      </c>
      <c r="D149" t="s">
        <v>20</v>
      </c>
      <c r="I149">
        <v>1</v>
      </c>
    </row>
    <row r="150" spans="1:10" x14ac:dyDescent="0.25">
      <c r="A150" s="19">
        <v>45495</v>
      </c>
      <c r="B150">
        <v>4105</v>
      </c>
      <c r="C150">
        <v>5</v>
      </c>
      <c r="D150" t="s">
        <v>20</v>
      </c>
      <c r="I150">
        <v>1</v>
      </c>
    </row>
    <row r="151" spans="1:10" x14ac:dyDescent="0.25">
      <c r="A151" s="19">
        <v>45495</v>
      </c>
      <c r="B151">
        <v>4106</v>
      </c>
      <c r="C151">
        <v>6</v>
      </c>
      <c r="D151" t="s">
        <v>20</v>
      </c>
      <c r="I151">
        <v>1</v>
      </c>
    </row>
    <row r="152" spans="1:10" x14ac:dyDescent="0.25">
      <c r="A152" s="19">
        <v>45495</v>
      </c>
      <c r="B152">
        <v>4108</v>
      </c>
      <c r="C152">
        <v>8</v>
      </c>
      <c r="D152" t="s">
        <v>20</v>
      </c>
      <c r="I152">
        <v>1</v>
      </c>
    </row>
    <row r="153" spans="1:10" x14ac:dyDescent="0.25">
      <c r="A153" s="19">
        <v>45495</v>
      </c>
      <c r="B153">
        <v>4109</v>
      </c>
      <c r="C153">
        <v>9</v>
      </c>
      <c r="D153" t="s">
        <v>20</v>
      </c>
      <c r="I153">
        <v>1</v>
      </c>
    </row>
    <row r="154" spans="1:10" x14ac:dyDescent="0.25">
      <c r="A154" s="19">
        <v>45495</v>
      </c>
      <c r="B154">
        <v>4110</v>
      </c>
      <c r="C154">
        <v>10</v>
      </c>
      <c r="D154" t="s">
        <v>20</v>
      </c>
      <c r="I154">
        <v>1</v>
      </c>
      <c r="J154" t="s">
        <v>25</v>
      </c>
    </row>
    <row r="155" spans="1:10" x14ac:dyDescent="0.25">
      <c r="A155" s="19">
        <v>45495</v>
      </c>
      <c r="B155">
        <v>4111</v>
      </c>
      <c r="C155">
        <v>11</v>
      </c>
      <c r="D155" t="s">
        <v>20</v>
      </c>
      <c r="I155">
        <v>1</v>
      </c>
    </row>
    <row r="156" spans="1:10" x14ac:dyDescent="0.25">
      <c r="A156" s="19">
        <v>45495</v>
      </c>
      <c r="B156">
        <v>4112</v>
      </c>
      <c r="C156">
        <v>12</v>
      </c>
      <c r="D156" t="s">
        <v>20</v>
      </c>
      <c r="I156">
        <v>1</v>
      </c>
    </row>
    <row r="157" spans="1:10" x14ac:dyDescent="0.25">
      <c r="A157" s="19">
        <v>45495</v>
      </c>
      <c r="B157">
        <v>4114</v>
      </c>
      <c r="C157">
        <v>14</v>
      </c>
      <c r="D157" t="s">
        <v>20</v>
      </c>
      <c r="I157">
        <v>1</v>
      </c>
    </row>
    <row r="158" spans="1:10" x14ac:dyDescent="0.25">
      <c r="A158" s="19">
        <v>45495</v>
      </c>
      <c r="B158">
        <v>4115</v>
      </c>
      <c r="C158">
        <v>15</v>
      </c>
      <c r="D158" t="s">
        <v>20</v>
      </c>
      <c r="I158">
        <v>1</v>
      </c>
    </row>
    <row r="159" spans="1:10" x14ac:dyDescent="0.25">
      <c r="A159" s="19">
        <v>45496</v>
      </c>
      <c r="B159">
        <v>3101</v>
      </c>
      <c r="C159">
        <v>1</v>
      </c>
      <c r="D159" t="s">
        <v>22</v>
      </c>
      <c r="I159">
        <v>1</v>
      </c>
    </row>
    <row r="160" spans="1:10" x14ac:dyDescent="0.25">
      <c r="A160" s="19">
        <v>45496</v>
      </c>
      <c r="B160">
        <v>3102</v>
      </c>
      <c r="C160">
        <v>2</v>
      </c>
      <c r="D160" t="s">
        <v>22</v>
      </c>
      <c r="I160">
        <v>1</v>
      </c>
    </row>
    <row r="161" spans="1:9" x14ac:dyDescent="0.25">
      <c r="A161" s="19">
        <v>45496</v>
      </c>
      <c r="B161">
        <v>3103</v>
      </c>
      <c r="C161">
        <v>3</v>
      </c>
      <c r="D161" t="s">
        <v>22</v>
      </c>
      <c r="I161">
        <v>1</v>
      </c>
    </row>
    <row r="162" spans="1:9" x14ac:dyDescent="0.25">
      <c r="A162" s="19">
        <v>45496</v>
      </c>
      <c r="B162">
        <v>3104</v>
      </c>
      <c r="C162">
        <v>4</v>
      </c>
      <c r="D162" t="s">
        <v>22</v>
      </c>
      <c r="I162">
        <v>1</v>
      </c>
    </row>
    <row r="163" spans="1:9" x14ac:dyDescent="0.25">
      <c r="A163" s="19">
        <v>45496</v>
      </c>
      <c r="B163">
        <v>3105</v>
      </c>
      <c r="C163">
        <v>5</v>
      </c>
      <c r="D163" t="s">
        <v>22</v>
      </c>
      <c r="I163">
        <v>1</v>
      </c>
    </row>
    <row r="164" spans="1:9" x14ac:dyDescent="0.25">
      <c r="A164" s="19">
        <v>45496</v>
      </c>
      <c r="B164">
        <v>3106</v>
      </c>
      <c r="C164">
        <v>6</v>
      </c>
      <c r="D164" t="s">
        <v>22</v>
      </c>
      <c r="I164">
        <v>1</v>
      </c>
    </row>
    <row r="165" spans="1:9" x14ac:dyDescent="0.25">
      <c r="A165" s="19">
        <v>45496</v>
      </c>
      <c r="B165">
        <v>3107</v>
      </c>
      <c r="C165">
        <v>7</v>
      </c>
      <c r="D165" t="s">
        <v>22</v>
      </c>
      <c r="I165">
        <v>1</v>
      </c>
    </row>
    <row r="166" spans="1:9" x14ac:dyDescent="0.25">
      <c r="A166" s="19">
        <v>45496</v>
      </c>
      <c r="B166">
        <v>3108</v>
      </c>
      <c r="C166">
        <v>8</v>
      </c>
      <c r="D166" t="s">
        <v>22</v>
      </c>
      <c r="I166">
        <v>1</v>
      </c>
    </row>
    <row r="167" spans="1:9" x14ac:dyDescent="0.25">
      <c r="A167" s="19">
        <v>45496</v>
      </c>
      <c r="B167">
        <v>3109</v>
      </c>
      <c r="C167">
        <v>9</v>
      </c>
      <c r="D167" t="s">
        <v>22</v>
      </c>
      <c r="I167">
        <v>1</v>
      </c>
    </row>
    <row r="168" spans="1:9" x14ac:dyDescent="0.25">
      <c r="A168" s="19">
        <v>45496</v>
      </c>
      <c r="B168">
        <v>3110</v>
      </c>
      <c r="C168">
        <v>10</v>
      </c>
      <c r="D168" t="s">
        <v>22</v>
      </c>
      <c r="I168">
        <v>1</v>
      </c>
    </row>
    <row r="169" spans="1:9" x14ac:dyDescent="0.25">
      <c r="A169" s="19">
        <v>45496</v>
      </c>
      <c r="B169">
        <v>3113</v>
      </c>
      <c r="C169">
        <v>13</v>
      </c>
      <c r="D169" t="s">
        <v>22</v>
      </c>
      <c r="I169">
        <v>1</v>
      </c>
    </row>
    <row r="170" spans="1:9" x14ac:dyDescent="0.25">
      <c r="A170" s="19">
        <v>45496</v>
      </c>
      <c r="B170">
        <v>3114</v>
      </c>
      <c r="C170">
        <v>14</v>
      </c>
      <c r="D170" t="s">
        <v>22</v>
      </c>
      <c r="I170">
        <v>1</v>
      </c>
    </row>
    <row r="171" spans="1:9" x14ac:dyDescent="0.25">
      <c r="A171" s="19">
        <v>45503</v>
      </c>
      <c r="C171">
        <v>1</v>
      </c>
      <c r="D171" t="s">
        <v>20</v>
      </c>
    </row>
    <row r="172" spans="1:9" x14ac:dyDescent="0.25">
      <c r="A172" s="19">
        <v>45503</v>
      </c>
      <c r="C172">
        <v>2</v>
      </c>
      <c r="D172" t="s">
        <v>20</v>
      </c>
    </row>
    <row r="173" spans="1:9" x14ac:dyDescent="0.25">
      <c r="A173" s="19">
        <v>45503</v>
      </c>
      <c r="C173">
        <v>5</v>
      </c>
      <c r="D173" t="s">
        <v>20</v>
      </c>
    </row>
    <row r="174" spans="1:9" x14ac:dyDescent="0.25">
      <c r="A174" s="19">
        <v>45503</v>
      </c>
      <c r="C174">
        <v>6</v>
      </c>
      <c r="D174" t="s">
        <v>20</v>
      </c>
    </row>
    <row r="175" spans="1:9" x14ac:dyDescent="0.25">
      <c r="A175" s="19">
        <v>45503</v>
      </c>
      <c r="C175">
        <v>8</v>
      </c>
      <c r="D175" t="s">
        <v>20</v>
      </c>
    </row>
    <row r="176" spans="1:9" x14ac:dyDescent="0.25">
      <c r="A176" s="19">
        <v>45503</v>
      </c>
      <c r="C176">
        <v>9</v>
      </c>
      <c r="D176" t="s">
        <v>20</v>
      </c>
    </row>
    <row r="177" spans="1:4" x14ac:dyDescent="0.25">
      <c r="A177" s="19">
        <v>45503</v>
      </c>
      <c r="C177">
        <v>10</v>
      </c>
      <c r="D177" t="s">
        <v>20</v>
      </c>
    </row>
    <row r="178" spans="1:4" x14ac:dyDescent="0.25">
      <c r="A178" s="19">
        <v>45503</v>
      </c>
      <c r="C178">
        <v>11</v>
      </c>
      <c r="D178" t="s">
        <v>20</v>
      </c>
    </row>
    <row r="179" spans="1:4" x14ac:dyDescent="0.25">
      <c r="A179" s="19">
        <v>45503</v>
      </c>
      <c r="C179">
        <v>12</v>
      </c>
      <c r="D179" t="s">
        <v>20</v>
      </c>
    </row>
    <row r="180" spans="1:4" x14ac:dyDescent="0.25">
      <c r="A180" s="19">
        <v>45503</v>
      </c>
      <c r="C180">
        <v>14</v>
      </c>
      <c r="D180" t="s">
        <v>20</v>
      </c>
    </row>
    <row r="181" spans="1:4" x14ac:dyDescent="0.25">
      <c r="A181" s="19">
        <v>45503</v>
      </c>
      <c r="C181">
        <v>15</v>
      </c>
      <c r="D181" t="s">
        <v>20</v>
      </c>
    </row>
    <row r="182" spans="1:4" x14ac:dyDescent="0.25">
      <c r="A182" s="19">
        <v>45504</v>
      </c>
      <c r="C182">
        <v>1</v>
      </c>
      <c r="D182" t="s">
        <v>19</v>
      </c>
    </row>
    <row r="183" spans="1:4" x14ac:dyDescent="0.25">
      <c r="A183" s="19">
        <v>45504</v>
      </c>
      <c r="C183">
        <v>2</v>
      </c>
      <c r="D183" t="s">
        <v>19</v>
      </c>
    </row>
    <row r="184" spans="1:4" x14ac:dyDescent="0.25">
      <c r="A184" s="19">
        <v>45504</v>
      </c>
      <c r="C184">
        <v>3</v>
      </c>
      <c r="D184" t="s">
        <v>19</v>
      </c>
    </row>
    <row r="185" spans="1:4" x14ac:dyDescent="0.25">
      <c r="A185" s="19">
        <v>45504</v>
      </c>
      <c r="C185">
        <v>4</v>
      </c>
      <c r="D185" t="s">
        <v>19</v>
      </c>
    </row>
    <row r="186" spans="1:4" x14ac:dyDescent="0.25">
      <c r="A186" s="19">
        <v>45504</v>
      </c>
      <c r="C186">
        <v>5</v>
      </c>
      <c r="D186" t="s">
        <v>19</v>
      </c>
    </row>
    <row r="187" spans="1:4" x14ac:dyDescent="0.25">
      <c r="A187" s="19">
        <v>45504</v>
      </c>
      <c r="C187">
        <v>6</v>
      </c>
      <c r="D187" t="s">
        <v>19</v>
      </c>
    </row>
    <row r="188" spans="1:4" x14ac:dyDescent="0.25">
      <c r="A188" s="19">
        <v>45504</v>
      </c>
      <c r="C188">
        <v>7</v>
      </c>
      <c r="D188" t="s">
        <v>19</v>
      </c>
    </row>
    <row r="189" spans="1:4" x14ac:dyDescent="0.25">
      <c r="A189" s="19">
        <v>45504</v>
      </c>
      <c r="C189">
        <v>8</v>
      </c>
      <c r="D189" t="s">
        <v>19</v>
      </c>
    </row>
    <row r="190" spans="1:4" x14ac:dyDescent="0.25">
      <c r="A190" s="19">
        <v>45504</v>
      </c>
      <c r="C190">
        <v>9</v>
      </c>
      <c r="D190" t="s">
        <v>19</v>
      </c>
    </row>
    <row r="191" spans="1:4" x14ac:dyDescent="0.25">
      <c r="A191" s="19">
        <v>45504</v>
      </c>
      <c r="C191">
        <v>10</v>
      </c>
      <c r="D191" t="s">
        <v>19</v>
      </c>
    </row>
    <row r="192" spans="1:4" x14ac:dyDescent="0.25">
      <c r="A192" s="19">
        <v>45504</v>
      </c>
      <c r="C192">
        <v>11</v>
      </c>
      <c r="D192" t="s">
        <v>19</v>
      </c>
    </row>
    <row r="193" spans="1:4" x14ac:dyDescent="0.25">
      <c r="A193" s="19">
        <v>45504</v>
      </c>
      <c r="C193">
        <v>12</v>
      </c>
      <c r="D193" t="s">
        <v>19</v>
      </c>
    </row>
    <row r="194" spans="1:4" x14ac:dyDescent="0.25">
      <c r="A194" s="19">
        <v>45504</v>
      </c>
      <c r="C194">
        <v>13</v>
      </c>
      <c r="D194" t="s">
        <v>19</v>
      </c>
    </row>
    <row r="195" spans="1:4" x14ac:dyDescent="0.25">
      <c r="A195" s="19">
        <v>45509</v>
      </c>
      <c r="C195">
        <v>1</v>
      </c>
      <c r="D195" t="s">
        <v>22</v>
      </c>
    </row>
    <row r="196" spans="1:4" x14ac:dyDescent="0.25">
      <c r="A196" s="19">
        <v>45509</v>
      </c>
      <c r="C196">
        <v>2</v>
      </c>
      <c r="D196" t="s">
        <v>22</v>
      </c>
    </row>
    <row r="197" spans="1:4" x14ac:dyDescent="0.25">
      <c r="A197" s="19">
        <v>45509</v>
      </c>
      <c r="C197">
        <v>3</v>
      </c>
      <c r="D197" t="s">
        <v>22</v>
      </c>
    </row>
    <row r="198" spans="1:4" x14ac:dyDescent="0.25">
      <c r="A198" s="19">
        <v>45509</v>
      </c>
      <c r="C198">
        <v>4</v>
      </c>
      <c r="D198" t="s">
        <v>22</v>
      </c>
    </row>
    <row r="199" spans="1:4" x14ac:dyDescent="0.25">
      <c r="A199" s="19">
        <v>45509</v>
      </c>
      <c r="C199">
        <v>5</v>
      </c>
      <c r="D199" t="s">
        <v>22</v>
      </c>
    </row>
    <row r="200" spans="1:4" x14ac:dyDescent="0.25">
      <c r="A200" s="19">
        <v>45509</v>
      </c>
      <c r="C200">
        <v>6</v>
      </c>
      <c r="D200" t="s">
        <v>22</v>
      </c>
    </row>
    <row r="201" spans="1:4" x14ac:dyDescent="0.25">
      <c r="A201" s="19">
        <v>45509</v>
      </c>
      <c r="C201">
        <v>7</v>
      </c>
      <c r="D201" t="s">
        <v>22</v>
      </c>
    </row>
    <row r="202" spans="1:4" x14ac:dyDescent="0.25">
      <c r="A202" s="19">
        <v>45509</v>
      </c>
      <c r="C202">
        <v>8</v>
      </c>
      <c r="D202" t="s">
        <v>22</v>
      </c>
    </row>
    <row r="203" spans="1:4" x14ac:dyDescent="0.25">
      <c r="A203" s="19">
        <v>45509</v>
      </c>
      <c r="C203">
        <v>9</v>
      </c>
      <c r="D203" t="s">
        <v>22</v>
      </c>
    </row>
    <row r="204" spans="1:4" x14ac:dyDescent="0.25">
      <c r="A204" s="19">
        <v>45509</v>
      </c>
      <c r="C204">
        <v>10</v>
      </c>
      <c r="D204" t="s">
        <v>22</v>
      </c>
    </row>
    <row r="205" spans="1:4" x14ac:dyDescent="0.25">
      <c r="A205" s="19">
        <v>45509</v>
      </c>
      <c r="C205">
        <v>13</v>
      </c>
      <c r="D205" t="s">
        <v>22</v>
      </c>
    </row>
    <row r="206" spans="1:4" x14ac:dyDescent="0.25">
      <c r="A206" s="19">
        <v>45509</v>
      </c>
      <c r="C206">
        <v>14</v>
      </c>
      <c r="D206" t="s">
        <v>22</v>
      </c>
    </row>
    <row r="207" spans="1:4" x14ac:dyDescent="0.25">
      <c r="A207" s="19">
        <v>45518</v>
      </c>
      <c r="C207">
        <v>1</v>
      </c>
      <c r="D207" t="s">
        <v>20</v>
      </c>
    </row>
    <row r="208" spans="1:4" x14ac:dyDescent="0.25">
      <c r="A208" s="19">
        <v>45518</v>
      </c>
      <c r="C208">
        <v>5</v>
      </c>
      <c r="D208" t="s">
        <v>20</v>
      </c>
    </row>
    <row r="209" spans="1:4" x14ac:dyDescent="0.25">
      <c r="A209" s="19">
        <v>45518</v>
      </c>
      <c r="C209">
        <v>6</v>
      </c>
      <c r="D209" t="s">
        <v>20</v>
      </c>
    </row>
    <row r="210" spans="1:4" x14ac:dyDescent="0.25">
      <c r="A210" s="19">
        <v>45518</v>
      </c>
      <c r="C210">
        <v>8</v>
      </c>
      <c r="D210" t="s">
        <v>20</v>
      </c>
    </row>
    <row r="211" spans="1:4" x14ac:dyDescent="0.25">
      <c r="A211" s="19">
        <v>45518</v>
      </c>
      <c r="C211">
        <v>9</v>
      </c>
      <c r="D211" t="s">
        <v>20</v>
      </c>
    </row>
    <row r="212" spans="1:4" x14ac:dyDescent="0.25">
      <c r="A212" s="19">
        <v>45518</v>
      </c>
      <c r="C212">
        <v>10</v>
      </c>
      <c r="D212" t="s">
        <v>20</v>
      </c>
    </row>
    <row r="213" spans="1:4" x14ac:dyDescent="0.25">
      <c r="A213" s="19">
        <v>45518</v>
      </c>
      <c r="C213">
        <v>11</v>
      </c>
      <c r="D213" t="s">
        <v>20</v>
      </c>
    </row>
    <row r="214" spans="1:4" x14ac:dyDescent="0.25">
      <c r="A214" s="19">
        <v>45518</v>
      </c>
      <c r="C214">
        <v>12</v>
      </c>
      <c r="D214" t="s">
        <v>20</v>
      </c>
    </row>
    <row r="215" spans="1:4" x14ac:dyDescent="0.25">
      <c r="A215" s="19">
        <v>45518</v>
      </c>
      <c r="C215">
        <v>14</v>
      </c>
      <c r="D215" t="s">
        <v>20</v>
      </c>
    </row>
    <row r="216" spans="1:4" x14ac:dyDescent="0.25">
      <c r="A216" s="19">
        <v>45518</v>
      </c>
      <c r="C216">
        <v>15</v>
      </c>
      <c r="D216" t="s">
        <v>20</v>
      </c>
    </row>
    <row r="351" spans="6:7" x14ac:dyDescent="0.25">
      <c r="F351" s="23"/>
      <c r="G351" s="23"/>
    </row>
    <row r="352" spans="6:7" x14ac:dyDescent="0.25">
      <c r="F352" s="23"/>
      <c r="G352" s="23"/>
    </row>
    <row r="353" spans="6:7" x14ac:dyDescent="0.25">
      <c r="F353" s="23"/>
      <c r="G353" s="23"/>
    </row>
    <row r="354" spans="6:7" x14ac:dyDescent="0.25">
      <c r="F354" s="23"/>
      <c r="G354" s="23"/>
    </row>
    <row r="355" spans="6:7" x14ac:dyDescent="0.25">
      <c r="F355" s="23"/>
      <c r="G355" s="23"/>
    </row>
    <row r="356" spans="6:7" x14ac:dyDescent="0.25">
      <c r="F356" s="23"/>
      <c r="G356" s="23"/>
    </row>
    <row r="357" spans="6:7" x14ac:dyDescent="0.25">
      <c r="F357" s="23"/>
      <c r="G357" s="23"/>
    </row>
    <row r="358" spans="6:7" x14ac:dyDescent="0.25">
      <c r="F358" s="23"/>
      <c r="G358" s="23"/>
    </row>
  </sheetData>
  <sortState xmlns:xlrd2="http://schemas.microsoft.com/office/spreadsheetml/2017/richdata2" ref="F215:F430">
    <sortCondition ref="F215:F430"/>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9BDDF-7FFE-44BA-9213-AAF44420CB0D}">
  <dimension ref="A1:BF631"/>
  <sheetViews>
    <sheetView tabSelected="1" topLeftCell="B1" zoomScale="70" zoomScaleNormal="70" workbookViewId="0">
      <pane ySplit="1" topLeftCell="A608" activePane="bottomLeft" state="frozen"/>
      <selection pane="bottomLeft" activeCell="B605" sqref="A605:XFD633"/>
    </sheetView>
  </sheetViews>
  <sheetFormatPr defaultRowHeight="15" x14ac:dyDescent="0.25"/>
  <cols>
    <col min="1" max="1" width="9.42578125" bestFit="1" customWidth="1"/>
    <col min="2" max="2" width="21.7109375" customWidth="1"/>
    <col min="3" max="3" width="22.5703125" bestFit="1" customWidth="1"/>
    <col min="4" max="4" width="9.140625" style="27" customWidth="1"/>
    <col min="5" max="5" width="8.42578125" style="27" bestFit="1" customWidth="1"/>
    <col min="6" max="6" width="13.7109375" style="56" bestFit="1" customWidth="1"/>
    <col min="7" max="7" width="7.28515625" bestFit="1" customWidth="1"/>
    <col min="8" max="8" width="10.140625" bestFit="1" customWidth="1"/>
    <col min="9" max="10" width="12" bestFit="1" customWidth="1"/>
    <col min="11" max="11" width="12.7109375" bestFit="1" customWidth="1"/>
    <col min="12" max="12" width="12" bestFit="1" customWidth="1"/>
    <col min="13" max="15" width="12" style="118" customWidth="1"/>
    <col min="16" max="16" width="12" customWidth="1"/>
    <col min="17" max="17" width="18.140625" style="161" bestFit="1" customWidth="1"/>
    <col min="18" max="18" width="14.85546875" customWidth="1"/>
    <col min="19" max="19" width="14.85546875" bestFit="1" customWidth="1"/>
    <col min="20" max="21" width="15.85546875" bestFit="1" customWidth="1"/>
    <col min="22" max="22" width="12.42578125" style="118" bestFit="1" customWidth="1"/>
    <col min="23" max="23" width="12" bestFit="1" customWidth="1"/>
    <col min="24" max="24" width="12.7109375" bestFit="1" customWidth="1"/>
    <col min="25" max="25" width="7" bestFit="1" customWidth="1"/>
    <col min="26" max="26" width="4.28515625" bestFit="1" customWidth="1"/>
    <col min="27" max="27" width="5" bestFit="1" customWidth="1"/>
    <col min="28" max="28" width="7.85546875" bestFit="1" customWidth="1"/>
    <col min="29" max="29" width="10.7109375" bestFit="1" customWidth="1"/>
    <col min="30" max="30" width="10.7109375" style="118" customWidth="1"/>
  </cols>
  <sheetData>
    <row r="1" spans="1:58" ht="32.25" customHeight="1" x14ac:dyDescent="0.25">
      <c r="A1" s="32" t="s">
        <v>26</v>
      </c>
      <c r="B1" s="32" t="s">
        <v>27</v>
      </c>
      <c r="C1" s="32" t="s">
        <v>292</v>
      </c>
      <c r="D1" s="35" t="s">
        <v>291</v>
      </c>
      <c r="E1" s="35" t="s">
        <v>290</v>
      </c>
      <c r="F1" s="35" t="s">
        <v>1754</v>
      </c>
      <c r="G1" s="32" t="s">
        <v>511</v>
      </c>
      <c r="H1" s="32" t="s">
        <v>510</v>
      </c>
      <c r="I1" s="32" t="s">
        <v>582</v>
      </c>
      <c r="J1" s="32" t="s">
        <v>583</v>
      </c>
      <c r="K1" s="32" t="s">
        <v>584</v>
      </c>
      <c r="L1" s="142" t="s">
        <v>585</v>
      </c>
      <c r="M1" s="143" t="s">
        <v>1019</v>
      </c>
      <c r="N1" s="143" t="s">
        <v>1020</v>
      </c>
      <c r="O1" s="143" t="s">
        <v>1021</v>
      </c>
      <c r="P1" s="143" t="s">
        <v>681</v>
      </c>
      <c r="Q1" s="160" t="s">
        <v>592</v>
      </c>
      <c r="R1" s="32" t="s">
        <v>629</v>
      </c>
      <c r="S1" s="32" t="s">
        <v>630</v>
      </c>
      <c r="T1" s="32" t="s">
        <v>679</v>
      </c>
      <c r="U1" s="32" t="s">
        <v>678</v>
      </c>
      <c r="V1" s="32" t="s">
        <v>1643</v>
      </c>
      <c r="W1" s="32" t="s">
        <v>586</v>
      </c>
      <c r="X1" s="32" t="s">
        <v>587</v>
      </c>
      <c r="Y1" s="32" t="s">
        <v>588</v>
      </c>
      <c r="Z1" s="32" t="s">
        <v>589</v>
      </c>
      <c r="AA1" s="32" t="s">
        <v>590</v>
      </c>
      <c r="AB1" s="32" t="s">
        <v>591</v>
      </c>
      <c r="AC1" s="33" t="s">
        <v>16</v>
      </c>
      <c r="AD1" s="118" t="s">
        <v>1041</v>
      </c>
      <c r="AE1" s="118" t="s">
        <v>1684</v>
      </c>
      <c r="AF1" s="118" t="s">
        <v>1685</v>
      </c>
      <c r="AG1" s="118" t="s">
        <v>1686</v>
      </c>
      <c r="AH1" s="118" t="s">
        <v>1687</v>
      </c>
      <c r="AI1" s="118" t="s">
        <v>1688</v>
      </c>
      <c r="AJ1" s="118" t="s">
        <v>1689</v>
      </c>
      <c r="AK1" s="118" t="s">
        <v>1690</v>
      </c>
      <c r="AL1" s="118" t="s">
        <v>1691</v>
      </c>
      <c r="AM1" s="118" t="s">
        <v>1692</v>
      </c>
      <c r="AN1" s="118" t="s">
        <v>1693</v>
      </c>
      <c r="AO1" s="118" t="s">
        <v>1694</v>
      </c>
      <c r="AP1" s="118" t="s">
        <v>1695</v>
      </c>
      <c r="AQ1" s="118" t="s">
        <v>1696</v>
      </c>
      <c r="AR1" s="118" t="s">
        <v>1697</v>
      </c>
      <c r="AS1" s="118" t="s">
        <v>1698</v>
      </c>
      <c r="AT1" s="118" t="s">
        <v>1699</v>
      </c>
      <c r="AU1" s="118" t="s">
        <v>1700</v>
      </c>
      <c r="AV1" s="118" t="s">
        <v>1701</v>
      </c>
      <c r="AW1" s="118" t="s">
        <v>1702</v>
      </c>
      <c r="AX1" s="118" t="s">
        <v>1703</v>
      </c>
      <c r="AY1" s="118" t="s">
        <v>1704</v>
      </c>
      <c r="AZ1" s="118" t="s">
        <v>1705</v>
      </c>
      <c r="BA1" s="118" t="s">
        <v>1706</v>
      </c>
      <c r="BB1" s="118" t="s">
        <v>1707</v>
      </c>
      <c r="BC1" s="118" t="s">
        <v>1708</v>
      </c>
      <c r="BD1" s="118" t="s">
        <v>1709</v>
      </c>
      <c r="BE1" s="118" t="s">
        <v>1710</v>
      </c>
      <c r="BF1" s="118" t="s">
        <v>1711</v>
      </c>
    </row>
    <row r="2" spans="1:58" x14ac:dyDescent="0.25">
      <c r="A2" s="25">
        <v>10001</v>
      </c>
      <c r="B2" t="s">
        <v>28</v>
      </c>
      <c r="C2" t="s">
        <v>517</v>
      </c>
      <c r="D2" s="27">
        <v>1101</v>
      </c>
      <c r="E2" s="27">
        <v>1</v>
      </c>
      <c r="F2" s="118"/>
      <c r="G2" t="s">
        <v>514</v>
      </c>
      <c r="H2" s="31" t="s">
        <v>8</v>
      </c>
      <c r="M2" s="140">
        <f t="shared" ref="M2:O17" si="0">IF(I2&lt;0.1,0.05,I2)</f>
        <v>0.05</v>
      </c>
      <c r="N2" s="140">
        <f t="shared" si="0"/>
        <v>0.05</v>
      </c>
      <c r="O2" s="140">
        <f t="shared" si="0"/>
        <v>0.05</v>
      </c>
      <c r="P2" s="140">
        <f t="shared" ref="P2:P65" si="1">IF(L2&lt;0.1,0.05,L2)</f>
        <v>0.05</v>
      </c>
      <c r="Q2" s="161" t="s">
        <v>676</v>
      </c>
      <c r="R2" s="125" t="s">
        <v>676</v>
      </c>
      <c r="S2" t="s">
        <v>676</v>
      </c>
      <c r="W2">
        <v>40.731000000000002</v>
      </c>
      <c r="X2">
        <v>-86.753</v>
      </c>
      <c r="Y2">
        <v>10</v>
      </c>
      <c r="Z2">
        <v>20</v>
      </c>
      <c r="AA2">
        <v>2022</v>
      </c>
      <c r="AB2" t="b">
        <v>0</v>
      </c>
      <c r="AC2" s="19">
        <v>44854</v>
      </c>
      <c r="AD2" s="19"/>
    </row>
    <row r="3" spans="1:58" x14ac:dyDescent="0.25">
      <c r="A3" s="25">
        <v>10002</v>
      </c>
      <c r="B3" t="s">
        <v>29</v>
      </c>
      <c r="C3" t="s">
        <v>518</v>
      </c>
      <c r="D3" s="27">
        <v>1102</v>
      </c>
      <c r="E3" s="27">
        <v>2</v>
      </c>
      <c r="F3" s="118"/>
      <c r="G3" t="s">
        <v>514</v>
      </c>
      <c r="H3" s="24" t="s">
        <v>8</v>
      </c>
      <c r="M3" s="140">
        <f t="shared" si="0"/>
        <v>0.05</v>
      </c>
      <c r="N3" s="140">
        <f t="shared" si="0"/>
        <v>0.05</v>
      </c>
      <c r="O3" s="140">
        <f t="shared" si="0"/>
        <v>0.05</v>
      </c>
      <c r="P3" s="140">
        <f t="shared" si="1"/>
        <v>0.05</v>
      </c>
      <c r="Q3" s="161" t="s">
        <v>676</v>
      </c>
      <c r="R3" s="125" t="s">
        <v>676</v>
      </c>
      <c r="S3" t="s">
        <v>676</v>
      </c>
      <c r="W3">
        <v>40.74</v>
      </c>
      <c r="X3">
        <v>-86.744</v>
      </c>
      <c r="Y3">
        <v>10</v>
      </c>
      <c r="Z3">
        <v>20</v>
      </c>
      <c r="AA3">
        <v>2022</v>
      </c>
      <c r="AB3" t="b">
        <v>0</v>
      </c>
      <c r="AC3" s="19">
        <v>44854</v>
      </c>
      <c r="AD3" s="19"/>
    </row>
    <row r="4" spans="1:58" x14ac:dyDescent="0.25">
      <c r="A4" s="25">
        <v>10003</v>
      </c>
      <c r="B4" t="s">
        <v>30</v>
      </c>
      <c r="C4" t="s">
        <v>518</v>
      </c>
      <c r="D4" s="27">
        <v>1102</v>
      </c>
      <c r="E4" s="27">
        <v>2</v>
      </c>
      <c r="F4" s="118"/>
      <c r="G4" t="s">
        <v>514</v>
      </c>
      <c r="H4" s="24" t="s">
        <v>8</v>
      </c>
      <c r="M4" s="140">
        <f t="shared" si="0"/>
        <v>0.05</v>
      </c>
      <c r="N4" s="140">
        <f t="shared" si="0"/>
        <v>0.05</v>
      </c>
      <c r="O4" s="140">
        <f t="shared" si="0"/>
        <v>0.05</v>
      </c>
      <c r="P4" s="140">
        <f t="shared" si="1"/>
        <v>0.05</v>
      </c>
      <c r="Q4" s="161" t="s">
        <v>676</v>
      </c>
      <c r="R4" s="125" t="s">
        <v>676</v>
      </c>
      <c r="S4" t="s">
        <v>676</v>
      </c>
      <c r="W4">
        <v>40.744999999999997</v>
      </c>
      <c r="X4">
        <v>-86.74</v>
      </c>
      <c r="Y4">
        <v>10</v>
      </c>
      <c r="Z4">
        <v>20</v>
      </c>
      <c r="AA4">
        <v>2022</v>
      </c>
      <c r="AB4" t="b">
        <v>0</v>
      </c>
      <c r="AC4" s="19">
        <v>44854</v>
      </c>
      <c r="AD4" s="19"/>
    </row>
    <row r="5" spans="1:58" x14ac:dyDescent="0.25">
      <c r="A5" s="25">
        <v>10004</v>
      </c>
      <c r="B5" t="s">
        <v>31</v>
      </c>
      <c r="C5" t="s">
        <v>517</v>
      </c>
      <c r="D5" s="27">
        <v>1101</v>
      </c>
      <c r="E5" s="27">
        <v>1</v>
      </c>
      <c r="F5" s="118"/>
      <c r="G5" t="s">
        <v>514</v>
      </c>
      <c r="H5" s="24" t="s">
        <v>8</v>
      </c>
      <c r="M5" s="140">
        <f t="shared" si="0"/>
        <v>0.05</v>
      </c>
      <c r="N5" s="140">
        <f t="shared" si="0"/>
        <v>0.05</v>
      </c>
      <c r="O5" s="140">
        <f t="shared" si="0"/>
        <v>0.05</v>
      </c>
      <c r="P5" s="140">
        <f t="shared" si="1"/>
        <v>0.05</v>
      </c>
      <c r="Q5" s="161" t="s">
        <v>676</v>
      </c>
      <c r="R5" s="125" t="s">
        <v>676</v>
      </c>
      <c r="S5" t="s">
        <v>676</v>
      </c>
      <c r="W5">
        <v>40.728999999999999</v>
      </c>
      <c r="X5">
        <v>-86.756</v>
      </c>
      <c r="Y5">
        <v>10</v>
      </c>
      <c r="Z5">
        <v>20</v>
      </c>
      <c r="AA5">
        <v>2022</v>
      </c>
      <c r="AB5" t="b">
        <v>0</v>
      </c>
      <c r="AC5" s="19">
        <v>44854</v>
      </c>
      <c r="AD5" s="19"/>
    </row>
    <row r="6" spans="1:58" x14ac:dyDescent="0.25">
      <c r="A6" s="25">
        <v>10005</v>
      </c>
      <c r="B6" t="s">
        <v>32</v>
      </c>
      <c r="C6" t="s">
        <v>519</v>
      </c>
      <c r="D6" s="27" t="s">
        <v>516</v>
      </c>
      <c r="E6" s="27" t="str">
        <f t="shared" ref="E6:E32" si="2">RIGHT(D6,2)</f>
        <v>?</v>
      </c>
      <c r="F6" s="118"/>
      <c r="G6" t="s">
        <v>20</v>
      </c>
      <c r="H6" s="24" t="s">
        <v>512</v>
      </c>
      <c r="I6">
        <v>5.6099999999999997E-2</v>
      </c>
      <c r="J6">
        <v>6.4240000000000004</v>
      </c>
      <c r="K6">
        <v>-4.0000000000000001E-3</v>
      </c>
      <c r="L6">
        <v>-1E-3</v>
      </c>
      <c r="M6" s="140">
        <f t="shared" si="0"/>
        <v>0.05</v>
      </c>
      <c r="N6" s="140">
        <f t="shared" si="0"/>
        <v>6.4240000000000004</v>
      </c>
      <c r="O6" s="140">
        <f t="shared" si="0"/>
        <v>0.05</v>
      </c>
      <c r="P6" s="140">
        <f t="shared" si="1"/>
        <v>0.05</v>
      </c>
      <c r="Q6" s="161" t="s">
        <v>676</v>
      </c>
      <c r="R6" s="125">
        <v>3.8650000000000002</v>
      </c>
      <c r="S6" t="s">
        <v>676</v>
      </c>
      <c r="W6">
        <v>40.731830000000002</v>
      </c>
      <c r="X6">
        <v>-86.755009999999999</v>
      </c>
      <c r="Y6">
        <v>3</v>
      </c>
      <c r="Z6">
        <v>10</v>
      </c>
      <c r="AA6">
        <v>2023</v>
      </c>
      <c r="AB6" t="b">
        <v>0</v>
      </c>
      <c r="AC6" s="19">
        <v>44995</v>
      </c>
      <c r="AD6" s="19"/>
    </row>
    <row r="7" spans="1:58" x14ac:dyDescent="0.25">
      <c r="A7" s="25">
        <v>10006</v>
      </c>
      <c r="B7" t="s">
        <v>33</v>
      </c>
      <c r="C7" t="s">
        <v>519</v>
      </c>
      <c r="D7" s="27" t="s">
        <v>516</v>
      </c>
      <c r="E7" s="27" t="str">
        <f t="shared" si="2"/>
        <v>?</v>
      </c>
      <c r="F7" s="118"/>
      <c r="G7" t="s">
        <v>20</v>
      </c>
      <c r="H7" s="24" t="s">
        <v>512</v>
      </c>
      <c r="L7">
        <v>8.5000000000000006E-3</v>
      </c>
      <c r="M7" s="140">
        <f t="shared" si="0"/>
        <v>0.05</v>
      </c>
      <c r="N7" s="140">
        <f t="shared" si="0"/>
        <v>0.05</v>
      </c>
      <c r="O7" s="140">
        <f t="shared" si="0"/>
        <v>0.05</v>
      </c>
      <c r="P7" s="140">
        <f t="shared" si="1"/>
        <v>0.05</v>
      </c>
      <c r="Q7" s="161" t="s">
        <v>676</v>
      </c>
      <c r="R7" s="125" t="s">
        <v>676</v>
      </c>
      <c r="S7" t="s">
        <v>676</v>
      </c>
      <c r="W7">
        <v>40.731830000000002</v>
      </c>
      <c r="X7">
        <f>W12</f>
        <v>40.731830000000002</v>
      </c>
      <c r="Y7">
        <v>3</v>
      </c>
      <c r="Z7">
        <v>10</v>
      </c>
      <c r="AA7">
        <v>2023</v>
      </c>
      <c r="AB7" t="b">
        <v>0</v>
      </c>
      <c r="AC7" s="19">
        <v>44995</v>
      </c>
      <c r="AD7" s="19"/>
    </row>
    <row r="8" spans="1:58" x14ac:dyDescent="0.25">
      <c r="A8" s="25">
        <v>10007</v>
      </c>
      <c r="B8" t="s">
        <v>34</v>
      </c>
      <c r="C8" t="s">
        <v>519</v>
      </c>
      <c r="D8" s="27" t="s">
        <v>516</v>
      </c>
      <c r="E8" s="27" t="str">
        <f t="shared" si="2"/>
        <v>?</v>
      </c>
      <c r="F8" s="118"/>
      <c r="G8" t="s">
        <v>20</v>
      </c>
      <c r="H8" s="24" t="s">
        <v>512</v>
      </c>
      <c r="L8">
        <v>1.8499999999999999E-2</v>
      </c>
      <c r="M8" s="140">
        <f t="shared" si="0"/>
        <v>0.05</v>
      </c>
      <c r="N8" s="140">
        <f t="shared" si="0"/>
        <v>0.05</v>
      </c>
      <c r="O8" s="140">
        <f t="shared" si="0"/>
        <v>0.05</v>
      </c>
      <c r="P8" s="140">
        <f t="shared" si="1"/>
        <v>0.05</v>
      </c>
      <c r="Q8" s="161" t="s">
        <v>676</v>
      </c>
      <c r="R8" s="125" t="s">
        <v>676</v>
      </c>
      <c r="S8" t="s">
        <v>676</v>
      </c>
      <c r="W8">
        <v>40.731830000000002</v>
      </c>
      <c r="X8">
        <v>-86.755009999999999</v>
      </c>
      <c r="Y8">
        <v>3</v>
      </c>
      <c r="Z8">
        <v>10</v>
      </c>
      <c r="AA8">
        <v>2023</v>
      </c>
      <c r="AB8" t="b">
        <v>0</v>
      </c>
      <c r="AC8" s="19">
        <v>44995</v>
      </c>
      <c r="AD8" s="19"/>
    </row>
    <row r="9" spans="1:58" x14ac:dyDescent="0.25">
      <c r="A9" s="25">
        <v>10008</v>
      </c>
      <c r="B9" t="s">
        <v>35</v>
      </c>
      <c r="C9" t="s">
        <v>519</v>
      </c>
      <c r="D9" s="27" t="s">
        <v>516</v>
      </c>
      <c r="E9" s="27" t="str">
        <f t="shared" si="2"/>
        <v>?</v>
      </c>
      <c r="F9" s="118"/>
      <c r="G9" t="s">
        <v>20</v>
      </c>
      <c r="H9" s="24" t="s">
        <v>512</v>
      </c>
      <c r="L9">
        <v>8.8499999999999995E-2</v>
      </c>
      <c r="M9" s="140">
        <f t="shared" si="0"/>
        <v>0.05</v>
      </c>
      <c r="N9" s="140">
        <f t="shared" si="0"/>
        <v>0.05</v>
      </c>
      <c r="O9" s="140">
        <f t="shared" si="0"/>
        <v>0.05</v>
      </c>
      <c r="P9" s="140">
        <f t="shared" si="1"/>
        <v>0.05</v>
      </c>
      <c r="Q9" s="161" t="s">
        <v>676</v>
      </c>
      <c r="R9" s="125" t="s">
        <v>676</v>
      </c>
      <c r="S9" t="s">
        <v>676</v>
      </c>
      <c r="W9">
        <v>40.731830000000002</v>
      </c>
      <c r="X9">
        <v>-86.755009999999999</v>
      </c>
      <c r="Y9">
        <v>3</v>
      </c>
      <c r="Z9">
        <v>10</v>
      </c>
      <c r="AA9">
        <v>2023</v>
      </c>
      <c r="AB9" t="b">
        <v>0</v>
      </c>
      <c r="AC9" s="19">
        <v>44995</v>
      </c>
      <c r="AD9" s="19"/>
    </row>
    <row r="10" spans="1:58" x14ac:dyDescent="0.25">
      <c r="A10" s="25">
        <v>10009</v>
      </c>
      <c r="B10" t="s">
        <v>36</v>
      </c>
      <c r="C10" t="s">
        <v>519</v>
      </c>
      <c r="D10" s="27" t="s">
        <v>516</v>
      </c>
      <c r="E10" s="27" t="str">
        <f t="shared" si="2"/>
        <v>?</v>
      </c>
      <c r="F10" s="118"/>
      <c r="G10" t="s">
        <v>20</v>
      </c>
      <c r="H10" s="24" t="s">
        <v>512</v>
      </c>
      <c r="L10">
        <v>8.5999999999999993E-2</v>
      </c>
      <c r="M10" s="140">
        <f t="shared" si="0"/>
        <v>0.05</v>
      </c>
      <c r="N10" s="140">
        <f t="shared" si="0"/>
        <v>0.05</v>
      </c>
      <c r="O10" s="140">
        <f t="shared" si="0"/>
        <v>0.05</v>
      </c>
      <c r="P10" s="140">
        <f t="shared" si="1"/>
        <v>0.05</v>
      </c>
      <c r="Q10" s="161" t="s">
        <v>676</v>
      </c>
      <c r="R10" s="125" t="s">
        <v>676</v>
      </c>
      <c r="S10" t="s">
        <v>676</v>
      </c>
      <c r="W10">
        <v>40.731830000000002</v>
      </c>
      <c r="X10">
        <v>-86.755009999999999</v>
      </c>
      <c r="Y10">
        <v>3</v>
      </c>
      <c r="Z10">
        <v>10</v>
      </c>
      <c r="AA10">
        <v>2023</v>
      </c>
      <c r="AB10" t="b">
        <v>0</v>
      </c>
      <c r="AC10" s="19">
        <v>44995</v>
      </c>
      <c r="AD10" s="19"/>
    </row>
    <row r="11" spans="1:58" x14ac:dyDescent="0.25">
      <c r="A11" s="25">
        <v>10010</v>
      </c>
      <c r="B11" t="s">
        <v>37</v>
      </c>
      <c r="C11" t="s">
        <v>519</v>
      </c>
      <c r="D11" s="27" t="s">
        <v>516</v>
      </c>
      <c r="E11" s="27" t="str">
        <f t="shared" si="2"/>
        <v>?</v>
      </c>
      <c r="F11" s="118"/>
      <c r="G11" t="s">
        <v>20</v>
      </c>
      <c r="H11" s="24" t="s">
        <v>512</v>
      </c>
      <c r="I11">
        <v>1.9099999999999999E-2</v>
      </c>
      <c r="J11">
        <v>6.1929999999999996</v>
      </c>
      <c r="K11">
        <v>-2E-3</v>
      </c>
      <c r="L11">
        <v>9.0499999999999997E-2</v>
      </c>
      <c r="M11" s="140">
        <f t="shared" si="0"/>
        <v>0.05</v>
      </c>
      <c r="N11" s="140">
        <f t="shared" si="0"/>
        <v>6.1929999999999996</v>
      </c>
      <c r="O11" s="140">
        <f t="shared" si="0"/>
        <v>0.05</v>
      </c>
      <c r="P11" s="140">
        <f t="shared" si="1"/>
        <v>0.05</v>
      </c>
      <c r="Q11" s="161" t="s">
        <v>676</v>
      </c>
      <c r="R11" s="125">
        <v>1.355</v>
      </c>
      <c r="S11" t="s">
        <v>676</v>
      </c>
      <c r="W11">
        <v>40.731830000000002</v>
      </c>
      <c r="X11">
        <v>-86.755009999999999</v>
      </c>
      <c r="Y11">
        <v>3</v>
      </c>
      <c r="Z11">
        <v>10</v>
      </c>
      <c r="AA11">
        <v>2023</v>
      </c>
      <c r="AB11" t="b">
        <v>0</v>
      </c>
      <c r="AC11" s="19">
        <v>44995</v>
      </c>
      <c r="AD11" s="19"/>
    </row>
    <row r="12" spans="1:58" x14ac:dyDescent="0.25">
      <c r="A12" s="25">
        <v>10011</v>
      </c>
      <c r="B12" t="s">
        <v>38</v>
      </c>
      <c r="C12" t="s">
        <v>519</v>
      </c>
      <c r="D12" s="27" t="s">
        <v>516</v>
      </c>
      <c r="E12" s="27" t="str">
        <f t="shared" si="2"/>
        <v>?</v>
      </c>
      <c r="F12" s="118"/>
      <c r="G12" t="s">
        <v>20</v>
      </c>
      <c r="H12" s="24" t="s">
        <v>512</v>
      </c>
      <c r="L12">
        <v>9.35E-2</v>
      </c>
      <c r="M12" s="140">
        <f t="shared" si="0"/>
        <v>0.05</v>
      </c>
      <c r="N12" s="140">
        <f t="shared" si="0"/>
        <v>0.05</v>
      </c>
      <c r="O12" s="140">
        <f t="shared" si="0"/>
        <v>0.05</v>
      </c>
      <c r="P12" s="140">
        <f t="shared" si="1"/>
        <v>0.05</v>
      </c>
      <c r="Q12" s="161" t="s">
        <v>676</v>
      </c>
      <c r="R12" s="125" t="s">
        <v>676</v>
      </c>
      <c r="S12" t="s">
        <v>676</v>
      </c>
      <c r="W12">
        <v>40.731830000000002</v>
      </c>
      <c r="X12">
        <v>-86.755009999999999</v>
      </c>
      <c r="Y12">
        <v>3</v>
      </c>
      <c r="Z12">
        <v>10</v>
      </c>
      <c r="AA12">
        <v>2023</v>
      </c>
      <c r="AB12" t="b">
        <v>0</v>
      </c>
      <c r="AC12" s="19">
        <v>44995</v>
      </c>
      <c r="AD12" s="19"/>
    </row>
    <row r="13" spans="1:58" x14ac:dyDescent="0.25">
      <c r="A13" s="25">
        <v>10012</v>
      </c>
      <c r="B13" t="s">
        <v>39</v>
      </c>
      <c r="C13" t="s">
        <v>519</v>
      </c>
      <c r="D13" s="27" t="s">
        <v>516</v>
      </c>
      <c r="E13" s="27" t="str">
        <f t="shared" si="2"/>
        <v>?</v>
      </c>
      <c r="F13" s="118"/>
      <c r="G13" t="s">
        <v>20</v>
      </c>
      <c r="H13" s="24" t="s">
        <v>512</v>
      </c>
      <c r="L13">
        <v>8.6499999999999994E-2</v>
      </c>
      <c r="M13" s="140">
        <f t="shared" si="0"/>
        <v>0.05</v>
      </c>
      <c r="N13" s="140">
        <f t="shared" si="0"/>
        <v>0.05</v>
      </c>
      <c r="O13" s="140">
        <f t="shared" si="0"/>
        <v>0.05</v>
      </c>
      <c r="P13" s="140">
        <f t="shared" si="1"/>
        <v>0.05</v>
      </c>
      <c r="Q13" s="161" t="s">
        <v>676</v>
      </c>
      <c r="R13" s="125" t="s">
        <v>676</v>
      </c>
      <c r="S13" t="s">
        <v>676</v>
      </c>
      <c r="W13">
        <v>40.731830000000002</v>
      </c>
      <c r="X13">
        <v>-86.755009999999999</v>
      </c>
      <c r="Y13">
        <v>3</v>
      </c>
      <c r="Z13">
        <v>10</v>
      </c>
      <c r="AA13">
        <v>2023</v>
      </c>
      <c r="AB13" t="b">
        <v>0</v>
      </c>
      <c r="AC13" s="19">
        <v>44995</v>
      </c>
      <c r="AD13" s="19"/>
    </row>
    <row r="14" spans="1:58" x14ac:dyDescent="0.25">
      <c r="A14" s="25">
        <v>10013</v>
      </c>
      <c r="B14" t="s">
        <v>40</v>
      </c>
      <c r="C14" t="s">
        <v>519</v>
      </c>
      <c r="D14" s="27" t="s">
        <v>516</v>
      </c>
      <c r="E14" s="27" t="str">
        <f t="shared" si="2"/>
        <v>?</v>
      </c>
      <c r="F14" s="118"/>
      <c r="G14" t="s">
        <v>20</v>
      </c>
      <c r="H14" s="24" t="s">
        <v>512</v>
      </c>
      <c r="L14">
        <v>4.2999999999999997E-2</v>
      </c>
      <c r="M14" s="140">
        <f t="shared" si="0"/>
        <v>0.05</v>
      </c>
      <c r="N14" s="140">
        <f t="shared" si="0"/>
        <v>0.05</v>
      </c>
      <c r="O14" s="140">
        <f t="shared" si="0"/>
        <v>0.05</v>
      </c>
      <c r="P14" s="140">
        <f t="shared" si="1"/>
        <v>0.05</v>
      </c>
      <c r="Q14" s="161" t="s">
        <v>676</v>
      </c>
      <c r="R14" s="125" t="s">
        <v>676</v>
      </c>
      <c r="S14" t="s">
        <v>676</v>
      </c>
      <c r="W14">
        <v>40.731830000000002</v>
      </c>
      <c r="X14">
        <v>-86.755009999999999</v>
      </c>
      <c r="Y14">
        <v>3</v>
      </c>
      <c r="Z14">
        <v>10</v>
      </c>
      <c r="AA14">
        <v>2023</v>
      </c>
      <c r="AB14" t="b">
        <v>0</v>
      </c>
      <c r="AC14" s="19">
        <v>44995</v>
      </c>
      <c r="AD14" s="19"/>
    </row>
    <row r="15" spans="1:58" x14ac:dyDescent="0.25">
      <c r="A15" s="25">
        <v>10014</v>
      </c>
      <c r="B15" t="s">
        <v>41</v>
      </c>
      <c r="C15" t="s">
        <v>519</v>
      </c>
      <c r="D15" s="27" t="s">
        <v>516</v>
      </c>
      <c r="E15" s="27" t="str">
        <f t="shared" si="2"/>
        <v>?</v>
      </c>
      <c r="F15" s="118"/>
      <c r="G15" t="s">
        <v>20</v>
      </c>
      <c r="H15" s="24" t="s">
        <v>512</v>
      </c>
      <c r="L15">
        <v>8.7499999999999994E-2</v>
      </c>
      <c r="M15" s="140">
        <f t="shared" si="0"/>
        <v>0.05</v>
      </c>
      <c r="N15" s="140">
        <f t="shared" si="0"/>
        <v>0.05</v>
      </c>
      <c r="O15" s="140">
        <f t="shared" si="0"/>
        <v>0.05</v>
      </c>
      <c r="P15" s="140">
        <f t="shared" si="1"/>
        <v>0.05</v>
      </c>
      <c r="Q15" s="161" t="s">
        <v>676</v>
      </c>
      <c r="R15" s="125" t="s">
        <v>676</v>
      </c>
      <c r="S15" t="s">
        <v>676</v>
      </c>
      <c r="W15">
        <v>40.731830000000002</v>
      </c>
      <c r="X15">
        <v>-86.755009999999999</v>
      </c>
      <c r="Y15">
        <v>3</v>
      </c>
      <c r="Z15">
        <v>10</v>
      </c>
      <c r="AA15">
        <v>2023</v>
      </c>
      <c r="AB15" t="b">
        <v>0</v>
      </c>
      <c r="AC15" s="19">
        <v>44995</v>
      </c>
      <c r="AD15" s="19"/>
    </row>
    <row r="16" spans="1:58" x14ac:dyDescent="0.25">
      <c r="A16" s="25">
        <v>10015</v>
      </c>
      <c r="B16" t="s">
        <v>42</v>
      </c>
      <c r="C16" t="s">
        <v>519</v>
      </c>
      <c r="D16" s="27" t="s">
        <v>516</v>
      </c>
      <c r="E16" s="27" t="str">
        <f t="shared" si="2"/>
        <v>?</v>
      </c>
      <c r="F16" s="118"/>
      <c r="G16" t="s">
        <v>20</v>
      </c>
      <c r="H16" s="24" t="s">
        <v>512</v>
      </c>
      <c r="I16">
        <v>1.29E-2</v>
      </c>
      <c r="J16">
        <v>5.8425000000000002</v>
      </c>
      <c r="K16">
        <v>-5.0000000000000001E-4</v>
      </c>
      <c r="L16">
        <v>9.4E-2</v>
      </c>
      <c r="M16" s="140">
        <f t="shared" si="0"/>
        <v>0.05</v>
      </c>
      <c r="N16" s="140">
        <f t="shared" si="0"/>
        <v>5.8425000000000002</v>
      </c>
      <c r="O16" s="140">
        <f t="shared" si="0"/>
        <v>0.05</v>
      </c>
      <c r="P16" s="140">
        <f t="shared" si="1"/>
        <v>0.05</v>
      </c>
      <c r="Q16" s="161" t="s">
        <v>676</v>
      </c>
      <c r="R16" s="125">
        <v>1.96</v>
      </c>
      <c r="S16" t="s">
        <v>676</v>
      </c>
      <c r="W16">
        <v>40.746470000000002</v>
      </c>
      <c r="X16">
        <v>-86.757469999999998</v>
      </c>
      <c r="Y16">
        <v>3</v>
      </c>
      <c r="Z16">
        <v>10</v>
      </c>
      <c r="AA16">
        <v>2023</v>
      </c>
      <c r="AB16" t="b">
        <v>0</v>
      </c>
      <c r="AC16" s="19">
        <v>44995</v>
      </c>
      <c r="AD16" s="19"/>
    </row>
    <row r="17" spans="1:30" x14ac:dyDescent="0.25">
      <c r="A17" s="25">
        <v>10016</v>
      </c>
      <c r="B17" t="s">
        <v>43</v>
      </c>
      <c r="C17" t="s">
        <v>519</v>
      </c>
      <c r="D17" s="27" t="s">
        <v>516</v>
      </c>
      <c r="E17" s="27" t="str">
        <f t="shared" si="2"/>
        <v>?</v>
      </c>
      <c r="F17" s="118"/>
      <c r="G17" t="s">
        <v>20</v>
      </c>
      <c r="H17" s="24" t="s">
        <v>512</v>
      </c>
      <c r="I17">
        <v>1.6199999999999999E-2</v>
      </c>
      <c r="J17">
        <v>6.133</v>
      </c>
      <c r="K17">
        <v>-3.0000000000000001E-3</v>
      </c>
      <c r="L17">
        <v>7.1499999999999994E-2</v>
      </c>
      <c r="M17" s="140">
        <f t="shared" si="0"/>
        <v>0.05</v>
      </c>
      <c r="N17" s="140">
        <f t="shared" si="0"/>
        <v>6.133</v>
      </c>
      <c r="O17" s="140">
        <f t="shared" si="0"/>
        <v>0.05</v>
      </c>
      <c r="P17" s="140">
        <f t="shared" si="1"/>
        <v>0.05</v>
      </c>
      <c r="Q17" s="161" t="s">
        <v>676</v>
      </c>
      <c r="R17" s="125">
        <v>1.9950000000000001</v>
      </c>
      <c r="S17" t="s">
        <v>676</v>
      </c>
      <c r="W17">
        <v>40.746409999999997</v>
      </c>
      <c r="X17">
        <v>-86.757890000000003</v>
      </c>
      <c r="Y17">
        <v>3</v>
      </c>
      <c r="Z17">
        <v>10</v>
      </c>
      <c r="AA17">
        <v>2023</v>
      </c>
      <c r="AB17" t="b">
        <v>0</v>
      </c>
      <c r="AC17" s="19">
        <v>44995</v>
      </c>
      <c r="AD17" s="19"/>
    </row>
    <row r="18" spans="1:30" x14ac:dyDescent="0.25">
      <c r="A18" s="25">
        <v>10017</v>
      </c>
      <c r="B18" t="s">
        <v>44</v>
      </c>
      <c r="C18" t="s">
        <v>519</v>
      </c>
      <c r="D18" s="27" t="s">
        <v>516</v>
      </c>
      <c r="E18" s="27" t="str">
        <f t="shared" si="2"/>
        <v>?</v>
      </c>
      <c r="F18" s="118"/>
      <c r="G18" t="s">
        <v>20</v>
      </c>
      <c r="H18" s="24" t="s">
        <v>512</v>
      </c>
      <c r="I18">
        <v>8.9999999999999993E-3</v>
      </c>
      <c r="J18">
        <v>5.5359999999999996</v>
      </c>
      <c r="K18">
        <v>-8.0000000000000002E-3</v>
      </c>
      <c r="L18">
        <v>0.111</v>
      </c>
      <c r="M18" s="140">
        <f t="shared" ref="M18:O33" si="3">IF(I18&lt;0.1,0.05,I18)</f>
        <v>0.05</v>
      </c>
      <c r="N18" s="140">
        <f t="shared" si="3"/>
        <v>5.5359999999999996</v>
      </c>
      <c r="O18" s="140">
        <f t="shared" si="3"/>
        <v>0.05</v>
      </c>
      <c r="P18" s="140">
        <f t="shared" si="1"/>
        <v>0.111</v>
      </c>
      <c r="Q18" s="161" t="s">
        <v>676</v>
      </c>
      <c r="R18" s="125">
        <v>2.27</v>
      </c>
      <c r="S18" t="s">
        <v>676</v>
      </c>
      <c r="W18">
        <v>40.778689999999997</v>
      </c>
      <c r="X18">
        <v>-86.757919999999999</v>
      </c>
      <c r="Y18">
        <v>3</v>
      </c>
      <c r="Z18">
        <v>10</v>
      </c>
      <c r="AA18">
        <v>2023</v>
      </c>
      <c r="AB18" t="b">
        <v>0</v>
      </c>
      <c r="AC18" s="19">
        <v>44995</v>
      </c>
      <c r="AD18" s="19"/>
    </row>
    <row r="19" spans="1:30" x14ac:dyDescent="0.25">
      <c r="A19" s="25">
        <v>10018</v>
      </c>
      <c r="B19" t="s">
        <v>45</v>
      </c>
      <c r="C19" t="s">
        <v>519</v>
      </c>
      <c r="D19" s="27" t="s">
        <v>516</v>
      </c>
      <c r="E19" s="27" t="str">
        <f t="shared" si="2"/>
        <v>?</v>
      </c>
      <c r="F19" s="118"/>
      <c r="G19" t="s">
        <v>20</v>
      </c>
      <c r="H19" s="24" t="s">
        <v>512</v>
      </c>
      <c r="I19">
        <v>1.2699999999999999E-2</v>
      </c>
      <c r="J19">
        <v>5.33</v>
      </c>
      <c r="K19">
        <v>-3.0000000000000001E-3</v>
      </c>
      <c r="L19">
        <v>9.2499999999999999E-2</v>
      </c>
      <c r="M19" s="140">
        <f t="shared" si="3"/>
        <v>0.05</v>
      </c>
      <c r="N19" s="140">
        <f t="shared" si="3"/>
        <v>5.33</v>
      </c>
      <c r="O19" s="140">
        <f t="shared" si="3"/>
        <v>0.05</v>
      </c>
      <c r="P19" s="140">
        <f t="shared" si="1"/>
        <v>0.05</v>
      </c>
      <c r="Q19" s="161" t="s">
        <v>676</v>
      </c>
      <c r="R19" s="125">
        <v>2.6850000000000001</v>
      </c>
      <c r="S19" t="s">
        <v>676</v>
      </c>
      <c r="W19">
        <v>40.778550000000003</v>
      </c>
      <c r="X19">
        <v>-86.758399999999995</v>
      </c>
      <c r="Y19">
        <v>3</v>
      </c>
      <c r="Z19">
        <v>10</v>
      </c>
      <c r="AA19">
        <v>2023</v>
      </c>
      <c r="AB19" t="b">
        <v>0</v>
      </c>
      <c r="AC19" s="19">
        <v>44995</v>
      </c>
      <c r="AD19" s="19"/>
    </row>
    <row r="20" spans="1:30" x14ac:dyDescent="0.25">
      <c r="A20" s="25">
        <v>10019</v>
      </c>
      <c r="B20" t="s">
        <v>46</v>
      </c>
      <c r="C20" t="s">
        <v>519</v>
      </c>
      <c r="D20" s="27" t="s">
        <v>516</v>
      </c>
      <c r="E20" s="27" t="str">
        <f t="shared" si="2"/>
        <v>?</v>
      </c>
      <c r="F20" s="118"/>
      <c r="G20" t="s">
        <v>20</v>
      </c>
      <c r="H20" s="24" t="s">
        <v>512</v>
      </c>
      <c r="I20">
        <v>1.84E-2</v>
      </c>
      <c r="J20">
        <v>5.2679999999999998</v>
      </c>
      <c r="K20">
        <v>-6.0000000000000001E-3</v>
      </c>
      <c r="L20">
        <v>6.3500000000000001E-2</v>
      </c>
      <c r="M20" s="140">
        <f t="shared" si="3"/>
        <v>0.05</v>
      </c>
      <c r="N20" s="140">
        <f t="shared" si="3"/>
        <v>5.2679999999999998</v>
      </c>
      <c r="O20" s="140">
        <f t="shared" si="3"/>
        <v>0.05</v>
      </c>
      <c r="P20" s="140">
        <f t="shared" si="1"/>
        <v>0.05</v>
      </c>
      <c r="Q20" s="161" t="s">
        <v>676</v>
      </c>
      <c r="R20" s="125">
        <v>1.95</v>
      </c>
      <c r="S20" t="s">
        <v>676</v>
      </c>
      <c r="W20">
        <v>40.832900000000002</v>
      </c>
      <c r="X20">
        <v>-86.783709999999999</v>
      </c>
      <c r="Y20">
        <v>3</v>
      </c>
      <c r="Z20">
        <v>10</v>
      </c>
      <c r="AA20">
        <v>2023</v>
      </c>
      <c r="AB20" t="b">
        <v>0</v>
      </c>
      <c r="AC20" s="19">
        <v>44995</v>
      </c>
      <c r="AD20" s="19"/>
    </row>
    <row r="21" spans="1:30" x14ac:dyDescent="0.25">
      <c r="A21" s="25">
        <v>10020</v>
      </c>
      <c r="B21" t="s">
        <v>47</v>
      </c>
      <c r="C21" t="s">
        <v>519</v>
      </c>
      <c r="D21" s="27" t="s">
        <v>516</v>
      </c>
      <c r="E21" s="27" t="str">
        <f t="shared" si="2"/>
        <v>?</v>
      </c>
      <c r="F21" s="118"/>
      <c r="G21" t="s">
        <v>20</v>
      </c>
      <c r="H21" s="24" t="s">
        <v>512</v>
      </c>
      <c r="L21">
        <v>7.6999999999999999E-2</v>
      </c>
      <c r="M21" s="140">
        <f t="shared" si="3"/>
        <v>0.05</v>
      </c>
      <c r="N21" s="140">
        <f t="shared" si="3"/>
        <v>0.05</v>
      </c>
      <c r="O21" s="140">
        <f t="shared" si="3"/>
        <v>0.05</v>
      </c>
      <c r="P21" s="140">
        <f t="shared" si="1"/>
        <v>0.05</v>
      </c>
      <c r="Q21" s="161" t="s">
        <v>676</v>
      </c>
      <c r="R21" s="125" t="s">
        <v>676</v>
      </c>
      <c r="S21" t="s">
        <v>676</v>
      </c>
      <c r="W21">
        <v>40.832900000000002</v>
      </c>
      <c r="X21">
        <v>-86.783709999999999</v>
      </c>
      <c r="Y21">
        <v>3</v>
      </c>
      <c r="Z21">
        <v>10</v>
      </c>
      <c r="AA21">
        <v>2023</v>
      </c>
      <c r="AB21" t="b">
        <v>0</v>
      </c>
      <c r="AC21" s="19">
        <v>44995</v>
      </c>
      <c r="AD21" s="19"/>
    </row>
    <row r="22" spans="1:30" x14ac:dyDescent="0.25">
      <c r="A22" s="25">
        <v>10021</v>
      </c>
      <c r="B22" t="s">
        <v>48</v>
      </c>
      <c r="C22" t="s">
        <v>519</v>
      </c>
      <c r="D22" s="27" t="s">
        <v>516</v>
      </c>
      <c r="E22" s="27" t="str">
        <f t="shared" si="2"/>
        <v>?</v>
      </c>
      <c r="F22" s="118"/>
      <c r="G22" t="s">
        <v>20</v>
      </c>
      <c r="H22" s="24" t="s">
        <v>512</v>
      </c>
      <c r="L22">
        <v>0.1925</v>
      </c>
      <c r="M22" s="140">
        <f t="shared" si="3"/>
        <v>0.05</v>
      </c>
      <c r="N22" s="140">
        <f t="shared" si="3"/>
        <v>0.05</v>
      </c>
      <c r="O22" s="140">
        <f t="shared" si="3"/>
        <v>0.05</v>
      </c>
      <c r="P22" s="140">
        <f t="shared" si="1"/>
        <v>0.1925</v>
      </c>
      <c r="Q22" s="161" t="s">
        <v>676</v>
      </c>
      <c r="R22" s="125" t="s">
        <v>676</v>
      </c>
      <c r="S22" t="s">
        <v>676</v>
      </c>
      <c r="W22">
        <v>40.832900000000002</v>
      </c>
      <c r="X22">
        <v>-86.783709999999999</v>
      </c>
      <c r="Y22">
        <v>3</v>
      </c>
      <c r="Z22">
        <v>10</v>
      </c>
      <c r="AA22">
        <v>2023</v>
      </c>
      <c r="AB22" t="b">
        <v>0</v>
      </c>
      <c r="AC22" s="19">
        <v>44995</v>
      </c>
      <c r="AD22" s="19"/>
    </row>
    <row r="23" spans="1:30" x14ac:dyDescent="0.25">
      <c r="A23" s="25">
        <v>10022</v>
      </c>
      <c r="B23" t="s">
        <v>49</v>
      </c>
      <c r="C23" t="s">
        <v>519</v>
      </c>
      <c r="D23" s="27" t="s">
        <v>516</v>
      </c>
      <c r="E23" s="27" t="str">
        <f t="shared" si="2"/>
        <v>?</v>
      </c>
      <c r="F23" s="118"/>
      <c r="G23" t="s">
        <v>20</v>
      </c>
      <c r="H23" s="24" t="s">
        <v>512</v>
      </c>
      <c r="L23">
        <v>7.3999999999999996E-2</v>
      </c>
      <c r="M23" s="140">
        <f t="shared" si="3"/>
        <v>0.05</v>
      </c>
      <c r="N23" s="140">
        <f t="shared" si="3"/>
        <v>0.05</v>
      </c>
      <c r="O23" s="140">
        <f t="shared" si="3"/>
        <v>0.05</v>
      </c>
      <c r="P23" s="140">
        <f t="shared" si="1"/>
        <v>0.05</v>
      </c>
      <c r="Q23" s="161" t="s">
        <v>676</v>
      </c>
      <c r="R23" s="125" t="s">
        <v>676</v>
      </c>
      <c r="S23" t="s">
        <v>676</v>
      </c>
      <c r="W23">
        <v>40.832900000000002</v>
      </c>
      <c r="X23">
        <v>-86.783709999999999</v>
      </c>
      <c r="Y23">
        <v>3</v>
      </c>
      <c r="Z23">
        <v>10</v>
      </c>
      <c r="AA23">
        <v>2023</v>
      </c>
      <c r="AB23" t="b">
        <v>0</v>
      </c>
      <c r="AC23" s="19">
        <v>44995</v>
      </c>
      <c r="AD23" s="19"/>
    </row>
    <row r="24" spans="1:30" x14ac:dyDescent="0.25">
      <c r="A24" s="25">
        <v>10023</v>
      </c>
      <c r="B24" t="s">
        <v>50</v>
      </c>
      <c r="C24" t="s">
        <v>519</v>
      </c>
      <c r="D24" s="27" t="s">
        <v>516</v>
      </c>
      <c r="E24" s="27" t="str">
        <f t="shared" si="2"/>
        <v>?</v>
      </c>
      <c r="F24" s="118"/>
      <c r="G24" t="s">
        <v>20</v>
      </c>
      <c r="H24" s="24" t="s">
        <v>512</v>
      </c>
      <c r="M24" s="140">
        <f t="shared" si="3"/>
        <v>0.05</v>
      </c>
      <c r="N24" s="140">
        <f t="shared" si="3"/>
        <v>0.05</v>
      </c>
      <c r="O24" s="140">
        <f t="shared" si="3"/>
        <v>0.05</v>
      </c>
      <c r="P24" s="140">
        <f t="shared" si="1"/>
        <v>0.05</v>
      </c>
      <c r="Q24" s="161" t="s">
        <v>676</v>
      </c>
      <c r="R24" s="125" t="s">
        <v>676</v>
      </c>
      <c r="S24" t="s">
        <v>676</v>
      </c>
      <c r="W24">
        <v>40.832900000000002</v>
      </c>
      <c r="X24">
        <v>-86.783709999999999</v>
      </c>
      <c r="Y24">
        <v>3</v>
      </c>
      <c r="Z24">
        <v>10</v>
      </c>
      <c r="AA24">
        <v>2023</v>
      </c>
      <c r="AB24" t="b">
        <v>0</v>
      </c>
      <c r="AC24" s="19">
        <v>44995</v>
      </c>
      <c r="AD24" s="19"/>
    </row>
    <row r="25" spans="1:30" x14ac:dyDescent="0.25">
      <c r="A25" s="25">
        <v>10024</v>
      </c>
      <c r="B25" t="s">
        <v>51</v>
      </c>
      <c r="C25" t="s">
        <v>520</v>
      </c>
      <c r="D25" s="27" t="s">
        <v>516</v>
      </c>
      <c r="E25" s="27" t="str">
        <f t="shared" si="2"/>
        <v>?</v>
      </c>
      <c r="F25" s="118"/>
      <c r="G25" t="s">
        <v>19</v>
      </c>
      <c r="H25" s="24" t="s">
        <v>9</v>
      </c>
      <c r="I25">
        <v>2.98E-2</v>
      </c>
      <c r="J25">
        <v>3.6259999999999999</v>
      </c>
      <c r="K25">
        <v>-3.0000000000000001E-3</v>
      </c>
      <c r="L25">
        <v>0.3765</v>
      </c>
      <c r="M25" s="140">
        <f t="shared" si="3"/>
        <v>0.05</v>
      </c>
      <c r="N25" s="140">
        <f t="shared" si="3"/>
        <v>3.6259999999999999</v>
      </c>
      <c r="O25" s="140">
        <f t="shared" si="3"/>
        <v>0.05</v>
      </c>
      <c r="P25" s="140">
        <f t="shared" si="1"/>
        <v>0.3765</v>
      </c>
      <c r="Q25" s="161" t="s">
        <v>676</v>
      </c>
      <c r="R25" s="125">
        <v>1.585</v>
      </c>
      <c r="S25" t="s">
        <v>676</v>
      </c>
      <c r="W25">
        <v>40.680591</v>
      </c>
      <c r="X25">
        <v>-85.895760999999993</v>
      </c>
      <c r="Y25">
        <v>4</v>
      </c>
      <c r="Z25">
        <v>7</v>
      </c>
      <c r="AA25">
        <v>2023</v>
      </c>
      <c r="AB25" t="b">
        <v>0</v>
      </c>
      <c r="AC25" s="19">
        <v>45023</v>
      </c>
      <c r="AD25" s="19"/>
    </row>
    <row r="26" spans="1:30" x14ac:dyDescent="0.25">
      <c r="A26" s="25">
        <v>10025</v>
      </c>
      <c r="B26" t="s">
        <v>52</v>
      </c>
      <c r="C26" t="s">
        <v>520</v>
      </c>
      <c r="D26" s="27" t="s">
        <v>516</v>
      </c>
      <c r="E26" s="27" t="str">
        <f t="shared" si="2"/>
        <v>?</v>
      </c>
      <c r="F26" s="118"/>
      <c r="G26" t="s">
        <v>19</v>
      </c>
      <c r="H26" s="24" t="s">
        <v>9</v>
      </c>
      <c r="I26">
        <v>9.9000000000000008E-3</v>
      </c>
      <c r="J26">
        <v>4.1769999999999996</v>
      </c>
      <c r="K26">
        <v>0.03</v>
      </c>
      <c r="L26">
        <v>0.23899999999999999</v>
      </c>
      <c r="M26" s="140">
        <f t="shared" si="3"/>
        <v>0.05</v>
      </c>
      <c r="N26" s="140">
        <f t="shared" si="3"/>
        <v>4.1769999999999996</v>
      </c>
      <c r="O26" s="140">
        <f t="shared" si="3"/>
        <v>0.05</v>
      </c>
      <c r="P26" s="140">
        <f t="shared" si="1"/>
        <v>0.23899999999999999</v>
      </c>
      <c r="Q26" s="161" t="s">
        <v>676</v>
      </c>
      <c r="R26" s="125">
        <v>3.8</v>
      </c>
      <c r="S26" t="s">
        <v>676</v>
      </c>
      <c r="W26">
        <v>40.668590999999999</v>
      </c>
      <c r="X26">
        <v>-85.848778999999993</v>
      </c>
      <c r="Y26">
        <v>4</v>
      </c>
      <c r="Z26">
        <v>7</v>
      </c>
      <c r="AA26">
        <v>2023</v>
      </c>
      <c r="AB26" t="b">
        <v>0</v>
      </c>
      <c r="AC26" s="19">
        <v>45023</v>
      </c>
      <c r="AD26" s="19"/>
    </row>
    <row r="27" spans="1:30" x14ac:dyDescent="0.25">
      <c r="A27" s="25">
        <v>10026</v>
      </c>
      <c r="B27" t="s">
        <v>53</v>
      </c>
      <c r="C27" t="s">
        <v>520</v>
      </c>
      <c r="D27" s="27" t="s">
        <v>516</v>
      </c>
      <c r="E27" s="27" t="str">
        <f t="shared" si="2"/>
        <v>?</v>
      </c>
      <c r="F27" s="118"/>
      <c r="G27" t="s">
        <v>19</v>
      </c>
      <c r="H27" s="24" t="s">
        <v>9</v>
      </c>
      <c r="I27">
        <v>8.6300000000000002E-2</v>
      </c>
      <c r="J27">
        <v>4.5999999999999996</v>
      </c>
      <c r="K27">
        <v>8.5999999999999993E-2</v>
      </c>
      <c r="L27">
        <v>0.55674999999999997</v>
      </c>
      <c r="M27" s="140">
        <f t="shared" si="3"/>
        <v>0.05</v>
      </c>
      <c r="N27" s="140">
        <f t="shared" si="3"/>
        <v>4.5999999999999996</v>
      </c>
      <c r="O27" s="140">
        <f t="shared" si="3"/>
        <v>0.05</v>
      </c>
      <c r="P27" s="140">
        <f t="shared" si="1"/>
        <v>0.55674999999999997</v>
      </c>
      <c r="Q27" s="161" t="s">
        <v>676</v>
      </c>
      <c r="R27" s="125">
        <v>2.7749999999999999</v>
      </c>
      <c r="S27" t="s">
        <v>676</v>
      </c>
      <c r="W27">
        <v>40.703468999999998</v>
      </c>
      <c r="X27">
        <v>-85.936367000000004</v>
      </c>
      <c r="Y27">
        <v>4</v>
      </c>
      <c r="Z27">
        <v>7</v>
      </c>
      <c r="AA27">
        <v>2023</v>
      </c>
      <c r="AB27" t="b">
        <v>0</v>
      </c>
      <c r="AC27" s="19">
        <v>45023</v>
      </c>
      <c r="AD27" s="19"/>
    </row>
    <row r="28" spans="1:30" x14ac:dyDescent="0.25">
      <c r="A28" s="25">
        <v>10027</v>
      </c>
      <c r="B28" t="s">
        <v>54</v>
      </c>
      <c r="C28" t="s">
        <v>521</v>
      </c>
      <c r="D28" s="27" t="s">
        <v>516</v>
      </c>
      <c r="E28" s="27" t="str">
        <f t="shared" si="2"/>
        <v>?</v>
      </c>
      <c r="F28" s="118"/>
      <c r="G28" t="s">
        <v>22</v>
      </c>
      <c r="H28" s="24" t="s">
        <v>9</v>
      </c>
      <c r="I28">
        <v>0.1072</v>
      </c>
      <c r="J28">
        <v>3.9729999999999999</v>
      </c>
      <c r="K28">
        <v>0.155</v>
      </c>
      <c r="L28">
        <v>0.29149999999999998</v>
      </c>
      <c r="M28" s="140">
        <f t="shared" si="3"/>
        <v>0.1072</v>
      </c>
      <c r="N28" s="140">
        <f t="shared" si="3"/>
        <v>3.9729999999999999</v>
      </c>
      <c r="O28" s="140">
        <f t="shared" si="3"/>
        <v>0.155</v>
      </c>
      <c r="P28" s="140">
        <f t="shared" si="1"/>
        <v>0.29149999999999998</v>
      </c>
      <c r="Q28" s="161" t="s">
        <v>676</v>
      </c>
      <c r="R28" s="125">
        <v>4.835</v>
      </c>
      <c r="S28" t="s">
        <v>676</v>
      </c>
      <c r="W28">
        <v>40.780611</v>
      </c>
      <c r="X28">
        <v>-85.636381999999998</v>
      </c>
      <c r="Y28">
        <v>4</v>
      </c>
      <c r="Z28">
        <v>7</v>
      </c>
      <c r="AA28">
        <v>2023</v>
      </c>
      <c r="AB28" t="b">
        <v>0</v>
      </c>
      <c r="AC28" s="19">
        <v>45023</v>
      </c>
      <c r="AD28" s="19"/>
    </row>
    <row r="29" spans="1:30" x14ac:dyDescent="0.25">
      <c r="A29" s="25">
        <v>10028</v>
      </c>
      <c r="B29" t="s">
        <v>55</v>
      </c>
      <c r="C29" t="s">
        <v>521</v>
      </c>
      <c r="D29" s="27" t="s">
        <v>516</v>
      </c>
      <c r="E29" s="27" t="str">
        <f t="shared" si="2"/>
        <v>?</v>
      </c>
      <c r="F29" s="118"/>
      <c r="G29" t="s">
        <v>22</v>
      </c>
      <c r="H29" s="24" t="s">
        <v>9</v>
      </c>
      <c r="I29">
        <v>0.1047</v>
      </c>
      <c r="J29">
        <v>3.702</v>
      </c>
      <c r="K29">
        <v>6.5000000000000002E-2</v>
      </c>
      <c r="L29">
        <v>0.40799999999999997</v>
      </c>
      <c r="M29" s="140">
        <f t="shared" si="3"/>
        <v>0.1047</v>
      </c>
      <c r="N29" s="140">
        <f t="shared" si="3"/>
        <v>3.702</v>
      </c>
      <c r="O29" s="140">
        <f t="shared" si="3"/>
        <v>0.05</v>
      </c>
      <c r="P29" s="140">
        <f t="shared" si="1"/>
        <v>0.40799999999999997</v>
      </c>
      <c r="Q29" s="161" t="s">
        <v>676</v>
      </c>
      <c r="R29" s="125">
        <v>1.24</v>
      </c>
      <c r="S29" t="s">
        <v>676</v>
      </c>
      <c r="W29">
        <v>40.772694999999999</v>
      </c>
      <c r="X29">
        <v>-85.640409000000005</v>
      </c>
      <c r="Y29">
        <v>4</v>
      </c>
      <c r="Z29">
        <v>7</v>
      </c>
      <c r="AA29">
        <v>2023</v>
      </c>
      <c r="AB29" t="b">
        <v>0</v>
      </c>
      <c r="AC29" s="19">
        <v>45023</v>
      </c>
      <c r="AD29" s="19"/>
    </row>
    <row r="30" spans="1:30" x14ac:dyDescent="0.25">
      <c r="A30" s="25">
        <v>10029</v>
      </c>
      <c r="B30" t="s">
        <v>56</v>
      </c>
      <c r="C30" t="s">
        <v>521</v>
      </c>
      <c r="D30" s="27" t="s">
        <v>516</v>
      </c>
      <c r="E30" s="27" t="str">
        <f t="shared" si="2"/>
        <v>?</v>
      </c>
      <c r="F30" s="118"/>
      <c r="G30" t="s">
        <v>22</v>
      </c>
      <c r="H30" s="24" t="s">
        <v>9</v>
      </c>
      <c r="L30">
        <v>0.108</v>
      </c>
      <c r="M30" s="140">
        <f t="shared" si="3"/>
        <v>0.05</v>
      </c>
      <c r="N30" s="140">
        <f t="shared" si="3"/>
        <v>0.05</v>
      </c>
      <c r="O30" s="140">
        <f t="shared" si="3"/>
        <v>0.05</v>
      </c>
      <c r="P30" s="140">
        <f t="shared" si="1"/>
        <v>0.108</v>
      </c>
      <c r="Q30" s="161" t="s">
        <v>676</v>
      </c>
      <c r="R30" s="125" t="s">
        <v>676</v>
      </c>
      <c r="S30" t="s">
        <v>676</v>
      </c>
      <c r="W30">
        <v>40.751393</v>
      </c>
      <c r="X30">
        <v>-85.581419999999994</v>
      </c>
      <c r="Y30">
        <v>4</v>
      </c>
      <c r="Z30">
        <v>7</v>
      </c>
      <c r="AA30">
        <v>2023</v>
      </c>
      <c r="AB30" t="b">
        <v>0</v>
      </c>
      <c r="AC30" s="19">
        <v>45023</v>
      </c>
      <c r="AD30" s="19"/>
    </row>
    <row r="31" spans="1:30" x14ac:dyDescent="0.25">
      <c r="A31" s="25">
        <v>10030</v>
      </c>
      <c r="B31" t="s">
        <v>57</v>
      </c>
      <c r="C31" t="s">
        <v>521</v>
      </c>
      <c r="D31" s="27" t="s">
        <v>516</v>
      </c>
      <c r="E31" s="27" t="str">
        <f t="shared" si="2"/>
        <v>?</v>
      </c>
      <c r="F31" s="118"/>
      <c r="G31" t="s">
        <v>22</v>
      </c>
      <c r="H31" s="24" t="s">
        <v>9</v>
      </c>
      <c r="I31">
        <v>4.9750000000000003E-2</v>
      </c>
      <c r="J31">
        <v>4.4379999999999997</v>
      </c>
      <c r="K31">
        <v>0.2475</v>
      </c>
      <c r="L31">
        <v>0.351333333333333</v>
      </c>
      <c r="M31" s="140">
        <f t="shared" si="3"/>
        <v>0.05</v>
      </c>
      <c r="N31" s="140">
        <f t="shared" si="3"/>
        <v>4.4379999999999997</v>
      </c>
      <c r="O31" s="140">
        <f t="shared" si="3"/>
        <v>0.2475</v>
      </c>
      <c r="P31" s="140">
        <f t="shared" si="1"/>
        <v>0.351333333333333</v>
      </c>
      <c r="Q31" s="161" t="s">
        <v>676</v>
      </c>
      <c r="R31" s="125">
        <v>2.6850000000000001</v>
      </c>
      <c r="S31" t="s">
        <v>676</v>
      </c>
      <c r="W31">
        <v>40.772737999999997</v>
      </c>
      <c r="X31">
        <v>-85.604952999999995</v>
      </c>
      <c r="Y31">
        <v>4</v>
      </c>
      <c r="Z31">
        <v>7</v>
      </c>
      <c r="AA31">
        <v>2023</v>
      </c>
      <c r="AB31" t="b">
        <v>0</v>
      </c>
      <c r="AC31" s="19">
        <v>45023</v>
      </c>
      <c r="AD31" s="19"/>
    </row>
    <row r="32" spans="1:30" x14ac:dyDescent="0.25">
      <c r="A32" s="25">
        <v>10031</v>
      </c>
      <c r="B32" t="s">
        <v>58</v>
      </c>
      <c r="C32" t="s">
        <v>521</v>
      </c>
      <c r="D32" s="27" t="s">
        <v>516</v>
      </c>
      <c r="E32" s="27" t="str">
        <f t="shared" si="2"/>
        <v>?</v>
      </c>
      <c r="F32" s="118"/>
      <c r="G32" t="s">
        <v>22</v>
      </c>
      <c r="H32" s="24" t="s">
        <v>9</v>
      </c>
      <c r="I32">
        <v>0.1137</v>
      </c>
      <c r="J32">
        <v>4.5330000000000004</v>
      </c>
      <c r="K32">
        <v>0.111</v>
      </c>
      <c r="L32">
        <v>0.57950000000000002</v>
      </c>
      <c r="M32" s="140">
        <f t="shared" si="3"/>
        <v>0.1137</v>
      </c>
      <c r="N32" s="140">
        <f t="shared" si="3"/>
        <v>4.5330000000000004</v>
      </c>
      <c r="O32" s="140">
        <f t="shared" si="3"/>
        <v>0.111</v>
      </c>
      <c r="P32" s="140">
        <f t="shared" si="1"/>
        <v>0.57950000000000002</v>
      </c>
      <c r="Q32" s="161" t="s">
        <v>676</v>
      </c>
      <c r="R32" s="125">
        <v>3.335</v>
      </c>
      <c r="S32" t="s">
        <v>676</v>
      </c>
      <c r="W32">
        <v>40.792323000000003</v>
      </c>
      <c r="X32">
        <v>-85.666663</v>
      </c>
      <c r="Y32">
        <v>4</v>
      </c>
      <c r="Z32">
        <v>7</v>
      </c>
      <c r="AA32">
        <v>2023</v>
      </c>
      <c r="AB32" t="b">
        <v>0</v>
      </c>
      <c r="AC32" s="19">
        <v>45023</v>
      </c>
      <c r="AD32" s="19"/>
    </row>
    <row r="33" spans="1:30" x14ac:dyDescent="0.25">
      <c r="A33" s="25">
        <v>10032</v>
      </c>
      <c r="B33" t="s">
        <v>59</v>
      </c>
      <c r="C33" t="s">
        <v>522</v>
      </c>
      <c r="D33" s="27">
        <v>4101</v>
      </c>
      <c r="E33" s="27">
        <v>1</v>
      </c>
      <c r="F33" s="118">
        <v>6865</v>
      </c>
      <c r="G33" t="s">
        <v>20</v>
      </c>
      <c r="H33" s="24" t="s">
        <v>8</v>
      </c>
      <c r="I33">
        <v>0.50075000000000003</v>
      </c>
      <c r="J33">
        <v>5.0519999999999898</v>
      </c>
      <c r="K33">
        <v>0.25600000000000001</v>
      </c>
      <c r="L33">
        <v>7.9500000000000001E-2</v>
      </c>
      <c r="M33" s="140">
        <f t="shared" si="3"/>
        <v>0.50075000000000003</v>
      </c>
      <c r="N33" s="140">
        <f t="shared" si="3"/>
        <v>5.0519999999999898</v>
      </c>
      <c r="O33" s="140">
        <f t="shared" si="3"/>
        <v>0.25600000000000001</v>
      </c>
      <c r="P33" s="140">
        <f t="shared" si="1"/>
        <v>0.05</v>
      </c>
      <c r="Q33" s="161" t="s">
        <v>676</v>
      </c>
      <c r="R33" s="125">
        <v>2.2999999999999998</v>
      </c>
      <c r="S33" t="s">
        <v>676</v>
      </c>
      <c r="W33">
        <v>40.834879999999998</v>
      </c>
      <c r="X33">
        <v>-86.807770000000005</v>
      </c>
      <c r="Y33">
        <v>4</v>
      </c>
      <c r="Z33">
        <v>24</v>
      </c>
      <c r="AA33">
        <v>2023</v>
      </c>
      <c r="AB33" t="b">
        <v>0</v>
      </c>
      <c r="AC33" s="19">
        <v>45040</v>
      </c>
      <c r="AD33" s="19"/>
    </row>
    <row r="34" spans="1:30" x14ac:dyDescent="0.25">
      <c r="A34" s="25">
        <v>10033</v>
      </c>
      <c r="B34" t="s">
        <v>60</v>
      </c>
      <c r="C34" t="s">
        <v>523</v>
      </c>
      <c r="D34" s="27">
        <v>4102</v>
      </c>
      <c r="E34" s="27">
        <v>2</v>
      </c>
      <c r="F34" s="118">
        <v>8165</v>
      </c>
      <c r="G34" t="s">
        <v>20</v>
      </c>
      <c r="H34" s="24" t="s">
        <v>8</v>
      </c>
      <c r="I34">
        <v>1.2999999999999999E-2</v>
      </c>
      <c r="J34">
        <v>5.4109999999999996</v>
      </c>
      <c r="K34">
        <v>-3.0000000000000001E-3</v>
      </c>
      <c r="L34">
        <v>3.2000000000000001E-2</v>
      </c>
      <c r="M34" s="140">
        <f t="shared" ref="M34:O49" si="4">IF(I34&lt;0.1,0.05,I34)</f>
        <v>0.05</v>
      </c>
      <c r="N34" s="140">
        <f t="shared" si="4"/>
        <v>5.4109999999999996</v>
      </c>
      <c r="O34" s="140">
        <f t="shared" si="4"/>
        <v>0.05</v>
      </c>
      <c r="P34" s="140">
        <f t="shared" si="1"/>
        <v>0.05</v>
      </c>
      <c r="Q34" s="161" t="s">
        <v>676</v>
      </c>
      <c r="R34" s="125">
        <v>2.36</v>
      </c>
      <c r="S34" t="s">
        <v>676</v>
      </c>
      <c r="W34">
        <v>40.840789999999998</v>
      </c>
      <c r="X34">
        <v>-86.804919999999996</v>
      </c>
      <c r="Y34">
        <v>4</v>
      </c>
      <c r="Z34">
        <v>24</v>
      </c>
      <c r="AA34">
        <v>2023</v>
      </c>
      <c r="AB34" t="b">
        <v>0</v>
      </c>
      <c r="AC34" s="19">
        <v>45040</v>
      </c>
      <c r="AD34" s="19"/>
    </row>
    <row r="35" spans="1:30" x14ac:dyDescent="0.25">
      <c r="A35" s="25">
        <v>10034</v>
      </c>
      <c r="B35" t="s">
        <v>61</v>
      </c>
      <c r="C35" t="s">
        <v>524</v>
      </c>
      <c r="D35" s="27">
        <v>4103</v>
      </c>
      <c r="E35" s="27">
        <v>3</v>
      </c>
      <c r="F35" s="118"/>
      <c r="G35" t="s">
        <v>20</v>
      </c>
      <c r="H35" s="24" t="s">
        <v>8</v>
      </c>
      <c r="I35">
        <v>2.0500000000000001E-2</v>
      </c>
      <c r="J35">
        <v>5.31</v>
      </c>
      <c r="K35">
        <v>-4.0000000000000001E-3</v>
      </c>
      <c r="L35">
        <v>4.9500000000000002E-2</v>
      </c>
      <c r="M35" s="140">
        <f t="shared" si="4"/>
        <v>0.05</v>
      </c>
      <c r="N35" s="140">
        <f t="shared" si="4"/>
        <v>5.31</v>
      </c>
      <c r="O35" s="140">
        <f t="shared" si="4"/>
        <v>0.05</v>
      </c>
      <c r="P35" s="140">
        <f t="shared" si="1"/>
        <v>0.05</v>
      </c>
      <c r="Q35" s="161" t="s">
        <v>676</v>
      </c>
      <c r="R35" s="125">
        <v>2.2250000000000001</v>
      </c>
      <c r="S35" t="s">
        <v>676</v>
      </c>
      <c r="W35">
        <v>40.842820000000003</v>
      </c>
      <c r="X35">
        <v>-86.816339999999997</v>
      </c>
      <c r="Y35">
        <v>4</v>
      </c>
      <c r="Z35">
        <v>24</v>
      </c>
      <c r="AA35">
        <v>2023</v>
      </c>
      <c r="AB35" t="b">
        <v>0</v>
      </c>
      <c r="AC35" s="19">
        <v>45040</v>
      </c>
      <c r="AD35" s="19"/>
    </row>
    <row r="36" spans="1:30" x14ac:dyDescent="0.25">
      <c r="A36" s="25">
        <v>10035</v>
      </c>
      <c r="B36" t="s">
        <v>62</v>
      </c>
      <c r="C36" t="s">
        <v>525</v>
      </c>
      <c r="D36" s="27">
        <v>4104</v>
      </c>
      <c r="E36" s="27">
        <v>4</v>
      </c>
      <c r="F36" s="118"/>
      <c r="G36" t="s">
        <v>20</v>
      </c>
      <c r="H36" s="24" t="s">
        <v>8</v>
      </c>
      <c r="I36">
        <v>9.7000000000000003E-3</v>
      </c>
      <c r="J36">
        <v>7.327</v>
      </c>
      <c r="K36">
        <v>-5.0000000000000001E-3</v>
      </c>
      <c r="L36">
        <v>5.6250000000000001E-2</v>
      </c>
      <c r="M36" s="140">
        <f t="shared" si="4"/>
        <v>0.05</v>
      </c>
      <c r="N36" s="140">
        <f t="shared" si="4"/>
        <v>7.327</v>
      </c>
      <c r="O36" s="140">
        <f t="shared" si="4"/>
        <v>0.05</v>
      </c>
      <c r="P36" s="140">
        <f t="shared" si="1"/>
        <v>0.05</v>
      </c>
      <c r="Q36" s="161" t="s">
        <v>676</v>
      </c>
      <c r="R36" s="125">
        <v>9.43</v>
      </c>
      <c r="S36" t="s">
        <v>676</v>
      </c>
      <c r="W36">
        <v>40.847239999999999</v>
      </c>
      <c r="X36">
        <v>-86.81371</v>
      </c>
      <c r="Y36">
        <v>4</v>
      </c>
      <c r="Z36">
        <v>24</v>
      </c>
      <c r="AA36">
        <v>2023</v>
      </c>
      <c r="AB36" t="b">
        <v>0</v>
      </c>
      <c r="AC36" s="19">
        <v>45040</v>
      </c>
      <c r="AD36" s="19"/>
    </row>
    <row r="37" spans="1:30" x14ac:dyDescent="0.25">
      <c r="A37" s="25">
        <v>10036</v>
      </c>
      <c r="B37" t="s">
        <v>63</v>
      </c>
      <c r="C37" t="s">
        <v>526</v>
      </c>
      <c r="D37" s="27">
        <v>4105</v>
      </c>
      <c r="E37" s="27">
        <v>5</v>
      </c>
      <c r="F37" s="118">
        <v>6425</v>
      </c>
      <c r="G37" t="s">
        <v>20</v>
      </c>
      <c r="H37" s="24" t="s">
        <v>8</v>
      </c>
      <c r="I37">
        <v>3.09E-2</v>
      </c>
      <c r="J37">
        <v>4.7359999999999998</v>
      </c>
      <c r="K37">
        <v>-3.0000000000000001E-3</v>
      </c>
      <c r="L37">
        <v>6.0499999999999998E-2</v>
      </c>
      <c r="M37" s="140">
        <f t="shared" si="4"/>
        <v>0.05</v>
      </c>
      <c r="N37" s="140">
        <f t="shared" si="4"/>
        <v>4.7359999999999998</v>
      </c>
      <c r="O37" s="140">
        <f t="shared" si="4"/>
        <v>0.05</v>
      </c>
      <c r="P37" s="140">
        <f t="shared" si="1"/>
        <v>0.05</v>
      </c>
      <c r="Q37" s="161" t="s">
        <v>676</v>
      </c>
      <c r="R37" s="125">
        <v>24.82</v>
      </c>
      <c r="S37" t="s">
        <v>676</v>
      </c>
      <c r="W37">
        <v>40.82403</v>
      </c>
      <c r="X37">
        <v>-86.795940000000002</v>
      </c>
      <c r="Y37">
        <v>4</v>
      </c>
      <c r="Z37">
        <v>24</v>
      </c>
      <c r="AA37">
        <v>2023</v>
      </c>
      <c r="AB37" t="b">
        <v>0</v>
      </c>
      <c r="AC37" s="19">
        <v>45040</v>
      </c>
      <c r="AD37" s="19"/>
    </row>
    <row r="38" spans="1:30" x14ac:dyDescent="0.25">
      <c r="A38" s="25">
        <v>10037</v>
      </c>
      <c r="B38" t="s">
        <v>64</v>
      </c>
      <c r="C38" t="s">
        <v>526</v>
      </c>
      <c r="D38" s="27">
        <v>4105</v>
      </c>
      <c r="E38" s="27">
        <v>5</v>
      </c>
      <c r="F38" s="118">
        <v>6425</v>
      </c>
      <c r="G38" t="s">
        <v>20</v>
      </c>
      <c r="H38" s="24" t="s">
        <v>8</v>
      </c>
      <c r="I38">
        <v>1.54E-2</v>
      </c>
      <c r="J38">
        <v>2.8079999999999998</v>
      </c>
      <c r="K38">
        <v>-4.0000000000000001E-3</v>
      </c>
      <c r="L38">
        <v>1.6750000000000001E-2</v>
      </c>
      <c r="M38" s="140">
        <f t="shared" si="4"/>
        <v>0.05</v>
      </c>
      <c r="N38" s="140">
        <f t="shared" si="4"/>
        <v>2.8079999999999998</v>
      </c>
      <c r="O38" s="140">
        <f t="shared" si="4"/>
        <v>0.05</v>
      </c>
      <c r="P38" s="140">
        <f t="shared" si="1"/>
        <v>0.05</v>
      </c>
      <c r="Q38" s="161" t="s">
        <v>676</v>
      </c>
      <c r="R38" s="125">
        <v>2.1949999999999998</v>
      </c>
      <c r="S38" t="s">
        <v>676</v>
      </c>
      <c r="W38">
        <v>40.823160000000001</v>
      </c>
      <c r="X38">
        <v>-86.791169999999994</v>
      </c>
      <c r="Y38">
        <v>4</v>
      </c>
      <c r="Z38">
        <v>24</v>
      </c>
      <c r="AA38">
        <v>2023</v>
      </c>
      <c r="AB38" t="b">
        <v>0</v>
      </c>
      <c r="AC38" s="19">
        <v>45040</v>
      </c>
      <c r="AD38" s="19"/>
    </row>
    <row r="39" spans="1:30" x14ac:dyDescent="0.25">
      <c r="A39" s="25">
        <v>10038</v>
      </c>
      <c r="B39" t="s">
        <v>65</v>
      </c>
      <c r="C39" t="s">
        <v>527</v>
      </c>
      <c r="D39" s="27">
        <v>4108</v>
      </c>
      <c r="E39" s="27">
        <v>8</v>
      </c>
      <c r="F39" s="118">
        <v>5065</v>
      </c>
      <c r="G39" t="s">
        <v>20</v>
      </c>
      <c r="H39" s="24" t="s">
        <v>8</v>
      </c>
      <c r="I39">
        <v>0.70740000000000003</v>
      </c>
      <c r="J39">
        <v>3.169</v>
      </c>
      <c r="K39">
        <v>0.34399999999999997</v>
      </c>
      <c r="L39">
        <v>1.975E-2</v>
      </c>
      <c r="M39" s="140">
        <f t="shared" si="4"/>
        <v>0.70740000000000003</v>
      </c>
      <c r="N39" s="140">
        <f t="shared" si="4"/>
        <v>3.169</v>
      </c>
      <c r="O39" s="140">
        <f t="shared" si="4"/>
        <v>0.34399999999999997</v>
      </c>
      <c r="P39" s="140">
        <f t="shared" si="1"/>
        <v>0.05</v>
      </c>
      <c r="Q39" s="161" t="s">
        <v>676</v>
      </c>
      <c r="R39" s="125">
        <v>0.59</v>
      </c>
      <c r="S39" t="s">
        <v>676</v>
      </c>
      <c r="W39">
        <v>40.809220000000003</v>
      </c>
      <c r="X39">
        <v>-86.790869999999998</v>
      </c>
      <c r="Y39">
        <v>4</v>
      </c>
      <c r="Z39">
        <v>24</v>
      </c>
      <c r="AA39">
        <v>2023</v>
      </c>
      <c r="AB39" t="b">
        <v>0</v>
      </c>
      <c r="AC39" s="19">
        <v>45040</v>
      </c>
      <c r="AD39" s="19"/>
    </row>
    <row r="40" spans="1:30" x14ac:dyDescent="0.25">
      <c r="A40" s="25">
        <v>10039</v>
      </c>
      <c r="B40" t="s">
        <v>66</v>
      </c>
      <c r="C40" t="s">
        <v>527</v>
      </c>
      <c r="D40" s="27">
        <v>4108</v>
      </c>
      <c r="E40" s="27">
        <v>8</v>
      </c>
      <c r="F40" s="118">
        <v>5065</v>
      </c>
      <c r="G40" t="s">
        <v>20</v>
      </c>
      <c r="H40" s="24" t="s">
        <v>8</v>
      </c>
      <c r="I40">
        <v>0.77429999999999999</v>
      </c>
      <c r="J40">
        <v>3.2149999999999999</v>
      </c>
      <c r="K40">
        <v>0.36249999999999999</v>
      </c>
      <c r="L40">
        <v>1.95E-2</v>
      </c>
      <c r="M40" s="140">
        <f t="shared" si="4"/>
        <v>0.77429999999999999</v>
      </c>
      <c r="N40" s="140">
        <f t="shared" si="4"/>
        <v>3.2149999999999999</v>
      </c>
      <c r="O40" s="140">
        <f t="shared" si="4"/>
        <v>0.36249999999999999</v>
      </c>
      <c r="P40" s="140">
        <f t="shared" si="1"/>
        <v>0.05</v>
      </c>
      <c r="Q40" s="161" t="s">
        <v>676</v>
      </c>
      <c r="R40" s="125">
        <v>0.65000000000000102</v>
      </c>
      <c r="S40" t="s">
        <v>676</v>
      </c>
      <c r="W40">
        <v>40.809040000000003</v>
      </c>
      <c r="X40">
        <v>-86.793700000000001</v>
      </c>
      <c r="Y40">
        <v>4</v>
      </c>
      <c r="Z40">
        <v>24</v>
      </c>
      <c r="AA40">
        <v>2023</v>
      </c>
      <c r="AB40" t="b">
        <v>0</v>
      </c>
      <c r="AC40" s="19">
        <v>45040</v>
      </c>
      <c r="AD40" s="19"/>
    </row>
    <row r="41" spans="1:30" x14ac:dyDescent="0.25">
      <c r="A41" s="25">
        <v>10040</v>
      </c>
      <c r="B41" t="s">
        <v>67</v>
      </c>
      <c r="C41" t="s">
        <v>528</v>
      </c>
      <c r="D41" s="27">
        <v>4109</v>
      </c>
      <c r="E41" s="27">
        <v>9</v>
      </c>
      <c r="F41" s="118">
        <v>3385</v>
      </c>
      <c r="G41" t="s">
        <v>20</v>
      </c>
      <c r="H41" s="24" t="s">
        <v>8</v>
      </c>
      <c r="I41">
        <v>2.6599999999999999E-2</v>
      </c>
      <c r="J41">
        <v>3.4249999999999998</v>
      </c>
      <c r="K41">
        <v>-8.0000000000000002E-3</v>
      </c>
      <c r="L41">
        <v>2.5250000000000002E-2</v>
      </c>
      <c r="M41" s="140">
        <f t="shared" si="4"/>
        <v>0.05</v>
      </c>
      <c r="N41" s="140">
        <f t="shared" si="4"/>
        <v>3.4249999999999998</v>
      </c>
      <c r="O41" s="140">
        <f t="shared" si="4"/>
        <v>0.05</v>
      </c>
      <c r="P41" s="140">
        <f t="shared" si="1"/>
        <v>0.05</v>
      </c>
      <c r="Q41" s="161" t="s">
        <v>676</v>
      </c>
      <c r="R41" s="125">
        <v>0.9</v>
      </c>
      <c r="S41" t="s">
        <v>676</v>
      </c>
      <c r="W41">
        <v>40.803840000000001</v>
      </c>
      <c r="X41">
        <v>-86.776250000000005</v>
      </c>
      <c r="Y41">
        <v>4</v>
      </c>
      <c r="Z41">
        <v>24</v>
      </c>
      <c r="AA41">
        <v>2023</v>
      </c>
      <c r="AB41" t="b">
        <v>0</v>
      </c>
      <c r="AC41" s="19">
        <v>45040</v>
      </c>
      <c r="AD41" s="19"/>
    </row>
    <row r="42" spans="1:30" x14ac:dyDescent="0.25">
      <c r="A42" s="25">
        <v>10041</v>
      </c>
      <c r="B42" t="s">
        <v>68</v>
      </c>
      <c r="C42" t="s">
        <v>529</v>
      </c>
      <c r="D42" s="27">
        <v>4110</v>
      </c>
      <c r="E42" s="27">
        <v>10</v>
      </c>
      <c r="F42" s="118">
        <v>2205</v>
      </c>
      <c r="G42" t="s">
        <v>20</v>
      </c>
      <c r="H42" s="24" t="s">
        <v>8</v>
      </c>
      <c r="I42">
        <v>0.65915000000000001</v>
      </c>
      <c r="J42">
        <v>3.411</v>
      </c>
      <c r="K42">
        <v>0.318</v>
      </c>
      <c r="L42">
        <v>3.6249999999999998E-2</v>
      </c>
      <c r="M42" s="140">
        <f t="shared" si="4"/>
        <v>0.65915000000000001</v>
      </c>
      <c r="N42" s="140">
        <f t="shared" si="4"/>
        <v>3.411</v>
      </c>
      <c r="O42" s="140">
        <f t="shared" si="4"/>
        <v>0.318</v>
      </c>
      <c r="P42" s="140">
        <f t="shared" si="1"/>
        <v>0.05</v>
      </c>
      <c r="Q42" s="161" t="s">
        <v>676</v>
      </c>
      <c r="R42" s="125">
        <v>0.93500000000000105</v>
      </c>
      <c r="S42" t="s">
        <v>676</v>
      </c>
      <c r="W42">
        <v>40.794370000000001</v>
      </c>
      <c r="X42">
        <v>-86.772639999999996</v>
      </c>
      <c r="Y42">
        <v>4</v>
      </c>
      <c r="Z42">
        <v>24</v>
      </c>
      <c r="AA42">
        <v>2023</v>
      </c>
      <c r="AB42" t="b">
        <v>0</v>
      </c>
      <c r="AC42" s="19">
        <v>45040</v>
      </c>
      <c r="AD42" s="19"/>
    </row>
    <row r="43" spans="1:30" x14ac:dyDescent="0.25">
      <c r="A43" s="25">
        <v>10042</v>
      </c>
      <c r="B43" t="s">
        <v>69</v>
      </c>
      <c r="C43" t="s">
        <v>530</v>
      </c>
      <c r="D43" s="27">
        <v>4111</v>
      </c>
      <c r="E43" s="27">
        <v>11</v>
      </c>
      <c r="F43" s="118">
        <v>1385</v>
      </c>
      <c r="G43" t="s">
        <v>20</v>
      </c>
      <c r="H43" s="24" t="s">
        <v>8</v>
      </c>
      <c r="I43">
        <v>0.78615000000000002</v>
      </c>
      <c r="J43">
        <v>3.5684999999999998</v>
      </c>
      <c r="K43">
        <v>0.29749999999999999</v>
      </c>
      <c r="L43">
        <v>2.8000000000000001E-2</v>
      </c>
      <c r="M43" s="140">
        <f t="shared" si="4"/>
        <v>0.78615000000000002</v>
      </c>
      <c r="N43" s="140">
        <f t="shared" si="4"/>
        <v>3.5684999999999998</v>
      </c>
      <c r="O43" s="140">
        <f t="shared" si="4"/>
        <v>0.29749999999999999</v>
      </c>
      <c r="P43" s="140">
        <f t="shared" si="1"/>
        <v>0.05</v>
      </c>
      <c r="Q43" s="161" t="s">
        <v>676</v>
      </c>
      <c r="R43" s="125">
        <v>7.835</v>
      </c>
      <c r="S43" t="s">
        <v>676</v>
      </c>
      <c r="W43">
        <v>40.786769999999997</v>
      </c>
      <c r="X43">
        <v>-86.770709999999994</v>
      </c>
      <c r="Y43">
        <v>4</v>
      </c>
      <c r="Z43">
        <v>24</v>
      </c>
      <c r="AA43">
        <v>2023</v>
      </c>
      <c r="AB43" t="b">
        <v>0</v>
      </c>
      <c r="AC43" s="19">
        <v>45040</v>
      </c>
      <c r="AD43" s="19"/>
    </row>
    <row r="44" spans="1:30" x14ac:dyDescent="0.25">
      <c r="A44" s="25">
        <v>10043</v>
      </c>
      <c r="B44" t="s">
        <v>70</v>
      </c>
      <c r="C44" t="s">
        <v>531</v>
      </c>
      <c r="D44" s="27">
        <v>4112</v>
      </c>
      <c r="E44" s="27">
        <v>12</v>
      </c>
      <c r="F44" s="118">
        <v>275</v>
      </c>
      <c r="G44" t="s">
        <v>20</v>
      </c>
      <c r="H44" s="24" t="s">
        <v>8</v>
      </c>
      <c r="I44">
        <v>2.3699999999999999E-2</v>
      </c>
      <c r="J44">
        <v>3.4159999999999999</v>
      </c>
      <c r="K44">
        <v>-0.01</v>
      </c>
      <c r="L44">
        <v>3.7249999999999998E-2</v>
      </c>
      <c r="M44" s="140">
        <f t="shared" si="4"/>
        <v>0.05</v>
      </c>
      <c r="N44" s="140">
        <f t="shared" si="4"/>
        <v>3.4159999999999999</v>
      </c>
      <c r="O44" s="140">
        <f t="shared" si="4"/>
        <v>0.05</v>
      </c>
      <c r="P44" s="140">
        <f t="shared" si="1"/>
        <v>0.05</v>
      </c>
      <c r="Q44" s="161" t="s">
        <v>676</v>
      </c>
      <c r="R44" s="125">
        <v>7.6449999999999996</v>
      </c>
      <c r="S44" t="s">
        <v>676</v>
      </c>
      <c r="W44">
        <v>40.781860000000002</v>
      </c>
      <c r="X44">
        <v>-86.760980000000004</v>
      </c>
      <c r="Y44">
        <v>4</v>
      </c>
      <c r="Z44">
        <v>24</v>
      </c>
      <c r="AA44">
        <v>2023</v>
      </c>
      <c r="AB44" t="b">
        <v>0</v>
      </c>
      <c r="AC44" s="19">
        <v>45040</v>
      </c>
      <c r="AD44" s="19"/>
    </row>
    <row r="45" spans="1:30" x14ac:dyDescent="0.25">
      <c r="A45" s="25">
        <v>10044</v>
      </c>
      <c r="B45" t="s">
        <v>71</v>
      </c>
      <c r="C45" t="s">
        <v>532</v>
      </c>
      <c r="D45" s="27" t="s">
        <v>516</v>
      </c>
      <c r="E45" s="27" t="str">
        <f t="shared" ref="E45:E59" si="5">RIGHT(D45,2)</f>
        <v>?</v>
      </c>
      <c r="F45" s="118"/>
      <c r="G45" t="s">
        <v>20</v>
      </c>
      <c r="H45" s="24" t="s">
        <v>9</v>
      </c>
      <c r="I45">
        <v>6.3200000000000006E-2</v>
      </c>
      <c r="J45">
        <v>4.7140000000000004</v>
      </c>
      <c r="K45">
        <v>-2E-3</v>
      </c>
      <c r="L45">
        <v>5.6000000000000001E-2</v>
      </c>
      <c r="M45" s="140">
        <f t="shared" si="4"/>
        <v>0.05</v>
      </c>
      <c r="N45" s="140">
        <f t="shared" si="4"/>
        <v>4.7140000000000004</v>
      </c>
      <c r="O45" s="140">
        <f t="shared" si="4"/>
        <v>0.05</v>
      </c>
      <c r="P45" s="140">
        <f t="shared" si="1"/>
        <v>0.05</v>
      </c>
      <c r="Q45" s="161" t="s">
        <v>676</v>
      </c>
      <c r="R45" s="125">
        <v>27.38</v>
      </c>
      <c r="S45" t="s">
        <v>676</v>
      </c>
      <c r="W45">
        <v>40.825102999999999</v>
      </c>
      <c r="X45">
        <v>-86.795000000000002</v>
      </c>
      <c r="Y45">
        <v>4</v>
      </c>
      <c r="Z45">
        <v>24</v>
      </c>
      <c r="AA45">
        <v>2023</v>
      </c>
      <c r="AB45" t="b">
        <v>0</v>
      </c>
      <c r="AC45" s="19">
        <v>45040</v>
      </c>
      <c r="AD45" s="19"/>
    </row>
    <row r="46" spans="1:30" x14ac:dyDescent="0.25">
      <c r="A46" s="25">
        <v>10045</v>
      </c>
      <c r="B46" t="s">
        <v>72</v>
      </c>
      <c r="C46" t="s">
        <v>533</v>
      </c>
      <c r="D46" s="27" t="s">
        <v>516</v>
      </c>
      <c r="E46" s="27" t="str">
        <f t="shared" si="5"/>
        <v>?</v>
      </c>
      <c r="F46" s="118"/>
      <c r="G46" t="s">
        <v>19</v>
      </c>
      <c r="H46" s="24" t="s">
        <v>9</v>
      </c>
      <c r="I46">
        <v>2.5000000000000001E-3</v>
      </c>
      <c r="J46">
        <v>6.6790000000000003</v>
      </c>
      <c r="K46">
        <v>0.16</v>
      </c>
      <c r="L46">
        <v>0.2135</v>
      </c>
      <c r="M46" s="140">
        <f t="shared" si="4"/>
        <v>0.05</v>
      </c>
      <c r="N46" s="140">
        <f t="shared" si="4"/>
        <v>6.6790000000000003</v>
      </c>
      <c r="O46" s="140">
        <f t="shared" si="4"/>
        <v>0.16</v>
      </c>
      <c r="P46" s="140">
        <f t="shared" si="1"/>
        <v>0.2135</v>
      </c>
      <c r="Q46" s="161" t="s">
        <v>676</v>
      </c>
      <c r="R46" s="125">
        <v>1.54</v>
      </c>
      <c r="S46" t="s">
        <v>676</v>
      </c>
      <c r="W46">
        <v>40.668348999999999</v>
      </c>
      <c r="X46">
        <v>-85.848617000000004</v>
      </c>
      <c r="Y46">
        <v>5</v>
      </c>
      <c r="Z46">
        <v>10</v>
      </c>
      <c r="AA46">
        <v>2023</v>
      </c>
      <c r="AB46" t="b">
        <v>0</v>
      </c>
      <c r="AC46" s="19">
        <v>45056</v>
      </c>
      <c r="AD46" s="19"/>
    </row>
    <row r="47" spans="1:30" x14ac:dyDescent="0.25">
      <c r="A47" s="25">
        <v>10046</v>
      </c>
      <c r="B47" t="s">
        <v>73</v>
      </c>
      <c r="C47" t="s">
        <v>533</v>
      </c>
      <c r="D47" s="27" t="s">
        <v>516</v>
      </c>
      <c r="E47" s="27" t="str">
        <f t="shared" si="5"/>
        <v>?</v>
      </c>
      <c r="F47" s="118"/>
      <c r="G47" t="s">
        <v>19</v>
      </c>
      <c r="H47" s="24" t="s">
        <v>9</v>
      </c>
      <c r="I47">
        <v>0.16289999999999999</v>
      </c>
      <c r="J47">
        <v>6.6420000000000003</v>
      </c>
      <c r="K47">
        <v>8.5999999999999993E-2</v>
      </c>
      <c r="L47">
        <v>0.21299999999999999</v>
      </c>
      <c r="M47" s="140">
        <f t="shared" si="4"/>
        <v>0.16289999999999999</v>
      </c>
      <c r="N47" s="140">
        <f t="shared" si="4"/>
        <v>6.6420000000000003</v>
      </c>
      <c r="O47" s="140">
        <f t="shared" si="4"/>
        <v>0.05</v>
      </c>
      <c r="P47" s="140">
        <f t="shared" si="1"/>
        <v>0.21299999999999999</v>
      </c>
      <c r="Q47" s="161" t="s">
        <v>676</v>
      </c>
      <c r="R47" s="125">
        <v>1.5349999999999999</v>
      </c>
      <c r="S47" t="s">
        <v>676</v>
      </c>
      <c r="W47">
        <v>40.668568</v>
      </c>
      <c r="X47">
        <v>-85.848866999999998</v>
      </c>
      <c r="Y47">
        <v>5</v>
      </c>
      <c r="Z47">
        <v>10</v>
      </c>
      <c r="AA47">
        <v>2023</v>
      </c>
      <c r="AB47" t="b">
        <v>0</v>
      </c>
      <c r="AC47" s="19">
        <v>45056</v>
      </c>
      <c r="AD47" s="19"/>
    </row>
    <row r="48" spans="1:30" x14ac:dyDescent="0.25">
      <c r="A48" s="25">
        <v>10047</v>
      </c>
      <c r="B48" t="s">
        <v>74</v>
      </c>
      <c r="C48" t="s">
        <v>533</v>
      </c>
      <c r="D48" s="27" t="s">
        <v>516</v>
      </c>
      <c r="E48" s="27" t="str">
        <f t="shared" si="5"/>
        <v>?</v>
      </c>
      <c r="F48" s="118"/>
      <c r="G48" t="s">
        <v>19</v>
      </c>
      <c r="H48" s="24" t="s">
        <v>9</v>
      </c>
      <c r="I48">
        <v>1.0888</v>
      </c>
      <c r="J48">
        <v>1.78</v>
      </c>
      <c r="K48">
        <v>0.28499999999999998</v>
      </c>
      <c r="L48">
        <v>0.17599999999999999</v>
      </c>
      <c r="M48" s="140">
        <f t="shared" si="4"/>
        <v>1.0888</v>
      </c>
      <c r="N48" s="140">
        <f t="shared" si="4"/>
        <v>1.78</v>
      </c>
      <c r="O48" s="140">
        <f t="shared" si="4"/>
        <v>0.28499999999999998</v>
      </c>
      <c r="P48" s="140">
        <f t="shared" si="1"/>
        <v>0.17599999999999999</v>
      </c>
      <c r="Q48" s="161" t="s">
        <v>676</v>
      </c>
      <c r="R48" s="125">
        <v>9.8550000000000004</v>
      </c>
      <c r="S48" t="s">
        <v>676</v>
      </c>
      <c r="W48">
        <v>40.680658000000001</v>
      </c>
      <c r="X48">
        <v>-85.895797999999999</v>
      </c>
      <c r="Y48">
        <v>5</v>
      </c>
      <c r="Z48">
        <v>10</v>
      </c>
      <c r="AA48">
        <v>2023</v>
      </c>
      <c r="AB48" t="b">
        <v>0</v>
      </c>
      <c r="AC48" s="19">
        <v>45056</v>
      </c>
      <c r="AD48" s="19"/>
    </row>
    <row r="49" spans="1:30" x14ac:dyDescent="0.25">
      <c r="A49" s="25">
        <v>10048</v>
      </c>
      <c r="B49" t="s">
        <v>75</v>
      </c>
      <c r="C49" t="s">
        <v>533</v>
      </c>
      <c r="D49" s="27" t="s">
        <v>516</v>
      </c>
      <c r="E49" s="27" t="str">
        <f t="shared" si="5"/>
        <v>?</v>
      </c>
      <c r="F49" s="118"/>
      <c r="G49" t="s">
        <v>19</v>
      </c>
      <c r="H49" s="24" t="s">
        <v>9</v>
      </c>
      <c r="I49">
        <v>1.0567</v>
      </c>
      <c r="J49">
        <v>4.6414999999999997</v>
      </c>
      <c r="K49">
        <v>0.26850000000000002</v>
      </c>
      <c r="L49">
        <v>0.375</v>
      </c>
      <c r="M49" s="140">
        <f t="shared" si="4"/>
        <v>1.0567</v>
      </c>
      <c r="N49" s="140">
        <f t="shared" si="4"/>
        <v>4.6414999999999997</v>
      </c>
      <c r="O49" s="140">
        <f t="shared" si="4"/>
        <v>0.26850000000000002</v>
      </c>
      <c r="P49" s="140">
        <f t="shared" si="1"/>
        <v>0.375</v>
      </c>
      <c r="Q49" s="161" t="s">
        <v>676</v>
      </c>
      <c r="R49" s="125">
        <v>7.8250000000000002</v>
      </c>
      <c r="S49" t="s">
        <v>676</v>
      </c>
      <c r="W49">
        <v>40.680740999999998</v>
      </c>
      <c r="X49">
        <v>-85.895804999999996</v>
      </c>
      <c r="Y49">
        <v>5</v>
      </c>
      <c r="Z49">
        <v>10</v>
      </c>
      <c r="AA49">
        <v>2023</v>
      </c>
      <c r="AB49" t="b">
        <v>0</v>
      </c>
      <c r="AC49" s="19">
        <v>45056</v>
      </c>
      <c r="AD49" s="19"/>
    </row>
    <row r="50" spans="1:30" x14ac:dyDescent="0.25">
      <c r="A50" s="25">
        <v>10049</v>
      </c>
      <c r="B50" t="s">
        <v>76</v>
      </c>
      <c r="C50" t="s">
        <v>533</v>
      </c>
      <c r="D50" s="27" t="s">
        <v>516</v>
      </c>
      <c r="E50" s="27" t="str">
        <f t="shared" si="5"/>
        <v>?</v>
      </c>
      <c r="F50" s="118"/>
      <c r="G50" t="s">
        <v>19</v>
      </c>
      <c r="H50" s="24" t="s">
        <v>9</v>
      </c>
      <c r="I50">
        <v>1.37395</v>
      </c>
      <c r="J50">
        <v>4.1580000000000004</v>
      </c>
      <c r="K50">
        <v>0.42649999999999999</v>
      </c>
      <c r="L50">
        <v>6.7000000000000004E-2</v>
      </c>
      <c r="M50" s="140">
        <f t="shared" ref="M50:O65" si="6">IF(I50&lt;0.1,0.05,I50)</f>
        <v>1.37395</v>
      </c>
      <c r="N50" s="140">
        <f t="shared" si="6"/>
        <v>4.1580000000000004</v>
      </c>
      <c r="O50" s="140">
        <f t="shared" si="6"/>
        <v>0.42649999999999999</v>
      </c>
      <c r="P50" s="140">
        <f t="shared" si="1"/>
        <v>0.05</v>
      </c>
      <c r="Q50" s="161" t="s">
        <v>676</v>
      </c>
      <c r="R50" s="125">
        <v>10.16</v>
      </c>
      <c r="S50" t="s">
        <v>676</v>
      </c>
      <c r="W50">
        <v>40.680776999999999</v>
      </c>
      <c r="X50">
        <v>-85.895501999999993</v>
      </c>
      <c r="Y50">
        <v>5</v>
      </c>
      <c r="Z50">
        <v>10</v>
      </c>
      <c r="AA50">
        <v>2023</v>
      </c>
      <c r="AB50" t="b">
        <v>0</v>
      </c>
      <c r="AC50" s="19">
        <v>45056</v>
      </c>
      <c r="AD50" s="19"/>
    </row>
    <row r="51" spans="1:30" x14ac:dyDescent="0.25">
      <c r="A51" s="25">
        <v>10050</v>
      </c>
      <c r="B51" t="s">
        <v>77</v>
      </c>
      <c r="C51" t="s">
        <v>533</v>
      </c>
      <c r="D51" s="27" t="s">
        <v>516</v>
      </c>
      <c r="E51" s="27" t="str">
        <f t="shared" si="5"/>
        <v>?</v>
      </c>
      <c r="F51" s="118"/>
      <c r="G51" t="s">
        <v>19</v>
      </c>
      <c r="H51" s="24" t="s">
        <v>9</v>
      </c>
      <c r="I51">
        <v>0.6532</v>
      </c>
      <c r="J51">
        <v>3.5209999999999999</v>
      </c>
      <c r="K51">
        <v>0.29549999999999998</v>
      </c>
      <c r="L51">
        <v>0.1055</v>
      </c>
      <c r="M51" s="140">
        <f t="shared" si="6"/>
        <v>0.6532</v>
      </c>
      <c r="N51" s="140">
        <f t="shared" si="6"/>
        <v>3.5209999999999999</v>
      </c>
      <c r="O51" s="140">
        <f t="shared" si="6"/>
        <v>0.29549999999999998</v>
      </c>
      <c r="P51" s="140">
        <f t="shared" si="1"/>
        <v>0.1055</v>
      </c>
      <c r="Q51" s="161" t="s">
        <v>676</v>
      </c>
      <c r="R51" s="125">
        <v>2.76</v>
      </c>
      <c r="S51" t="s">
        <v>676</v>
      </c>
      <c r="W51">
        <v>40.705710000000003</v>
      </c>
      <c r="X51">
        <v>-85.954143000000002</v>
      </c>
      <c r="Y51">
        <v>5</v>
      </c>
      <c r="Z51">
        <v>10</v>
      </c>
      <c r="AA51">
        <v>2023</v>
      </c>
      <c r="AB51" t="b">
        <v>0</v>
      </c>
      <c r="AC51" s="19">
        <v>45056</v>
      </c>
      <c r="AD51" s="19"/>
    </row>
    <row r="52" spans="1:30" x14ac:dyDescent="0.25">
      <c r="A52" s="25">
        <v>10051</v>
      </c>
      <c r="B52" t="s">
        <v>78</v>
      </c>
      <c r="C52" t="s">
        <v>533</v>
      </c>
      <c r="D52" s="27" t="s">
        <v>516</v>
      </c>
      <c r="E52" s="27" t="str">
        <f t="shared" si="5"/>
        <v>?</v>
      </c>
      <c r="F52" s="118"/>
      <c r="G52" t="s">
        <v>19</v>
      </c>
      <c r="H52" s="24" t="s">
        <v>9</v>
      </c>
      <c r="I52">
        <v>0.46650000000000003</v>
      </c>
      <c r="J52">
        <v>3.7254999999999998</v>
      </c>
      <c r="K52">
        <v>0.186</v>
      </c>
      <c r="L52">
        <v>9.6500000000000002E-2</v>
      </c>
      <c r="M52" s="140">
        <f t="shared" si="6"/>
        <v>0.46650000000000003</v>
      </c>
      <c r="N52" s="140">
        <f t="shared" si="6"/>
        <v>3.7254999999999998</v>
      </c>
      <c r="O52" s="140">
        <f t="shared" si="6"/>
        <v>0.186</v>
      </c>
      <c r="P52" s="140">
        <f t="shared" si="1"/>
        <v>0.05</v>
      </c>
      <c r="Q52" s="161" t="s">
        <v>676</v>
      </c>
      <c r="R52" s="125">
        <v>1.67</v>
      </c>
      <c r="S52" t="s">
        <v>676</v>
      </c>
      <c r="W52">
        <v>40.7057</v>
      </c>
      <c r="X52">
        <v>-85.954340000000002</v>
      </c>
      <c r="Y52">
        <v>5</v>
      </c>
      <c r="Z52">
        <v>10</v>
      </c>
      <c r="AA52">
        <v>2023</v>
      </c>
      <c r="AB52" t="b">
        <v>0</v>
      </c>
      <c r="AC52" s="19">
        <v>45056</v>
      </c>
      <c r="AD52" s="19"/>
    </row>
    <row r="53" spans="1:30" x14ac:dyDescent="0.25">
      <c r="A53" s="25">
        <v>10052</v>
      </c>
      <c r="B53" t="s">
        <v>79</v>
      </c>
      <c r="C53" t="s">
        <v>533</v>
      </c>
      <c r="D53" s="27" t="s">
        <v>516</v>
      </c>
      <c r="E53" s="27" t="str">
        <f t="shared" si="5"/>
        <v>?</v>
      </c>
      <c r="F53" s="118"/>
      <c r="G53" t="s">
        <v>19</v>
      </c>
      <c r="H53" s="24" t="s">
        <v>9</v>
      </c>
      <c r="I53">
        <v>0.87075000000000002</v>
      </c>
      <c r="J53">
        <v>3.5895000000000001</v>
      </c>
      <c r="K53">
        <v>0.33850000000000002</v>
      </c>
      <c r="L53">
        <v>9.1999999999999998E-2</v>
      </c>
      <c r="M53" s="140">
        <f t="shared" si="6"/>
        <v>0.87075000000000002</v>
      </c>
      <c r="N53" s="140">
        <f t="shared" si="6"/>
        <v>3.5895000000000001</v>
      </c>
      <c r="O53" s="140">
        <f t="shared" si="6"/>
        <v>0.33850000000000002</v>
      </c>
      <c r="P53" s="140">
        <f t="shared" si="1"/>
        <v>0.05</v>
      </c>
      <c r="Q53" s="161" t="s">
        <v>676</v>
      </c>
      <c r="R53" s="125">
        <v>3.59</v>
      </c>
      <c r="S53" t="s">
        <v>676</v>
      </c>
      <c r="W53">
        <v>40.705266000000002</v>
      </c>
      <c r="X53">
        <v>-85.953220000000002</v>
      </c>
      <c r="Y53">
        <v>5</v>
      </c>
      <c r="Z53">
        <v>10</v>
      </c>
      <c r="AA53">
        <v>2023</v>
      </c>
      <c r="AB53" t="b">
        <v>0</v>
      </c>
      <c r="AC53" s="19">
        <v>45056</v>
      </c>
      <c r="AD53" s="19"/>
    </row>
    <row r="54" spans="1:30" x14ac:dyDescent="0.25">
      <c r="A54" s="25">
        <v>10053</v>
      </c>
      <c r="B54" t="s">
        <v>80</v>
      </c>
      <c r="C54" t="s">
        <v>533</v>
      </c>
      <c r="D54" s="27" t="s">
        <v>516</v>
      </c>
      <c r="E54" s="27" t="str">
        <f t="shared" si="5"/>
        <v>?</v>
      </c>
      <c r="F54" s="118"/>
      <c r="G54" t="s">
        <v>19</v>
      </c>
      <c r="H54" s="24" t="s">
        <v>9</v>
      </c>
      <c r="I54">
        <v>1.30515</v>
      </c>
      <c r="J54">
        <v>3.7654999999999998</v>
      </c>
      <c r="K54">
        <v>0.498</v>
      </c>
      <c r="L54">
        <v>7.6499999999999999E-2</v>
      </c>
      <c r="M54" s="140">
        <f t="shared" si="6"/>
        <v>1.30515</v>
      </c>
      <c r="N54" s="140">
        <f t="shared" si="6"/>
        <v>3.7654999999999998</v>
      </c>
      <c r="O54" s="140">
        <f t="shared" si="6"/>
        <v>0.498</v>
      </c>
      <c r="P54" s="140">
        <f t="shared" si="1"/>
        <v>0.05</v>
      </c>
      <c r="Q54" s="161" t="s">
        <v>676</v>
      </c>
      <c r="R54" s="125">
        <v>4.5250000000000004</v>
      </c>
      <c r="S54" t="s">
        <v>676</v>
      </c>
      <c r="W54">
        <v>40.705435999999999</v>
      </c>
      <c r="X54">
        <v>-85.953237999999999</v>
      </c>
      <c r="Y54">
        <v>5</v>
      </c>
      <c r="Z54">
        <v>10</v>
      </c>
      <c r="AA54">
        <v>2023</v>
      </c>
      <c r="AB54" t="b">
        <v>0</v>
      </c>
      <c r="AC54" s="19">
        <v>45056</v>
      </c>
      <c r="AD54" s="19"/>
    </row>
    <row r="55" spans="1:30" x14ac:dyDescent="0.25">
      <c r="A55" s="25">
        <v>10054</v>
      </c>
      <c r="B55" t="s">
        <v>81</v>
      </c>
      <c r="C55" t="s">
        <v>533</v>
      </c>
      <c r="D55" s="27" t="s">
        <v>516</v>
      </c>
      <c r="E55" s="27" t="str">
        <f t="shared" si="5"/>
        <v>?</v>
      </c>
      <c r="F55" s="118"/>
      <c r="G55" t="s">
        <v>19</v>
      </c>
      <c r="H55" s="24" t="s">
        <v>9</v>
      </c>
      <c r="I55">
        <v>1.2827999999999999</v>
      </c>
      <c r="J55">
        <v>3.3065000000000002</v>
      </c>
      <c r="K55">
        <v>0.38500000000000001</v>
      </c>
      <c r="L55">
        <v>5.3999999999999999E-2</v>
      </c>
      <c r="M55" s="140">
        <f t="shared" si="6"/>
        <v>1.2827999999999999</v>
      </c>
      <c r="N55" s="140">
        <f t="shared" si="6"/>
        <v>3.3065000000000002</v>
      </c>
      <c r="O55" s="140">
        <f t="shared" si="6"/>
        <v>0.38500000000000001</v>
      </c>
      <c r="P55" s="140">
        <f t="shared" si="1"/>
        <v>0.05</v>
      </c>
      <c r="Q55" s="161" t="s">
        <v>676</v>
      </c>
      <c r="R55" s="125">
        <v>3.25</v>
      </c>
      <c r="S55" t="s">
        <v>676</v>
      </c>
      <c r="W55">
        <v>40.705719999999999</v>
      </c>
      <c r="X55">
        <v>-85.952410999999998</v>
      </c>
      <c r="Y55">
        <v>5</v>
      </c>
      <c r="Z55">
        <v>10</v>
      </c>
      <c r="AA55">
        <v>2023</v>
      </c>
      <c r="AB55" t="b">
        <v>0</v>
      </c>
      <c r="AC55" s="19">
        <v>45056</v>
      </c>
      <c r="AD55" s="19"/>
    </row>
    <row r="56" spans="1:30" x14ac:dyDescent="0.25">
      <c r="A56" s="25">
        <v>10055</v>
      </c>
      <c r="B56" t="s">
        <v>82</v>
      </c>
      <c r="C56" t="s">
        <v>533</v>
      </c>
      <c r="D56" s="27" t="s">
        <v>516</v>
      </c>
      <c r="E56" s="27" t="str">
        <f t="shared" si="5"/>
        <v>?</v>
      </c>
      <c r="F56" s="118"/>
      <c r="G56" t="s">
        <v>19</v>
      </c>
      <c r="H56" s="24" t="s">
        <v>9</v>
      </c>
      <c r="I56">
        <v>0.13505</v>
      </c>
      <c r="J56">
        <v>3.4390000000000001</v>
      </c>
      <c r="K56">
        <v>0.19450000000000001</v>
      </c>
      <c r="L56">
        <v>0.122</v>
      </c>
      <c r="M56" s="140">
        <f t="shared" si="6"/>
        <v>0.13505</v>
      </c>
      <c r="N56" s="140">
        <f t="shared" si="6"/>
        <v>3.4390000000000001</v>
      </c>
      <c r="O56" s="140">
        <f t="shared" si="6"/>
        <v>0.19450000000000001</v>
      </c>
      <c r="P56" s="140">
        <f t="shared" si="1"/>
        <v>0.122</v>
      </c>
      <c r="Q56" s="161" t="s">
        <v>676</v>
      </c>
      <c r="R56" s="125">
        <v>5.53</v>
      </c>
      <c r="S56" t="s">
        <v>676</v>
      </c>
      <c r="W56">
        <v>40.714288000000003</v>
      </c>
      <c r="X56">
        <v>-85.936812000000003</v>
      </c>
      <c r="Y56">
        <v>5</v>
      </c>
      <c r="Z56">
        <v>10</v>
      </c>
      <c r="AA56">
        <v>2023</v>
      </c>
      <c r="AB56" t="b">
        <v>0</v>
      </c>
      <c r="AC56" s="19">
        <v>45056</v>
      </c>
      <c r="AD56" s="19"/>
    </row>
    <row r="57" spans="1:30" x14ac:dyDescent="0.25">
      <c r="A57" s="25">
        <v>10056</v>
      </c>
      <c r="B57" t="s">
        <v>83</v>
      </c>
      <c r="C57" t="s">
        <v>533</v>
      </c>
      <c r="D57" s="27" t="s">
        <v>516</v>
      </c>
      <c r="E57" s="27" t="str">
        <f t="shared" si="5"/>
        <v>?</v>
      </c>
      <c r="F57" s="118"/>
      <c r="G57" t="s">
        <v>19</v>
      </c>
      <c r="H57" s="24" t="s">
        <v>9</v>
      </c>
      <c r="I57">
        <v>0.37059999999999998</v>
      </c>
      <c r="J57">
        <v>3.6655000000000002</v>
      </c>
      <c r="K57">
        <v>0.18099999999999999</v>
      </c>
      <c r="L57">
        <v>0.14249999999999999</v>
      </c>
      <c r="M57" s="140">
        <f t="shared" si="6"/>
        <v>0.37059999999999998</v>
      </c>
      <c r="N57" s="140">
        <f t="shared" si="6"/>
        <v>3.6655000000000002</v>
      </c>
      <c r="O57" s="140">
        <f t="shared" si="6"/>
        <v>0.18099999999999999</v>
      </c>
      <c r="P57" s="140">
        <f t="shared" si="1"/>
        <v>0.14249999999999999</v>
      </c>
      <c r="Q57" s="161" t="s">
        <v>676</v>
      </c>
      <c r="R57" s="125">
        <v>3.11</v>
      </c>
      <c r="S57" t="s">
        <v>676</v>
      </c>
      <c r="W57">
        <v>40.714489999999998</v>
      </c>
      <c r="X57">
        <v>-85.937780000000004</v>
      </c>
      <c r="Y57">
        <v>5</v>
      </c>
      <c r="Z57">
        <v>10</v>
      </c>
      <c r="AA57">
        <v>2023</v>
      </c>
      <c r="AB57" t="b">
        <v>0</v>
      </c>
      <c r="AC57" s="19">
        <v>45056</v>
      </c>
      <c r="AD57" s="19"/>
    </row>
    <row r="58" spans="1:30" x14ac:dyDescent="0.25">
      <c r="A58" s="25">
        <v>10057</v>
      </c>
      <c r="B58" t="s">
        <v>84</v>
      </c>
      <c r="C58" t="s">
        <v>533</v>
      </c>
      <c r="D58" s="27" t="s">
        <v>516</v>
      </c>
      <c r="E58" s="27" t="str">
        <f t="shared" si="5"/>
        <v>?</v>
      </c>
      <c r="F58" s="118"/>
      <c r="G58" t="s">
        <v>19</v>
      </c>
      <c r="H58" s="24" t="s">
        <v>9</v>
      </c>
      <c r="I58">
        <v>0.40849999999999997</v>
      </c>
      <c r="J58">
        <v>6.5170000000000003</v>
      </c>
      <c r="K58">
        <v>0.46850000000000003</v>
      </c>
      <c r="L58">
        <v>0.27</v>
      </c>
      <c r="M58" s="140">
        <f t="shared" si="6"/>
        <v>0.40849999999999997</v>
      </c>
      <c r="N58" s="140">
        <f t="shared" si="6"/>
        <v>6.5170000000000003</v>
      </c>
      <c r="O58" s="140">
        <f t="shared" si="6"/>
        <v>0.46850000000000003</v>
      </c>
      <c r="P58" s="140">
        <f t="shared" si="1"/>
        <v>0.27</v>
      </c>
      <c r="Q58" s="161" t="s">
        <v>676</v>
      </c>
      <c r="R58" s="125">
        <v>0.85</v>
      </c>
      <c r="S58" t="s">
        <v>676</v>
      </c>
      <c r="W58">
        <v>40.676472222222202</v>
      </c>
      <c r="X58">
        <v>-85.807166666666703</v>
      </c>
      <c r="Y58">
        <v>5</v>
      </c>
      <c r="Z58">
        <v>10</v>
      </c>
      <c r="AA58">
        <v>2023</v>
      </c>
      <c r="AB58" t="b">
        <v>0</v>
      </c>
      <c r="AC58" s="19">
        <v>45056</v>
      </c>
      <c r="AD58" s="19"/>
    </row>
    <row r="59" spans="1:30" x14ac:dyDescent="0.25">
      <c r="A59" s="25">
        <v>10058</v>
      </c>
      <c r="B59" t="s">
        <v>85</v>
      </c>
      <c r="C59" t="s">
        <v>533</v>
      </c>
      <c r="D59" s="27" t="s">
        <v>516</v>
      </c>
      <c r="E59" s="27" t="str">
        <f t="shared" si="5"/>
        <v>?</v>
      </c>
      <c r="F59" s="118"/>
      <c r="G59" t="s">
        <v>19</v>
      </c>
      <c r="H59" s="24" t="s">
        <v>9</v>
      </c>
      <c r="I59">
        <v>1.25935</v>
      </c>
      <c r="J59">
        <v>8.0395000000000003</v>
      </c>
      <c r="K59">
        <v>0.73599999999999999</v>
      </c>
      <c r="M59" s="140">
        <f t="shared" si="6"/>
        <v>1.25935</v>
      </c>
      <c r="N59" s="140">
        <f t="shared" si="6"/>
        <v>8.0395000000000003</v>
      </c>
      <c r="O59" s="140">
        <f t="shared" si="6"/>
        <v>0.73599999999999999</v>
      </c>
      <c r="P59" s="140">
        <f t="shared" si="1"/>
        <v>0.05</v>
      </c>
      <c r="Q59" s="161" t="s">
        <v>676</v>
      </c>
      <c r="R59" s="125">
        <v>0.44500000000000001</v>
      </c>
      <c r="S59" t="s">
        <v>676</v>
      </c>
      <c r="W59">
        <v>40.672388888888896</v>
      </c>
      <c r="X59">
        <v>-85.773333333333298</v>
      </c>
      <c r="Y59">
        <v>5</v>
      </c>
      <c r="Z59">
        <v>10</v>
      </c>
      <c r="AA59">
        <v>2023</v>
      </c>
      <c r="AB59" t="b">
        <v>0</v>
      </c>
      <c r="AC59" s="19">
        <v>45056</v>
      </c>
      <c r="AD59" s="19"/>
    </row>
    <row r="60" spans="1:30" x14ac:dyDescent="0.25">
      <c r="A60" s="25">
        <v>10059</v>
      </c>
      <c r="B60" t="s">
        <v>86</v>
      </c>
      <c r="C60" t="s">
        <v>534</v>
      </c>
      <c r="D60" s="27">
        <v>1101</v>
      </c>
      <c r="E60" s="27">
        <v>1</v>
      </c>
      <c r="F60" s="118"/>
      <c r="G60" t="s">
        <v>514</v>
      </c>
      <c r="H60" s="24" t="s">
        <v>8</v>
      </c>
      <c r="I60">
        <v>0.1694</v>
      </c>
      <c r="J60">
        <v>6.4480000000000004</v>
      </c>
      <c r="K60">
        <v>1.2E-2</v>
      </c>
      <c r="L60">
        <v>0.11749999999999999</v>
      </c>
      <c r="M60" s="140">
        <f t="shared" si="6"/>
        <v>0.1694</v>
      </c>
      <c r="N60" s="140">
        <f t="shared" si="6"/>
        <v>6.4480000000000004</v>
      </c>
      <c r="O60" s="140">
        <f t="shared" si="6"/>
        <v>0.05</v>
      </c>
      <c r="P60" s="140">
        <f t="shared" si="1"/>
        <v>0.11749999999999999</v>
      </c>
      <c r="Q60" s="161" t="s">
        <v>676</v>
      </c>
      <c r="R60" s="125">
        <v>1.4</v>
      </c>
      <c r="S60" t="s">
        <v>676</v>
      </c>
      <c r="W60">
        <v>40.730086</v>
      </c>
      <c r="X60">
        <v>-86.757299000000003</v>
      </c>
      <c r="Y60">
        <v>5</v>
      </c>
      <c r="Z60">
        <v>17</v>
      </c>
      <c r="AA60">
        <v>2023</v>
      </c>
      <c r="AB60" t="b">
        <v>0</v>
      </c>
      <c r="AC60" s="19">
        <v>45063</v>
      </c>
      <c r="AD60" s="19"/>
    </row>
    <row r="61" spans="1:30" x14ac:dyDescent="0.25">
      <c r="A61" s="25">
        <v>10060</v>
      </c>
      <c r="B61" t="s">
        <v>87</v>
      </c>
      <c r="C61" t="s">
        <v>534</v>
      </c>
      <c r="D61" s="27">
        <v>1101</v>
      </c>
      <c r="E61" s="27">
        <v>1</v>
      </c>
      <c r="F61" s="118"/>
      <c r="G61" t="s">
        <v>514</v>
      </c>
      <c r="H61" s="24" t="s">
        <v>8</v>
      </c>
      <c r="I61">
        <v>2.92E-2</v>
      </c>
      <c r="J61">
        <v>6.7409999999999997</v>
      </c>
      <c r="K61">
        <v>0.26800000000000002</v>
      </c>
      <c r="L61">
        <v>0.17549999999999999</v>
      </c>
      <c r="M61" s="140">
        <f t="shared" si="6"/>
        <v>0.05</v>
      </c>
      <c r="N61" s="140">
        <f t="shared" si="6"/>
        <v>6.7409999999999997</v>
      </c>
      <c r="O61" s="140">
        <f t="shared" si="6"/>
        <v>0.26800000000000002</v>
      </c>
      <c r="P61" s="140">
        <f t="shared" si="1"/>
        <v>0.17549999999999999</v>
      </c>
      <c r="Q61" s="161" t="s">
        <v>676</v>
      </c>
      <c r="R61" s="125">
        <v>0.85499999999999998</v>
      </c>
      <c r="S61" t="s">
        <v>676</v>
      </c>
      <c r="W61">
        <v>40.729320000000001</v>
      </c>
      <c r="X61">
        <v>-86.756870000000006</v>
      </c>
      <c r="Y61">
        <v>5</v>
      </c>
      <c r="Z61">
        <v>17</v>
      </c>
      <c r="AA61">
        <v>2023</v>
      </c>
      <c r="AB61" t="b">
        <v>0</v>
      </c>
      <c r="AC61" s="19">
        <v>45063</v>
      </c>
      <c r="AD61" s="19"/>
    </row>
    <row r="62" spans="1:30" x14ac:dyDescent="0.25">
      <c r="A62" s="25">
        <v>10061</v>
      </c>
      <c r="B62" t="s">
        <v>88</v>
      </c>
      <c r="C62" t="s">
        <v>534</v>
      </c>
      <c r="D62" s="27">
        <v>1101</v>
      </c>
      <c r="E62" s="27">
        <v>1</v>
      </c>
      <c r="F62" s="118"/>
      <c r="G62" t="s">
        <v>514</v>
      </c>
      <c r="H62" s="24" t="s">
        <v>8</v>
      </c>
      <c r="I62">
        <v>0.01</v>
      </c>
      <c r="J62">
        <v>6.6239999999999997</v>
      </c>
      <c r="K62">
        <v>3.5999999999999997E-2</v>
      </c>
      <c r="L62">
        <v>0.1115</v>
      </c>
      <c r="M62" s="140">
        <f t="shared" si="6"/>
        <v>0.05</v>
      </c>
      <c r="N62" s="140">
        <f t="shared" si="6"/>
        <v>6.6239999999999997</v>
      </c>
      <c r="O62" s="140">
        <f t="shared" si="6"/>
        <v>0.05</v>
      </c>
      <c r="P62" s="140">
        <f t="shared" si="1"/>
        <v>0.1115</v>
      </c>
      <c r="Q62" s="161" t="s">
        <v>676</v>
      </c>
      <c r="R62" s="125">
        <v>1.105</v>
      </c>
      <c r="S62" t="s">
        <v>676</v>
      </c>
      <c r="W62">
        <v>40.72871</v>
      </c>
      <c r="X62">
        <v>-86.756010000000003</v>
      </c>
      <c r="Y62">
        <v>5</v>
      </c>
      <c r="Z62">
        <v>17</v>
      </c>
      <c r="AA62">
        <v>2023</v>
      </c>
      <c r="AB62" t="b">
        <v>0</v>
      </c>
      <c r="AC62" s="19">
        <v>45063</v>
      </c>
      <c r="AD62" s="19"/>
    </row>
    <row r="63" spans="1:30" x14ac:dyDescent="0.25">
      <c r="A63" s="25">
        <v>10062</v>
      </c>
      <c r="B63" t="s">
        <v>89</v>
      </c>
      <c r="C63" t="s">
        <v>535</v>
      </c>
      <c r="D63" s="27">
        <v>1102</v>
      </c>
      <c r="E63" s="27">
        <v>2</v>
      </c>
      <c r="F63" s="118"/>
      <c r="G63" t="s">
        <v>514</v>
      </c>
      <c r="H63" s="24" t="s">
        <v>8</v>
      </c>
      <c r="I63">
        <v>2.18E-2</v>
      </c>
      <c r="J63">
        <v>6.3220000000000001</v>
      </c>
      <c r="K63">
        <v>0.04</v>
      </c>
      <c r="L63">
        <v>0.1065</v>
      </c>
      <c r="M63" s="140">
        <f t="shared" si="6"/>
        <v>0.05</v>
      </c>
      <c r="N63" s="140">
        <f t="shared" si="6"/>
        <v>6.3220000000000001</v>
      </c>
      <c r="O63" s="140">
        <f t="shared" si="6"/>
        <v>0.05</v>
      </c>
      <c r="P63" s="140">
        <f t="shared" si="1"/>
        <v>0.1065</v>
      </c>
      <c r="Q63" s="161" t="s">
        <v>676</v>
      </c>
      <c r="R63" s="125">
        <v>1.27</v>
      </c>
      <c r="S63" t="s">
        <v>676</v>
      </c>
      <c r="W63">
        <v>40.723641000000001</v>
      </c>
      <c r="X63">
        <v>-86.756487000000007</v>
      </c>
      <c r="Y63">
        <v>5</v>
      </c>
      <c r="Z63">
        <v>17</v>
      </c>
      <c r="AA63">
        <v>2023</v>
      </c>
      <c r="AB63" t="b">
        <v>0</v>
      </c>
      <c r="AC63" s="19">
        <v>45063</v>
      </c>
      <c r="AD63" s="19"/>
    </row>
    <row r="64" spans="1:30" x14ac:dyDescent="0.25">
      <c r="A64" s="25">
        <v>10063</v>
      </c>
      <c r="B64" t="s">
        <v>90</v>
      </c>
      <c r="C64" t="s">
        <v>536</v>
      </c>
      <c r="D64" s="27">
        <v>1103</v>
      </c>
      <c r="E64" s="27">
        <v>3</v>
      </c>
      <c r="F64" s="118"/>
      <c r="G64" t="s">
        <v>514</v>
      </c>
      <c r="H64" s="24" t="s">
        <v>8</v>
      </c>
      <c r="I64">
        <v>0.38585000000000003</v>
      </c>
      <c r="J64">
        <v>4.9820000000000002</v>
      </c>
      <c r="K64">
        <v>3.3500000000000002E-2</v>
      </c>
      <c r="L64">
        <v>0.1145</v>
      </c>
      <c r="M64" s="140">
        <f t="shared" si="6"/>
        <v>0.38585000000000003</v>
      </c>
      <c r="N64" s="140">
        <f t="shared" si="6"/>
        <v>4.9820000000000002</v>
      </c>
      <c r="O64" s="140">
        <f t="shared" si="6"/>
        <v>0.05</v>
      </c>
      <c r="P64" s="140">
        <f t="shared" si="1"/>
        <v>0.1145</v>
      </c>
      <c r="Q64" s="161" t="s">
        <v>676</v>
      </c>
      <c r="R64" s="125">
        <v>1.56</v>
      </c>
      <c r="S64" t="s">
        <v>676</v>
      </c>
      <c r="W64">
        <v>40.7087222222222</v>
      </c>
      <c r="X64">
        <v>-86.755277777777806</v>
      </c>
      <c r="Y64">
        <v>5</v>
      </c>
      <c r="Z64">
        <v>17</v>
      </c>
      <c r="AA64">
        <v>2023</v>
      </c>
      <c r="AB64" t="b">
        <v>0</v>
      </c>
      <c r="AC64" s="19">
        <v>45063</v>
      </c>
      <c r="AD64" s="19"/>
    </row>
    <row r="65" spans="1:30" x14ac:dyDescent="0.25">
      <c r="A65" s="25">
        <v>10064</v>
      </c>
      <c r="B65" t="s">
        <v>91</v>
      </c>
      <c r="C65" t="s">
        <v>535</v>
      </c>
      <c r="D65" s="27">
        <v>1102</v>
      </c>
      <c r="E65" s="27">
        <v>2</v>
      </c>
      <c r="F65" s="118"/>
      <c r="G65" t="s">
        <v>514</v>
      </c>
      <c r="H65" s="24" t="s">
        <v>8</v>
      </c>
      <c r="I65">
        <v>0.1678</v>
      </c>
      <c r="J65">
        <v>6.6120000000000001</v>
      </c>
      <c r="K65">
        <v>1.4999999999999999E-2</v>
      </c>
      <c r="L65">
        <v>0.106</v>
      </c>
      <c r="M65" s="140">
        <f t="shared" si="6"/>
        <v>0.1678</v>
      </c>
      <c r="N65" s="140">
        <f t="shared" si="6"/>
        <v>6.6120000000000001</v>
      </c>
      <c r="O65" s="140">
        <f t="shared" si="6"/>
        <v>0.05</v>
      </c>
      <c r="P65" s="140">
        <f t="shared" si="1"/>
        <v>0.106</v>
      </c>
      <c r="Q65" s="161" t="s">
        <v>676</v>
      </c>
      <c r="R65" s="125">
        <v>1.32</v>
      </c>
      <c r="S65" t="s">
        <v>676</v>
      </c>
      <c r="W65">
        <v>40.720305555555598</v>
      </c>
      <c r="X65">
        <v>-86.754222222222197</v>
      </c>
      <c r="Y65">
        <v>5</v>
      </c>
      <c r="Z65">
        <v>17</v>
      </c>
      <c r="AA65">
        <v>2023</v>
      </c>
      <c r="AB65" t="b">
        <v>0</v>
      </c>
      <c r="AC65" s="19">
        <v>45063</v>
      </c>
      <c r="AD65" s="19"/>
    </row>
    <row r="66" spans="1:30" x14ac:dyDescent="0.25">
      <c r="A66" s="25">
        <v>10065</v>
      </c>
      <c r="B66" t="s">
        <v>92</v>
      </c>
      <c r="C66" t="s">
        <v>535</v>
      </c>
      <c r="D66" s="27">
        <v>1102</v>
      </c>
      <c r="E66" s="27">
        <v>2</v>
      </c>
      <c r="F66" s="118"/>
      <c r="G66" t="s">
        <v>514</v>
      </c>
      <c r="H66" s="24" t="s">
        <v>8</v>
      </c>
      <c r="I66">
        <v>1.66E-2</v>
      </c>
      <c r="J66">
        <v>6.383</v>
      </c>
      <c r="K66">
        <v>3.4000000000000002E-2</v>
      </c>
      <c r="L66">
        <v>0.109</v>
      </c>
      <c r="M66" s="140">
        <f t="shared" ref="M66:O81" si="7">IF(I66&lt;0.1,0.05,I66)</f>
        <v>0.05</v>
      </c>
      <c r="N66" s="140">
        <f t="shared" si="7"/>
        <v>6.383</v>
      </c>
      <c r="O66" s="140">
        <f t="shared" si="7"/>
        <v>0.05</v>
      </c>
      <c r="P66" s="140">
        <f t="shared" ref="P66:P129" si="8">IF(L66&lt;0.1,0.05,L66)</f>
        <v>0.109</v>
      </c>
      <c r="Q66" s="161" t="s">
        <v>676</v>
      </c>
      <c r="R66" s="125">
        <v>1.24</v>
      </c>
      <c r="S66" t="s">
        <v>676</v>
      </c>
      <c r="W66">
        <v>40.721412000000001</v>
      </c>
      <c r="X66">
        <v>-86.749593000000004</v>
      </c>
      <c r="Y66">
        <v>5</v>
      </c>
      <c r="Z66">
        <v>17</v>
      </c>
      <c r="AA66">
        <v>2023</v>
      </c>
      <c r="AB66" t="b">
        <v>0</v>
      </c>
      <c r="AC66" s="19">
        <v>45063</v>
      </c>
      <c r="AD66" s="19"/>
    </row>
    <row r="67" spans="1:30" x14ac:dyDescent="0.25">
      <c r="A67" s="25">
        <v>10066</v>
      </c>
      <c r="B67" t="s">
        <v>93</v>
      </c>
      <c r="C67" t="s">
        <v>536</v>
      </c>
      <c r="D67" s="27">
        <v>1103</v>
      </c>
      <c r="E67" s="27">
        <v>3</v>
      </c>
      <c r="F67" s="118"/>
      <c r="G67" t="s">
        <v>514</v>
      </c>
      <c r="H67" s="24" t="s">
        <v>8</v>
      </c>
      <c r="I67">
        <v>0.20680000000000001</v>
      </c>
      <c r="J67">
        <v>7.0979999999999999</v>
      </c>
      <c r="K67">
        <v>3.5999999999999997E-2</v>
      </c>
      <c r="L67">
        <v>0.10299999999999999</v>
      </c>
      <c r="M67" s="140">
        <f t="shared" si="7"/>
        <v>0.20680000000000001</v>
      </c>
      <c r="N67" s="140">
        <f t="shared" si="7"/>
        <v>7.0979999999999999</v>
      </c>
      <c r="O67" s="140">
        <f t="shared" si="7"/>
        <v>0.05</v>
      </c>
      <c r="P67" s="140">
        <f t="shared" si="8"/>
        <v>0.10299999999999999</v>
      </c>
      <c r="Q67" s="161" t="s">
        <v>676</v>
      </c>
      <c r="R67" s="125">
        <v>1.1399999999999999</v>
      </c>
      <c r="S67" t="s">
        <v>676</v>
      </c>
      <c r="W67">
        <v>40.715583333333299</v>
      </c>
      <c r="X67">
        <v>-86.748111111111101</v>
      </c>
      <c r="Y67">
        <v>5</v>
      </c>
      <c r="Z67">
        <v>17</v>
      </c>
      <c r="AA67">
        <v>2023</v>
      </c>
      <c r="AB67" t="b">
        <v>0</v>
      </c>
      <c r="AC67" s="19">
        <v>45063</v>
      </c>
      <c r="AD67" s="19"/>
    </row>
    <row r="68" spans="1:30" x14ac:dyDescent="0.25">
      <c r="A68" s="25">
        <v>10067</v>
      </c>
      <c r="B68" t="s">
        <v>94</v>
      </c>
      <c r="C68" t="s">
        <v>536</v>
      </c>
      <c r="D68" s="27">
        <v>1103</v>
      </c>
      <c r="E68" s="27">
        <v>3</v>
      </c>
      <c r="F68" s="118"/>
      <c r="G68" t="s">
        <v>514</v>
      </c>
      <c r="H68" s="24" t="s">
        <v>8</v>
      </c>
      <c r="I68">
        <v>1.8599999999999998E-2</v>
      </c>
      <c r="J68">
        <v>6.532</v>
      </c>
      <c r="K68">
        <v>2.5000000000000001E-2</v>
      </c>
      <c r="L68">
        <v>0.41549999999999998</v>
      </c>
      <c r="M68" s="140">
        <f t="shared" si="7"/>
        <v>0.05</v>
      </c>
      <c r="N68" s="140">
        <f t="shared" si="7"/>
        <v>6.532</v>
      </c>
      <c r="O68" s="140">
        <f t="shared" si="7"/>
        <v>0.05</v>
      </c>
      <c r="P68" s="140">
        <f t="shared" si="8"/>
        <v>0.41549999999999998</v>
      </c>
      <c r="Q68" s="161" t="s">
        <v>676</v>
      </c>
      <c r="R68" s="125">
        <v>0.8</v>
      </c>
      <c r="S68" t="s">
        <v>676</v>
      </c>
      <c r="W68">
        <v>40.714611111111097</v>
      </c>
      <c r="X68">
        <v>-86.749472222222195</v>
      </c>
      <c r="Y68">
        <v>5</v>
      </c>
      <c r="Z68">
        <v>17</v>
      </c>
      <c r="AA68">
        <v>2023</v>
      </c>
      <c r="AB68" t="b">
        <v>0</v>
      </c>
      <c r="AC68" s="19">
        <v>45063</v>
      </c>
      <c r="AD68" s="19"/>
    </row>
    <row r="69" spans="1:30" x14ac:dyDescent="0.25">
      <c r="A69" s="25">
        <v>10068</v>
      </c>
      <c r="B69" t="s">
        <v>95</v>
      </c>
      <c r="C69" t="s">
        <v>537</v>
      </c>
      <c r="D69" s="27" t="s">
        <v>516</v>
      </c>
      <c r="E69" s="27" t="str">
        <f t="shared" ref="E69:E91" si="9">RIGHT(D69,2)</f>
        <v>?</v>
      </c>
      <c r="F69" s="118"/>
      <c r="G69" t="s">
        <v>22</v>
      </c>
      <c r="H69" s="24" t="s">
        <v>513</v>
      </c>
      <c r="I69">
        <v>0.26019999999999999</v>
      </c>
      <c r="J69">
        <v>4.4909999999999997</v>
      </c>
      <c r="K69">
        <v>6.0000000000000001E-3</v>
      </c>
      <c r="M69" s="140">
        <f t="shared" si="7"/>
        <v>0.26019999999999999</v>
      </c>
      <c r="N69" s="140">
        <f t="shared" si="7"/>
        <v>4.4909999999999997</v>
      </c>
      <c r="O69" s="140">
        <f t="shared" si="7"/>
        <v>0.05</v>
      </c>
      <c r="P69" s="140">
        <f t="shared" si="8"/>
        <v>0.05</v>
      </c>
      <c r="Q69" s="161" t="s">
        <v>676</v>
      </c>
      <c r="R69" s="125">
        <v>13.66</v>
      </c>
      <c r="S69" t="s">
        <v>676</v>
      </c>
      <c r="W69">
        <v>40.780079999999998</v>
      </c>
      <c r="X69">
        <v>-85.634010000000004</v>
      </c>
      <c r="Y69">
        <v>5</v>
      </c>
      <c r="Z69">
        <v>22</v>
      </c>
      <c r="AA69">
        <v>2023</v>
      </c>
      <c r="AB69" t="b">
        <v>0</v>
      </c>
      <c r="AC69" s="19">
        <v>45068</v>
      </c>
      <c r="AD69" s="19"/>
    </row>
    <row r="70" spans="1:30" x14ac:dyDescent="0.25">
      <c r="A70" s="25">
        <v>10069</v>
      </c>
      <c r="B70" t="s">
        <v>96</v>
      </c>
      <c r="C70" t="s">
        <v>537</v>
      </c>
      <c r="D70" s="27" t="s">
        <v>516</v>
      </c>
      <c r="E70" s="27" t="str">
        <f t="shared" si="9"/>
        <v>?</v>
      </c>
      <c r="F70" s="118"/>
      <c r="G70" t="s">
        <v>22</v>
      </c>
      <c r="H70" s="24" t="s">
        <v>513</v>
      </c>
      <c r="I70">
        <v>1.1096999999999999</v>
      </c>
      <c r="J70">
        <v>4.1236666666666704</v>
      </c>
      <c r="K70">
        <v>0.267666666666667</v>
      </c>
      <c r="M70" s="140">
        <f t="shared" si="7"/>
        <v>1.1096999999999999</v>
      </c>
      <c r="N70" s="140">
        <f t="shared" si="7"/>
        <v>4.1236666666666704</v>
      </c>
      <c r="O70" s="140">
        <f t="shared" si="7"/>
        <v>0.267666666666667</v>
      </c>
      <c r="P70" s="140">
        <f t="shared" si="8"/>
        <v>0.05</v>
      </c>
      <c r="Q70" s="161" t="s">
        <v>676</v>
      </c>
      <c r="R70" s="125">
        <v>12.324999999999999</v>
      </c>
      <c r="S70" t="s">
        <v>676</v>
      </c>
      <c r="W70">
        <v>40.776009999999999</v>
      </c>
      <c r="X70">
        <v>-85.631150000000005</v>
      </c>
      <c r="Y70">
        <v>5</v>
      </c>
      <c r="Z70">
        <v>22</v>
      </c>
      <c r="AA70">
        <v>2023</v>
      </c>
      <c r="AB70" t="b">
        <v>0</v>
      </c>
      <c r="AC70" s="19">
        <v>45068</v>
      </c>
      <c r="AD70" s="19"/>
    </row>
    <row r="71" spans="1:30" x14ac:dyDescent="0.25">
      <c r="A71" s="25">
        <v>10070</v>
      </c>
      <c r="B71" t="s">
        <v>97</v>
      </c>
      <c r="C71" t="s">
        <v>537</v>
      </c>
      <c r="D71" s="27" t="s">
        <v>516</v>
      </c>
      <c r="E71" s="27" t="str">
        <f t="shared" si="9"/>
        <v>?</v>
      </c>
      <c r="F71" s="118"/>
      <c r="G71" t="s">
        <v>22</v>
      </c>
      <c r="H71" s="24" t="s">
        <v>513</v>
      </c>
      <c r="I71">
        <v>0.47549999999999998</v>
      </c>
      <c r="J71">
        <v>4.7279999999999998</v>
      </c>
      <c r="K71">
        <v>-2E-3</v>
      </c>
      <c r="M71" s="140">
        <f t="shared" si="7"/>
        <v>0.47549999999999998</v>
      </c>
      <c r="N71" s="140">
        <f t="shared" si="7"/>
        <v>4.7279999999999998</v>
      </c>
      <c r="O71" s="140">
        <f t="shared" si="7"/>
        <v>0.05</v>
      </c>
      <c r="P71" s="140">
        <f t="shared" si="8"/>
        <v>0.05</v>
      </c>
      <c r="Q71" s="161" t="s">
        <v>676</v>
      </c>
      <c r="R71" s="125">
        <v>12.84</v>
      </c>
      <c r="S71" t="s">
        <v>676</v>
      </c>
      <c r="W71">
        <v>40.776359999999997</v>
      </c>
      <c r="X71">
        <v>-85.630380000000002</v>
      </c>
      <c r="Y71">
        <v>5</v>
      </c>
      <c r="Z71">
        <v>22</v>
      </c>
      <c r="AA71">
        <v>2023</v>
      </c>
      <c r="AB71" t="b">
        <v>0</v>
      </c>
      <c r="AC71" s="19">
        <v>45068</v>
      </c>
      <c r="AD71" s="19"/>
    </row>
    <row r="72" spans="1:30" x14ac:dyDescent="0.25">
      <c r="A72" s="25">
        <v>10071</v>
      </c>
      <c r="B72" t="s">
        <v>98</v>
      </c>
      <c r="C72" t="s">
        <v>537</v>
      </c>
      <c r="D72" s="27" t="s">
        <v>516</v>
      </c>
      <c r="E72" s="27" t="str">
        <f t="shared" si="9"/>
        <v>?</v>
      </c>
      <c r="F72" s="118"/>
      <c r="G72" t="s">
        <v>22</v>
      </c>
      <c r="H72" s="24" t="s">
        <v>513</v>
      </c>
      <c r="I72">
        <v>0.19700000000000001</v>
      </c>
      <c r="J72">
        <v>4.694</v>
      </c>
      <c r="K72">
        <v>2.7E-2</v>
      </c>
      <c r="M72" s="140">
        <f t="shared" si="7"/>
        <v>0.19700000000000001</v>
      </c>
      <c r="N72" s="140">
        <f t="shared" si="7"/>
        <v>4.694</v>
      </c>
      <c r="O72" s="140">
        <f t="shared" si="7"/>
        <v>0.05</v>
      </c>
      <c r="P72" s="140">
        <f t="shared" si="8"/>
        <v>0.05</v>
      </c>
      <c r="Q72" s="161" t="s">
        <v>676</v>
      </c>
      <c r="R72" s="125">
        <v>9.9350000000000005</v>
      </c>
      <c r="S72" t="s">
        <v>676</v>
      </c>
      <c r="W72">
        <v>40.776620000000001</v>
      </c>
      <c r="X72">
        <v>-85.631929999999997</v>
      </c>
      <c r="Y72">
        <v>5</v>
      </c>
      <c r="Z72">
        <v>22</v>
      </c>
      <c r="AA72">
        <v>2023</v>
      </c>
      <c r="AB72" t="b">
        <v>0</v>
      </c>
      <c r="AC72" s="19">
        <v>45068</v>
      </c>
      <c r="AD72" s="19"/>
    </row>
    <row r="73" spans="1:30" x14ac:dyDescent="0.25">
      <c r="A73" s="25">
        <v>10072</v>
      </c>
      <c r="B73" t="s">
        <v>99</v>
      </c>
      <c r="C73" t="s">
        <v>537</v>
      </c>
      <c r="D73" s="27" t="s">
        <v>516</v>
      </c>
      <c r="E73" s="27" t="str">
        <f t="shared" si="9"/>
        <v>?</v>
      </c>
      <c r="F73" s="118"/>
      <c r="G73" t="s">
        <v>22</v>
      </c>
      <c r="H73" s="24" t="s">
        <v>513</v>
      </c>
      <c r="I73">
        <v>0.2364</v>
      </c>
      <c r="J73">
        <v>4.2460000000000004</v>
      </c>
      <c r="K73">
        <v>1.7999999999999999E-2</v>
      </c>
      <c r="M73" s="140">
        <f t="shared" si="7"/>
        <v>0.2364</v>
      </c>
      <c r="N73" s="140">
        <f t="shared" si="7"/>
        <v>4.2460000000000004</v>
      </c>
      <c r="O73" s="140">
        <f t="shared" si="7"/>
        <v>0.05</v>
      </c>
      <c r="P73" s="140">
        <f t="shared" si="8"/>
        <v>0.05</v>
      </c>
      <c r="Q73" s="161" t="s">
        <v>676</v>
      </c>
      <c r="R73" s="125">
        <v>9.9550000000000001</v>
      </c>
      <c r="S73" t="s">
        <v>676</v>
      </c>
      <c r="W73">
        <v>40.776470000000003</v>
      </c>
      <c r="X73">
        <v>-85.632549999999995</v>
      </c>
      <c r="Y73">
        <v>5</v>
      </c>
      <c r="Z73">
        <v>22</v>
      </c>
      <c r="AA73">
        <v>2023</v>
      </c>
      <c r="AB73" t="b">
        <v>0</v>
      </c>
      <c r="AC73" s="19">
        <v>45068</v>
      </c>
      <c r="AD73" s="19"/>
    </row>
    <row r="74" spans="1:30" x14ac:dyDescent="0.25">
      <c r="A74" s="25">
        <v>10073</v>
      </c>
      <c r="B74" t="s">
        <v>100</v>
      </c>
      <c r="C74" t="s">
        <v>537</v>
      </c>
      <c r="D74" s="27" t="s">
        <v>516</v>
      </c>
      <c r="E74" s="27" t="str">
        <f t="shared" si="9"/>
        <v>?</v>
      </c>
      <c r="F74" s="118"/>
      <c r="G74" t="s">
        <v>22</v>
      </c>
      <c r="H74" s="24" t="s">
        <v>513</v>
      </c>
      <c r="I74">
        <v>0.2271</v>
      </c>
      <c r="J74">
        <v>4.8410000000000002</v>
      </c>
      <c r="K74">
        <v>0.24299999999999999</v>
      </c>
      <c r="M74" s="140">
        <f t="shared" si="7"/>
        <v>0.2271</v>
      </c>
      <c r="N74" s="140">
        <f t="shared" si="7"/>
        <v>4.8410000000000002</v>
      </c>
      <c r="O74" s="140">
        <f t="shared" si="7"/>
        <v>0.24299999999999999</v>
      </c>
      <c r="P74" s="140">
        <f t="shared" si="8"/>
        <v>0.05</v>
      </c>
      <c r="Q74" s="161" t="s">
        <v>676</v>
      </c>
      <c r="R74" s="125">
        <v>11.6</v>
      </c>
      <c r="S74" t="s">
        <v>676</v>
      </c>
      <c r="W74">
        <v>40.777940000000001</v>
      </c>
      <c r="X74">
        <v>-85.63306</v>
      </c>
      <c r="Y74">
        <v>5</v>
      </c>
      <c r="Z74">
        <v>22</v>
      </c>
      <c r="AA74">
        <v>2023</v>
      </c>
      <c r="AB74" t="b">
        <v>0</v>
      </c>
      <c r="AC74" s="19">
        <v>45068</v>
      </c>
      <c r="AD74" s="19"/>
    </row>
    <row r="75" spans="1:30" x14ac:dyDescent="0.25">
      <c r="A75" s="25">
        <v>10074</v>
      </c>
      <c r="B75" t="s">
        <v>101</v>
      </c>
      <c r="C75" t="s">
        <v>537</v>
      </c>
      <c r="D75" s="27" t="s">
        <v>516</v>
      </c>
      <c r="E75" s="27" t="str">
        <f t="shared" si="9"/>
        <v>?</v>
      </c>
      <c r="F75" s="118"/>
      <c r="G75" t="s">
        <v>22</v>
      </c>
      <c r="H75" s="24" t="s">
        <v>513</v>
      </c>
      <c r="I75">
        <v>1.6473</v>
      </c>
      <c r="J75">
        <v>4.1206666666666703</v>
      </c>
      <c r="K75">
        <v>0.48266666666666602</v>
      </c>
      <c r="M75" s="140">
        <f t="shared" si="7"/>
        <v>1.6473</v>
      </c>
      <c r="N75" s="140">
        <f t="shared" si="7"/>
        <v>4.1206666666666703</v>
      </c>
      <c r="O75" s="140">
        <f t="shared" si="7"/>
        <v>0.48266666666666602</v>
      </c>
      <c r="P75" s="140">
        <f t="shared" si="8"/>
        <v>0.05</v>
      </c>
      <c r="Q75" s="161" t="s">
        <v>676</v>
      </c>
      <c r="R75" s="125">
        <v>11.815</v>
      </c>
      <c r="S75" t="s">
        <v>676</v>
      </c>
      <c r="W75">
        <v>40.778799999999997</v>
      </c>
      <c r="X75">
        <v>-85.634619999999998</v>
      </c>
      <c r="Y75">
        <v>5</v>
      </c>
      <c r="Z75">
        <v>22</v>
      </c>
      <c r="AA75">
        <v>2023</v>
      </c>
      <c r="AB75" t="b">
        <v>0</v>
      </c>
      <c r="AC75" s="19">
        <v>45068</v>
      </c>
      <c r="AD75" s="19"/>
    </row>
    <row r="76" spans="1:30" x14ac:dyDescent="0.25">
      <c r="A76" s="25">
        <v>10075</v>
      </c>
      <c r="B76" t="s">
        <v>102</v>
      </c>
      <c r="C76" t="s">
        <v>537</v>
      </c>
      <c r="D76" s="27" t="s">
        <v>516</v>
      </c>
      <c r="E76" s="27" t="str">
        <f t="shared" si="9"/>
        <v>?</v>
      </c>
      <c r="F76" s="118"/>
      <c r="G76" t="s">
        <v>22</v>
      </c>
      <c r="H76" s="24" t="s">
        <v>513</v>
      </c>
      <c r="I76">
        <v>0.54759999999999998</v>
      </c>
      <c r="J76">
        <v>4.2670000000000003</v>
      </c>
      <c r="K76">
        <v>1.7000000000000001E-2</v>
      </c>
      <c r="M76" s="140">
        <f t="shared" si="7"/>
        <v>0.54759999999999998</v>
      </c>
      <c r="N76" s="140">
        <f t="shared" si="7"/>
        <v>4.2670000000000003</v>
      </c>
      <c r="O76" s="140">
        <f t="shared" si="7"/>
        <v>0.05</v>
      </c>
      <c r="P76" s="140">
        <f t="shared" si="8"/>
        <v>0.05</v>
      </c>
      <c r="Q76" s="161" t="s">
        <v>676</v>
      </c>
      <c r="R76" s="125">
        <v>13.414999999999999</v>
      </c>
      <c r="S76" t="s">
        <v>676</v>
      </c>
      <c r="W76">
        <v>40.772579999999998</v>
      </c>
      <c r="X76">
        <v>-85.644739999999999</v>
      </c>
      <c r="Y76">
        <v>5</v>
      </c>
      <c r="Z76">
        <v>22</v>
      </c>
      <c r="AA76">
        <v>2023</v>
      </c>
      <c r="AB76" t="b">
        <v>0</v>
      </c>
      <c r="AC76" s="19">
        <v>45068</v>
      </c>
      <c r="AD76" s="19"/>
    </row>
    <row r="77" spans="1:30" x14ac:dyDescent="0.25">
      <c r="A77" s="25">
        <v>10076</v>
      </c>
      <c r="B77" t="s">
        <v>103</v>
      </c>
      <c r="C77" t="s">
        <v>537</v>
      </c>
      <c r="D77" s="27" t="s">
        <v>516</v>
      </c>
      <c r="E77" s="27" t="str">
        <f t="shared" si="9"/>
        <v>?</v>
      </c>
      <c r="F77" s="118"/>
      <c r="G77" t="s">
        <v>22</v>
      </c>
      <c r="H77" s="24" t="s">
        <v>9</v>
      </c>
      <c r="I77">
        <v>0.75190000000000001</v>
      </c>
      <c r="J77">
        <v>4.8159999999999998</v>
      </c>
      <c r="K77">
        <v>6.8000000000000005E-2</v>
      </c>
      <c r="L77">
        <v>0.182</v>
      </c>
      <c r="M77" s="140">
        <f t="shared" si="7"/>
        <v>0.75190000000000001</v>
      </c>
      <c r="N77" s="140">
        <f t="shared" si="7"/>
        <v>4.8159999999999998</v>
      </c>
      <c r="O77" s="140">
        <f t="shared" si="7"/>
        <v>0.05</v>
      </c>
      <c r="P77" s="140">
        <f t="shared" si="8"/>
        <v>0.182</v>
      </c>
      <c r="Q77" s="161" t="s">
        <v>676</v>
      </c>
      <c r="R77" s="125">
        <v>7.5549999999999997</v>
      </c>
      <c r="S77" t="s">
        <v>676</v>
      </c>
      <c r="W77">
        <v>40.779642000000003</v>
      </c>
      <c r="X77">
        <v>-85.636830000000003</v>
      </c>
      <c r="Y77">
        <v>5</v>
      </c>
      <c r="Z77">
        <v>22</v>
      </c>
      <c r="AA77">
        <v>2023</v>
      </c>
      <c r="AB77" t="b">
        <v>0</v>
      </c>
      <c r="AC77" s="19">
        <v>45068</v>
      </c>
      <c r="AD77" s="19"/>
    </row>
    <row r="78" spans="1:30" x14ac:dyDescent="0.25">
      <c r="A78" s="25">
        <v>10077</v>
      </c>
      <c r="B78" t="s">
        <v>104</v>
      </c>
      <c r="C78" t="s">
        <v>537</v>
      </c>
      <c r="D78" s="27" t="s">
        <v>516</v>
      </c>
      <c r="E78" s="27" t="str">
        <f t="shared" si="9"/>
        <v>?</v>
      </c>
      <c r="F78" s="118"/>
      <c r="G78" t="s">
        <v>22</v>
      </c>
      <c r="H78" s="24" t="s">
        <v>9</v>
      </c>
      <c r="I78">
        <v>1.1999999999999999E-3</v>
      </c>
      <c r="J78">
        <v>6.093</v>
      </c>
      <c r="K78">
        <v>0.47499999999999998</v>
      </c>
      <c r="L78">
        <v>0.3755</v>
      </c>
      <c r="M78" s="140">
        <f t="shared" si="7"/>
        <v>0.05</v>
      </c>
      <c r="N78" s="140">
        <f t="shared" si="7"/>
        <v>6.093</v>
      </c>
      <c r="O78" s="140">
        <f t="shared" si="7"/>
        <v>0.47499999999999998</v>
      </c>
      <c r="P78" s="140">
        <f t="shared" si="8"/>
        <v>0.3755</v>
      </c>
      <c r="Q78" s="161" t="s">
        <v>676</v>
      </c>
      <c r="R78" s="125">
        <v>13.055</v>
      </c>
      <c r="S78" t="s">
        <v>676</v>
      </c>
      <c r="W78">
        <v>40.779795</v>
      </c>
      <c r="X78">
        <v>-85.637938000000005</v>
      </c>
      <c r="Y78">
        <v>5</v>
      </c>
      <c r="Z78">
        <v>22</v>
      </c>
      <c r="AA78">
        <v>2023</v>
      </c>
      <c r="AB78" t="b">
        <v>0</v>
      </c>
      <c r="AC78" s="19">
        <v>45068</v>
      </c>
      <c r="AD78" s="19"/>
    </row>
    <row r="79" spans="1:30" x14ac:dyDescent="0.25">
      <c r="A79" s="25">
        <v>10078</v>
      </c>
      <c r="B79" t="s">
        <v>105</v>
      </c>
      <c r="C79" t="s">
        <v>537</v>
      </c>
      <c r="D79" s="27" t="s">
        <v>516</v>
      </c>
      <c r="E79" s="27" t="str">
        <f t="shared" si="9"/>
        <v>?</v>
      </c>
      <c r="F79" s="118"/>
      <c r="G79" t="s">
        <v>22</v>
      </c>
      <c r="H79" s="24" t="s">
        <v>9</v>
      </c>
      <c r="I79">
        <v>1.49275</v>
      </c>
      <c r="J79">
        <v>5.508</v>
      </c>
      <c r="K79">
        <v>0.60550000000000004</v>
      </c>
      <c r="L79">
        <v>0.3775</v>
      </c>
      <c r="M79" s="140">
        <f t="shared" si="7"/>
        <v>1.49275</v>
      </c>
      <c r="N79" s="140">
        <f t="shared" si="7"/>
        <v>5.508</v>
      </c>
      <c r="O79" s="140">
        <f t="shared" si="7"/>
        <v>0.60550000000000004</v>
      </c>
      <c r="P79" s="140">
        <f t="shared" si="8"/>
        <v>0.3775</v>
      </c>
      <c r="Q79" s="161" t="s">
        <v>676</v>
      </c>
      <c r="R79" s="125">
        <v>6.46</v>
      </c>
      <c r="S79" t="s">
        <v>676</v>
      </c>
      <c r="W79">
        <v>40.779929000000003</v>
      </c>
      <c r="X79">
        <v>-85.639607999999996</v>
      </c>
      <c r="Y79">
        <v>5</v>
      </c>
      <c r="Z79">
        <v>22</v>
      </c>
      <c r="AA79">
        <v>2023</v>
      </c>
      <c r="AB79" t="b">
        <v>0</v>
      </c>
      <c r="AC79" s="19">
        <v>45068</v>
      </c>
      <c r="AD79" s="19"/>
    </row>
    <row r="80" spans="1:30" x14ac:dyDescent="0.25">
      <c r="A80" s="25">
        <v>10079</v>
      </c>
      <c r="B80" t="s">
        <v>106</v>
      </c>
      <c r="C80" t="s">
        <v>537</v>
      </c>
      <c r="D80" s="27" t="s">
        <v>516</v>
      </c>
      <c r="E80" s="27" t="str">
        <f t="shared" si="9"/>
        <v>?</v>
      </c>
      <c r="F80" s="118"/>
      <c r="G80" t="s">
        <v>22</v>
      </c>
      <c r="H80" s="24" t="s">
        <v>9</v>
      </c>
      <c r="I80">
        <v>11.497299999999999</v>
      </c>
      <c r="J80">
        <v>0.09</v>
      </c>
      <c r="K80">
        <v>1.2609999999999999</v>
      </c>
      <c r="M80" s="140">
        <f t="shared" si="7"/>
        <v>11.497299999999999</v>
      </c>
      <c r="N80" s="140">
        <f t="shared" si="7"/>
        <v>0.05</v>
      </c>
      <c r="O80" s="140">
        <f t="shared" si="7"/>
        <v>1.2609999999999999</v>
      </c>
      <c r="P80" s="140">
        <f t="shared" si="8"/>
        <v>0.05</v>
      </c>
      <c r="Q80" s="161" t="s">
        <v>676</v>
      </c>
      <c r="R80" s="125">
        <v>137.72333333333299</v>
      </c>
      <c r="S80" t="s">
        <v>676</v>
      </c>
      <c r="W80">
        <v>40.780073999999999</v>
      </c>
      <c r="X80">
        <v>-85.642408000000003</v>
      </c>
      <c r="Y80">
        <v>5</v>
      </c>
      <c r="Z80">
        <v>22</v>
      </c>
      <c r="AA80">
        <v>2023</v>
      </c>
      <c r="AB80" t="b">
        <v>0</v>
      </c>
      <c r="AC80" s="19">
        <v>45068</v>
      </c>
      <c r="AD80" s="19"/>
    </row>
    <row r="81" spans="1:30" x14ac:dyDescent="0.25">
      <c r="A81" s="25">
        <v>10080</v>
      </c>
      <c r="B81" t="s">
        <v>107</v>
      </c>
      <c r="C81" t="s">
        <v>537</v>
      </c>
      <c r="D81" s="27" t="s">
        <v>516</v>
      </c>
      <c r="E81" s="27" t="str">
        <f t="shared" si="9"/>
        <v>?</v>
      </c>
      <c r="F81" s="118"/>
      <c r="G81" t="s">
        <v>22</v>
      </c>
      <c r="H81" s="24" t="s">
        <v>9</v>
      </c>
      <c r="L81">
        <v>0.127</v>
      </c>
      <c r="M81" s="140">
        <f t="shared" si="7"/>
        <v>0.05</v>
      </c>
      <c r="N81" s="140">
        <f t="shared" si="7"/>
        <v>0.05</v>
      </c>
      <c r="O81" s="140">
        <f t="shared" si="7"/>
        <v>0.05</v>
      </c>
      <c r="P81" s="140">
        <f t="shared" si="8"/>
        <v>0.127</v>
      </c>
      <c r="Q81" s="161" t="s">
        <v>676</v>
      </c>
      <c r="R81" s="125">
        <v>12.494999999999999</v>
      </c>
      <c r="S81" t="s">
        <v>676</v>
      </c>
      <c r="W81">
        <v>40.78031</v>
      </c>
      <c r="X81">
        <v>-85.644042999999996</v>
      </c>
      <c r="Y81">
        <v>5</v>
      </c>
      <c r="Z81">
        <v>22</v>
      </c>
      <c r="AA81">
        <v>2023</v>
      </c>
      <c r="AB81" t="b">
        <v>0</v>
      </c>
      <c r="AC81" s="19">
        <v>45068</v>
      </c>
      <c r="AD81" s="19"/>
    </row>
    <row r="82" spans="1:30" x14ac:dyDescent="0.25">
      <c r="A82" s="25">
        <v>10081</v>
      </c>
      <c r="B82" t="s">
        <v>108</v>
      </c>
      <c r="C82" t="s">
        <v>537</v>
      </c>
      <c r="D82" s="27" t="s">
        <v>516</v>
      </c>
      <c r="E82" s="27" t="str">
        <f t="shared" si="9"/>
        <v>?</v>
      </c>
      <c r="F82" s="118"/>
      <c r="G82" t="s">
        <v>22</v>
      </c>
      <c r="H82" s="24" t="s">
        <v>9</v>
      </c>
      <c r="I82">
        <v>2.7248999999999999</v>
      </c>
      <c r="J82">
        <v>0.188</v>
      </c>
      <c r="K82">
        <v>0.23100000000000001</v>
      </c>
      <c r="L82">
        <v>0.57999999999999996</v>
      </c>
      <c r="M82" s="140">
        <f t="shared" ref="M82:O97" si="10">IF(I82&lt;0.1,0.05,I82)</f>
        <v>2.7248999999999999</v>
      </c>
      <c r="N82" s="140">
        <f t="shared" si="10"/>
        <v>0.188</v>
      </c>
      <c r="O82" s="140">
        <f t="shared" si="10"/>
        <v>0.23100000000000001</v>
      </c>
      <c r="P82" s="140">
        <f t="shared" si="8"/>
        <v>0.57999999999999996</v>
      </c>
      <c r="Q82" s="161">
        <v>7.1862821537216098E-2</v>
      </c>
      <c r="R82" s="125">
        <v>58.64</v>
      </c>
      <c r="S82" t="s">
        <v>676</v>
      </c>
      <c r="W82">
        <v>40.779530000000001</v>
      </c>
      <c r="X82">
        <v>-85.645204000000007</v>
      </c>
      <c r="Y82">
        <v>5</v>
      </c>
      <c r="Z82">
        <v>22</v>
      </c>
      <c r="AA82">
        <v>2023</v>
      </c>
      <c r="AB82" t="b">
        <v>0</v>
      </c>
      <c r="AC82" s="19">
        <v>45068</v>
      </c>
      <c r="AD82" s="19"/>
    </row>
    <row r="83" spans="1:30" x14ac:dyDescent="0.25">
      <c r="A83" s="25">
        <v>10082</v>
      </c>
      <c r="B83" t="s">
        <v>109</v>
      </c>
      <c r="C83" t="s">
        <v>537</v>
      </c>
      <c r="D83" s="27" t="s">
        <v>516</v>
      </c>
      <c r="E83" s="27" t="str">
        <f t="shared" si="9"/>
        <v>?</v>
      </c>
      <c r="F83" s="118"/>
      <c r="G83" t="s">
        <v>22</v>
      </c>
      <c r="H83" s="24" t="s">
        <v>9</v>
      </c>
      <c r="I83">
        <v>0.40360000000000001</v>
      </c>
      <c r="J83">
        <v>4.9320000000000004</v>
      </c>
      <c r="K83">
        <v>4.2000000000000003E-2</v>
      </c>
      <c r="L83">
        <v>0.127</v>
      </c>
      <c r="M83" s="140">
        <f t="shared" si="10"/>
        <v>0.40360000000000001</v>
      </c>
      <c r="N83" s="140">
        <f t="shared" si="10"/>
        <v>4.9320000000000004</v>
      </c>
      <c r="O83" s="140">
        <f t="shared" si="10"/>
        <v>0.05</v>
      </c>
      <c r="P83" s="140">
        <f t="shared" si="8"/>
        <v>0.127</v>
      </c>
      <c r="Q83" s="161" t="s">
        <v>676</v>
      </c>
      <c r="R83" s="125">
        <v>11.51</v>
      </c>
      <c r="S83" t="s">
        <v>676</v>
      </c>
      <c r="W83">
        <v>40.778305000000003</v>
      </c>
      <c r="X83">
        <v>-85.646731000000003</v>
      </c>
      <c r="Y83">
        <v>5</v>
      </c>
      <c r="Z83">
        <v>22</v>
      </c>
      <c r="AA83">
        <v>2023</v>
      </c>
      <c r="AB83" t="b">
        <v>0</v>
      </c>
      <c r="AC83" s="19">
        <v>45068</v>
      </c>
      <c r="AD83" s="19"/>
    </row>
    <row r="84" spans="1:30" x14ac:dyDescent="0.25">
      <c r="A84" s="25">
        <v>10083</v>
      </c>
      <c r="B84" t="s">
        <v>110</v>
      </c>
      <c r="C84" t="s">
        <v>537</v>
      </c>
      <c r="D84" s="27" t="s">
        <v>516</v>
      </c>
      <c r="E84" s="27" t="str">
        <f t="shared" si="9"/>
        <v>?</v>
      </c>
      <c r="F84" s="118"/>
      <c r="G84" t="s">
        <v>22</v>
      </c>
      <c r="H84" s="24" t="s">
        <v>9</v>
      </c>
      <c r="I84">
        <v>0.4234</v>
      </c>
      <c r="J84">
        <v>3.1139999999999999</v>
      </c>
      <c r="K84">
        <v>1.4E-2</v>
      </c>
      <c r="L84">
        <v>0.115</v>
      </c>
      <c r="M84" s="140">
        <f t="shared" si="10"/>
        <v>0.4234</v>
      </c>
      <c r="N84" s="140">
        <f t="shared" si="10"/>
        <v>3.1139999999999999</v>
      </c>
      <c r="O84" s="140">
        <f t="shared" si="10"/>
        <v>0.05</v>
      </c>
      <c r="P84" s="140">
        <f t="shared" si="8"/>
        <v>0.115</v>
      </c>
      <c r="Q84" s="161" t="s">
        <v>676</v>
      </c>
      <c r="R84" s="125">
        <v>11.07</v>
      </c>
      <c r="S84" t="s">
        <v>676</v>
      </c>
      <c r="W84">
        <v>40.779248000000003</v>
      </c>
      <c r="X84">
        <v>-85.645563999999993</v>
      </c>
      <c r="Y84">
        <v>5</v>
      </c>
      <c r="Z84">
        <v>22</v>
      </c>
      <c r="AA84">
        <v>2023</v>
      </c>
      <c r="AB84" t="b">
        <v>0</v>
      </c>
      <c r="AC84" s="19">
        <v>45068</v>
      </c>
      <c r="AD84" s="19"/>
    </row>
    <row r="85" spans="1:30" x14ac:dyDescent="0.25">
      <c r="A85" s="25">
        <v>10084</v>
      </c>
      <c r="B85" t="s">
        <v>111</v>
      </c>
      <c r="C85" t="s">
        <v>537</v>
      </c>
      <c r="D85" s="27" t="s">
        <v>516</v>
      </c>
      <c r="E85" s="27" t="str">
        <f t="shared" si="9"/>
        <v>?</v>
      </c>
      <c r="F85" s="118"/>
      <c r="G85" t="s">
        <v>22</v>
      </c>
      <c r="H85" s="24" t="s">
        <v>9</v>
      </c>
      <c r="I85">
        <v>0.6724</v>
      </c>
      <c r="J85">
        <v>4.0439999999999996</v>
      </c>
      <c r="K85">
        <v>0.03</v>
      </c>
      <c r="L85">
        <v>0.14399999999999999</v>
      </c>
      <c r="M85" s="140">
        <f t="shared" si="10"/>
        <v>0.6724</v>
      </c>
      <c r="N85" s="140">
        <f t="shared" si="10"/>
        <v>4.0439999999999996</v>
      </c>
      <c r="O85" s="140">
        <f t="shared" si="10"/>
        <v>0.05</v>
      </c>
      <c r="P85" s="140">
        <f t="shared" si="8"/>
        <v>0.14399999999999999</v>
      </c>
      <c r="Q85" s="161" t="s">
        <v>676</v>
      </c>
      <c r="R85" s="125">
        <v>12.74</v>
      </c>
      <c r="S85" t="s">
        <v>676</v>
      </c>
      <c r="W85">
        <v>40.779868999999998</v>
      </c>
      <c r="X85">
        <v>-85.6447</v>
      </c>
      <c r="Y85">
        <v>5</v>
      </c>
      <c r="Z85">
        <v>22</v>
      </c>
      <c r="AA85">
        <v>2023</v>
      </c>
      <c r="AB85" t="b">
        <v>0</v>
      </c>
      <c r="AC85" s="19">
        <v>45068</v>
      </c>
      <c r="AD85" s="19"/>
    </row>
    <row r="86" spans="1:30" x14ac:dyDescent="0.25">
      <c r="A86" s="25">
        <v>10085</v>
      </c>
      <c r="B86" t="s">
        <v>112</v>
      </c>
      <c r="C86" t="s">
        <v>537</v>
      </c>
      <c r="D86" s="27" t="s">
        <v>516</v>
      </c>
      <c r="E86" s="27" t="str">
        <f t="shared" si="9"/>
        <v>?</v>
      </c>
      <c r="F86" s="118"/>
      <c r="G86" t="s">
        <v>22</v>
      </c>
      <c r="H86" s="24" t="s">
        <v>9</v>
      </c>
      <c r="I86">
        <v>2.71</v>
      </c>
      <c r="J86">
        <v>0.1</v>
      </c>
      <c r="K86">
        <v>0.28499999999999998</v>
      </c>
      <c r="L86">
        <v>0.79549999999999998</v>
      </c>
      <c r="M86" s="140">
        <f t="shared" si="10"/>
        <v>2.71</v>
      </c>
      <c r="N86" s="140">
        <f t="shared" si="10"/>
        <v>0.1</v>
      </c>
      <c r="O86" s="140">
        <f t="shared" si="10"/>
        <v>0.28499999999999998</v>
      </c>
      <c r="P86" s="140">
        <f t="shared" si="8"/>
        <v>0.79549999999999998</v>
      </c>
      <c r="Q86" s="161">
        <v>1.0314795694475199E-2</v>
      </c>
      <c r="R86" s="125">
        <v>56.215000000000003</v>
      </c>
      <c r="S86" t="s">
        <v>676</v>
      </c>
      <c r="W86">
        <v>40.776752999999999</v>
      </c>
      <c r="X86">
        <v>-85.646072000000004</v>
      </c>
      <c r="Y86">
        <v>5</v>
      </c>
      <c r="Z86">
        <v>22</v>
      </c>
      <c r="AA86">
        <v>2023</v>
      </c>
      <c r="AB86" t="b">
        <v>0</v>
      </c>
      <c r="AC86" s="19">
        <v>45068</v>
      </c>
      <c r="AD86" s="19"/>
    </row>
    <row r="87" spans="1:30" x14ac:dyDescent="0.25">
      <c r="A87" s="25">
        <v>10086</v>
      </c>
      <c r="B87" t="s">
        <v>113</v>
      </c>
      <c r="C87" t="s">
        <v>537</v>
      </c>
      <c r="D87" s="27" t="s">
        <v>516</v>
      </c>
      <c r="E87" s="27" t="str">
        <f t="shared" si="9"/>
        <v>?</v>
      </c>
      <c r="F87" s="118"/>
      <c r="G87" t="s">
        <v>22</v>
      </c>
      <c r="H87" s="24" t="s">
        <v>9</v>
      </c>
      <c r="I87">
        <v>3.41995</v>
      </c>
      <c r="J87">
        <v>7.4999999999999997E-2</v>
      </c>
      <c r="K87">
        <v>0.67400000000000004</v>
      </c>
      <c r="L87">
        <v>0.78549999999999998</v>
      </c>
      <c r="M87" s="140">
        <f t="shared" si="10"/>
        <v>3.41995</v>
      </c>
      <c r="N87" s="140">
        <f t="shared" si="10"/>
        <v>0.05</v>
      </c>
      <c r="O87" s="140">
        <f t="shared" si="10"/>
        <v>0.67400000000000004</v>
      </c>
      <c r="P87" s="140">
        <f t="shared" si="8"/>
        <v>0.78549999999999998</v>
      </c>
      <c r="Q87" s="161" t="s">
        <v>676</v>
      </c>
      <c r="R87" s="125">
        <v>61.704999999999998</v>
      </c>
      <c r="S87" t="s">
        <v>676</v>
      </c>
      <c r="W87">
        <v>40.771569</v>
      </c>
      <c r="X87">
        <v>-85.640629000000004</v>
      </c>
      <c r="Y87">
        <v>5</v>
      </c>
      <c r="Z87">
        <v>22</v>
      </c>
      <c r="AA87">
        <v>2023</v>
      </c>
      <c r="AB87" t="b">
        <v>0</v>
      </c>
      <c r="AC87" s="19">
        <v>45068</v>
      </c>
      <c r="AD87" s="19"/>
    </row>
    <row r="88" spans="1:30" x14ac:dyDescent="0.25">
      <c r="A88" s="25">
        <v>10087</v>
      </c>
      <c r="B88" t="s">
        <v>114</v>
      </c>
      <c r="C88" t="s">
        <v>537</v>
      </c>
      <c r="D88" s="27" t="s">
        <v>516</v>
      </c>
      <c r="E88" s="27" t="str">
        <f t="shared" si="9"/>
        <v>?</v>
      </c>
      <c r="F88" s="118"/>
      <c r="G88" t="s">
        <v>22</v>
      </c>
      <c r="H88" s="24" t="s">
        <v>9</v>
      </c>
      <c r="I88">
        <v>0.39639999999999997</v>
      </c>
      <c r="J88">
        <v>4.47</v>
      </c>
      <c r="K88">
        <v>0.184</v>
      </c>
      <c r="L88">
        <v>0.17150000000000001</v>
      </c>
      <c r="M88" s="140">
        <f t="shared" si="10"/>
        <v>0.39639999999999997</v>
      </c>
      <c r="N88" s="140">
        <f t="shared" si="10"/>
        <v>4.47</v>
      </c>
      <c r="O88" s="140">
        <f t="shared" si="10"/>
        <v>0.184</v>
      </c>
      <c r="P88" s="140">
        <f t="shared" si="8"/>
        <v>0.17150000000000001</v>
      </c>
      <c r="Q88" s="161" t="s">
        <v>676</v>
      </c>
      <c r="R88" s="125">
        <v>16.105</v>
      </c>
      <c r="S88" t="s">
        <v>676</v>
      </c>
      <c r="W88">
        <v>40.772606000000003</v>
      </c>
      <c r="X88">
        <v>-85.640024999999994</v>
      </c>
      <c r="Y88">
        <v>5</v>
      </c>
      <c r="Z88">
        <v>22</v>
      </c>
      <c r="AA88">
        <v>2023</v>
      </c>
      <c r="AB88" t="b">
        <v>0</v>
      </c>
      <c r="AC88" s="19">
        <v>45068</v>
      </c>
      <c r="AD88" s="19"/>
    </row>
    <row r="89" spans="1:30" x14ac:dyDescent="0.25">
      <c r="A89" s="25">
        <v>10088</v>
      </c>
      <c r="B89" t="s">
        <v>115</v>
      </c>
      <c r="C89" t="s">
        <v>538</v>
      </c>
      <c r="D89" s="27" t="s">
        <v>516</v>
      </c>
      <c r="E89" s="27" t="str">
        <f t="shared" si="9"/>
        <v>?</v>
      </c>
      <c r="F89" s="118"/>
      <c r="G89" t="s">
        <v>22</v>
      </c>
      <c r="H89" s="24" t="s">
        <v>513</v>
      </c>
      <c r="M89" s="140">
        <f t="shared" si="10"/>
        <v>0.05</v>
      </c>
      <c r="N89" s="140">
        <f t="shared" si="10"/>
        <v>0.05</v>
      </c>
      <c r="O89" s="140">
        <f t="shared" si="10"/>
        <v>0.05</v>
      </c>
      <c r="P89" s="140">
        <f t="shared" si="8"/>
        <v>0.05</v>
      </c>
      <c r="Q89" s="161" t="s">
        <v>676</v>
      </c>
      <c r="R89" s="125" t="s">
        <v>676</v>
      </c>
      <c r="S89" t="s">
        <v>676</v>
      </c>
      <c r="W89">
        <v>40.769869999999997</v>
      </c>
      <c r="X89">
        <v>-85.647289999999998</v>
      </c>
      <c r="Y89">
        <v>5</v>
      </c>
      <c r="Z89">
        <v>22</v>
      </c>
      <c r="AA89">
        <v>2023</v>
      </c>
      <c r="AB89" t="b">
        <v>0</v>
      </c>
      <c r="AC89" s="19" t="e">
        <v>#VALUE!</v>
      </c>
      <c r="AD89" s="19"/>
    </row>
    <row r="90" spans="1:30" x14ac:dyDescent="0.25">
      <c r="A90" s="25">
        <v>10089</v>
      </c>
      <c r="B90" t="s">
        <v>115</v>
      </c>
      <c r="C90" t="s">
        <v>538</v>
      </c>
      <c r="D90" s="27" t="s">
        <v>516</v>
      </c>
      <c r="E90" s="27" t="str">
        <f t="shared" si="9"/>
        <v>?</v>
      </c>
      <c r="F90" s="118"/>
      <c r="G90" t="s">
        <v>22</v>
      </c>
      <c r="H90" s="24" t="s">
        <v>513</v>
      </c>
      <c r="M90" s="140">
        <f t="shared" si="10"/>
        <v>0.05</v>
      </c>
      <c r="N90" s="140">
        <f t="shared" si="10"/>
        <v>0.05</v>
      </c>
      <c r="O90" s="140">
        <f t="shared" si="10"/>
        <v>0.05</v>
      </c>
      <c r="P90" s="140">
        <f t="shared" si="8"/>
        <v>0.05</v>
      </c>
      <c r="Q90" s="161" t="s">
        <v>676</v>
      </c>
      <c r="R90" s="125" t="s">
        <v>676</v>
      </c>
      <c r="S90" t="s">
        <v>676</v>
      </c>
      <c r="W90">
        <v>40.771740000000001</v>
      </c>
      <c r="X90">
        <v>-85.646940000000001</v>
      </c>
      <c r="Y90">
        <v>5</v>
      </c>
      <c r="Z90">
        <v>22</v>
      </c>
      <c r="AA90">
        <v>2023</v>
      </c>
      <c r="AB90" t="b">
        <v>0</v>
      </c>
      <c r="AC90" s="19" t="e">
        <v>#VALUE!</v>
      </c>
      <c r="AD90" s="19"/>
    </row>
    <row r="91" spans="1:30" x14ac:dyDescent="0.25">
      <c r="A91" s="25">
        <v>10090</v>
      </c>
      <c r="B91" t="s">
        <v>115</v>
      </c>
      <c r="C91" t="s">
        <v>538</v>
      </c>
      <c r="D91" s="27" t="s">
        <v>516</v>
      </c>
      <c r="E91" s="27" t="str">
        <f t="shared" si="9"/>
        <v>?</v>
      </c>
      <c r="F91" s="118"/>
      <c r="G91" t="s">
        <v>22</v>
      </c>
      <c r="H91" s="24" t="s">
        <v>513</v>
      </c>
      <c r="M91" s="140">
        <f t="shared" si="10"/>
        <v>0.05</v>
      </c>
      <c r="N91" s="140">
        <f t="shared" si="10"/>
        <v>0.05</v>
      </c>
      <c r="O91" s="140">
        <f t="shared" si="10"/>
        <v>0.05</v>
      </c>
      <c r="P91" s="140">
        <f t="shared" si="8"/>
        <v>0.05</v>
      </c>
      <c r="Q91" s="161" t="s">
        <v>676</v>
      </c>
      <c r="R91" s="125" t="s">
        <v>676</v>
      </c>
      <c r="S91" t="s">
        <v>676</v>
      </c>
      <c r="W91">
        <v>40.770240000000001</v>
      </c>
      <c r="X91">
        <v>-85.645709999999994</v>
      </c>
      <c r="Y91">
        <v>5</v>
      </c>
      <c r="Z91">
        <v>22</v>
      </c>
      <c r="AA91">
        <v>2023</v>
      </c>
      <c r="AB91" t="b">
        <v>0</v>
      </c>
      <c r="AC91" s="19" t="e">
        <v>#VALUE!</v>
      </c>
      <c r="AD91" s="19"/>
    </row>
    <row r="92" spans="1:30" x14ac:dyDescent="0.25">
      <c r="A92" s="25">
        <v>10091</v>
      </c>
      <c r="B92" t="s">
        <v>116</v>
      </c>
      <c r="C92" t="s">
        <v>539</v>
      </c>
      <c r="D92" s="27">
        <v>4101</v>
      </c>
      <c r="E92" s="27">
        <v>1</v>
      </c>
      <c r="F92" s="118">
        <v>6865</v>
      </c>
      <c r="G92" t="s">
        <v>20</v>
      </c>
      <c r="H92" s="24" t="s">
        <v>8</v>
      </c>
      <c r="I92">
        <v>0.70120000000000005</v>
      </c>
      <c r="J92">
        <v>2.028</v>
      </c>
      <c r="K92">
        <v>0.27400000000000002</v>
      </c>
      <c r="L92">
        <v>6.4000000000000001E-2</v>
      </c>
      <c r="M92" s="140">
        <f t="shared" si="10"/>
        <v>0.70120000000000005</v>
      </c>
      <c r="N92" s="140">
        <f t="shared" si="10"/>
        <v>2.028</v>
      </c>
      <c r="O92" s="140">
        <f t="shared" si="10"/>
        <v>0.27400000000000002</v>
      </c>
      <c r="P92" s="140">
        <f t="shared" si="8"/>
        <v>0.05</v>
      </c>
      <c r="Q92" s="161" t="s">
        <v>676</v>
      </c>
      <c r="R92" s="125">
        <v>7.96</v>
      </c>
      <c r="S92" t="s">
        <v>676</v>
      </c>
      <c r="W92">
        <v>40.83475</v>
      </c>
      <c r="X92">
        <v>-86.8080833333333</v>
      </c>
      <c r="Y92">
        <v>5</v>
      </c>
      <c r="Z92">
        <v>25</v>
      </c>
      <c r="AA92">
        <v>2023</v>
      </c>
      <c r="AB92" t="b">
        <v>0</v>
      </c>
      <c r="AC92" s="19">
        <v>45071</v>
      </c>
      <c r="AD92" s="19"/>
    </row>
    <row r="93" spans="1:30" x14ac:dyDescent="0.25">
      <c r="A93" s="25">
        <v>10092</v>
      </c>
      <c r="B93" t="s">
        <v>117</v>
      </c>
      <c r="C93" t="s">
        <v>540</v>
      </c>
      <c r="D93" s="27">
        <v>4102</v>
      </c>
      <c r="E93" s="27">
        <v>2</v>
      </c>
      <c r="F93" s="118">
        <v>8165</v>
      </c>
      <c r="G93" t="s">
        <v>20</v>
      </c>
      <c r="H93" s="24" t="s">
        <v>8</v>
      </c>
      <c r="I93">
        <v>0.1807</v>
      </c>
      <c r="J93">
        <v>1.91</v>
      </c>
      <c r="K93">
        <v>0.127</v>
      </c>
      <c r="L93">
        <v>6.8500000000000005E-2</v>
      </c>
      <c r="M93" s="140">
        <f t="shared" si="10"/>
        <v>0.1807</v>
      </c>
      <c r="N93" s="140">
        <f t="shared" si="10"/>
        <v>1.91</v>
      </c>
      <c r="O93" s="140">
        <f t="shared" si="10"/>
        <v>0.127</v>
      </c>
      <c r="P93" s="140">
        <f t="shared" si="8"/>
        <v>0.05</v>
      </c>
      <c r="Q93" s="161" t="s">
        <v>676</v>
      </c>
      <c r="R93" s="125">
        <v>12.91</v>
      </c>
      <c r="S93" t="s">
        <v>676</v>
      </c>
      <c r="W93">
        <v>40.840722222222198</v>
      </c>
      <c r="X93">
        <v>-86.805111111111103</v>
      </c>
      <c r="Y93">
        <v>5</v>
      </c>
      <c r="Z93">
        <v>25</v>
      </c>
      <c r="AA93">
        <v>2023</v>
      </c>
      <c r="AB93" t="b">
        <v>0</v>
      </c>
      <c r="AC93" s="19">
        <v>45071</v>
      </c>
      <c r="AD93" s="19"/>
    </row>
    <row r="94" spans="1:30" x14ac:dyDescent="0.25">
      <c r="A94" s="25">
        <v>10093</v>
      </c>
      <c r="B94" t="s">
        <v>118</v>
      </c>
      <c r="C94" t="s">
        <v>541</v>
      </c>
      <c r="D94" s="27">
        <v>4103</v>
      </c>
      <c r="E94" s="27">
        <v>3</v>
      </c>
      <c r="F94" s="118"/>
      <c r="G94" t="s">
        <v>20</v>
      </c>
      <c r="H94" s="24" t="s">
        <v>8</v>
      </c>
      <c r="L94">
        <v>8.0500000000000002E-2</v>
      </c>
      <c r="M94" s="140">
        <f t="shared" si="10"/>
        <v>0.05</v>
      </c>
      <c r="N94" s="140">
        <f t="shared" si="10"/>
        <v>0.05</v>
      </c>
      <c r="O94" s="140">
        <f t="shared" si="10"/>
        <v>0.05</v>
      </c>
      <c r="P94" s="140">
        <f t="shared" si="8"/>
        <v>0.05</v>
      </c>
      <c r="Q94" s="161" t="s">
        <v>676</v>
      </c>
      <c r="R94" s="125">
        <v>6.85</v>
      </c>
      <c r="S94" t="s">
        <v>676</v>
      </c>
      <c r="W94">
        <v>40.8428055555556</v>
      </c>
      <c r="X94">
        <v>-86.816888888888897</v>
      </c>
      <c r="Y94">
        <v>5</v>
      </c>
      <c r="Z94">
        <v>25</v>
      </c>
      <c r="AA94">
        <v>2023</v>
      </c>
      <c r="AB94" t="b">
        <v>0</v>
      </c>
      <c r="AC94" s="19">
        <v>45071</v>
      </c>
      <c r="AD94" s="19"/>
    </row>
    <row r="95" spans="1:30" x14ac:dyDescent="0.25">
      <c r="A95" s="25">
        <v>10094</v>
      </c>
      <c r="B95" t="s">
        <v>119</v>
      </c>
      <c r="C95" t="s">
        <v>542</v>
      </c>
      <c r="D95" s="27">
        <v>4104</v>
      </c>
      <c r="E95" s="27">
        <v>4</v>
      </c>
      <c r="F95" s="118"/>
      <c r="G95" t="s">
        <v>20</v>
      </c>
      <c r="H95" s="24" t="s">
        <v>8</v>
      </c>
      <c r="I95">
        <v>0.34229999999999999</v>
      </c>
      <c r="J95">
        <v>1.986</v>
      </c>
      <c r="K95">
        <v>0.17449999999999999</v>
      </c>
      <c r="L95">
        <v>5.45E-2</v>
      </c>
      <c r="M95" s="140">
        <f t="shared" si="10"/>
        <v>0.34229999999999999</v>
      </c>
      <c r="N95" s="140">
        <f t="shared" si="10"/>
        <v>1.986</v>
      </c>
      <c r="O95" s="140">
        <f t="shared" si="10"/>
        <v>0.17449999999999999</v>
      </c>
      <c r="P95" s="140">
        <f t="shared" si="8"/>
        <v>0.05</v>
      </c>
      <c r="Q95" s="161" t="s">
        <v>676</v>
      </c>
      <c r="R95" s="125">
        <v>11.404999999999999</v>
      </c>
      <c r="S95" t="s">
        <v>676</v>
      </c>
      <c r="W95">
        <v>40.847638888888902</v>
      </c>
      <c r="X95">
        <v>-86.813833333333307</v>
      </c>
      <c r="Y95">
        <v>5</v>
      </c>
      <c r="Z95">
        <v>25</v>
      </c>
      <c r="AA95">
        <v>2023</v>
      </c>
      <c r="AB95" t="b">
        <v>0</v>
      </c>
      <c r="AC95" s="19">
        <v>45071</v>
      </c>
      <c r="AD95" s="19"/>
    </row>
    <row r="96" spans="1:30" x14ac:dyDescent="0.25">
      <c r="A96" s="25">
        <v>10095</v>
      </c>
      <c r="B96" t="s">
        <v>120</v>
      </c>
      <c r="C96" t="s">
        <v>543</v>
      </c>
      <c r="D96" s="27">
        <v>4106</v>
      </c>
      <c r="E96" s="27">
        <v>6</v>
      </c>
      <c r="F96" s="118">
        <v>8245</v>
      </c>
      <c r="G96" t="s">
        <v>20</v>
      </c>
      <c r="H96" s="24" t="s">
        <v>8</v>
      </c>
      <c r="L96">
        <v>6.9000000000000006E-2</v>
      </c>
      <c r="M96" s="140">
        <f t="shared" si="10"/>
        <v>0.05</v>
      </c>
      <c r="N96" s="140">
        <f t="shared" si="10"/>
        <v>0.05</v>
      </c>
      <c r="O96" s="140">
        <f t="shared" si="10"/>
        <v>0.05</v>
      </c>
      <c r="P96" s="140">
        <f t="shared" si="8"/>
        <v>0.05</v>
      </c>
      <c r="Q96" s="161" t="s">
        <v>676</v>
      </c>
      <c r="R96" s="125">
        <v>0.94499999999999995</v>
      </c>
      <c r="S96" t="s">
        <v>676</v>
      </c>
      <c r="W96">
        <v>40.834944444444403</v>
      </c>
      <c r="X96">
        <v>-86.782055555555601</v>
      </c>
      <c r="Y96">
        <v>5</v>
      </c>
      <c r="Z96">
        <v>25</v>
      </c>
      <c r="AA96">
        <v>2023</v>
      </c>
      <c r="AB96" t="b">
        <v>0</v>
      </c>
      <c r="AC96" s="19">
        <v>45071</v>
      </c>
      <c r="AD96" s="19"/>
    </row>
    <row r="97" spans="1:30" x14ac:dyDescent="0.25">
      <c r="A97" s="25">
        <v>10096</v>
      </c>
      <c r="B97" t="s">
        <v>121</v>
      </c>
      <c r="C97" t="s">
        <v>544</v>
      </c>
      <c r="D97" s="27">
        <v>4107</v>
      </c>
      <c r="E97" s="27">
        <v>7</v>
      </c>
      <c r="F97" s="118"/>
      <c r="G97" t="s">
        <v>20</v>
      </c>
      <c r="H97" s="24" t="s">
        <v>8</v>
      </c>
      <c r="L97">
        <v>3.2500000000000001E-2</v>
      </c>
      <c r="M97" s="140">
        <f t="shared" si="10"/>
        <v>0.05</v>
      </c>
      <c r="N97" s="140">
        <f t="shared" si="10"/>
        <v>0.05</v>
      </c>
      <c r="O97" s="140">
        <f t="shared" si="10"/>
        <v>0.05</v>
      </c>
      <c r="P97" s="140">
        <f t="shared" si="8"/>
        <v>0.05</v>
      </c>
      <c r="Q97" s="161" t="s">
        <v>676</v>
      </c>
      <c r="R97" s="125">
        <v>0.69499999999999995</v>
      </c>
      <c r="S97" t="s">
        <v>676</v>
      </c>
      <c r="W97">
        <v>40.8471388888889</v>
      </c>
      <c r="X97">
        <v>-86.759583333333296</v>
      </c>
      <c r="Y97">
        <v>5</v>
      </c>
      <c r="Z97">
        <v>25</v>
      </c>
      <c r="AA97">
        <v>2023</v>
      </c>
      <c r="AB97" t="b">
        <v>0</v>
      </c>
      <c r="AC97" s="19">
        <v>45071</v>
      </c>
      <c r="AD97" s="19"/>
    </row>
    <row r="98" spans="1:30" x14ac:dyDescent="0.25">
      <c r="A98" s="25">
        <v>10097</v>
      </c>
      <c r="B98" t="s">
        <v>122</v>
      </c>
      <c r="C98" t="s">
        <v>545</v>
      </c>
      <c r="D98" s="27">
        <v>4108</v>
      </c>
      <c r="E98" s="27">
        <v>8</v>
      </c>
      <c r="F98" s="118">
        <v>5065</v>
      </c>
      <c r="G98" t="s">
        <v>20</v>
      </c>
      <c r="H98" s="24" t="s">
        <v>8</v>
      </c>
      <c r="I98">
        <v>1.0458499999999999</v>
      </c>
      <c r="J98">
        <v>3.0815000000000001</v>
      </c>
      <c r="K98">
        <v>0.373</v>
      </c>
      <c r="L98">
        <v>4.1000000000000002E-2</v>
      </c>
      <c r="M98" s="140">
        <f t="shared" ref="M98:O113" si="11">IF(I98&lt;0.1,0.05,I98)</f>
        <v>1.0458499999999999</v>
      </c>
      <c r="N98" s="140">
        <f t="shared" si="11"/>
        <v>3.0815000000000001</v>
      </c>
      <c r="O98" s="140">
        <f t="shared" si="11"/>
        <v>0.373</v>
      </c>
      <c r="P98" s="140">
        <f t="shared" si="8"/>
        <v>0.05</v>
      </c>
      <c r="Q98" s="161" t="s">
        <v>676</v>
      </c>
      <c r="R98" s="125">
        <v>1.2450000000000001</v>
      </c>
      <c r="S98" t="s">
        <v>676</v>
      </c>
      <c r="W98">
        <v>40.810944444444402</v>
      </c>
      <c r="X98">
        <v>-86.794555555555604</v>
      </c>
      <c r="Y98">
        <v>5</v>
      </c>
      <c r="Z98">
        <v>25</v>
      </c>
      <c r="AA98">
        <v>2023</v>
      </c>
      <c r="AB98" t="b">
        <v>0</v>
      </c>
      <c r="AC98" s="19">
        <v>45071</v>
      </c>
      <c r="AD98" s="19"/>
    </row>
    <row r="99" spans="1:30" x14ac:dyDescent="0.25">
      <c r="A99" s="25">
        <v>10098</v>
      </c>
      <c r="B99" t="s">
        <v>123</v>
      </c>
      <c r="C99" t="s">
        <v>546</v>
      </c>
      <c r="D99" s="27">
        <v>4109</v>
      </c>
      <c r="E99" s="27">
        <v>9</v>
      </c>
      <c r="F99" s="118">
        <v>3385</v>
      </c>
      <c r="G99" t="s">
        <v>20</v>
      </c>
      <c r="H99" s="24" t="s">
        <v>8</v>
      </c>
      <c r="L99">
        <v>4.3499999999999997E-2</v>
      </c>
      <c r="M99" s="140">
        <f t="shared" si="11"/>
        <v>0.05</v>
      </c>
      <c r="N99" s="140">
        <f t="shared" si="11"/>
        <v>0.05</v>
      </c>
      <c r="O99" s="140">
        <f t="shared" si="11"/>
        <v>0.05</v>
      </c>
      <c r="P99" s="140">
        <f t="shared" si="8"/>
        <v>0.05</v>
      </c>
      <c r="Q99" s="161" t="s">
        <v>676</v>
      </c>
      <c r="R99" s="125">
        <v>6.3449999999999998</v>
      </c>
      <c r="S99" t="s">
        <v>676</v>
      </c>
      <c r="W99">
        <v>40.8039722222222</v>
      </c>
      <c r="X99">
        <v>-86.776277777777807</v>
      </c>
      <c r="Y99">
        <v>5</v>
      </c>
      <c r="Z99">
        <v>25</v>
      </c>
      <c r="AA99">
        <v>2023</v>
      </c>
      <c r="AB99" t="b">
        <v>0</v>
      </c>
      <c r="AC99" s="19">
        <v>45071</v>
      </c>
      <c r="AD99" s="19"/>
    </row>
    <row r="100" spans="1:30" x14ac:dyDescent="0.25">
      <c r="A100" s="25">
        <v>10099</v>
      </c>
      <c r="B100" t="s">
        <v>124</v>
      </c>
      <c r="C100" t="s">
        <v>547</v>
      </c>
      <c r="D100" s="27">
        <v>4110</v>
      </c>
      <c r="E100" s="27">
        <v>10</v>
      </c>
      <c r="F100" s="118">
        <v>2205</v>
      </c>
      <c r="G100" t="s">
        <v>20</v>
      </c>
      <c r="H100" s="24" t="s">
        <v>8</v>
      </c>
      <c r="L100">
        <v>9.8000000000000004E-2</v>
      </c>
      <c r="M100" s="140">
        <f t="shared" si="11"/>
        <v>0.05</v>
      </c>
      <c r="N100" s="140">
        <f t="shared" si="11"/>
        <v>0.05</v>
      </c>
      <c r="O100" s="140">
        <f t="shared" si="11"/>
        <v>0.05</v>
      </c>
      <c r="P100" s="140">
        <f t="shared" si="8"/>
        <v>0.05</v>
      </c>
      <c r="Q100" s="161" t="s">
        <v>676</v>
      </c>
      <c r="R100" s="125">
        <v>8.1300000000000008</v>
      </c>
      <c r="S100" t="s">
        <v>676</v>
      </c>
      <c r="W100">
        <v>40.7951388888889</v>
      </c>
      <c r="X100">
        <v>-86.773527777777801</v>
      </c>
      <c r="Y100">
        <v>5</v>
      </c>
      <c r="Z100">
        <v>25</v>
      </c>
      <c r="AA100">
        <v>2023</v>
      </c>
      <c r="AB100" t="b">
        <v>0</v>
      </c>
      <c r="AC100" s="19">
        <v>45071</v>
      </c>
      <c r="AD100" s="19"/>
    </row>
    <row r="101" spans="1:30" x14ac:dyDescent="0.25">
      <c r="A101" s="25">
        <v>10100</v>
      </c>
      <c r="B101" t="s">
        <v>125</v>
      </c>
      <c r="C101" t="s">
        <v>548</v>
      </c>
      <c r="D101" s="27">
        <v>4111</v>
      </c>
      <c r="E101" s="27">
        <v>11</v>
      </c>
      <c r="F101" s="118">
        <v>1385</v>
      </c>
      <c r="G101" t="s">
        <v>20</v>
      </c>
      <c r="H101" s="24" t="s">
        <v>8</v>
      </c>
      <c r="I101">
        <v>0.96625000000000005</v>
      </c>
      <c r="J101">
        <v>2.9355000000000002</v>
      </c>
      <c r="K101">
        <v>0.43099999999999999</v>
      </c>
      <c r="L101">
        <v>7.85E-2</v>
      </c>
      <c r="M101" s="140">
        <f t="shared" si="11"/>
        <v>0.96625000000000005</v>
      </c>
      <c r="N101" s="140">
        <f t="shared" si="11"/>
        <v>2.9355000000000002</v>
      </c>
      <c r="O101" s="140">
        <f t="shared" si="11"/>
        <v>0.43099999999999999</v>
      </c>
      <c r="P101" s="140">
        <f t="shared" si="8"/>
        <v>0.05</v>
      </c>
      <c r="Q101" s="161" t="s">
        <v>676</v>
      </c>
      <c r="R101" s="125">
        <v>8.7449999999999992</v>
      </c>
      <c r="S101" t="s">
        <v>676</v>
      </c>
      <c r="W101">
        <v>40.786972222222197</v>
      </c>
      <c r="X101">
        <v>-86.771083333333294</v>
      </c>
      <c r="Y101">
        <v>5</v>
      </c>
      <c r="Z101">
        <v>25</v>
      </c>
      <c r="AA101">
        <v>2023</v>
      </c>
      <c r="AB101" t="b">
        <v>0</v>
      </c>
      <c r="AC101" s="19">
        <v>45071</v>
      </c>
      <c r="AD101" s="19"/>
    </row>
    <row r="102" spans="1:30" x14ac:dyDescent="0.25">
      <c r="A102" s="25">
        <v>10101</v>
      </c>
      <c r="B102" t="s">
        <v>126</v>
      </c>
      <c r="C102" t="s">
        <v>549</v>
      </c>
      <c r="D102" s="27">
        <v>4113</v>
      </c>
      <c r="E102" s="27">
        <v>13</v>
      </c>
      <c r="F102" s="118"/>
      <c r="G102" t="s">
        <v>20</v>
      </c>
      <c r="H102" s="24" t="s">
        <v>8</v>
      </c>
      <c r="L102">
        <v>9.5000000000000001E-2</v>
      </c>
      <c r="M102" s="140">
        <f t="shared" si="11"/>
        <v>0.05</v>
      </c>
      <c r="N102" s="140">
        <f t="shared" si="11"/>
        <v>0.05</v>
      </c>
      <c r="O102" s="140">
        <f t="shared" si="11"/>
        <v>0.05</v>
      </c>
      <c r="P102" s="140">
        <f t="shared" si="8"/>
        <v>0.05</v>
      </c>
      <c r="Q102" s="161" t="s">
        <v>676</v>
      </c>
      <c r="R102" s="125">
        <v>12.775</v>
      </c>
      <c r="S102" t="s">
        <v>676</v>
      </c>
      <c r="W102">
        <v>40.840111111111099</v>
      </c>
      <c r="X102">
        <v>-86.810888888888897</v>
      </c>
      <c r="Y102">
        <v>5</v>
      </c>
      <c r="Z102">
        <v>25</v>
      </c>
      <c r="AA102">
        <v>2023</v>
      </c>
      <c r="AB102" t="b">
        <v>0</v>
      </c>
      <c r="AC102" s="19">
        <v>45071</v>
      </c>
      <c r="AD102" s="19"/>
    </row>
    <row r="103" spans="1:30" x14ac:dyDescent="0.25">
      <c r="A103" s="25">
        <v>10102</v>
      </c>
      <c r="B103" t="s">
        <v>127</v>
      </c>
      <c r="C103" t="s">
        <v>550</v>
      </c>
      <c r="D103" s="27" t="s">
        <v>516</v>
      </c>
      <c r="E103" s="27" t="str">
        <f t="shared" ref="E103:E145" si="12">RIGHT(D103,2)</f>
        <v>?</v>
      </c>
      <c r="F103" s="118"/>
      <c r="G103" t="s">
        <v>20</v>
      </c>
      <c r="H103" s="24" t="s">
        <v>9</v>
      </c>
      <c r="I103">
        <v>32.07405</v>
      </c>
      <c r="J103">
        <v>0.161</v>
      </c>
      <c r="K103">
        <v>3.7675000000000001</v>
      </c>
      <c r="L103">
        <v>12.9475</v>
      </c>
      <c r="M103" s="140">
        <f t="shared" si="11"/>
        <v>32.07405</v>
      </c>
      <c r="N103" s="140">
        <f t="shared" si="11"/>
        <v>0.161</v>
      </c>
      <c r="O103" s="140">
        <f t="shared" si="11"/>
        <v>3.7675000000000001</v>
      </c>
      <c r="P103" s="140">
        <f t="shared" si="8"/>
        <v>12.9475</v>
      </c>
      <c r="Q103" s="161" t="s">
        <v>676</v>
      </c>
      <c r="R103" s="125">
        <v>105.79</v>
      </c>
      <c r="S103" t="s">
        <v>676</v>
      </c>
      <c r="W103">
        <v>40.834735999999999</v>
      </c>
      <c r="X103">
        <v>-86.808921999999995</v>
      </c>
      <c r="Y103">
        <v>5</v>
      </c>
      <c r="Z103">
        <v>25</v>
      </c>
      <c r="AA103">
        <v>2023</v>
      </c>
      <c r="AB103" t="b">
        <v>0</v>
      </c>
      <c r="AC103" s="19">
        <v>45071</v>
      </c>
      <c r="AD103" s="19"/>
    </row>
    <row r="104" spans="1:30" x14ac:dyDescent="0.25">
      <c r="A104" s="25">
        <v>10103</v>
      </c>
      <c r="B104" t="s">
        <v>128</v>
      </c>
      <c r="C104" t="s">
        <v>550</v>
      </c>
      <c r="D104" s="27" t="s">
        <v>516</v>
      </c>
      <c r="E104" s="27" t="str">
        <f t="shared" si="12"/>
        <v>?</v>
      </c>
      <c r="F104" s="118"/>
      <c r="G104" t="s">
        <v>20</v>
      </c>
      <c r="H104" s="24" t="s">
        <v>9</v>
      </c>
      <c r="L104">
        <v>8.3500000000000005E-2</v>
      </c>
      <c r="M104" s="140">
        <f t="shared" si="11"/>
        <v>0.05</v>
      </c>
      <c r="N104" s="140">
        <f t="shared" si="11"/>
        <v>0.05</v>
      </c>
      <c r="O104" s="140">
        <f t="shared" si="11"/>
        <v>0.05</v>
      </c>
      <c r="P104" s="140">
        <f t="shared" si="8"/>
        <v>0.05</v>
      </c>
      <c r="Q104" s="161" t="s">
        <v>676</v>
      </c>
      <c r="R104" s="125">
        <v>17.73</v>
      </c>
      <c r="S104" t="s">
        <v>676</v>
      </c>
      <c r="W104">
        <v>40.840400000000002</v>
      </c>
      <c r="X104">
        <v>-86.31326</v>
      </c>
      <c r="Y104">
        <v>5</v>
      </c>
      <c r="Z104">
        <v>25</v>
      </c>
      <c r="AA104">
        <v>2023</v>
      </c>
      <c r="AB104" t="b">
        <v>0</v>
      </c>
      <c r="AC104" s="19">
        <v>45071</v>
      </c>
      <c r="AD104" s="19"/>
    </row>
    <row r="105" spans="1:30" x14ac:dyDescent="0.25">
      <c r="A105" s="25">
        <v>10104</v>
      </c>
      <c r="B105" t="s">
        <v>129</v>
      </c>
      <c r="C105" t="s">
        <v>550</v>
      </c>
      <c r="D105" s="27" t="s">
        <v>516</v>
      </c>
      <c r="E105" s="27" t="str">
        <f t="shared" si="12"/>
        <v>?</v>
      </c>
      <c r="F105" s="118"/>
      <c r="G105" t="s">
        <v>20</v>
      </c>
      <c r="H105" s="24" t="s">
        <v>9</v>
      </c>
      <c r="I105">
        <v>4.2089499999999997</v>
      </c>
      <c r="J105">
        <v>8.7999999999999995E-2</v>
      </c>
      <c r="K105">
        <v>1.0994999999999999</v>
      </c>
      <c r="L105">
        <v>0.39500000000000002</v>
      </c>
      <c r="M105" s="140">
        <f t="shared" si="11"/>
        <v>4.2089499999999997</v>
      </c>
      <c r="N105" s="140">
        <f t="shared" si="11"/>
        <v>0.05</v>
      </c>
      <c r="O105" s="140">
        <f t="shared" si="11"/>
        <v>1.0994999999999999</v>
      </c>
      <c r="P105" s="140">
        <f t="shared" si="8"/>
        <v>0.39500000000000002</v>
      </c>
      <c r="Q105" s="161" t="s">
        <v>676</v>
      </c>
      <c r="R105" s="125">
        <v>41.335000000000001</v>
      </c>
      <c r="S105" t="s">
        <v>676</v>
      </c>
      <c r="W105">
        <v>40.843319999999999</v>
      </c>
      <c r="X105">
        <v>-86.817499999999995</v>
      </c>
      <c r="Y105">
        <v>5</v>
      </c>
      <c r="Z105">
        <v>25</v>
      </c>
      <c r="AA105">
        <v>2023</v>
      </c>
      <c r="AB105" t="b">
        <v>0</v>
      </c>
      <c r="AC105" s="19">
        <v>45071</v>
      </c>
      <c r="AD105" s="19"/>
    </row>
    <row r="106" spans="1:30" x14ac:dyDescent="0.25">
      <c r="A106" s="25">
        <v>10105</v>
      </c>
      <c r="B106" t="s">
        <v>130</v>
      </c>
      <c r="C106" t="s">
        <v>551</v>
      </c>
      <c r="D106" s="27" t="s">
        <v>516</v>
      </c>
      <c r="E106" s="27" t="str">
        <f t="shared" si="12"/>
        <v>?</v>
      </c>
      <c r="F106" s="118"/>
      <c r="G106" t="s">
        <v>19</v>
      </c>
      <c r="H106" s="24" t="s">
        <v>9</v>
      </c>
      <c r="L106">
        <v>7.85E-2</v>
      </c>
      <c r="M106" s="140">
        <f t="shared" si="11"/>
        <v>0.05</v>
      </c>
      <c r="N106" s="140">
        <f t="shared" si="11"/>
        <v>0.05</v>
      </c>
      <c r="O106" s="140">
        <f t="shared" si="11"/>
        <v>0.05</v>
      </c>
      <c r="P106" s="140">
        <f t="shared" si="8"/>
        <v>0.05</v>
      </c>
      <c r="Q106" s="161">
        <v>1.07232955647139E-2</v>
      </c>
      <c r="R106" s="125">
        <v>17.95</v>
      </c>
      <c r="S106" t="s">
        <v>676</v>
      </c>
      <c r="W106">
        <v>40.714060000000003</v>
      </c>
      <c r="X106">
        <v>-85.937079999999995</v>
      </c>
      <c r="Y106">
        <v>5</v>
      </c>
      <c r="Z106">
        <v>31</v>
      </c>
      <c r="AA106">
        <v>2023</v>
      </c>
      <c r="AB106" t="b">
        <v>0</v>
      </c>
      <c r="AC106" s="19">
        <v>45077</v>
      </c>
      <c r="AD106" s="19"/>
    </row>
    <row r="107" spans="1:30" x14ac:dyDescent="0.25">
      <c r="A107" s="25">
        <v>10106</v>
      </c>
      <c r="B107" t="s">
        <v>131</v>
      </c>
      <c r="C107" t="s">
        <v>551</v>
      </c>
      <c r="D107" s="27" t="s">
        <v>516</v>
      </c>
      <c r="E107" s="27" t="str">
        <f t="shared" si="12"/>
        <v>?</v>
      </c>
      <c r="F107" s="118"/>
      <c r="G107" t="s">
        <v>19</v>
      </c>
      <c r="H107" s="24" t="s">
        <v>9</v>
      </c>
      <c r="L107">
        <v>0.11600000000000001</v>
      </c>
      <c r="M107" s="140">
        <f t="shared" si="11"/>
        <v>0.05</v>
      </c>
      <c r="N107" s="140">
        <f t="shared" si="11"/>
        <v>0.05</v>
      </c>
      <c r="O107" s="140">
        <f t="shared" si="11"/>
        <v>0.05</v>
      </c>
      <c r="P107" s="140">
        <f t="shared" si="8"/>
        <v>0.11600000000000001</v>
      </c>
      <c r="Q107" s="161">
        <v>6.5223728705696205E-2</v>
      </c>
      <c r="R107" s="125">
        <v>16.225000000000001</v>
      </c>
      <c r="S107" t="s">
        <v>676</v>
      </c>
      <c r="W107">
        <v>40.714280000000002</v>
      </c>
      <c r="X107">
        <v>-85.937610000000006</v>
      </c>
      <c r="Y107">
        <v>5</v>
      </c>
      <c r="Z107">
        <v>31</v>
      </c>
      <c r="AA107">
        <v>2023</v>
      </c>
      <c r="AB107" t="b">
        <v>0</v>
      </c>
      <c r="AC107" s="19">
        <v>45077</v>
      </c>
      <c r="AD107" s="19"/>
    </row>
    <row r="108" spans="1:30" x14ac:dyDescent="0.25">
      <c r="A108" s="25">
        <v>10107</v>
      </c>
      <c r="B108" t="s">
        <v>132</v>
      </c>
      <c r="C108" t="s">
        <v>551</v>
      </c>
      <c r="D108" s="27" t="s">
        <v>516</v>
      </c>
      <c r="E108" s="27" t="str">
        <f t="shared" si="12"/>
        <v>?</v>
      </c>
      <c r="F108" s="118"/>
      <c r="G108" t="s">
        <v>19</v>
      </c>
      <c r="H108" s="24" t="s">
        <v>9</v>
      </c>
      <c r="L108">
        <v>6.0999999999999999E-2</v>
      </c>
      <c r="M108" s="140">
        <f t="shared" si="11"/>
        <v>0.05</v>
      </c>
      <c r="N108" s="140">
        <f t="shared" si="11"/>
        <v>0.05</v>
      </c>
      <c r="O108" s="140">
        <f t="shared" si="11"/>
        <v>0.05</v>
      </c>
      <c r="P108" s="140">
        <f t="shared" si="8"/>
        <v>0.05</v>
      </c>
      <c r="Q108" s="161">
        <v>1.6282870721887499E-3</v>
      </c>
      <c r="R108" s="125">
        <v>12.36</v>
      </c>
      <c r="S108" t="s">
        <v>676</v>
      </c>
      <c r="W108">
        <v>40.705238000000001</v>
      </c>
      <c r="X108">
        <v>-85.953678999999994</v>
      </c>
      <c r="Y108">
        <v>5</v>
      </c>
      <c r="Z108">
        <v>31</v>
      </c>
      <c r="AA108">
        <v>2023</v>
      </c>
      <c r="AB108" t="b">
        <v>0</v>
      </c>
      <c r="AC108" s="19">
        <v>45077</v>
      </c>
      <c r="AD108" s="19"/>
    </row>
    <row r="109" spans="1:30" x14ac:dyDescent="0.25">
      <c r="A109" s="25">
        <v>10108</v>
      </c>
      <c r="B109" t="s">
        <v>133</v>
      </c>
      <c r="C109" t="s">
        <v>551</v>
      </c>
      <c r="D109" s="27" t="s">
        <v>516</v>
      </c>
      <c r="E109" s="27" t="str">
        <f t="shared" si="12"/>
        <v>?</v>
      </c>
      <c r="F109" s="118"/>
      <c r="G109" t="s">
        <v>19</v>
      </c>
      <c r="H109" s="24" t="s">
        <v>9</v>
      </c>
      <c r="L109">
        <v>0.15049999999999999</v>
      </c>
      <c r="M109" s="140">
        <f t="shared" si="11"/>
        <v>0.05</v>
      </c>
      <c r="N109" s="140">
        <f t="shared" si="11"/>
        <v>0.05</v>
      </c>
      <c r="O109" s="140">
        <f t="shared" si="11"/>
        <v>0.05</v>
      </c>
      <c r="P109" s="140">
        <f t="shared" si="8"/>
        <v>0.15049999999999999</v>
      </c>
      <c r="Q109" s="161" t="s">
        <v>676</v>
      </c>
      <c r="R109" s="125">
        <v>28.03</v>
      </c>
      <c r="S109" t="s">
        <v>676</v>
      </c>
      <c r="W109">
        <v>40.703919999999997</v>
      </c>
      <c r="X109">
        <v>-85.936480000000003</v>
      </c>
      <c r="Y109">
        <v>5</v>
      </c>
      <c r="Z109">
        <v>31</v>
      </c>
      <c r="AA109">
        <v>2023</v>
      </c>
      <c r="AB109" t="b">
        <v>0</v>
      </c>
      <c r="AC109" s="19">
        <v>45077</v>
      </c>
      <c r="AD109" s="19"/>
    </row>
    <row r="110" spans="1:30" x14ac:dyDescent="0.25">
      <c r="A110" s="25">
        <v>10109</v>
      </c>
      <c r="B110" t="s">
        <v>134</v>
      </c>
      <c r="C110" t="s">
        <v>551</v>
      </c>
      <c r="D110" s="27" t="s">
        <v>516</v>
      </c>
      <c r="E110" s="27" t="str">
        <f t="shared" si="12"/>
        <v>?</v>
      </c>
      <c r="F110" s="118"/>
      <c r="G110" t="s">
        <v>19</v>
      </c>
      <c r="H110" s="24" t="s">
        <v>9</v>
      </c>
      <c r="L110">
        <v>0.193</v>
      </c>
      <c r="M110" s="140">
        <f t="shared" si="11"/>
        <v>0.05</v>
      </c>
      <c r="N110" s="140">
        <f t="shared" si="11"/>
        <v>0.05</v>
      </c>
      <c r="O110" s="140">
        <f t="shared" si="11"/>
        <v>0.05</v>
      </c>
      <c r="P110" s="140">
        <f t="shared" si="8"/>
        <v>0.193</v>
      </c>
      <c r="Q110" s="161" t="s">
        <v>676</v>
      </c>
      <c r="R110" s="125">
        <v>10.945</v>
      </c>
      <c r="S110" t="s">
        <v>676</v>
      </c>
      <c r="W110">
        <v>40.702379999999998</v>
      </c>
      <c r="X110">
        <v>-85.936080000000004</v>
      </c>
      <c r="Y110">
        <v>5</v>
      </c>
      <c r="Z110">
        <v>31</v>
      </c>
      <c r="AA110">
        <v>2023</v>
      </c>
      <c r="AB110" t="b">
        <v>0</v>
      </c>
      <c r="AC110" s="19">
        <v>45077</v>
      </c>
      <c r="AD110" s="19"/>
    </row>
    <row r="111" spans="1:30" x14ac:dyDescent="0.25">
      <c r="A111" s="25">
        <v>10110</v>
      </c>
      <c r="B111" t="s">
        <v>135</v>
      </c>
      <c r="C111" t="s">
        <v>551</v>
      </c>
      <c r="D111" s="27" t="s">
        <v>516</v>
      </c>
      <c r="E111" s="27" t="str">
        <f t="shared" si="12"/>
        <v>?</v>
      </c>
      <c r="F111" s="118"/>
      <c r="G111" t="s">
        <v>19</v>
      </c>
      <c r="H111" s="24" t="s">
        <v>9</v>
      </c>
      <c r="I111">
        <v>1.2656499999999999</v>
      </c>
      <c r="J111">
        <v>4.2969999999999997</v>
      </c>
      <c r="K111">
        <v>0.44650000000000001</v>
      </c>
      <c r="L111">
        <v>0.182</v>
      </c>
      <c r="M111" s="140">
        <f t="shared" si="11"/>
        <v>1.2656499999999999</v>
      </c>
      <c r="N111" s="140">
        <f t="shared" si="11"/>
        <v>4.2969999999999997</v>
      </c>
      <c r="O111" s="140">
        <f t="shared" si="11"/>
        <v>0.44650000000000001</v>
      </c>
      <c r="P111" s="140">
        <f t="shared" si="8"/>
        <v>0.182</v>
      </c>
      <c r="Q111" s="161" t="s">
        <v>676</v>
      </c>
      <c r="R111" s="125">
        <v>18.024999999999999</v>
      </c>
      <c r="S111" t="s">
        <v>676</v>
      </c>
      <c r="W111">
        <v>40.700699999999998</v>
      </c>
      <c r="X111">
        <v>-85.935270000000003</v>
      </c>
      <c r="Y111">
        <v>5</v>
      </c>
      <c r="Z111">
        <v>31</v>
      </c>
      <c r="AA111">
        <v>2023</v>
      </c>
      <c r="AB111" t="b">
        <v>0</v>
      </c>
      <c r="AC111" s="19">
        <v>45077</v>
      </c>
      <c r="AD111" s="19"/>
    </row>
    <row r="112" spans="1:30" x14ac:dyDescent="0.25">
      <c r="A112" s="25">
        <v>10111</v>
      </c>
      <c r="B112" t="s">
        <v>136</v>
      </c>
      <c r="C112" t="s">
        <v>551</v>
      </c>
      <c r="D112" s="27" t="s">
        <v>516</v>
      </c>
      <c r="E112" s="27" t="str">
        <f t="shared" si="12"/>
        <v>?</v>
      </c>
      <c r="F112" s="118"/>
      <c r="G112" t="s">
        <v>19</v>
      </c>
      <c r="H112" s="24" t="s">
        <v>9</v>
      </c>
      <c r="I112">
        <v>1.01905</v>
      </c>
      <c r="J112">
        <v>4.6455000000000002</v>
      </c>
      <c r="K112">
        <v>0.40500000000000003</v>
      </c>
      <c r="L112">
        <v>9.7000000000000003E-2</v>
      </c>
      <c r="M112" s="140">
        <f t="shared" si="11"/>
        <v>1.01905</v>
      </c>
      <c r="N112" s="140">
        <f t="shared" si="11"/>
        <v>4.6455000000000002</v>
      </c>
      <c r="O112" s="140">
        <f t="shared" si="11"/>
        <v>0.40500000000000003</v>
      </c>
      <c r="P112" s="140">
        <f t="shared" si="8"/>
        <v>0.05</v>
      </c>
      <c r="Q112" s="161" t="s">
        <v>676</v>
      </c>
      <c r="R112" s="125">
        <v>45.52</v>
      </c>
      <c r="S112" t="s">
        <v>676</v>
      </c>
      <c r="W112">
        <v>40.680329999999998</v>
      </c>
      <c r="X112">
        <v>-85.895390000000006</v>
      </c>
      <c r="Y112">
        <v>5</v>
      </c>
      <c r="Z112">
        <v>31</v>
      </c>
      <c r="AA112">
        <v>2023</v>
      </c>
      <c r="AB112" t="b">
        <v>0</v>
      </c>
      <c r="AC112" s="19">
        <v>45077</v>
      </c>
      <c r="AD112" s="19"/>
    </row>
    <row r="113" spans="1:30" x14ac:dyDescent="0.25">
      <c r="A113" s="25">
        <v>10112</v>
      </c>
      <c r="B113" t="s">
        <v>137</v>
      </c>
      <c r="C113" t="s">
        <v>551</v>
      </c>
      <c r="D113" s="27" t="s">
        <v>516</v>
      </c>
      <c r="E113" s="27" t="str">
        <f t="shared" si="12"/>
        <v>?</v>
      </c>
      <c r="F113" s="118"/>
      <c r="G113" t="s">
        <v>19</v>
      </c>
      <c r="H113" s="24" t="s">
        <v>9</v>
      </c>
      <c r="I113">
        <v>1.58325</v>
      </c>
      <c r="J113">
        <v>2.9550000000000001</v>
      </c>
      <c r="K113">
        <v>0.52200000000000002</v>
      </c>
      <c r="L113">
        <v>0.17649999999999999</v>
      </c>
      <c r="M113" s="140">
        <f t="shared" si="11"/>
        <v>1.58325</v>
      </c>
      <c r="N113" s="140">
        <f t="shared" si="11"/>
        <v>2.9550000000000001</v>
      </c>
      <c r="O113" s="140">
        <f t="shared" si="11"/>
        <v>0.52200000000000002</v>
      </c>
      <c r="P113" s="140">
        <f t="shared" si="8"/>
        <v>0.17649999999999999</v>
      </c>
      <c r="Q113" s="161">
        <v>3.4368241732352298E-2</v>
      </c>
      <c r="R113" s="125">
        <v>43.74</v>
      </c>
      <c r="S113" t="s">
        <v>676</v>
      </c>
      <c r="W113">
        <v>40.667999999999999</v>
      </c>
      <c r="X113">
        <v>-85.848759999999999</v>
      </c>
      <c r="Y113">
        <v>5</v>
      </c>
      <c r="Z113">
        <v>31</v>
      </c>
      <c r="AA113">
        <v>2023</v>
      </c>
      <c r="AB113" t="b">
        <v>0</v>
      </c>
      <c r="AC113" s="19">
        <v>45077</v>
      </c>
      <c r="AD113" s="19"/>
    </row>
    <row r="114" spans="1:30" x14ac:dyDescent="0.25">
      <c r="A114" s="25">
        <v>10113</v>
      </c>
      <c r="B114" t="s">
        <v>115</v>
      </c>
      <c r="C114" t="s">
        <v>552</v>
      </c>
      <c r="D114" s="27" t="s">
        <v>516</v>
      </c>
      <c r="E114" s="27" t="str">
        <f t="shared" si="12"/>
        <v>?</v>
      </c>
      <c r="F114" s="118"/>
      <c r="G114" t="s">
        <v>19</v>
      </c>
      <c r="H114" s="24" t="s">
        <v>9</v>
      </c>
      <c r="M114" s="140">
        <f t="shared" ref="M114:O129" si="13">IF(I114&lt;0.1,0.05,I114)</f>
        <v>0.05</v>
      </c>
      <c r="N114" s="140">
        <f t="shared" si="13"/>
        <v>0.05</v>
      </c>
      <c r="O114" s="140">
        <f t="shared" si="13"/>
        <v>0.05</v>
      </c>
      <c r="P114" s="140">
        <f t="shared" si="8"/>
        <v>0.05</v>
      </c>
      <c r="Q114" s="161" t="s">
        <v>676</v>
      </c>
      <c r="R114" s="125" t="s">
        <v>676</v>
      </c>
      <c r="S114" t="s">
        <v>676</v>
      </c>
      <c r="W114">
        <v>40.680329999999998</v>
      </c>
      <c r="X114">
        <v>-85.895390000000006</v>
      </c>
      <c r="Y114">
        <v>5</v>
      </c>
      <c r="Z114">
        <v>31</v>
      </c>
      <c r="AA114">
        <v>2023</v>
      </c>
      <c r="AB114" t="b">
        <v>0</v>
      </c>
      <c r="AC114" s="19" t="e">
        <v>#VALUE!</v>
      </c>
      <c r="AD114" s="19"/>
    </row>
    <row r="115" spans="1:30" x14ac:dyDescent="0.25">
      <c r="A115" s="25">
        <v>10114</v>
      </c>
      <c r="B115" t="s">
        <v>138</v>
      </c>
      <c r="C115" t="s">
        <v>553</v>
      </c>
      <c r="D115" s="27" t="s">
        <v>516</v>
      </c>
      <c r="E115" s="27" t="str">
        <f t="shared" si="12"/>
        <v>?</v>
      </c>
      <c r="F115" s="118"/>
      <c r="G115" t="s">
        <v>22</v>
      </c>
      <c r="H115" s="24" t="s">
        <v>9</v>
      </c>
      <c r="I115">
        <v>1.3992500000000001</v>
      </c>
      <c r="J115">
        <v>4.4545000000000003</v>
      </c>
      <c r="K115">
        <v>0.32050000000000001</v>
      </c>
      <c r="L115">
        <v>9.1499999999999998E-2</v>
      </c>
      <c r="M115" s="140">
        <f t="shared" si="13"/>
        <v>1.3992500000000001</v>
      </c>
      <c r="N115" s="140">
        <f t="shared" si="13"/>
        <v>4.4545000000000003</v>
      </c>
      <c r="O115" s="140">
        <f t="shared" si="13"/>
        <v>0.32050000000000001</v>
      </c>
      <c r="P115" s="140">
        <f t="shared" si="8"/>
        <v>0.05</v>
      </c>
      <c r="Q115" s="161" t="s">
        <v>676</v>
      </c>
      <c r="R115" s="125">
        <v>1.94</v>
      </c>
      <c r="S115" t="s">
        <v>676</v>
      </c>
      <c r="W115">
        <v>40.803359999999998</v>
      </c>
      <c r="X115">
        <v>-85.665150999999994</v>
      </c>
      <c r="Y115">
        <v>6</v>
      </c>
      <c r="Z115">
        <v>8</v>
      </c>
      <c r="AA115">
        <v>2023</v>
      </c>
      <c r="AB115" t="b">
        <v>0</v>
      </c>
      <c r="AC115" s="19">
        <v>45085</v>
      </c>
      <c r="AD115" s="19"/>
    </row>
    <row r="116" spans="1:30" x14ac:dyDescent="0.25">
      <c r="A116" s="25">
        <v>10115</v>
      </c>
      <c r="B116" t="s">
        <v>139</v>
      </c>
      <c r="C116" t="s">
        <v>553</v>
      </c>
      <c r="D116" s="27" t="s">
        <v>516</v>
      </c>
      <c r="E116" s="27" t="str">
        <f t="shared" si="12"/>
        <v>?</v>
      </c>
      <c r="F116" s="118"/>
      <c r="G116" t="s">
        <v>22</v>
      </c>
      <c r="H116" s="24" t="s">
        <v>9</v>
      </c>
      <c r="I116">
        <v>7.8799999999999995E-2</v>
      </c>
      <c r="J116">
        <v>3.984</v>
      </c>
      <c r="K116">
        <v>0.111</v>
      </c>
      <c r="L116">
        <v>8.6999999999999994E-2</v>
      </c>
      <c r="M116" s="140">
        <f t="shared" si="13"/>
        <v>0.05</v>
      </c>
      <c r="N116" s="140">
        <f t="shared" si="13"/>
        <v>3.984</v>
      </c>
      <c r="O116" s="140">
        <f t="shared" si="13"/>
        <v>0.111</v>
      </c>
      <c r="P116" s="140">
        <f t="shared" si="8"/>
        <v>0.05</v>
      </c>
      <c r="Q116" s="161" t="s">
        <v>676</v>
      </c>
      <c r="R116" s="125">
        <v>5.2450000000000001</v>
      </c>
      <c r="S116" t="s">
        <v>676</v>
      </c>
      <c r="W116">
        <v>40.791944999999998</v>
      </c>
      <c r="X116">
        <v>-85.667055000000005</v>
      </c>
      <c r="Y116">
        <v>6</v>
      </c>
      <c r="Z116">
        <v>8</v>
      </c>
      <c r="AA116">
        <v>2023</v>
      </c>
      <c r="AB116" t="b">
        <v>0</v>
      </c>
      <c r="AC116" s="19">
        <v>45085</v>
      </c>
      <c r="AD116" s="19"/>
    </row>
    <row r="117" spans="1:30" x14ac:dyDescent="0.25">
      <c r="A117" s="25">
        <v>10116</v>
      </c>
      <c r="B117" t="s">
        <v>140</v>
      </c>
      <c r="C117" t="s">
        <v>553</v>
      </c>
      <c r="D117" s="27" t="s">
        <v>516</v>
      </c>
      <c r="E117" s="27" t="str">
        <f t="shared" si="12"/>
        <v>?</v>
      </c>
      <c r="F117" s="118"/>
      <c r="G117" t="s">
        <v>22</v>
      </c>
      <c r="H117" s="24" t="s">
        <v>9</v>
      </c>
      <c r="I117">
        <v>4.7399999999999998E-2</v>
      </c>
      <c r="J117">
        <v>4.2510000000000003</v>
      </c>
      <c r="K117">
        <v>0.26600000000000001</v>
      </c>
      <c r="L117">
        <v>0.1105</v>
      </c>
      <c r="M117" s="140">
        <f t="shared" si="13"/>
        <v>0.05</v>
      </c>
      <c r="N117" s="140">
        <f t="shared" si="13"/>
        <v>4.2510000000000003</v>
      </c>
      <c r="O117" s="140">
        <f t="shared" si="13"/>
        <v>0.26600000000000001</v>
      </c>
      <c r="P117" s="140">
        <f t="shared" si="8"/>
        <v>0.1105</v>
      </c>
      <c r="Q117" s="161" t="s">
        <v>676</v>
      </c>
      <c r="R117" s="125">
        <v>8.8000000000000007</v>
      </c>
      <c r="S117" t="s">
        <v>676</v>
      </c>
      <c r="W117">
        <v>40.772627</v>
      </c>
      <c r="X117">
        <v>-85.639786000000001</v>
      </c>
      <c r="Y117">
        <v>6</v>
      </c>
      <c r="Z117">
        <v>8</v>
      </c>
      <c r="AA117">
        <v>2023</v>
      </c>
      <c r="AB117" t="b">
        <v>0</v>
      </c>
      <c r="AC117" s="19">
        <v>45085</v>
      </c>
      <c r="AD117" s="19"/>
    </row>
    <row r="118" spans="1:30" x14ac:dyDescent="0.25">
      <c r="A118" s="25">
        <v>10117</v>
      </c>
      <c r="B118" t="s">
        <v>141</v>
      </c>
      <c r="C118" t="s">
        <v>553</v>
      </c>
      <c r="D118" s="27" t="s">
        <v>516</v>
      </c>
      <c r="E118" s="27" t="str">
        <f t="shared" si="12"/>
        <v>?</v>
      </c>
      <c r="F118" s="118"/>
      <c r="G118" t="s">
        <v>22</v>
      </c>
      <c r="H118" s="24" t="s">
        <v>9</v>
      </c>
      <c r="I118">
        <v>0.23005</v>
      </c>
      <c r="J118">
        <v>4.1885000000000003</v>
      </c>
      <c r="K118">
        <v>8.1000000000000003E-2</v>
      </c>
      <c r="L118">
        <v>0.1085</v>
      </c>
      <c r="M118" s="140">
        <f t="shared" si="13"/>
        <v>0.23005</v>
      </c>
      <c r="N118" s="140">
        <f t="shared" si="13"/>
        <v>4.1885000000000003</v>
      </c>
      <c r="O118" s="140">
        <f t="shared" si="13"/>
        <v>0.05</v>
      </c>
      <c r="P118" s="140">
        <f t="shared" si="8"/>
        <v>0.1085</v>
      </c>
      <c r="Q118" s="161" t="s">
        <v>676</v>
      </c>
      <c r="R118" s="125">
        <v>5.915</v>
      </c>
      <c r="S118" t="s">
        <v>676</v>
      </c>
      <c r="W118">
        <v>40.776755000000001</v>
      </c>
      <c r="X118">
        <v>-85.646033000000003</v>
      </c>
      <c r="Y118">
        <v>6</v>
      </c>
      <c r="Z118">
        <v>8</v>
      </c>
      <c r="AA118">
        <v>2023</v>
      </c>
      <c r="AB118" t="b">
        <v>0</v>
      </c>
      <c r="AC118" s="19">
        <v>45085</v>
      </c>
      <c r="AD118" s="19"/>
    </row>
    <row r="119" spans="1:30" x14ac:dyDescent="0.25">
      <c r="A119" s="25">
        <v>10118</v>
      </c>
      <c r="B119" t="s">
        <v>142</v>
      </c>
      <c r="C119" t="s">
        <v>553</v>
      </c>
      <c r="D119" s="27" t="s">
        <v>516</v>
      </c>
      <c r="E119" s="27" t="str">
        <f t="shared" si="12"/>
        <v>?</v>
      </c>
      <c r="F119" s="118"/>
      <c r="G119" t="s">
        <v>22</v>
      </c>
      <c r="H119" s="24" t="s">
        <v>9</v>
      </c>
      <c r="I119">
        <v>5.4300000000000001E-2</v>
      </c>
      <c r="J119">
        <v>4.3099999999999996</v>
      </c>
      <c r="K119">
        <v>0.125</v>
      </c>
      <c r="L119">
        <v>8.6499999999999994E-2</v>
      </c>
      <c r="M119" s="140">
        <f t="shared" si="13"/>
        <v>0.05</v>
      </c>
      <c r="N119" s="140">
        <f t="shared" si="13"/>
        <v>4.3099999999999996</v>
      </c>
      <c r="O119" s="140">
        <f t="shared" si="13"/>
        <v>0.125</v>
      </c>
      <c r="P119" s="140">
        <f t="shared" si="8"/>
        <v>0.05</v>
      </c>
      <c r="Q119" s="161" t="s">
        <v>676</v>
      </c>
      <c r="R119" s="125">
        <v>10.16</v>
      </c>
      <c r="S119" t="s">
        <v>676</v>
      </c>
      <c r="W119">
        <v>40.779870000000003</v>
      </c>
      <c r="X119">
        <v>-85.644681000000006</v>
      </c>
      <c r="Y119">
        <v>6</v>
      </c>
      <c r="Z119">
        <v>8</v>
      </c>
      <c r="AA119">
        <v>2023</v>
      </c>
      <c r="AB119" t="b">
        <v>0</v>
      </c>
      <c r="AC119" s="19">
        <v>45085</v>
      </c>
      <c r="AD119" s="19"/>
    </row>
    <row r="120" spans="1:30" x14ac:dyDescent="0.25">
      <c r="A120" s="25">
        <v>10119</v>
      </c>
      <c r="B120" t="s">
        <v>143</v>
      </c>
      <c r="C120" t="s">
        <v>553</v>
      </c>
      <c r="D120" s="27" t="s">
        <v>516</v>
      </c>
      <c r="E120" s="27" t="str">
        <f t="shared" si="12"/>
        <v>?</v>
      </c>
      <c r="F120" s="118"/>
      <c r="G120" t="s">
        <v>22</v>
      </c>
      <c r="H120" s="24" t="s">
        <v>9</v>
      </c>
      <c r="I120">
        <v>4.58E-2</v>
      </c>
      <c r="J120">
        <v>4.4569999999999999</v>
      </c>
      <c r="K120">
        <v>0.115</v>
      </c>
      <c r="L120">
        <v>7.85E-2</v>
      </c>
      <c r="M120" s="140">
        <f t="shared" si="13"/>
        <v>0.05</v>
      </c>
      <c r="N120" s="140">
        <f t="shared" si="13"/>
        <v>4.4569999999999999</v>
      </c>
      <c r="O120" s="140">
        <f t="shared" si="13"/>
        <v>0.115</v>
      </c>
      <c r="P120" s="140">
        <f t="shared" si="8"/>
        <v>0.05</v>
      </c>
      <c r="Q120" s="161" t="s">
        <v>676</v>
      </c>
      <c r="R120" s="125">
        <v>7.9249999999999998</v>
      </c>
      <c r="S120" t="s">
        <v>676</v>
      </c>
      <c r="W120">
        <v>40.779496000000002</v>
      </c>
      <c r="X120">
        <v>-85.636241999999996</v>
      </c>
      <c r="Y120">
        <v>6</v>
      </c>
      <c r="Z120">
        <v>8</v>
      </c>
      <c r="AA120">
        <v>2023</v>
      </c>
      <c r="AB120" t="b">
        <v>0</v>
      </c>
      <c r="AC120" s="19">
        <v>45085</v>
      </c>
      <c r="AD120" s="19"/>
    </row>
    <row r="121" spans="1:30" x14ac:dyDescent="0.25">
      <c r="A121" s="25">
        <v>10120</v>
      </c>
      <c r="B121" t="s">
        <v>144</v>
      </c>
      <c r="C121" t="s">
        <v>553</v>
      </c>
      <c r="D121" s="27" t="s">
        <v>516</v>
      </c>
      <c r="E121" s="27" t="str">
        <f t="shared" si="12"/>
        <v>?</v>
      </c>
      <c r="F121" s="118"/>
      <c r="G121" t="s">
        <v>22</v>
      </c>
      <c r="H121" s="24" t="s">
        <v>9</v>
      </c>
      <c r="I121">
        <v>1.0083</v>
      </c>
      <c r="J121">
        <v>4.4279999999999999</v>
      </c>
      <c r="K121">
        <v>0.221</v>
      </c>
      <c r="L121">
        <v>9.35E-2</v>
      </c>
      <c r="M121" s="140">
        <f t="shared" si="13"/>
        <v>1.0083</v>
      </c>
      <c r="N121" s="140">
        <f t="shared" si="13"/>
        <v>4.4279999999999999</v>
      </c>
      <c r="O121" s="140">
        <f t="shared" si="13"/>
        <v>0.221</v>
      </c>
      <c r="P121" s="140">
        <f t="shared" si="8"/>
        <v>0.05</v>
      </c>
      <c r="Q121" s="161" t="s">
        <v>676</v>
      </c>
      <c r="R121" s="125">
        <v>6.335</v>
      </c>
      <c r="S121" t="s">
        <v>676</v>
      </c>
      <c r="W121">
        <v>40.772309</v>
      </c>
      <c r="X121">
        <v>-85.605089000000007</v>
      </c>
      <c r="Y121">
        <v>6</v>
      </c>
      <c r="Z121">
        <v>8</v>
      </c>
      <c r="AA121">
        <v>2023</v>
      </c>
      <c r="AB121" t="b">
        <v>0</v>
      </c>
      <c r="AC121" s="19">
        <v>45085</v>
      </c>
      <c r="AD121" s="19"/>
    </row>
    <row r="122" spans="1:30" x14ac:dyDescent="0.25">
      <c r="A122" s="25">
        <v>10121</v>
      </c>
      <c r="B122" t="s">
        <v>145</v>
      </c>
      <c r="C122" t="s">
        <v>553</v>
      </c>
      <c r="D122" s="27" t="s">
        <v>516</v>
      </c>
      <c r="E122" s="27" t="str">
        <f t="shared" si="12"/>
        <v>?</v>
      </c>
      <c r="F122" s="118"/>
      <c r="G122" t="s">
        <v>22</v>
      </c>
      <c r="H122" s="24" t="s">
        <v>9</v>
      </c>
      <c r="I122">
        <v>1.0095499999999999</v>
      </c>
      <c r="J122">
        <v>2.8774999999999999</v>
      </c>
      <c r="K122">
        <v>0.2445</v>
      </c>
      <c r="L122">
        <v>7.5499999999999998E-2</v>
      </c>
      <c r="M122" s="140">
        <f t="shared" si="13"/>
        <v>1.0095499999999999</v>
      </c>
      <c r="N122" s="140">
        <f t="shared" si="13"/>
        <v>2.8774999999999999</v>
      </c>
      <c r="O122" s="140">
        <f t="shared" si="13"/>
        <v>0.2445</v>
      </c>
      <c r="P122" s="140">
        <f t="shared" si="8"/>
        <v>0.05</v>
      </c>
      <c r="Q122" s="161" t="s">
        <v>676</v>
      </c>
      <c r="R122" s="125">
        <v>11.055</v>
      </c>
      <c r="S122" t="s">
        <v>676</v>
      </c>
      <c r="W122">
        <v>40.751244</v>
      </c>
      <c r="X122">
        <v>-85.581817999999998</v>
      </c>
      <c r="Y122">
        <v>6</v>
      </c>
      <c r="Z122">
        <v>8</v>
      </c>
      <c r="AA122">
        <v>2023</v>
      </c>
      <c r="AB122" t="b">
        <v>0</v>
      </c>
      <c r="AC122" s="19">
        <v>45085</v>
      </c>
      <c r="AD122" s="19"/>
    </row>
    <row r="123" spans="1:30" x14ac:dyDescent="0.25">
      <c r="A123" s="25">
        <v>10122</v>
      </c>
      <c r="B123" t="s">
        <v>115</v>
      </c>
      <c r="C123" t="s">
        <v>538</v>
      </c>
      <c r="D123" s="27" t="s">
        <v>516</v>
      </c>
      <c r="E123" s="27" t="str">
        <f t="shared" si="12"/>
        <v>?</v>
      </c>
      <c r="F123" s="118"/>
      <c r="G123" t="s">
        <v>22</v>
      </c>
      <c r="H123" s="24" t="s">
        <v>9</v>
      </c>
      <c r="M123" s="140">
        <f t="shared" si="13"/>
        <v>0.05</v>
      </c>
      <c r="N123" s="140">
        <f t="shared" si="13"/>
        <v>0.05</v>
      </c>
      <c r="O123" s="140">
        <f t="shared" si="13"/>
        <v>0.05</v>
      </c>
      <c r="P123" s="140">
        <f t="shared" si="8"/>
        <v>0.05</v>
      </c>
      <c r="Q123" s="161" t="s">
        <v>676</v>
      </c>
      <c r="R123" s="125" t="s">
        <v>676</v>
      </c>
      <c r="S123" t="s">
        <v>676</v>
      </c>
      <c r="W123">
        <v>40.803417000000003</v>
      </c>
      <c r="X123">
        <v>-86.664721999999998</v>
      </c>
      <c r="Y123">
        <v>6</v>
      </c>
      <c r="Z123">
        <v>8</v>
      </c>
      <c r="AA123">
        <v>2023</v>
      </c>
      <c r="AB123" t="b">
        <v>0</v>
      </c>
      <c r="AC123" s="19" t="e">
        <v>#VALUE!</v>
      </c>
      <c r="AD123" s="19"/>
    </row>
    <row r="124" spans="1:30" x14ac:dyDescent="0.25">
      <c r="A124" s="25">
        <v>10123</v>
      </c>
      <c r="B124" t="s">
        <v>146</v>
      </c>
      <c r="C124" t="s">
        <v>554</v>
      </c>
      <c r="D124" s="27" t="s">
        <v>516</v>
      </c>
      <c r="E124" s="27" t="str">
        <f t="shared" si="12"/>
        <v>?</v>
      </c>
      <c r="F124" s="118"/>
      <c r="G124" t="s">
        <v>514</v>
      </c>
      <c r="H124" s="24" t="s">
        <v>9</v>
      </c>
      <c r="I124">
        <v>4.5699999999999998E-2</v>
      </c>
      <c r="J124">
        <v>1.2829999999999999</v>
      </c>
      <c r="K124">
        <v>-3.0000000000000001E-3</v>
      </c>
      <c r="L124">
        <v>6.225E-2</v>
      </c>
      <c r="M124" s="140">
        <f t="shared" si="13"/>
        <v>0.05</v>
      </c>
      <c r="N124" s="140">
        <f t="shared" si="13"/>
        <v>1.2829999999999999</v>
      </c>
      <c r="O124" s="140">
        <f t="shared" si="13"/>
        <v>0.05</v>
      </c>
      <c r="P124" s="140">
        <f t="shared" si="8"/>
        <v>0.05</v>
      </c>
      <c r="Q124" s="161" t="s">
        <v>676</v>
      </c>
      <c r="R124" s="125">
        <v>7.48</v>
      </c>
      <c r="S124" t="s">
        <v>676</v>
      </c>
      <c r="W124">
        <v>40.693679000000003</v>
      </c>
      <c r="X124">
        <v>-86.766957000000005</v>
      </c>
      <c r="Y124">
        <v>6</v>
      </c>
      <c r="Z124">
        <v>9</v>
      </c>
      <c r="AA124">
        <v>2023</v>
      </c>
      <c r="AB124" t="b">
        <v>0</v>
      </c>
      <c r="AC124" s="19">
        <v>45086</v>
      </c>
      <c r="AD124" s="19"/>
    </row>
    <row r="125" spans="1:30" x14ac:dyDescent="0.25">
      <c r="A125" s="25">
        <v>10124</v>
      </c>
      <c r="B125" t="s">
        <v>147</v>
      </c>
      <c r="C125" t="s">
        <v>554</v>
      </c>
      <c r="D125" s="27" t="s">
        <v>516</v>
      </c>
      <c r="E125" s="27" t="str">
        <f t="shared" si="12"/>
        <v>?</v>
      </c>
      <c r="F125" s="118"/>
      <c r="G125" t="s">
        <v>514</v>
      </c>
      <c r="H125" s="24" t="s">
        <v>9</v>
      </c>
      <c r="I125">
        <v>0.1394</v>
      </c>
      <c r="J125">
        <v>1.8640000000000001</v>
      </c>
      <c r="K125">
        <v>-4.0000000000000001E-3</v>
      </c>
      <c r="L125">
        <v>0.10525</v>
      </c>
      <c r="M125" s="140">
        <f t="shared" si="13"/>
        <v>0.1394</v>
      </c>
      <c r="N125" s="140">
        <f t="shared" si="13"/>
        <v>1.8640000000000001</v>
      </c>
      <c r="O125" s="140">
        <f t="shared" si="13"/>
        <v>0.05</v>
      </c>
      <c r="P125" s="140">
        <f t="shared" si="8"/>
        <v>0.10525</v>
      </c>
      <c r="Q125" s="161" t="s">
        <v>676</v>
      </c>
      <c r="R125" s="125">
        <v>4.2</v>
      </c>
      <c r="S125" t="s">
        <v>676</v>
      </c>
      <c r="W125">
        <v>40.665942999999999</v>
      </c>
      <c r="X125">
        <v>-86.752898999999999</v>
      </c>
      <c r="Y125">
        <v>6</v>
      </c>
      <c r="Z125">
        <v>9</v>
      </c>
      <c r="AA125">
        <v>2023</v>
      </c>
      <c r="AB125" t="b">
        <v>0</v>
      </c>
      <c r="AC125" s="19">
        <v>45086</v>
      </c>
      <c r="AD125" s="19"/>
    </row>
    <row r="126" spans="1:30" x14ac:dyDescent="0.25">
      <c r="A126" s="25">
        <v>10125</v>
      </c>
      <c r="B126" t="s">
        <v>148</v>
      </c>
      <c r="C126" t="s">
        <v>554</v>
      </c>
      <c r="D126" s="27" t="s">
        <v>516</v>
      </c>
      <c r="E126" s="27" t="str">
        <f t="shared" si="12"/>
        <v>?</v>
      </c>
      <c r="F126" s="118"/>
      <c r="G126" t="s">
        <v>514</v>
      </c>
      <c r="H126" s="24" t="s">
        <v>9</v>
      </c>
      <c r="I126">
        <v>0.17979999999999999</v>
      </c>
      <c r="J126">
        <v>1.7070000000000001</v>
      </c>
      <c r="K126">
        <v>1E-3</v>
      </c>
      <c r="L126">
        <v>5.9499999999999997E-2</v>
      </c>
      <c r="M126" s="140">
        <f t="shared" si="13"/>
        <v>0.17979999999999999</v>
      </c>
      <c r="N126" s="140">
        <f t="shared" si="13"/>
        <v>1.7070000000000001</v>
      </c>
      <c r="O126" s="140">
        <f t="shared" si="13"/>
        <v>0.05</v>
      </c>
      <c r="P126" s="140">
        <f t="shared" si="8"/>
        <v>0.05</v>
      </c>
      <c r="Q126" s="161" t="s">
        <v>676</v>
      </c>
      <c r="R126" s="125">
        <v>3.585</v>
      </c>
      <c r="S126" t="s">
        <v>676</v>
      </c>
      <c r="W126">
        <v>40.680971</v>
      </c>
      <c r="X126">
        <v>-86.752351000000004</v>
      </c>
      <c r="Y126">
        <v>6</v>
      </c>
      <c r="Z126">
        <v>9</v>
      </c>
      <c r="AA126">
        <v>2023</v>
      </c>
      <c r="AB126" t="b">
        <v>0</v>
      </c>
      <c r="AC126" s="19">
        <v>45086</v>
      </c>
      <c r="AD126" s="19"/>
    </row>
    <row r="127" spans="1:30" x14ac:dyDescent="0.25">
      <c r="A127" s="25">
        <v>10126</v>
      </c>
      <c r="B127" t="s">
        <v>149</v>
      </c>
      <c r="C127" t="s">
        <v>554</v>
      </c>
      <c r="D127" s="27" t="s">
        <v>516</v>
      </c>
      <c r="E127" s="27" t="str">
        <f t="shared" si="12"/>
        <v>?</v>
      </c>
      <c r="F127" s="118"/>
      <c r="G127" t="s">
        <v>514</v>
      </c>
      <c r="H127" s="24" t="s">
        <v>9</v>
      </c>
      <c r="I127">
        <v>9.9149999999999905E-2</v>
      </c>
      <c r="J127">
        <v>1.2809999999999999</v>
      </c>
      <c r="K127">
        <v>0.13300000000000001</v>
      </c>
      <c r="L127">
        <v>7.5749999999999998E-2</v>
      </c>
      <c r="M127" s="140">
        <f t="shared" si="13"/>
        <v>0.05</v>
      </c>
      <c r="N127" s="140">
        <f t="shared" si="13"/>
        <v>1.2809999999999999</v>
      </c>
      <c r="O127" s="140">
        <f t="shared" si="13"/>
        <v>0.13300000000000001</v>
      </c>
      <c r="P127" s="140">
        <f t="shared" si="8"/>
        <v>0.05</v>
      </c>
      <c r="Q127" s="161" t="s">
        <v>676</v>
      </c>
      <c r="R127" s="125">
        <v>7.87</v>
      </c>
      <c r="S127" t="s">
        <v>676</v>
      </c>
      <c r="W127">
        <v>40.730862999999999</v>
      </c>
      <c r="X127">
        <v>-86.757981000000001</v>
      </c>
      <c r="Y127">
        <v>6</v>
      </c>
      <c r="Z127">
        <v>9</v>
      </c>
      <c r="AA127">
        <v>2023</v>
      </c>
      <c r="AB127" t="b">
        <v>0</v>
      </c>
      <c r="AC127" s="19">
        <v>45086</v>
      </c>
      <c r="AD127" s="19"/>
    </row>
    <row r="128" spans="1:30" x14ac:dyDescent="0.25">
      <c r="A128" s="25">
        <v>10127</v>
      </c>
      <c r="B128" t="s">
        <v>150</v>
      </c>
      <c r="C128" t="s">
        <v>554</v>
      </c>
      <c r="D128" s="27" t="s">
        <v>516</v>
      </c>
      <c r="E128" s="27" t="str">
        <f t="shared" si="12"/>
        <v>?</v>
      </c>
      <c r="F128" s="118"/>
      <c r="G128" t="s">
        <v>514</v>
      </c>
      <c r="H128" s="24" t="s">
        <v>9</v>
      </c>
      <c r="I128">
        <v>9.3100000000000002E-2</v>
      </c>
      <c r="J128">
        <v>1.2889999999999999</v>
      </c>
      <c r="K128">
        <v>-3.0000000000000001E-3</v>
      </c>
      <c r="L128">
        <v>5.3499999999999999E-2</v>
      </c>
      <c r="M128" s="140">
        <f t="shared" si="13"/>
        <v>0.05</v>
      </c>
      <c r="N128" s="140">
        <f t="shared" si="13"/>
        <v>1.2889999999999999</v>
      </c>
      <c r="O128" s="140">
        <f t="shared" si="13"/>
        <v>0.05</v>
      </c>
      <c r="P128" s="140">
        <f t="shared" si="8"/>
        <v>0.05</v>
      </c>
      <c r="Q128" s="161" t="s">
        <v>676</v>
      </c>
      <c r="R128" s="125">
        <v>4.5949999999999998</v>
      </c>
      <c r="S128" t="s">
        <v>676</v>
      </c>
      <c r="W128">
        <v>40.745583000000003</v>
      </c>
      <c r="X128">
        <v>-86.757176999999999</v>
      </c>
      <c r="Y128">
        <v>6</v>
      </c>
      <c r="Z128">
        <v>9</v>
      </c>
      <c r="AA128">
        <v>2023</v>
      </c>
      <c r="AB128" t="b">
        <v>0</v>
      </c>
      <c r="AC128" s="19">
        <v>45086</v>
      </c>
      <c r="AD128" s="19"/>
    </row>
    <row r="129" spans="1:30" x14ac:dyDescent="0.25">
      <c r="A129" s="25">
        <v>10128</v>
      </c>
      <c r="B129" t="s">
        <v>151</v>
      </c>
      <c r="C129" t="s">
        <v>554</v>
      </c>
      <c r="D129" s="27" t="s">
        <v>516</v>
      </c>
      <c r="E129" s="27" t="str">
        <f t="shared" si="12"/>
        <v>?</v>
      </c>
      <c r="F129" s="118"/>
      <c r="G129" t="s">
        <v>514</v>
      </c>
      <c r="H129" s="24" t="s">
        <v>512</v>
      </c>
      <c r="I129">
        <v>1.2999999999999999E-2</v>
      </c>
      <c r="J129">
        <v>1.4119999999999999</v>
      </c>
      <c r="K129">
        <v>-2E-3</v>
      </c>
      <c r="L129">
        <v>6.3E-2</v>
      </c>
      <c r="M129" s="140">
        <f t="shared" si="13"/>
        <v>0.05</v>
      </c>
      <c r="N129" s="140">
        <f t="shared" si="13"/>
        <v>1.4119999999999999</v>
      </c>
      <c r="O129" s="140">
        <f t="shared" si="13"/>
        <v>0.05</v>
      </c>
      <c r="P129" s="140">
        <f t="shared" si="8"/>
        <v>0.05</v>
      </c>
      <c r="Q129" s="161" t="s">
        <v>676</v>
      </c>
      <c r="R129" s="125">
        <v>9.08</v>
      </c>
      <c r="S129" t="s">
        <v>676</v>
      </c>
      <c r="W129">
        <v>40.731816999999999</v>
      </c>
      <c r="X129">
        <v>-86.755086000000006</v>
      </c>
      <c r="Y129">
        <v>6</v>
      </c>
      <c r="Z129">
        <v>9</v>
      </c>
      <c r="AA129">
        <v>2023</v>
      </c>
      <c r="AB129" t="b">
        <v>0</v>
      </c>
      <c r="AC129" s="19">
        <v>45086</v>
      </c>
      <c r="AD129" s="19"/>
    </row>
    <row r="130" spans="1:30" x14ac:dyDescent="0.25">
      <c r="A130" s="25">
        <v>10129</v>
      </c>
      <c r="B130" t="s">
        <v>152</v>
      </c>
      <c r="C130" t="s">
        <v>555</v>
      </c>
      <c r="D130" s="27" t="s">
        <v>516</v>
      </c>
      <c r="E130" s="27" t="str">
        <f t="shared" si="12"/>
        <v>?</v>
      </c>
      <c r="F130" s="118"/>
      <c r="G130" t="s">
        <v>19</v>
      </c>
      <c r="H130" s="24" t="s">
        <v>9</v>
      </c>
      <c r="M130" s="140">
        <f t="shared" ref="M130:O145" si="14">IF(I130&lt;0.1,0.05,I130)</f>
        <v>0.05</v>
      </c>
      <c r="N130" s="140">
        <f t="shared" si="14"/>
        <v>0.05</v>
      </c>
      <c r="O130" s="140">
        <f t="shared" si="14"/>
        <v>0.05</v>
      </c>
      <c r="P130" s="140">
        <f t="shared" ref="P130:P193" si="15">IF(L130&lt;0.1,0.05,L130)</f>
        <v>0.05</v>
      </c>
      <c r="Q130" s="161">
        <v>7.7938801783066003</v>
      </c>
      <c r="R130" s="125">
        <v>130.465</v>
      </c>
      <c r="S130" t="s">
        <v>676</v>
      </c>
      <c r="W130">
        <v>40.714060000000003</v>
      </c>
      <c r="X130">
        <v>-85.937079999999995</v>
      </c>
      <c r="Y130">
        <v>6</v>
      </c>
      <c r="Z130">
        <v>15</v>
      </c>
      <c r="AA130">
        <v>2023</v>
      </c>
      <c r="AB130" t="b">
        <v>0</v>
      </c>
      <c r="AC130" s="19">
        <v>45092</v>
      </c>
      <c r="AD130" s="19"/>
    </row>
    <row r="131" spans="1:30" x14ac:dyDescent="0.25">
      <c r="A131" s="25">
        <v>10130</v>
      </c>
      <c r="B131" t="s">
        <v>153</v>
      </c>
      <c r="C131" t="s">
        <v>555</v>
      </c>
      <c r="D131" s="27" t="s">
        <v>516</v>
      </c>
      <c r="E131" s="27" t="str">
        <f t="shared" si="12"/>
        <v>?</v>
      </c>
      <c r="F131" s="118"/>
      <c r="G131" t="s">
        <v>19</v>
      </c>
      <c r="H131" s="24" t="s">
        <v>9</v>
      </c>
      <c r="M131" s="140">
        <f t="shared" si="14"/>
        <v>0.05</v>
      </c>
      <c r="N131" s="140">
        <f t="shared" si="14"/>
        <v>0.05</v>
      </c>
      <c r="O131" s="140">
        <f t="shared" si="14"/>
        <v>0.05</v>
      </c>
      <c r="P131" s="140">
        <f t="shared" si="15"/>
        <v>0.05</v>
      </c>
      <c r="Q131" s="161" t="s">
        <v>676</v>
      </c>
      <c r="R131" s="125">
        <v>25.26</v>
      </c>
      <c r="S131" t="s">
        <v>676</v>
      </c>
      <c r="W131">
        <v>40.714280000000002</v>
      </c>
      <c r="X131">
        <v>-85.937610000000006</v>
      </c>
      <c r="Y131">
        <v>6</v>
      </c>
      <c r="Z131">
        <v>15</v>
      </c>
      <c r="AA131">
        <v>2023</v>
      </c>
      <c r="AB131" t="b">
        <v>0</v>
      </c>
      <c r="AC131" s="19">
        <v>45092</v>
      </c>
      <c r="AD131" s="19"/>
    </row>
    <row r="132" spans="1:30" x14ac:dyDescent="0.25">
      <c r="A132" s="25">
        <v>10131</v>
      </c>
      <c r="B132" t="s">
        <v>154</v>
      </c>
      <c r="C132" t="s">
        <v>555</v>
      </c>
      <c r="D132" s="27" t="s">
        <v>516</v>
      </c>
      <c r="E132" s="27" t="str">
        <f t="shared" si="12"/>
        <v>?</v>
      </c>
      <c r="F132" s="118"/>
      <c r="G132" t="s">
        <v>19</v>
      </c>
      <c r="H132" s="24" t="s">
        <v>9</v>
      </c>
      <c r="I132">
        <v>0.26290000000000002</v>
      </c>
      <c r="J132">
        <v>4.4749999999999996</v>
      </c>
      <c r="K132">
        <v>-6.0000000000000001E-3</v>
      </c>
      <c r="M132" s="140">
        <f t="shared" si="14"/>
        <v>0.26290000000000002</v>
      </c>
      <c r="N132" s="140">
        <f t="shared" si="14"/>
        <v>4.4749999999999996</v>
      </c>
      <c r="O132" s="140">
        <f t="shared" si="14"/>
        <v>0.05</v>
      </c>
      <c r="P132" s="140">
        <f t="shared" si="15"/>
        <v>0.05</v>
      </c>
      <c r="Q132" s="161">
        <v>0.22453229633048599</v>
      </c>
      <c r="R132" s="125">
        <v>16.105</v>
      </c>
      <c r="S132" t="s">
        <v>676</v>
      </c>
      <c r="W132">
        <v>40.705269299999998</v>
      </c>
      <c r="X132">
        <v>-85.953777700000003</v>
      </c>
      <c r="Y132">
        <v>6</v>
      </c>
      <c r="Z132">
        <v>15</v>
      </c>
      <c r="AA132">
        <v>2023</v>
      </c>
      <c r="AB132" t="b">
        <v>0</v>
      </c>
      <c r="AC132" s="19">
        <v>45092</v>
      </c>
      <c r="AD132" s="19"/>
    </row>
    <row r="133" spans="1:30" x14ac:dyDescent="0.25">
      <c r="A133" s="25">
        <v>10132</v>
      </c>
      <c r="B133" t="s">
        <v>155</v>
      </c>
      <c r="C133" t="s">
        <v>555</v>
      </c>
      <c r="D133" s="27" t="s">
        <v>516</v>
      </c>
      <c r="E133" s="27" t="str">
        <f t="shared" si="12"/>
        <v>?</v>
      </c>
      <c r="F133" s="118"/>
      <c r="G133" t="s">
        <v>19</v>
      </c>
      <c r="H133" s="24" t="s">
        <v>9</v>
      </c>
      <c r="I133">
        <v>0.34370000000000001</v>
      </c>
      <c r="J133">
        <v>4.0279999999999996</v>
      </c>
      <c r="K133">
        <v>-1.2E-2</v>
      </c>
      <c r="M133" s="140">
        <f t="shared" si="14"/>
        <v>0.34370000000000001</v>
      </c>
      <c r="N133" s="140">
        <f t="shared" si="14"/>
        <v>4.0279999999999996</v>
      </c>
      <c r="O133" s="140">
        <f t="shared" si="14"/>
        <v>0.05</v>
      </c>
      <c r="P133" s="140">
        <f t="shared" si="15"/>
        <v>0.05</v>
      </c>
      <c r="Q133" s="161">
        <v>0.195805238460455</v>
      </c>
      <c r="R133" s="125">
        <v>63.484999999999999</v>
      </c>
      <c r="S133" t="s">
        <v>676</v>
      </c>
      <c r="W133">
        <v>40.703340900000001</v>
      </c>
      <c r="X133">
        <v>-85.936390299999999</v>
      </c>
      <c r="Y133">
        <v>6</v>
      </c>
      <c r="Z133">
        <v>15</v>
      </c>
      <c r="AA133">
        <v>2023</v>
      </c>
      <c r="AB133" t="b">
        <v>0</v>
      </c>
      <c r="AC133" s="19">
        <v>45092</v>
      </c>
      <c r="AD133" s="19"/>
    </row>
    <row r="134" spans="1:30" x14ac:dyDescent="0.25">
      <c r="A134" s="25">
        <v>10133</v>
      </c>
      <c r="B134" t="s">
        <v>156</v>
      </c>
      <c r="C134" t="s">
        <v>555</v>
      </c>
      <c r="D134" s="27" t="s">
        <v>516</v>
      </c>
      <c r="E134" s="27" t="str">
        <f t="shared" si="12"/>
        <v>?</v>
      </c>
      <c r="F134" s="118"/>
      <c r="G134" t="s">
        <v>19</v>
      </c>
      <c r="H134" s="24" t="s">
        <v>9</v>
      </c>
      <c r="I134">
        <v>0.65510000000000002</v>
      </c>
      <c r="J134">
        <v>4.258</v>
      </c>
      <c r="K134">
        <v>3.4000000000000002E-2</v>
      </c>
      <c r="M134" s="140">
        <f t="shared" si="14"/>
        <v>0.65510000000000002</v>
      </c>
      <c r="N134" s="140">
        <f t="shared" si="14"/>
        <v>4.258</v>
      </c>
      <c r="O134" s="140">
        <f t="shared" si="14"/>
        <v>0.05</v>
      </c>
      <c r="P134" s="140">
        <f t="shared" si="15"/>
        <v>0.05</v>
      </c>
      <c r="Q134" s="161">
        <v>0.125498500754892</v>
      </c>
      <c r="R134" s="125">
        <v>27.184999999999999</v>
      </c>
      <c r="S134" t="s">
        <v>676</v>
      </c>
      <c r="W134">
        <v>40.702086299999998</v>
      </c>
      <c r="X134">
        <v>-85.935530999999997</v>
      </c>
      <c r="Y134">
        <v>6</v>
      </c>
      <c r="Z134">
        <v>15</v>
      </c>
      <c r="AA134">
        <v>2023</v>
      </c>
      <c r="AB134" t="b">
        <v>0</v>
      </c>
      <c r="AC134" s="19">
        <v>45092</v>
      </c>
      <c r="AD134" s="19"/>
    </row>
    <row r="135" spans="1:30" x14ac:dyDescent="0.25">
      <c r="A135" s="25">
        <v>10134</v>
      </c>
      <c r="B135" t="s">
        <v>157</v>
      </c>
      <c r="C135" t="s">
        <v>555</v>
      </c>
      <c r="D135" s="27" t="s">
        <v>516</v>
      </c>
      <c r="E135" s="27" t="str">
        <f t="shared" si="12"/>
        <v>?</v>
      </c>
      <c r="F135" s="118"/>
      <c r="G135" t="s">
        <v>19</v>
      </c>
      <c r="H135" s="24" t="s">
        <v>9</v>
      </c>
      <c r="I135">
        <v>2.1141000000000001</v>
      </c>
      <c r="J135">
        <v>4.5010000000000003</v>
      </c>
      <c r="K135">
        <v>0.60099999999999998</v>
      </c>
      <c r="M135" s="140">
        <f t="shared" si="14"/>
        <v>2.1141000000000001</v>
      </c>
      <c r="N135" s="140">
        <f t="shared" si="14"/>
        <v>4.5010000000000003</v>
      </c>
      <c r="O135" s="140">
        <f t="shared" si="14"/>
        <v>0.60099999999999998</v>
      </c>
      <c r="P135" s="140">
        <f t="shared" si="15"/>
        <v>0.05</v>
      </c>
      <c r="Q135" s="161">
        <v>2.3844229874553001E-2</v>
      </c>
      <c r="R135" s="125">
        <v>41.545000000000002</v>
      </c>
      <c r="S135" t="s">
        <v>676</v>
      </c>
      <c r="W135">
        <v>40.7008279</v>
      </c>
      <c r="X135">
        <v>-85.935082100000002</v>
      </c>
      <c r="Y135">
        <v>6</v>
      </c>
      <c r="Z135">
        <v>15</v>
      </c>
      <c r="AA135">
        <v>2023</v>
      </c>
      <c r="AB135" t="b">
        <v>0</v>
      </c>
      <c r="AC135" s="19">
        <v>45092</v>
      </c>
      <c r="AD135" s="19"/>
    </row>
    <row r="136" spans="1:30" x14ac:dyDescent="0.25">
      <c r="A136" s="25">
        <v>10135</v>
      </c>
      <c r="B136" t="s">
        <v>158</v>
      </c>
      <c r="C136" t="s">
        <v>555</v>
      </c>
      <c r="D136" s="27" t="s">
        <v>516</v>
      </c>
      <c r="E136" s="27" t="str">
        <f t="shared" si="12"/>
        <v>?</v>
      </c>
      <c r="F136" s="118"/>
      <c r="G136" t="s">
        <v>19</v>
      </c>
      <c r="H136" s="24" t="s">
        <v>9</v>
      </c>
      <c r="I136">
        <v>1.9275</v>
      </c>
      <c r="J136">
        <v>3.7370000000000001</v>
      </c>
      <c r="K136">
        <v>0.378</v>
      </c>
      <c r="M136" s="140">
        <f t="shared" si="14"/>
        <v>1.9275</v>
      </c>
      <c r="N136" s="140">
        <f t="shared" si="14"/>
        <v>3.7370000000000001</v>
      </c>
      <c r="O136" s="140">
        <f t="shared" si="14"/>
        <v>0.378</v>
      </c>
      <c r="P136" s="140">
        <f t="shared" si="15"/>
        <v>0.05</v>
      </c>
      <c r="Q136" s="161">
        <v>0.80290049934521102</v>
      </c>
      <c r="R136" s="125">
        <v>54.49</v>
      </c>
      <c r="S136" t="s">
        <v>676</v>
      </c>
      <c r="W136">
        <v>40.680354800000003</v>
      </c>
      <c r="X136">
        <v>-85.895247600000005</v>
      </c>
      <c r="Y136">
        <v>6</v>
      </c>
      <c r="Z136">
        <v>15</v>
      </c>
      <c r="AA136">
        <v>2023</v>
      </c>
      <c r="AB136" t="b">
        <v>0</v>
      </c>
      <c r="AC136" s="19">
        <v>45092</v>
      </c>
      <c r="AD136" s="19"/>
    </row>
    <row r="137" spans="1:30" x14ac:dyDescent="0.25">
      <c r="A137" s="25">
        <v>10136</v>
      </c>
      <c r="B137" t="s">
        <v>159</v>
      </c>
      <c r="C137" t="s">
        <v>555</v>
      </c>
      <c r="D137" s="27" t="s">
        <v>516</v>
      </c>
      <c r="E137" s="27" t="str">
        <f t="shared" si="12"/>
        <v>?</v>
      </c>
      <c r="F137" s="118"/>
      <c r="G137" t="s">
        <v>19</v>
      </c>
      <c r="H137" s="24" t="s">
        <v>9</v>
      </c>
      <c r="I137">
        <v>0.74160000000000004</v>
      </c>
      <c r="J137">
        <v>3.3969999999999998</v>
      </c>
      <c r="K137">
        <v>2.3E-2</v>
      </c>
      <c r="M137" s="140">
        <f t="shared" si="14"/>
        <v>0.74160000000000004</v>
      </c>
      <c r="N137" s="140">
        <f t="shared" si="14"/>
        <v>3.3969999999999998</v>
      </c>
      <c r="O137" s="140">
        <f t="shared" si="14"/>
        <v>0.05</v>
      </c>
      <c r="P137" s="140">
        <f t="shared" si="15"/>
        <v>0.05</v>
      </c>
      <c r="Q137" s="161">
        <v>1.6448844402960201</v>
      </c>
      <c r="R137" s="125">
        <v>76.64</v>
      </c>
      <c r="S137" t="s">
        <v>676</v>
      </c>
      <c r="W137">
        <v>40.6684999</v>
      </c>
      <c r="X137">
        <v>-85.848809799999998</v>
      </c>
      <c r="Y137">
        <v>6</v>
      </c>
      <c r="Z137">
        <v>15</v>
      </c>
      <c r="AA137">
        <v>2023</v>
      </c>
      <c r="AB137" t="b">
        <v>0</v>
      </c>
      <c r="AC137" s="19">
        <v>45092</v>
      </c>
      <c r="AD137" s="19"/>
    </row>
    <row r="138" spans="1:30" s="23" customFormat="1" x14ac:dyDescent="0.25">
      <c r="A138" s="36">
        <v>10137</v>
      </c>
      <c r="B138" s="37" t="s">
        <v>160</v>
      </c>
      <c r="C138" s="37" t="s">
        <v>556</v>
      </c>
      <c r="D138" s="38" t="s">
        <v>516</v>
      </c>
      <c r="E138" s="38" t="str">
        <f t="shared" si="12"/>
        <v>?</v>
      </c>
      <c r="F138" s="118"/>
      <c r="G138" s="37" t="s">
        <v>20</v>
      </c>
      <c r="H138" s="39" t="s">
        <v>9</v>
      </c>
      <c r="I138" s="37"/>
      <c r="J138" s="37"/>
      <c r="K138" s="37"/>
      <c r="L138" s="37">
        <v>4.4999999999999998E-2</v>
      </c>
      <c r="M138" s="140">
        <f t="shared" si="14"/>
        <v>0.05</v>
      </c>
      <c r="N138" s="140">
        <f t="shared" si="14"/>
        <v>0.05</v>
      </c>
      <c r="O138" s="140">
        <f t="shared" si="14"/>
        <v>0.05</v>
      </c>
      <c r="P138" s="140">
        <f t="shared" si="15"/>
        <v>0.05</v>
      </c>
      <c r="Q138" s="161" t="s">
        <v>676</v>
      </c>
      <c r="R138" s="126">
        <v>20.175000000000001</v>
      </c>
      <c r="S138" t="s">
        <v>676</v>
      </c>
      <c r="T138"/>
      <c r="U138"/>
      <c r="V138" s="118"/>
      <c r="W138" s="37">
        <v>40.808777777777799</v>
      </c>
      <c r="X138" s="37">
        <v>-86.794638888888898</v>
      </c>
      <c r="Y138" s="37">
        <v>6</v>
      </c>
      <c r="Z138" s="37">
        <v>20</v>
      </c>
      <c r="AA138" s="37">
        <v>2023</v>
      </c>
      <c r="AB138" s="37" t="b">
        <v>0</v>
      </c>
      <c r="AC138" s="40">
        <v>45097</v>
      </c>
      <c r="AD138" s="40"/>
    </row>
    <row r="139" spans="1:30" s="23" customFormat="1" x14ac:dyDescent="0.25">
      <c r="A139" s="36">
        <v>10138</v>
      </c>
      <c r="B139" s="37" t="s">
        <v>161</v>
      </c>
      <c r="C139" s="37" t="s">
        <v>556</v>
      </c>
      <c r="D139" s="38" t="s">
        <v>516</v>
      </c>
      <c r="E139" s="38" t="str">
        <f t="shared" si="12"/>
        <v>?</v>
      </c>
      <c r="F139" s="118"/>
      <c r="G139" s="37" t="s">
        <v>20</v>
      </c>
      <c r="H139" s="39" t="s">
        <v>9</v>
      </c>
      <c r="I139" s="37">
        <v>6.2399999999999997E-2</v>
      </c>
      <c r="J139" s="37">
        <v>1.1040000000000001</v>
      </c>
      <c r="K139" s="37">
        <v>0.26</v>
      </c>
      <c r="L139" s="37">
        <v>0.10675</v>
      </c>
      <c r="M139" s="140">
        <f t="shared" si="14"/>
        <v>0.05</v>
      </c>
      <c r="N139" s="140">
        <f t="shared" si="14"/>
        <v>1.1040000000000001</v>
      </c>
      <c r="O139" s="140">
        <f t="shared" si="14"/>
        <v>0.26</v>
      </c>
      <c r="P139" s="140">
        <f t="shared" si="15"/>
        <v>0.10675</v>
      </c>
      <c r="Q139" s="161" t="s">
        <v>676</v>
      </c>
      <c r="R139" s="126">
        <v>16.43</v>
      </c>
      <c r="S139" t="s">
        <v>676</v>
      </c>
      <c r="T139"/>
      <c r="U139"/>
      <c r="V139" s="118"/>
      <c r="W139" s="37">
        <v>40.823833333333297</v>
      </c>
      <c r="X139" s="37">
        <v>-86.794555555555505</v>
      </c>
      <c r="Y139" s="37">
        <v>6</v>
      </c>
      <c r="Z139" s="37">
        <v>20</v>
      </c>
      <c r="AA139" s="37">
        <v>2023</v>
      </c>
      <c r="AB139" s="37" t="b">
        <v>0</v>
      </c>
      <c r="AC139" s="40">
        <v>45097</v>
      </c>
      <c r="AD139" s="40"/>
    </row>
    <row r="140" spans="1:30" s="23" customFormat="1" x14ac:dyDescent="0.25">
      <c r="A140" s="36">
        <v>10139</v>
      </c>
      <c r="B140" s="37" t="s">
        <v>162</v>
      </c>
      <c r="C140" s="37" t="s">
        <v>556</v>
      </c>
      <c r="D140" s="38" t="s">
        <v>516</v>
      </c>
      <c r="E140" s="38" t="str">
        <f t="shared" si="12"/>
        <v>?</v>
      </c>
      <c r="F140" s="118"/>
      <c r="G140" s="37" t="s">
        <v>20</v>
      </c>
      <c r="H140" s="39" t="s">
        <v>9</v>
      </c>
      <c r="I140" s="37">
        <v>2.5399999999999999E-2</v>
      </c>
      <c r="J140" s="37">
        <v>5.8999999999999997E-2</v>
      </c>
      <c r="K140" s="37">
        <v>0.23300000000000001</v>
      </c>
      <c r="L140" s="37">
        <v>0.188</v>
      </c>
      <c r="M140" s="140">
        <f t="shared" si="14"/>
        <v>0.05</v>
      </c>
      <c r="N140" s="140">
        <f t="shared" si="14"/>
        <v>0.05</v>
      </c>
      <c r="O140" s="140">
        <f t="shared" si="14"/>
        <v>0.23300000000000001</v>
      </c>
      <c r="P140" s="140">
        <f t="shared" si="15"/>
        <v>0.188</v>
      </c>
      <c r="Q140" s="161" t="s">
        <v>676</v>
      </c>
      <c r="R140" s="126">
        <v>28.98</v>
      </c>
      <c r="S140" t="s">
        <v>676</v>
      </c>
      <c r="T140"/>
      <c r="U140"/>
      <c r="V140" s="118"/>
      <c r="W140" s="37">
        <v>40.843361111111101</v>
      </c>
      <c r="X140" s="37">
        <v>-86.817444444444405</v>
      </c>
      <c r="Y140" s="37">
        <v>6</v>
      </c>
      <c r="Z140" s="37">
        <v>20</v>
      </c>
      <c r="AA140" s="37">
        <v>2023</v>
      </c>
      <c r="AB140" s="37" t="b">
        <v>0</v>
      </c>
      <c r="AC140" s="40">
        <v>45097</v>
      </c>
      <c r="AD140" s="40"/>
    </row>
    <row r="141" spans="1:30" s="42" customFormat="1" x14ac:dyDescent="0.25">
      <c r="A141" s="41">
        <v>10140</v>
      </c>
      <c r="B141" s="42" t="s">
        <v>163</v>
      </c>
      <c r="C141" s="42" t="s">
        <v>557</v>
      </c>
      <c r="D141" s="43" t="s">
        <v>516</v>
      </c>
      <c r="E141" s="43" t="str">
        <f t="shared" si="12"/>
        <v>?</v>
      </c>
      <c r="F141" s="118"/>
      <c r="G141" s="42" t="s">
        <v>514</v>
      </c>
      <c r="H141" s="44" t="s">
        <v>9</v>
      </c>
      <c r="L141" s="42">
        <v>1.8499999999999999E-2</v>
      </c>
      <c r="M141" s="140">
        <f t="shared" si="14"/>
        <v>0.05</v>
      </c>
      <c r="N141" s="140">
        <f t="shared" si="14"/>
        <v>0.05</v>
      </c>
      <c r="O141" s="140">
        <f t="shared" si="14"/>
        <v>0.05</v>
      </c>
      <c r="P141" s="140">
        <f t="shared" si="15"/>
        <v>0.05</v>
      </c>
      <c r="Q141" s="161" t="s">
        <v>676</v>
      </c>
      <c r="R141" s="127">
        <v>12.63</v>
      </c>
      <c r="S141" t="s">
        <v>676</v>
      </c>
      <c r="T141"/>
      <c r="U141"/>
      <c r="V141" s="118"/>
      <c r="W141" s="42">
        <v>40.693662000000003</v>
      </c>
      <c r="X141" s="42">
        <v>-86.766958000000002</v>
      </c>
      <c r="Y141" s="42">
        <v>6</v>
      </c>
      <c r="Z141" s="42">
        <v>20</v>
      </c>
      <c r="AA141" s="42">
        <v>2023</v>
      </c>
      <c r="AB141" s="42" t="b">
        <v>0</v>
      </c>
      <c r="AC141" s="45">
        <v>45097</v>
      </c>
      <c r="AD141" s="45"/>
    </row>
    <row r="142" spans="1:30" s="42" customFormat="1" x14ac:dyDescent="0.25">
      <c r="A142" s="41">
        <v>10141</v>
      </c>
      <c r="B142" s="42" t="s">
        <v>164</v>
      </c>
      <c r="C142" s="42" t="s">
        <v>557</v>
      </c>
      <c r="D142" s="43" t="s">
        <v>516</v>
      </c>
      <c r="E142" s="43" t="str">
        <f t="shared" si="12"/>
        <v>?</v>
      </c>
      <c r="F142" s="118"/>
      <c r="G142" s="42" t="s">
        <v>514</v>
      </c>
      <c r="H142" s="44" t="s">
        <v>9</v>
      </c>
      <c r="I142" s="42">
        <v>4.4499999999999998E-2</v>
      </c>
      <c r="J142" s="42">
        <v>0.82599999999999996</v>
      </c>
      <c r="K142" s="42">
        <v>0.156</v>
      </c>
      <c r="L142" s="42">
        <v>5.5500000000000001E-2</v>
      </c>
      <c r="M142" s="140">
        <f t="shared" si="14"/>
        <v>0.05</v>
      </c>
      <c r="N142" s="140">
        <f t="shared" si="14"/>
        <v>0.82599999999999996</v>
      </c>
      <c r="O142" s="140">
        <f t="shared" si="14"/>
        <v>0.156</v>
      </c>
      <c r="P142" s="140">
        <f t="shared" si="15"/>
        <v>0.05</v>
      </c>
      <c r="Q142" s="161" t="s">
        <v>676</v>
      </c>
      <c r="R142" s="127">
        <v>46.86</v>
      </c>
      <c r="S142" t="s">
        <v>676</v>
      </c>
      <c r="T142"/>
      <c r="U142"/>
      <c r="V142" s="118"/>
      <c r="W142" s="42">
        <v>40.6671388888889</v>
      </c>
      <c r="X142" s="42">
        <v>-86.753027777777802</v>
      </c>
      <c r="Y142" s="42">
        <v>6</v>
      </c>
      <c r="Z142" s="42">
        <v>20</v>
      </c>
      <c r="AA142" s="42">
        <v>2023</v>
      </c>
      <c r="AB142" s="42" t="b">
        <v>0</v>
      </c>
      <c r="AC142" s="45">
        <v>45097</v>
      </c>
      <c r="AD142" s="45"/>
    </row>
    <row r="143" spans="1:30" s="42" customFormat="1" x14ac:dyDescent="0.25">
      <c r="A143" s="41">
        <v>10142</v>
      </c>
      <c r="B143" s="42" t="s">
        <v>165</v>
      </c>
      <c r="C143" s="42" t="s">
        <v>557</v>
      </c>
      <c r="D143" s="43" t="s">
        <v>516</v>
      </c>
      <c r="E143" s="43" t="str">
        <f t="shared" si="12"/>
        <v>?</v>
      </c>
      <c r="F143" s="118"/>
      <c r="G143" s="42" t="s">
        <v>514</v>
      </c>
      <c r="H143" s="44" t="s">
        <v>9</v>
      </c>
      <c r="I143" s="42">
        <v>7.4800000000000005E-2</v>
      </c>
      <c r="J143" s="42">
        <v>0.81599999999999995</v>
      </c>
      <c r="K143" s="42">
        <v>0.38</v>
      </c>
      <c r="L143" s="42">
        <v>3.15E-2</v>
      </c>
      <c r="M143" s="140">
        <f t="shared" si="14"/>
        <v>0.05</v>
      </c>
      <c r="N143" s="140">
        <f t="shared" si="14"/>
        <v>0.81599999999999995</v>
      </c>
      <c r="O143" s="140">
        <f t="shared" si="14"/>
        <v>0.38</v>
      </c>
      <c r="P143" s="140">
        <f t="shared" si="15"/>
        <v>0.05</v>
      </c>
      <c r="Q143" s="161" t="s">
        <v>676</v>
      </c>
      <c r="R143" s="127">
        <v>20.56</v>
      </c>
      <c r="S143" t="s">
        <v>676</v>
      </c>
      <c r="T143"/>
      <c r="U143"/>
      <c r="V143" s="118"/>
      <c r="W143" s="42">
        <v>40.680833333333297</v>
      </c>
      <c r="X143" s="42">
        <v>-86.752138888888894</v>
      </c>
      <c r="Y143" s="42">
        <v>6</v>
      </c>
      <c r="Z143" s="42">
        <v>20</v>
      </c>
      <c r="AA143" s="42">
        <v>2023</v>
      </c>
      <c r="AB143" s="42" t="b">
        <v>0</v>
      </c>
      <c r="AC143" s="45">
        <v>45097</v>
      </c>
      <c r="AD143" s="45"/>
    </row>
    <row r="144" spans="1:30" s="42" customFormat="1" x14ac:dyDescent="0.25">
      <c r="A144" s="41">
        <v>10143</v>
      </c>
      <c r="B144" s="42" t="s">
        <v>166</v>
      </c>
      <c r="C144" s="42" t="s">
        <v>557</v>
      </c>
      <c r="D144" s="43" t="s">
        <v>516</v>
      </c>
      <c r="E144" s="43" t="str">
        <f t="shared" si="12"/>
        <v>?</v>
      </c>
      <c r="F144" s="118"/>
      <c r="G144" s="42" t="s">
        <v>514</v>
      </c>
      <c r="H144" s="44" t="s">
        <v>9</v>
      </c>
      <c r="I144" s="42">
        <v>9.7999999999999997E-3</v>
      </c>
      <c r="J144" s="42">
        <v>0.879</v>
      </c>
      <c r="K144" s="42">
        <v>9.2999999999999999E-2</v>
      </c>
      <c r="L144" s="42">
        <v>1.2500000000000001E-2</v>
      </c>
      <c r="M144" s="140">
        <f t="shared" si="14"/>
        <v>0.05</v>
      </c>
      <c r="N144" s="140">
        <f t="shared" si="14"/>
        <v>0.879</v>
      </c>
      <c r="O144" s="140">
        <f t="shared" si="14"/>
        <v>0.05</v>
      </c>
      <c r="P144" s="140">
        <f t="shared" si="15"/>
        <v>0.05</v>
      </c>
      <c r="Q144" s="161" t="s">
        <v>676</v>
      </c>
      <c r="R144" s="127">
        <v>29.54</v>
      </c>
      <c r="S144" t="s">
        <v>676</v>
      </c>
      <c r="T144"/>
      <c r="U144"/>
      <c r="V144" s="118"/>
      <c r="W144" s="42">
        <v>40.730861111111103</v>
      </c>
      <c r="X144" s="42">
        <v>-86.757972222222193</v>
      </c>
      <c r="Y144" s="42">
        <v>6</v>
      </c>
      <c r="Z144" s="42">
        <v>20</v>
      </c>
      <c r="AA144" s="42">
        <v>2023</v>
      </c>
      <c r="AB144" s="42" t="b">
        <v>0</v>
      </c>
      <c r="AC144" s="45">
        <v>45097</v>
      </c>
      <c r="AD144" s="45"/>
    </row>
    <row r="145" spans="1:30" s="42" customFormat="1" x14ac:dyDescent="0.25">
      <c r="A145" s="41">
        <v>10144</v>
      </c>
      <c r="B145" s="42" t="s">
        <v>167</v>
      </c>
      <c r="C145" s="42" t="s">
        <v>557</v>
      </c>
      <c r="D145" s="43" t="s">
        <v>516</v>
      </c>
      <c r="E145" s="43" t="str">
        <f t="shared" si="12"/>
        <v>?</v>
      </c>
      <c r="F145" s="118"/>
      <c r="G145" s="42" t="s">
        <v>514</v>
      </c>
      <c r="H145" s="44" t="s">
        <v>9</v>
      </c>
      <c r="I145" s="42">
        <v>1.5E-3</v>
      </c>
      <c r="J145" s="42">
        <v>1.1579999999999999</v>
      </c>
      <c r="K145" s="42">
        <v>9.1999999999999998E-2</v>
      </c>
      <c r="L145" s="42">
        <v>1.4E-2</v>
      </c>
      <c r="M145" s="140">
        <f t="shared" si="14"/>
        <v>0.05</v>
      </c>
      <c r="N145" s="140">
        <f t="shared" si="14"/>
        <v>1.1579999999999999</v>
      </c>
      <c r="O145" s="140">
        <f t="shared" si="14"/>
        <v>0.05</v>
      </c>
      <c r="P145" s="140">
        <f t="shared" si="15"/>
        <v>0.05</v>
      </c>
      <c r="Q145" s="161" t="s">
        <v>676</v>
      </c>
      <c r="R145" s="127">
        <v>14.545</v>
      </c>
      <c r="S145" t="s">
        <v>676</v>
      </c>
      <c r="T145"/>
      <c r="U145"/>
      <c r="V145" s="118"/>
      <c r="W145" s="42">
        <v>40.7455</v>
      </c>
      <c r="X145" s="42">
        <v>-86.757249999999999</v>
      </c>
      <c r="Y145" s="42">
        <v>6</v>
      </c>
      <c r="Z145" s="42">
        <v>20</v>
      </c>
      <c r="AA145" s="42">
        <v>2023</v>
      </c>
      <c r="AB145" s="42" t="b">
        <v>0</v>
      </c>
      <c r="AC145" s="45">
        <v>45097</v>
      </c>
      <c r="AD145" s="45"/>
    </row>
    <row r="146" spans="1:30" x14ac:dyDescent="0.25">
      <c r="A146" s="25">
        <v>10145</v>
      </c>
      <c r="B146" t="s">
        <v>168</v>
      </c>
      <c r="C146" t="s">
        <v>168</v>
      </c>
      <c r="D146" s="27">
        <v>3101</v>
      </c>
      <c r="E146" s="27">
        <v>1</v>
      </c>
      <c r="F146" s="118">
        <v>5210</v>
      </c>
      <c r="G146" t="s">
        <v>22</v>
      </c>
      <c r="H146" s="24" t="s">
        <v>8</v>
      </c>
      <c r="L146">
        <v>4.8000000000000001E-2</v>
      </c>
      <c r="M146" s="140">
        <f t="shared" ref="M146:O161" si="16">IF(I146&lt;0.1,0.05,I146)</f>
        <v>0.05</v>
      </c>
      <c r="N146" s="140">
        <f t="shared" si="16"/>
        <v>0.05</v>
      </c>
      <c r="O146" s="140">
        <f t="shared" si="16"/>
        <v>0.05</v>
      </c>
      <c r="P146" s="140">
        <f t="shared" si="15"/>
        <v>0.05</v>
      </c>
      <c r="Q146" s="161">
        <v>4.0377375654836803E-2</v>
      </c>
      <c r="R146" s="125">
        <v>18.145</v>
      </c>
      <c r="S146" t="s">
        <v>676</v>
      </c>
      <c r="W146">
        <v>40.772191999999997</v>
      </c>
      <c r="X146">
        <v>-85.644442999999995</v>
      </c>
      <c r="Y146">
        <v>6</v>
      </c>
      <c r="Z146">
        <v>23</v>
      </c>
      <c r="AA146">
        <v>2023</v>
      </c>
      <c r="AB146" t="b">
        <v>0</v>
      </c>
      <c r="AC146" s="19">
        <v>45100</v>
      </c>
      <c r="AD146" s="19"/>
    </row>
    <row r="147" spans="1:30" x14ac:dyDescent="0.25">
      <c r="A147" s="25">
        <v>10146</v>
      </c>
      <c r="B147" t="s">
        <v>169</v>
      </c>
      <c r="C147" t="s">
        <v>169</v>
      </c>
      <c r="D147" s="27">
        <v>3102</v>
      </c>
      <c r="E147" s="27">
        <v>2</v>
      </c>
      <c r="F147" s="118">
        <v>5430</v>
      </c>
      <c r="G147" t="s">
        <v>22</v>
      </c>
      <c r="H147" s="24" t="s">
        <v>8</v>
      </c>
      <c r="L147">
        <v>5.8500000000000003E-2</v>
      </c>
      <c r="M147" s="140">
        <f t="shared" si="16"/>
        <v>0.05</v>
      </c>
      <c r="N147" s="140">
        <f t="shared" si="16"/>
        <v>0.05</v>
      </c>
      <c r="O147" s="140">
        <f t="shared" si="16"/>
        <v>0.05</v>
      </c>
      <c r="P147" s="140">
        <f t="shared" si="15"/>
        <v>0.05</v>
      </c>
      <c r="Q147" s="161" t="s">
        <v>676</v>
      </c>
      <c r="R147" s="125">
        <v>20.48</v>
      </c>
      <c r="S147" t="s">
        <v>676</v>
      </c>
      <c r="W147">
        <v>40.771816999999999</v>
      </c>
      <c r="X147">
        <v>-85.647735999999995</v>
      </c>
      <c r="Y147">
        <v>6</v>
      </c>
      <c r="Z147">
        <v>23</v>
      </c>
      <c r="AA147">
        <v>2023</v>
      </c>
      <c r="AB147" t="b">
        <v>0</v>
      </c>
      <c r="AC147" s="19">
        <v>45100</v>
      </c>
      <c r="AD147" s="19"/>
    </row>
    <row r="148" spans="1:30" x14ac:dyDescent="0.25">
      <c r="A148" s="25">
        <v>10147</v>
      </c>
      <c r="B148" t="s">
        <v>170</v>
      </c>
      <c r="C148" t="s">
        <v>170</v>
      </c>
      <c r="D148" s="27">
        <v>3103</v>
      </c>
      <c r="E148" s="27">
        <v>3</v>
      </c>
      <c r="F148" s="118">
        <v>4180</v>
      </c>
      <c r="G148" t="s">
        <v>22</v>
      </c>
      <c r="H148" s="24" t="s">
        <v>8</v>
      </c>
      <c r="L148">
        <v>5.5500000000000001E-2</v>
      </c>
      <c r="M148" s="140">
        <f t="shared" si="16"/>
        <v>0.05</v>
      </c>
      <c r="N148" s="140">
        <f t="shared" si="16"/>
        <v>0.05</v>
      </c>
      <c r="O148" s="140">
        <f t="shared" si="16"/>
        <v>0.05</v>
      </c>
      <c r="P148" s="140">
        <f t="shared" si="15"/>
        <v>0.05</v>
      </c>
      <c r="Q148" s="161" t="s">
        <v>676</v>
      </c>
      <c r="R148" s="125">
        <v>12.875</v>
      </c>
      <c r="S148" t="s">
        <v>676</v>
      </c>
      <c r="W148">
        <v>40.780942000000003</v>
      </c>
      <c r="X148">
        <v>-85.643994000000006</v>
      </c>
      <c r="Y148">
        <v>6</v>
      </c>
      <c r="Z148">
        <v>23</v>
      </c>
      <c r="AA148">
        <v>2023</v>
      </c>
      <c r="AB148" t="b">
        <v>0</v>
      </c>
      <c r="AC148" s="19">
        <v>45100</v>
      </c>
      <c r="AD148" s="19"/>
    </row>
    <row r="149" spans="1:30" x14ac:dyDescent="0.25">
      <c r="A149" s="25">
        <v>10148</v>
      </c>
      <c r="B149" t="s">
        <v>171</v>
      </c>
      <c r="C149" t="s">
        <v>171</v>
      </c>
      <c r="D149" s="27">
        <v>3104</v>
      </c>
      <c r="E149" s="27">
        <v>4</v>
      </c>
      <c r="F149" s="118">
        <v>4980</v>
      </c>
      <c r="G149" t="s">
        <v>22</v>
      </c>
      <c r="H149" s="24" t="s">
        <v>8</v>
      </c>
      <c r="L149">
        <v>4.3499999999999997E-2</v>
      </c>
      <c r="M149" s="140">
        <f t="shared" si="16"/>
        <v>0.05</v>
      </c>
      <c r="N149" s="140">
        <f t="shared" si="16"/>
        <v>0.05</v>
      </c>
      <c r="O149" s="140">
        <f t="shared" si="16"/>
        <v>0.05</v>
      </c>
      <c r="P149" s="140">
        <f t="shared" si="15"/>
        <v>0.05</v>
      </c>
      <c r="Q149" s="161">
        <v>6.5223728705696205E-2</v>
      </c>
      <c r="R149" s="125">
        <v>16.059999999999999</v>
      </c>
      <c r="S149" t="s">
        <v>676</v>
      </c>
      <c r="W149">
        <v>40.784331000000002</v>
      </c>
      <c r="X149">
        <v>-85.637880999999993</v>
      </c>
      <c r="Y149">
        <v>6</v>
      </c>
      <c r="Z149">
        <v>23</v>
      </c>
      <c r="AA149">
        <v>2023</v>
      </c>
      <c r="AB149" t="b">
        <v>0</v>
      </c>
      <c r="AC149" s="19">
        <v>45100</v>
      </c>
      <c r="AD149" s="19"/>
    </row>
    <row r="150" spans="1:30" x14ac:dyDescent="0.25">
      <c r="A150" s="25">
        <v>10149</v>
      </c>
      <c r="B150" s="26" t="s">
        <v>172</v>
      </c>
      <c r="C150" s="26" t="s">
        <v>172</v>
      </c>
      <c r="D150" s="30">
        <v>3105</v>
      </c>
      <c r="E150" s="30">
        <v>5</v>
      </c>
      <c r="F150" s="118">
        <v>6340</v>
      </c>
      <c r="G150" s="26" t="s">
        <v>22</v>
      </c>
      <c r="H150" s="66" t="s">
        <v>8</v>
      </c>
      <c r="I150" s="26">
        <v>0.85499999999999998</v>
      </c>
      <c r="J150" s="26">
        <v>3.5640000000000001</v>
      </c>
      <c r="K150" s="26">
        <v>0.32700000000000001</v>
      </c>
      <c r="L150" s="26">
        <v>5.6000000000000001E-2</v>
      </c>
      <c r="M150" s="140">
        <f t="shared" si="16"/>
        <v>0.85499999999999998</v>
      </c>
      <c r="N150" s="140">
        <f t="shared" si="16"/>
        <v>3.5640000000000001</v>
      </c>
      <c r="O150" s="140">
        <f t="shared" si="16"/>
        <v>0.32700000000000001</v>
      </c>
      <c r="P150" s="140">
        <f t="shared" si="15"/>
        <v>0.05</v>
      </c>
      <c r="Q150" s="162">
        <v>4.0995399000403901E-2</v>
      </c>
      <c r="R150" s="128">
        <v>23.315000000000001</v>
      </c>
      <c r="S150" t="s">
        <v>676</v>
      </c>
      <c r="W150">
        <v>40.775289000000001</v>
      </c>
      <c r="X150">
        <v>-85.623689999999996</v>
      </c>
      <c r="Y150">
        <v>6</v>
      </c>
      <c r="Z150">
        <v>23</v>
      </c>
      <c r="AA150">
        <v>2023</v>
      </c>
      <c r="AB150" t="b">
        <v>0</v>
      </c>
      <c r="AC150" s="19">
        <v>45100</v>
      </c>
      <c r="AD150" s="19"/>
    </row>
    <row r="151" spans="1:30" x14ac:dyDescent="0.25">
      <c r="A151" s="25">
        <v>10150</v>
      </c>
      <c r="B151" t="s">
        <v>173</v>
      </c>
      <c r="C151" t="s">
        <v>173</v>
      </c>
      <c r="D151" s="27">
        <v>3106</v>
      </c>
      <c r="E151" s="27">
        <v>6</v>
      </c>
      <c r="F151" s="118">
        <v>7900</v>
      </c>
      <c r="G151" t="s">
        <v>22</v>
      </c>
      <c r="H151" s="24" t="s">
        <v>8</v>
      </c>
      <c r="L151">
        <v>5.2499999999999998E-2</v>
      </c>
      <c r="M151" s="140">
        <f t="shared" si="16"/>
        <v>0.05</v>
      </c>
      <c r="N151" s="140">
        <f t="shared" si="16"/>
        <v>0.05</v>
      </c>
      <c r="O151" s="140">
        <f t="shared" si="16"/>
        <v>0.05</v>
      </c>
      <c r="P151" s="140">
        <f t="shared" si="15"/>
        <v>0.05</v>
      </c>
      <c r="Q151" s="161">
        <v>4.6049227570846403E-2</v>
      </c>
      <c r="R151" s="125">
        <v>19.395</v>
      </c>
      <c r="S151" t="s">
        <v>676</v>
      </c>
      <c r="W151">
        <v>40.775669000000001</v>
      </c>
      <c r="X151">
        <v>-85.606437999999997</v>
      </c>
      <c r="Y151">
        <v>6</v>
      </c>
      <c r="Z151">
        <v>23</v>
      </c>
      <c r="AA151">
        <v>2023</v>
      </c>
      <c r="AB151" t="b">
        <v>0</v>
      </c>
      <c r="AC151" s="19">
        <v>45100</v>
      </c>
      <c r="AD151" s="19"/>
    </row>
    <row r="152" spans="1:30" x14ac:dyDescent="0.25">
      <c r="A152" s="25">
        <v>10151</v>
      </c>
      <c r="B152" t="s">
        <v>174</v>
      </c>
      <c r="C152" t="s">
        <v>174</v>
      </c>
      <c r="D152" s="27">
        <v>3107</v>
      </c>
      <c r="E152" s="27">
        <v>7</v>
      </c>
      <c r="F152" s="118">
        <v>10610</v>
      </c>
      <c r="G152" t="s">
        <v>22</v>
      </c>
      <c r="H152" s="24" t="s">
        <v>8</v>
      </c>
      <c r="L152">
        <v>4.2500000000000003E-2</v>
      </c>
      <c r="M152" s="140">
        <f t="shared" si="16"/>
        <v>0.05</v>
      </c>
      <c r="N152" s="140">
        <f t="shared" si="16"/>
        <v>0.05</v>
      </c>
      <c r="O152" s="140">
        <f t="shared" si="16"/>
        <v>0.05</v>
      </c>
      <c r="P152" s="140">
        <f t="shared" si="15"/>
        <v>0.05</v>
      </c>
      <c r="Q152" s="161">
        <v>5.1201853453580999E-3</v>
      </c>
      <c r="R152" s="125">
        <v>27.805</v>
      </c>
      <c r="S152" t="s">
        <v>676</v>
      </c>
      <c r="W152">
        <v>40.775680000000001</v>
      </c>
      <c r="X152">
        <v>-85.579875999999999</v>
      </c>
      <c r="Y152">
        <v>6</v>
      </c>
      <c r="Z152">
        <v>23</v>
      </c>
      <c r="AA152">
        <v>2023</v>
      </c>
      <c r="AB152" t="b">
        <v>0</v>
      </c>
      <c r="AC152" s="19">
        <v>45100</v>
      </c>
      <c r="AD152" s="19"/>
    </row>
    <row r="153" spans="1:30" x14ac:dyDescent="0.25">
      <c r="A153" s="25">
        <v>10152</v>
      </c>
      <c r="B153" s="26" t="s">
        <v>175</v>
      </c>
      <c r="C153" s="26" t="s">
        <v>175</v>
      </c>
      <c r="D153" s="30">
        <v>3108</v>
      </c>
      <c r="E153" s="30">
        <v>8</v>
      </c>
      <c r="F153" s="118">
        <v>9370</v>
      </c>
      <c r="G153" s="26" t="s">
        <v>22</v>
      </c>
      <c r="H153" s="66" t="s">
        <v>8</v>
      </c>
      <c r="I153" s="26">
        <v>1.06535</v>
      </c>
      <c r="J153" s="26">
        <v>3.6315</v>
      </c>
      <c r="K153" s="26">
        <v>0.32150000000000001</v>
      </c>
      <c r="L153" s="26">
        <v>7.6999999999999999E-2</v>
      </c>
      <c r="M153" s="140">
        <f t="shared" si="16"/>
        <v>1.06535</v>
      </c>
      <c r="N153" s="140">
        <f t="shared" si="16"/>
        <v>3.6315</v>
      </c>
      <c r="O153" s="140">
        <f t="shared" si="16"/>
        <v>0.32150000000000001</v>
      </c>
      <c r="P153" s="140">
        <f t="shared" si="15"/>
        <v>0.05</v>
      </c>
      <c r="Q153" s="162">
        <v>0.170919582628346</v>
      </c>
      <c r="R153" s="128">
        <v>45.42</v>
      </c>
      <c r="S153" t="s">
        <v>676</v>
      </c>
      <c r="W153">
        <v>40.766798999999999</v>
      </c>
      <c r="X153">
        <v>-85.597628999999998</v>
      </c>
      <c r="Y153">
        <v>6</v>
      </c>
      <c r="Z153">
        <v>23</v>
      </c>
      <c r="AA153">
        <v>2023</v>
      </c>
      <c r="AB153" t="b">
        <v>0</v>
      </c>
      <c r="AC153" s="19">
        <v>45100</v>
      </c>
      <c r="AD153" s="19"/>
    </row>
    <row r="154" spans="1:30" x14ac:dyDescent="0.25">
      <c r="A154" s="25">
        <v>10153</v>
      </c>
      <c r="B154" t="s">
        <v>176</v>
      </c>
      <c r="C154" t="s">
        <v>176</v>
      </c>
      <c r="D154" s="27">
        <v>3109</v>
      </c>
      <c r="E154" s="27">
        <v>9</v>
      </c>
      <c r="F154" s="118">
        <v>10331</v>
      </c>
      <c r="G154" t="s">
        <v>22</v>
      </c>
      <c r="H154" s="24" t="s">
        <v>8</v>
      </c>
      <c r="L154">
        <v>8.1500000000000003E-2</v>
      </c>
      <c r="M154" s="140">
        <f t="shared" si="16"/>
        <v>0.05</v>
      </c>
      <c r="N154" s="140">
        <f t="shared" si="16"/>
        <v>0.05</v>
      </c>
      <c r="O154" s="140">
        <f t="shared" si="16"/>
        <v>0.05</v>
      </c>
      <c r="P154" s="140">
        <f t="shared" si="15"/>
        <v>0.05</v>
      </c>
      <c r="Q154" s="161">
        <v>9.6448704458811596E-2</v>
      </c>
      <c r="R154" s="125">
        <v>50.594999999999999</v>
      </c>
      <c r="S154" t="s">
        <v>676</v>
      </c>
      <c r="W154">
        <v>40.756483000000003</v>
      </c>
      <c r="X154">
        <v>-85.594418000000005</v>
      </c>
      <c r="Y154">
        <v>6</v>
      </c>
      <c r="Z154">
        <v>23</v>
      </c>
      <c r="AA154">
        <v>2023</v>
      </c>
      <c r="AB154" t="b">
        <v>0</v>
      </c>
      <c r="AC154" s="19">
        <v>45100</v>
      </c>
      <c r="AD154" s="19"/>
    </row>
    <row r="155" spans="1:30" x14ac:dyDescent="0.25">
      <c r="A155" s="25">
        <v>10154</v>
      </c>
      <c r="B155" s="26" t="s">
        <v>177</v>
      </c>
      <c r="C155" s="26" t="s">
        <v>177</v>
      </c>
      <c r="D155" s="30">
        <v>3110</v>
      </c>
      <c r="E155" s="30">
        <v>10</v>
      </c>
      <c r="F155" s="118">
        <v>11270</v>
      </c>
      <c r="G155" s="26" t="s">
        <v>22</v>
      </c>
      <c r="H155" s="66" t="s">
        <v>8</v>
      </c>
      <c r="I155" s="26">
        <v>0.80659999999999998</v>
      </c>
      <c r="J155" s="26">
        <v>3.0034999999999998</v>
      </c>
      <c r="K155" s="26">
        <v>0.32850000000000001</v>
      </c>
      <c r="L155" s="26">
        <v>6.3500000000000001E-2</v>
      </c>
      <c r="M155" s="140">
        <f t="shared" si="16"/>
        <v>0.80659999999999998</v>
      </c>
      <c r="N155" s="140">
        <f t="shared" si="16"/>
        <v>3.0034999999999998</v>
      </c>
      <c r="O155" s="140">
        <f t="shared" si="16"/>
        <v>0.32850000000000001</v>
      </c>
      <c r="P155" s="140">
        <f t="shared" si="15"/>
        <v>0.05</v>
      </c>
      <c r="Q155" s="162">
        <v>8.2638851667943394E-2</v>
      </c>
      <c r="R155" s="128">
        <v>22.09</v>
      </c>
      <c r="S155" t="s">
        <v>676</v>
      </c>
      <c r="W155">
        <v>40.756180999999998</v>
      </c>
      <c r="X155">
        <v>-85.581931999999995</v>
      </c>
      <c r="Y155">
        <v>6</v>
      </c>
      <c r="Z155">
        <v>23</v>
      </c>
      <c r="AA155">
        <v>2023</v>
      </c>
      <c r="AB155" t="b">
        <v>0</v>
      </c>
      <c r="AC155" s="19">
        <v>45100</v>
      </c>
      <c r="AD155" s="19"/>
    </row>
    <row r="156" spans="1:30" x14ac:dyDescent="0.25">
      <c r="A156" s="25">
        <v>10155</v>
      </c>
      <c r="B156" s="26" t="s">
        <v>178</v>
      </c>
      <c r="C156" s="26" t="s">
        <v>178</v>
      </c>
      <c r="D156" s="30">
        <v>3111</v>
      </c>
      <c r="E156" s="30">
        <v>11</v>
      </c>
      <c r="F156" s="118"/>
      <c r="G156" s="26" t="s">
        <v>22</v>
      </c>
      <c r="H156" s="66" t="s">
        <v>8</v>
      </c>
      <c r="I156" s="26">
        <v>1.29175</v>
      </c>
      <c r="J156" s="26">
        <v>4.1565000000000003</v>
      </c>
      <c r="K156" s="26">
        <v>0.39750000000000002</v>
      </c>
      <c r="L156" s="26">
        <v>0.09</v>
      </c>
      <c r="M156" s="140">
        <f t="shared" si="16"/>
        <v>1.29175</v>
      </c>
      <c r="N156" s="140">
        <f t="shared" si="16"/>
        <v>4.1565000000000003</v>
      </c>
      <c r="O156" s="140">
        <f t="shared" si="16"/>
        <v>0.39750000000000002</v>
      </c>
      <c r="P156" s="140">
        <f t="shared" si="15"/>
        <v>0.05</v>
      </c>
      <c r="Q156" s="162">
        <v>2.8128045640430799E-2</v>
      </c>
      <c r="R156" s="128">
        <v>38.96</v>
      </c>
      <c r="S156" t="s">
        <v>676</v>
      </c>
      <c r="W156">
        <v>40.746032999999997</v>
      </c>
      <c r="X156">
        <v>-85.568810999999997</v>
      </c>
      <c r="Y156">
        <v>6</v>
      </c>
      <c r="Z156">
        <v>23</v>
      </c>
      <c r="AA156">
        <v>2023</v>
      </c>
      <c r="AB156" t="b">
        <v>0</v>
      </c>
      <c r="AC156" s="19">
        <v>45100</v>
      </c>
      <c r="AD156" s="19"/>
    </row>
    <row r="157" spans="1:30" x14ac:dyDescent="0.25">
      <c r="A157" s="25">
        <v>10156</v>
      </c>
      <c r="B157" t="s">
        <v>179</v>
      </c>
      <c r="C157" t="s">
        <v>179</v>
      </c>
      <c r="D157" s="27">
        <v>3112</v>
      </c>
      <c r="E157" s="27">
        <v>12</v>
      </c>
      <c r="F157" s="118"/>
      <c r="G157" t="s">
        <v>22</v>
      </c>
      <c r="H157" s="24" t="s">
        <v>8</v>
      </c>
      <c r="L157">
        <v>6.7000000000000004E-2</v>
      </c>
      <c r="M157" s="140">
        <f t="shared" si="16"/>
        <v>0.05</v>
      </c>
      <c r="N157" s="140">
        <f t="shared" si="16"/>
        <v>0.05</v>
      </c>
      <c r="O157" s="140">
        <f t="shared" si="16"/>
        <v>0.05</v>
      </c>
      <c r="P157" s="140">
        <f t="shared" si="15"/>
        <v>0.05</v>
      </c>
      <c r="Q157" s="161">
        <v>3.7333642147783098E-2</v>
      </c>
      <c r="R157" s="125">
        <v>33.69</v>
      </c>
      <c r="S157" t="s">
        <v>676</v>
      </c>
      <c r="W157">
        <v>40.746825000000001</v>
      </c>
      <c r="X157">
        <v>-85.548726000000002</v>
      </c>
      <c r="Y157">
        <v>6</v>
      </c>
      <c r="Z157">
        <v>23</v>
      </c>
      <c r="AA157">
        <v>2023</v>
      </c>
      <c r="AB157" t="b">
        <v>0</v>
      </c>
      <c r="AC157" s="19">
        <v>45100</v>
      </c>
      <c r="AD157" s="19"/>
    </row>
    <row r="158" spans="1:30" x14ac:dyDescent="0.25">
      <c r="A158" s="25">
        <v>10157</v>
      </c>
      <c r="B158" t="s">
        <v>180</v>
      </c>
      <c r="C158" t="s">
        <v>180</v>
      </c>
      <c r="D158" s="27">
        <v>3113</v>
      </c>
      <c r="E158" s="27">
        <v>13</v>
      </c>
      <c r="F158" s="118">
        <v>5180</v>
      </c>
      <c r="G158" t="s">
        <v>22</v>
      </c>
      <c r="H158" s="24" t="s">
        <v>8</v>
      </c>
      <c r="L158">
        <v>5.45E-2</v>
      </c>
      <c r="M158" s="140">
        <f t="shared" si="16"/>
        <v>0.05</v>
      </c>
      <c r="N158" s="140">
        <f t="shared" si="16"/>
        <v>0.05</v>
      </c>
      <c r="O158" s="140">
        <f t="shared" si="16"/>
        <v>0.05</v>
      </c>
      <c r="P158" s="140">
        <f t="shared" si="15"/>
        <v>0.05</v>
      </c>
      <c r="Q158" s="161">
        <v>8.98515247316478E-2</v>
      </c>
      <c r="R158" s="125">
        <v>7.39</v>
      </c>
      <c r="S158" t="s">
        <v>676</v>
      </c>
      <c r="W158">
        <v>40.780119999999997</v>
      </c>
      <c r="X158">
        <v>-85.637044000000003</v>
      </c>
      <c r="Y158">
        <v>6</v>
      </c>
      <c r="Z158">
        <v>23</v>
      </c>
      <c r="AA158">
        <v>2023</v>
      </c>
      <c r="AB158" t="b">
        <v>0</v>
      </c>
      <c r="AC158" s="19">
        <v>45100</v>
      </c>
      <c r="AD158" s="19"/>
    </row>
    <row r="159" spans="1:30" x14ac:dyDescent="0.25">
      <c r="A159" s="25">
        <v>10158</v>
      </c>
      <c r="B159" t="s">
        <v>181</v>
      </c>
      <c r="C159" t="s">
        <v>558</v>
      </c>
      <c r="D159" s="27" t="s">
        <v>516</v>
      </c>
      <c r="E159" s="27" t="str">
        <f t="shared" ref="E159:E181" si="17">RIGHT(D159,2)</f>
        <v>?</v>
      </c>
      <c r="F159" s="118"/>
      <c r="G159" t="s">
        <v>19</v>
      </c>
      <c r="H159" s="24" t="s">
        <v>9</v>
      </c>
      <c r="L159">
        <v>5.0999999999999997E-2</v>
      </c>
      <c r="M159" s="140">
        <f t="shared" si="16"/>
        <v>0.05</v>
      </c>
      <c r="N159" s="140">
        <f t="shared" si="16"/>
        <v>0.05</v>
      </c>
      <c r="O159" s="140">
        <f t="shared" si="16"/>
        <v>0.05</v>
      </c>
      <c r="P159" s="140">
        <f t="shared" si="15"/>
        <v>0.05</v>
      </c>
      <c r="Q159" s="161">
        <v>1.0247288333790301</v>
      </c>
      <c r="R159" s="125">
        <v>38.844999999999999</v>
      </c>
      <c r="S159" t="s">
        <v>676</v>
      </c>
      <c r="W159">
        <v>40.714055999999999</v>
      </c>
      <c r="X159">
        <v>-85.937066000000002</v>
      </c>
      <c r="Y159">
        <v>6</v>
      </c>
      <c r="Z159">
        <v>27</v>
      </c>
      <c r="AA159">
        <v>2023</v>
      </c>
      <c r="AB159" t="b">
        <v>0</v>
      </c>
      <c r="AC159" s="19">
        <v>45104</v>
      </c>
      <c r="AD159" s="19"/>
    </row>
    <row r="160" spans="1:30" x14ac:dyDescent="0.25">
      <c r="A160" s="25">
        <v>10159</v>
      </c>
      <c r="B160" s="26" t="s">
        <v>182</v>
      </c>
      <c r="C160" s="26" t="s">
        <v>558</v>
      </c>
      <c r="D160" s="30" t="s">
        <v>516</v>
      </c>
      <c r="E160" s="30" t="str">
        <f t="shared" si="17"/>
        <v>?</v>
      </c>
      <c r="F160" s="118"/>
      <c r="G160" s="26" t="s">
        <v>19</v>
      </c>
      <c r="H160" s="66" t="s">
        <v>9</v>
      </c>
      <c r="I160" s="26">
        <v>0.16209999999999999</v>
      </c>
      <c r="J160" s="26">
        <v>3.593</v>
      </c>
      <c r="K160" s="26">
        <v>-0.01</v>
      </c>
      <c r="L160" s="26">
        <v>5.45E-2</v>
      </c>
      <c r="M160" s="140">
        <f t="shared" si="16"/>
        <v>0.16209999999999999</v>
      </c>
      <c r="N160" s="140">
        <f t="shared" si="16"/>
        <v>3.593</v>
      </c>
      <c r="O160" s="140">
        <f t="shared" si="16"/>
        <v>0.05</v>
      </c>
      <c r="P160" s="140">
        <f t="shared" si="15"/>
        <v>0.05</v>
      </c>
      <c r="Q160" s="162">
        <v>1.8611379869114699</v>
      </c>
      <c r="R160" s="128">
        <v>43.984999999999999</v>
      </c>
      <c r="S160" t="s">
        <v>676</v>
      </c>
      <c r="W160">
        <v>40.714627999999998</v>
      </c>
      <c r="X160">
        <v>-85.937872999999996</v>
      </c>
      <c r="Y160">
        <v>6</v>
      </c>
      <c r="Z160">
        <v>27</v>
      </c>
      <c r="AA160">
        <v>2023</v>
      </c>
      <c r="AB160" t="b">
        <v>0</v>
      </c>
      <c r="AC160" s="19">
        <v>45104</v>
      </c>
      <c r="AD160" s="19"/>
    </row>
    <row r="161" spans="1:30" x14ac:dyDescent="0.25">
      <c r="A161" s="25">
        <v>10160</v>
      </c>
      <c r="B161" s="26" t="s">
        <v>183</v>
      </c>
      <c r="C161" s="26" t="s">
        <v>558</v>
      </c>
      <c r="D161" s="30" t="s">
        <v>516</v>
      </c>
      <c r="E161" s="30" t="str">
        <f t="shared" si="17"/>
        <v>?</v>
      </c>
      <c r="F161" s="118"/>
      <c r="G161" s="26" t="s">
        <v>19</v>
      </c>
      <c r="H161" s="66" t="s">
        <v>9</v>
      </c>
      <c r="I161" s="26">
        <v>0.32155</v>
      </c>
      <c r="J161" s="26">
        <v>3.4714999999999998</v>
      </c>
      <c r="K161" s="26">
        <v>0.151</v>
      </c>
      <c r="L161" s="26">
        <v>4.2999999999999997E-2</v>
      </c>
      <c r="M161" s="140">
        <f t="shared" si="16"/>
        <v>0.32155</v>
      </c>
      <c r="N161" s="140">
        <f t="shared" si="16"/>
        <v>3.4714999999999998</v>
      </c>
      <c r="O161" s="140">
        <f t="shared" si="16"/>
        <v>0.151</v>
      </c>
      <c r="P161" s="140">
        <f t="shared" si="15"/>
        <v>0.05</v>
      </c>
      <c r="Q161" s="162">
        <v>1.1833880309228499</v>
      </c>
      <c r="R161" s="128">
        <v>23.675000000000001</v>
      </c>
      <c r="S161" t="s">
        <v>676</v>
      </c>
      <c r="W161">
        <v>40.705238000000001</v>
      </c>
      <c r="X161">
        <v>-85.953678999999994</v>
      </c>
      <c r="Y161">
        <v>6</v>
      </c>
      <c r="Z161">
        <v>27</v>
      </c>
      <c r="AA161">
        <v>2023</v>
      </c>
      <c r="AB161" t="b">
        <v>0</v>
      </c>
      <c r="AC161" s="19">
        <v>45104</v>
      </c>
      <c r="AD161" s="19"/>
    </row>
    <row r="162" spans="1:30" x14ac:dyDescent="0.25">
      <c r="A162" s="25">
        <v>10161</v>
      </c>
      <c r="B162" t="s">
        <v>184</v>
      </c>
      <c r="C162" t="s">
        <v>558</v>
      </c>
      <c r="D162" s="27" t="s">
        <v>516</v>
      </c>
      <c r="E162" s="27" t="str">
        <f t="shared" si="17"/>
        <v>?</v>
      </c>
      <c r="F162" s="118"/>
      <c r="G162" t="s">
        <v>19</v>
      </c>
      <c r="H162" s="24" t="s">
        <v>9</v>
      </c>
      <c r="L162">
        <v>8.5750000000000007E-2</v>
      </c>
      <c r="M162" s="140">
        <f t="shared" ref="M162:O177" si="18">IF(I162&lt;0.1,0.05,I162)</f>
        <v>0.05</v>
      </c>
      <c r="N162" s="140">
        <f t="shared" si="18"/>
        <v>0.05</v>
      </c>
      <c r="O162" s="140">
        <f t="shared" si="18"/>
        <v>0.05</v>
      </c>
      <c r="P162" s="140">
        <f t="shared" si="15"/>
        <v>0.05</v>
      </c>
      <c r="Q162" s="161">
        <v>2.8600078997902001</v>
      </c>
      <c r="R162" s="125">
        <v>45.784999999999997</v>
      </c>
      <c r="S162" t="s">
        <v>676</v>
      </c>
      <c r="W162">
        <v>40.703391000000003</v>
      </c>
      <c r="X162">
        <v>-85.936471999999995</v>
      </c>
      <c r="Y162">
        <v>6</v>
      </c>
      <c r="Z162">
        <v>27</v>
      </c>
      <c r="AA162">
        <v>2023</v>
      </c>
      <c r="AB162" t="b">
        <v>0</v>
      </c>
      <c r="AC162" s="19">
        <v>45104</v>
      </c>
      <c r="AD162" s="19"/>
    </row>
    <row r="163" spans="1:30" x14ac:dyDescent="0.25">
      <c r="A163" s="25">
        <v>10162</v>
      </c>
      <c r="B163" t="s">
        <v>185</v>
      </c>
      <c r="C163" t="s">
        <v>558</v>
      </c>
      <c r="D163" s="27" t="s">
        <v>516</v>
      </c>
      <c r="E163" s="27" t="str">
        <f t="shared" si="17"/>
        <v>?</v>
      </c>
      <c r="F163" s="118"/>
      <c r="G163" t="s">
        <v>19</v>
      </c>
      <c r="H163" s="24" t="s">
        <v>9</v>
      </c>
      <c r="L163">
        <v>8.9749999999999996E-2</v>
      </c>
      <c r="M163" s="140">
        <f t="shared" si="18"/>
        <v>0.05</v>
      </c>
      <c r="N163" s="140">
        <f t="shared" si="18"/>
        <v>0.05</v>
      </c>
      <c r="O163" s="140">
        <f t="shared" si="18"/>
        <v>0.05</v>
      </c>
      <c r="P163" s="140">
        <f t="shared" si="15"/>
        <v>0.05</v>
      </c>
      <c r="Q163" s="161">
        <v>2.6070250353352198</v>
      </c>
      <c r="R163" s="125">
        <v>49.524999999999999</v>
      </c>
      <c r="S163" t="s">
        <v>676</v>
      </c>
      <c r="W163">
        <v>40.702609000000002</v>
      </c>
      <c r="X163">
        <v>-85.936130000000006</v>
      </c>
      <c r="Y163">
        <v>6</v>
      </c>
      <c r="Z163">
        <v>27</v>
      </c>
      <c r="AA163">
        <v>2023</v>
      </c>
      <c r="AB163" t="b">
        <v>0</v>
      </c>
      <c r="AC163" s="19">
        <v>45104</v>
      </c>
      <c r="AD163" s="19"/>
    </row>
    <row r="164" spans="1:30" x14ac:dyDescent="0.25">
      <c r="A164" s="25">
        <v>10163</v>
      </c>
      <c r="B164" t="s">
        <v>186</v>
      </c>
      <c r="C164" t="s">
        <v>558</v>
      </c>
      <c r="D164" s="27" t="s">
        <v>516</v>
      </c>
      <c r="E164" s="27" t="str">
        <f t="shared" si="17"/>
        <v>?</v>
      </c>
      <c r="F164" s="118"/>
      <c r="G164" t="s">
        <v>19</v>
      </c>
      <c r="H164" s="24" t="s">
        <v>9</v>
      </c>
      <c r="L164">
        <v>8.7999999999999995E-2</v>
      </c>
      <c r="M164" s="140">
        <f t="shared" si="18"/>
        <v>0.05</v>
      </c>
      <c r="N164" s="140">
        <f t="shared" si="18"/>
        <v>0.05</v>
      </c>
      <c r="O164" s="140">
        <f t="shared" si="18"/>
        <v>0.05</v>
      </c>
      <c r="P164" s="140">
        <f t="shared" si="15"/>
        <v>0.05</v>
      </c>
      <c r="Q164" s="161">
        <v>1.5724183158623899</v>
      </c>
      <c r="R164" s="125">
        <v>66.415000000000006</v>
      </c>
      <c r="S164" t="s">
        <v>676</v>
      </c>
      <c r="W164">
        <v>40.700673000000002</v>
      </c>
      <c r="X164">
        <v>-85.935236000000003</v>
      </c>
      <c r="Y164">
        <v>6</v>
      </c>
      <c r="Z164">
        <v>27</v>
      </c>
      <c r="AA164">
        <v>2023</v>
      </c>
      <c r="AB164" t="b">
        <v>0</v>
      </c>
      <c r="AC164" s="19">
        <v>45104</v>
      </c>
      <c r="AD164" s="19"/>
    </row>
    <row r="165" spans="1:30" x14ac:dyDescent="0.25">
      <c r="A165" s="25">
        <v>10164</v>
      </c>
      <c r="B165" s="26" t="s">
        <v>187</v>
      </c>
      <c r="C165" s="26" t="s">
        <v>558</v>
      </c>
      <c r="D165" s="30" t="s">
        <v>516</v>
      </c>
      <c r="E165" s="30" t="str">
        <f t="shared" si="17"/>
        <v>?</v>
      </c>
      <c r="F165" s="118"/>
      <c r="G165" s="26" t="s">
        <v>19</v>
      </c>
      <c r="H165" s="66" t="s">
        <v>9</v>
      </c>
      <c r="I165" s="26">
        <v>9.1399999999999995E-2</v>
      </c>
      <c r="J165" s="26">
        <v>3.3570000000000002</v>
      </c>
      <c r="K165" s="26">
        <v>6.4000000000000001E-2</v>
      </c>
      <c r="L165" s="26">
        <v>5.1499999999999997E-2</v>
      </c>
      <c r="M165" s="140">
        <f t="shared" si="18"/>
        <v>0.05</v>
      </c>
      <c r="N165" s="140">
        <f t="shared" si="18"/>
        <v>3.3570000000000002</v>
      </c>
      <c r="O165" s="140">
        <f t="shared" si="18"/>
        <v>0.05</v>
      </c>
      <c r="P165" s="140">
        <f t="shared" si="15"/>
        <v>0.05</v>
      </c>
      <c r="Q165" s="162">
        <v>3.2583948699833298</v>
      </c>
      <c r="R165" s="128">
        <v>32.975000000000001</v>
      </c>
      <c r="S165" t="s">
        <v>676</v>
      </c>
      <c r="W165">
        <v>40.680439</v>
      </c>
      <c r="X165">
        <v>-85.895401000000007</v>
      </c>
      <c r="Y165">
        <v>6</v>
      </c>
      <c r="Z165">
        <v>27</v>
      </c>
      <c r="AA165">
        <v>2023</v>
      </c>
      <c r="AB165" t="b">
        <v>0</v>
      </c>
      <c r="AC165" s="19">
        <v>45104</v>
      </c>
      <c r="AD165" s="19"/>
    </row>
    <row r="166" spans="1:30" x14ac:dyDescent="0.25">
      <c r="A166" s="25">
        <v>10165</v>
      </c>
      <c r="B166" s="26" t="s">
        <v>188</v>
      </c>
      <c r="C166" s="26" t="s">
        <v>558</v>
      </c>
      <c r="D166" s="30" t="s">
        <v>516</v>
      </c>
      <c r="E166" s="30" t="str">
        <f t="shared" si="17"/>
        <v>?</v>
      </c>
      <c r="F166" s="118"/>
      <c r="G166" s="26" t="s">
        <v>19</v>
      </c>
      <c r="H166" s="66" t="s">
        <v>9</v>
      </c>
      <c r="I166" s="26">
        <v>0.47699999999999998</v>
      </c>
      <c r="J166" s="26">
        <v>4.6470000000000002</v>
      </c>
      <c r="K166" s="26">
        <v>0.14149999999999999</v>
      </c>
      <c r="L166" s="26">
        <v>9.7000000000000003E-2</v>
      </c>
      <c r="M166" s="140">
        <f t="shared" si="18"/>
        <v>0.47699999999999998</v>
      </c>
      <c r="N166" s="140">
        <f t="shared" si="18"/>
        <v>4.6470000000000002</v>
      </c>
      <c r="O166" s="140">
        <f t="shared" si="18"/>
        <v>0.14149999999999999</v>
      </c>
      <c r="P166" s="140">
        <f t="shared" si="15"/>
        <v>0.05</v>
      </c>
      <c r="Q166" s="162">
        <v>1.0944877529141901</v>
      </c>
      <c r="R166" s="128">
        <v>57.305</v>
      </c>
      <c r="S166" t="s">
        <v>676</v>
      </c>
      <c r="W166">
        <v>40.668534000000001</v>
      </c>
      <c r="X166">
        <v>-85.848680999999999</v>
      </c>
      <c r="Y166">
        <v>6</v>
      </c>
      <c r="Z166">
        <v>27</v>
      </c>
      <c r="AA166">
        <v>2023</v>
      </c>
      <c r="AB166" t="b">
        <v>0</v>
      </c>
      <c r="AC166" s="19">
        <v>45104</v>
      </c>
      <c r="AD166" s="19"/>
    </row>
    <row r="167" spans="1:30" x14ac:dyDescent="0.25">
      <c r="A167" s="25">
        <v>10166</v>
      </c>
      <c r="B167" t="s">
        <v>189</v>
      </c>
      <c r="C167" t="s">
        <v>559</v>
      </c>
      <c r="D167" s="27" t="s">
        <v>516</v>
      </c>
      <c r="E167" s="27" t="str">
        <f t="shared" si="17"/>
        <v>?</v>
      </c>
      <c r="F167" s="118"/>
      <c r="G167" t="s">
        <v>20</v>
      </c>
      <c r="H167" s="24" t="s">
        <v>9</v>
      </c>
      <c r="I167">
        <v>1.5699999999999999E-2</v>
      </c>
      <c r="J167">
        <v>1.083</v>
      </c>
      <c r="K167">
        <v>8.0000000000000002E-3</v>
      </c>
      <c r="M167" s="140">
        <f t="shared" si="18"/>
        <v>0.05</v>
      </c>
      <c r="N167" s="140">
        <f t="shared" si="18"/>
        <v>1.083</v>
      </c>
      <c r="O167" s="140">
        <f t="shared" si="18"/>
        <v>0.05</v>
      </c>
      <c r="P167" s="140">
        <f t="shared" si="15"/>
        <v>0.05</v>
      </c>
      <c r="Q167" s="161" t="s">
        <v>676</v>
      </c>
      <c r="R167" s="125">
        <v>10.25</v>
      </c>
      <c r="S167" t="s">
        <v>676</v>
      </c>
      <c r="W167">
        <v>40.808810000000001</v>
      </c>
      <c r="X167">
        <v>-86.794690000000003</v>
      </c>
      <c r="Y167">
        <v>6</v>
      </c>
      <c r="Z167">
        <v>30</v>
      </c>
      <c r="AA167">
        <v>2023</v>
      </c>
      <c r="AB167" t="b">
        <v>0</v>
      </c>
      <c r="AC167" s="19">
        <v>45107</v>
      </c>
      <c r="AD167" s="19"/>
    </row>
    <row r="168" spans="1:30" x14ac:dyDescent="0.25">
      <c r="A168" s="25">
        <v>10167</v>
      </c>
      <c r="B168" t="s">
        <v>190</v>
      </c>
      <c r="C168" t="s">
        <v>559</v>
      </c>
      <c r="D168" s="27" t="s">
        <v>516</v>
      </c>
      <c r="E168" s="27" t="str">
        <f t="shared" si="17"/>
        <v>?</v>
      </c>
      <c r="F168" s="118"/>
      <c r="G168" t="s">
        <v>20</v>
      </c>
      <c r="H168" s="24" t="s">
        <v>9</v>
      </c>
      <c r="I168">
        <v>2.6599999999999999E-2</v>
      </c>
      <c r="J168">
        <v>0.216</v>
      </c>
      <c r="K168">
        <v>3.0000000000000001E-3</v>
      </c>
      <c r="M168" s="140">
        <f t="shared" si="18"/>
        <v>0.05</v>
      </c>
      <c r="N168" s="140">
        <f t="shared" si="18"/>
        <v>0.216</v>
      </c>
      <c r="O168" s="140">
        <f t="shared" si="18"/>
        <v>0.05</v>
      </c>
      <c r="P168" s="140">
        <f t="shared" si="15"/>
        <v>0.05</v>
      </c>
      <c r="Q168" s="161" t="s">
        <v>676</v>
      </c>
      <c r="R168" s="125">
        <v>44.68</v>
      </c>
      <c r="S168" t="s">
        <v>676</v>
      </c>
      <c r="W168">
        <v>40.823822</v>
      </c>
      <c r="X168">
        <v>-86.794567000000001</v>
      </c>
      <c r="Y168">
        <v>6</v>
      </c>
      <c r="Z168">
        <v>30</v>
      </c>
      <c r="AA168">
        <v>2023</v>
      </c>
      <c r="AB168" t="b">
        <v>0</v>
      </c>
      <c r="AC168" s="19">
        <v>45107</v>
      </c>
      <c r="AD168" s="19"/>
    </row>
    <row r="169" spans="1:30" x14ac:dyDescent="0.25">
      <c r="A169" s="25">
        <v>10168</v>
      </c>
      <c r="B169" t="s">
        <v>191</v>
      </c>
      <c r="C169" t="s">
        <v>559</v>
      </c>
      <c r="D169" s="27" t="s">
        <v>516</v>
      </c>
      <c r="E169" s="27" t="str">
        <f t="shared" si="17"/>
        <v>?</v>
      </c>
      <c r="F169" s="118"/>
      <c r="G169" t="s">
        <v>20</v>
      </c>
      <c r="H169" s="24" t="s">
        <v>9</v>
      </c>
      <c r="I169">
        <v>0.35780000000000001</v>
      </c>
      <c r="J169">
        <v>0.14499999999999999</v>
      </c>
      <c r="K169">
        <v>7.2999999999999995E-2</v>
      </c>
      <c r="M169" s="140">
        <f t="shared" si="18"/>
        <v>0.35780000000000001</v>
      </c>
      <c r="N169" s="140">
        <f t="shared" si="18"/>
        <v>0.14499999999999999</v>
      </c>
      <c r="O169" s="140">
        <f t="shared" si="18"/>
        <v>0.05</v>
      </c>
      <c r="P169" s="140">
        <f t="shared" si="15"/>
        <v>0.05</v>
      </c>
      <c r="Q169" s="161" t="s">
        <v>676</v>
      </c>
      <c r="R169" s="125">
        <v>44.51</v>
      </c>
      <c r="S169" t="s">
        <v>676</v>
      </c>
      <c r="W169">
        <v>40.843389999999999</v>
      </c>
      <c r="X169">
        <v>-86.817490000000006</v>
      </c>
      <c r="Y169">
        <v>6</v>
      </c>
      <c r="Z169">
        <v>30</v>
      </c>
      <c r="AA169">
        <v>2023</v>
      </c>
      <c r="AB169" t="b">
        <v>0</v>
      </c>
      <c r="AC169" s="19">
        <v>45107</v>
      </c>
      <c r="AD169" s="19"/>
    </row>
    <row r="170" spans="1:30" x14ac:dyDescent="0.25">
      <c r="A170" s="25">
        <v>10169</v>
      </c>
      <c r="B170" t="s">
        <v>192</v>
      </c>
      <c r="C170" t="s">
        <v>560</v>
      </c>
      <c r="D170" s="27" t="s">
        <v>516</v>
      </c>
      <c r="E170" s="27" t="str">
        <f t="shared" si="17"/>
        <v>?</v>
      </c>
      <c r="F170" s="118"/>
      <c r="G170" t="s">
        <v>514</v>
      </c>
      <c r="H170" s="24" t="s">
        <v>9</v>
      </c>
      <c r="I170">
        <v>7.4999999999999997E-2</v>
      </c>
      <c r="J170">
        <v>0.54500000000000004</v>
      </c>
      <c r="K170">
        <v>-8.0000000000000002E-3</v>
      </c>
      <c r="M170" s="140">
        <f t="shared" si="18"/>
        <v>0.05</v>
      </c>
      <c r="N170" s="140">
        <f t="shared" si="18"/>
        <v>0.54500000000000004</v>
      </c>
      <c r="O170" s="140">
        <f t="shared" si="18"/>
        <v>0.05</v>
      </c>
      <c r="P170" s="140">
        <f t="shared" si="15"/>
        <v>0.05</v>
      </c>
      <c r="Q170" s="161" t="s">
        <v>676</v>
      </c>
      <c r="R170" s="125">
        <v>34.265000000000001</v>
      </c>
      <c r="S170" t="s">
        <v>676</v>
      </c>
      <c r="W170">
        <v>40.6937</v>
      </c>
      <c r="X170">
        <v>-86.767030000000005</v>
      </c>
      <c r="Y170">
        <v>6</v>
      </c>
      <c r="Z170">
        <v>30</v>
      </c>
      <c r="AA170">
        <v>2023</v>
      </c>
      <c r="AB170" t="b">
        <v>0</v>
      </c>
      <c r="AC170" s="19">
        <v>45107</v>
      </c>
      <c r="AD170" s="19"/>
    </row>
    <row r="171" spans="1:30" x14ac:dyDescent="0.25">
      <c r="A171" s="25">
        <v>10170</v>
      </c>
      <c r="B171" t="s">
        <v>193</v>
      </c>
      <c r="C171" t="s">
        <v>560</v>
      </c>
      <c r="D171" s="27" t="s">
        <v>516</v>
      </c>
      <c r="E171" s="27" t="str">
        <f t="shared" si="17"/>
        <v>?</v>
      </c>
      <c r="F171" s="118"/>
      <c r="G171" t="s">
        <v>514</v>
      </c>
      <c r="H171" s="24" t="s">
        <v>9</v>
      </c>
      <c r="I171">
        <v>7.17E-2</v>
      </c>
      <c r="J171">
        <v>0.498</v>
      </c>
      <c r="K171">
        <v>-8.0000000000000002E-3</v>
      </c>
      <c r="M171" s="140">
        <f t="shared" si="18"/>
        <v>0.05</v>
      </c>
      <c r="N171" s="140">
        <f t="shared" si="18"/>
        <v>0.498</v>
      </c>
      <c r="O171" s="140">
        <f t="shared" si="18"/>
        <v>0.05</v>
      </c>
      <c r="P171" s="140">
        <f t="shared" si="15"/>
        <v>0.05</v>
      </c>
      <c r="Q171" s="161" t="s">
        <v>676</v>
      </c>
      <c r="R171" s="125">
        <v>21.23</v>
      </c>
      <c r="S171" t="s">
        <v>676</v>
      </c>
      <c r="W171">
        <v>40.667830000000002</v>
      </c>
      <c r="X171">
        <v>-86.753209999999996</v>
      </c>
      <c r="Y171">
        <v>6</v>
      </c>
      <c r="Z171">
        <v>30</v>
      </c>
      <c r="AA171">
        <v>2023</v>
      </c>
      <c r="AB171" t="b">
        <v>0</v>
      </c>
      <c r="AC171" s="19">
        <v>45107</v>
      </c>
      <c r="AD171" s="19"/>
    </row>
    <row r="172" spans="1:30" x14ac:dyDescent="0.25">
      <c r="A172" s="25">
        <v>10171</v>
      </c>
      <c r="B172" t="s">
        <v>194</v>
      </c>
      <c r="C172" t="s">
        <v>560</v>
      </c>
      <c r="D172" s="27" t="s">
        <v>516</v>
      </c>
      <c r="E172" s="27" t="str">
        <f t="shared" si="17"/>
        <v>?</v>
      </c>
      <c r="F172" s="118"/>
      <c r="G172" t="s">
        <v>514</v>
      </c>
      <c r="H172" s="24" t="s">
        <v>9</v>
      </c>
      <c r="I172">
        <v>6.4899999999999999E-2</v>
      </c>
      <c r="J172">
        <v>0.45200000000000001</v>
      </c>
      <c r="K172">
        <v>-5.0000000000000001E-3</v>
      </c>
      <c r="L172">
        <v>5.8500000000000003E-2</v>
      </c>
      <c r="M172" s="140">
        <f t="shared" si="18"/>
        <v>0.05</v>
      </c>
      <c r="N172" s="140">
        <f t="shared" si="18"/>
        <v>0.45200000000000001</v>
      </c>
      <c r="O172" s="140">
        <f t="shared" si="18"/>
        <v>0.05</v>
      </c>
      <c r="P172" s="140">
        <f t="shared" si="15"/>
        <v>0.05</v>
      </c>
      <c r="Q172" s="161" t="s">
        <v>676</v>
      </c>
      <c r="R172" s="125">
        <v>28.41</v>
      </c>
      <c r="S172" t="s">
        <v>676</v>
      </c>
      <c r="W172">
        <v>40.680729999999997</v>
      </c>
      <c r="X172">
        <v>-86.752049999999997</v>
      </c>
      <c r="Y172">
        <v>6</v>
      </c>
      <c r="Z172">
        <v>30</v>
      </c>
      <c r="AA172">
        <v>2023</v>
      </c>
      <c r="AB172" t="b">
        <v>0</v>
      </c>
      <c r="AC172" s="19">
        <v>45107</v>
      </c>
      <c r="AD172" s="19"/>
    </row>
    <row r="173" spans="1:30" x14ac:dyDescent="0.25">
      <c r="A173" s="25">
        <v>10172</v>
      </c>
      <c r="B173" t="s">
        <v>195</v>
      </c>
      <c r="C173" t="s">
        <v>560</v>
      </c>
      <c r="D173" s="27" t="s">
        <v>516</v>
      </c>
      <c r="E173" s="27" t="str">
        <f t="shared" si="17"/>
        <v>?</v>
      </c>
      <c r="F173" s="118"/>
      <c r="G173" t="s">
        <v>514</v>
      </c>
      <c r="H173" s="24" t="s">
        <v>9</v>
      </c>
      <c r="I173">
        <v>9.9900000000000003E-2</v>
      </c>
      <c r="J173">
        <v>0.69599999999999995</v>
      </c>
      <c r="K173">
        <v>-4.0000000000000001E-3</v>
      </c>
      <c r="L173">
        <v>0.106</v>
      </c>
      <c r="M173" s="140">
        <f t="shared" si="18"/>
        <v>0.05</v>
      </c>
      <c r="N173" s="140">
        <f t="shared" si="18"/>
        <v>0.69599999999999995</v>
      </c>
      <c r="O173" s="140">
        <f t="shared" si="18"/>
        <v>0.05</v>
      </c>
      <c r="P173" s="140">
        <f t="shared" si="15"/>
        <v>0.106</v>
      </c>
      <c r="Q173" s="161" t="s">
        <v>676</v>
      </c>
      <c r="R173" s="125">
        <v>22.73</v>
      </c>
      <c r="S173" t="s">
        <v>676</v>
      </c>
      <c r="W173">
        <v>40.730890000000002</v>
      </c>
      <c r="X173">
        <v>-86.758020000000002</v>
      </c>
      <c r="Y173">
        <v>6</v>
      </c>
      <c r="Z173">
        <v>30</v>
      </c>
      <c r="AA173">
        <v>2023</v>
      </c>
      <c r="AB173" t="b">
        <v>0</v>
      </c>
      <c r="AC173" s="19">
        <v>45107</v>
      </c>
      <c r="AD173" s="19"/>
    </row>
    <row r="174" spans="1:30" x14ac:dyDescent="0.25">
      <c r="A174" s="25">
        <v>10173</v>
      </c>
      <c r="B174" t="s">
        <v>196</v>
      </c>
      <c r="C174" t="s">
        <v>560</v>
      </c>
      <c r="D174" s="27" t="s">
        <v>516</v>
      </c>
      <c r="E174" s="27" t="str">
        <f t="shared" si="17"/>
        <v>?</v>
      </c>
      <c r="F174" s="118"/>
      <c r="G174" t="s">
        <v>514</v>
      </c>
      <c r="H174" s="24" t="s">
        <v>9</v>
      </c>
      <c r="I174">
        <v>6.1499999999999999E-2</v>
      </c>
      <c r="J174">
        <v>0.85099999999999998</v>
      </c>
      <c r="K174">
        <v>-7.0000000000000001E-3</v>
      </c>
      <c r="L174">
        <v>7.3499999999999996E-2</v>
      </c>
      <c r="M174" s="140">
        <f t="shared" si="18"/>
        <v>0.05</v>
      </c>
      <c r="N174" s="140">
        <f t="shared" si="18"/>
        <v>0.85099999999999998</v>
      </c>
      <c r="O174" s="140">
        <f t="shared" si="18"/>
        <v>0.05</v>
      </c>
      <c r="P174" s="140">
        <f t="shared" si="15"/>
        <v>0.05</v>
      </c>
      <c r="Q174" s="161" t="s">
        <v>676</v>
      </c>
      <c r="R174" s="125">
        <v>10.984999999999999</v>
      </c>
      <c r="S174" t="s">
        <v>676</v>
      </c>
      <c r="W174">
        <v>40.745530000000002</v>
      </c>
      <c r="X174">
        <v>-86.757270000000005</v>
      </c>
      <c r="Y174">
        <v>6</v>
      </c>
      <c r="Z174">
        <v>30</v>
      </c>
      <c r="AA174">
        <v>2023</v>
      </c>
      <c r="AB174" t="b">
        <v>0</v>
      </c>
      <c r="AC174" s="19">
        <v>45107</v>
      </c>
      <c r="AD174" s="19"/>
    </row>
    <row r="175" spans="1:30" x14ac:dyDescent="0.25">
      <c r="A175" s="25">
        <v>10174</v>
      </c>
      <c r="B175" t="s">
        <v>197</v>
      </c>
      <c r="C175" t="s">
        <v>561</v>
      </c>
      <c r="D175" s="27" t="s">
        <v>516</v>
      </c>
      <c r="E175" s="27" t="str">
        <f t="shared" si="17"/>
        <v>?</v>
      </c>
      <c r="F175" s="118"/>
      <c r="G175" t="s">
        <v>22</v>
      </c>
      <c r="H175" s="24" t="s">
        <v>9</v>
      </c>
      <c r="I175">
        <v>2.6100000000000002E-2</v>
      </c>
      <c r="J175">
        <v>3.2589999999999999</v>
      </c>
      <c r="K175">
        <v>-5.0000000000000001E-3</v>
      </c>
      <c r="L175">
        <v>0.06</v>
      </c>
      <c r="M175" s="140">
        <f t="shared" si="18"/>
        <v>0.05</v>
      </c>
      <c r="N175" s="140">
        <f t="shared" si="18"/>
        <v>3.2589999999999999</v>
      </c>
      <c r="O175" s="140">
        <f t="shared" si="18"/>
        <v>0.05</v>
      </c>
      <c r="P175" s="140">
        <f t="shared" si="15"/>
        <v>0.05</v>
      </c>
      <c r="Q175" s="161" t="s">
        <v>676</v>
      </c>
      <c r="R175" s="125">
        <v>23.664999999999999</v>
      </c>
      <c r="S175" t="s">
        <v>676</v>
      </c>
      <c r="W175">
        <v>40.803319999999999</v>
      </c>
      <c r="X175">
        <v>-85.665239999999997</v>
      </c>
      <c r="Y175">
        <v>7</v>
      </c>
      <c r="Z175">
        <v>6</v>
      </c>
      <c r="AA175">
        <v>2023</v>
      </c>
      <c r="AB175" t="b">
        <v>0</v>
      </c>
      <c r="AC175" s="19">
        <v>45113</v>
      </c>
      <c r="AD175" s="19"/>
    </row>
    <row r="176" spans="1:30" x14ac:dyDescent="0.25">
      <c r="A176" s="25">
        <v>10175</v>
      </c>
      <c r="B176" t="s">
        <v>198</v>
      </c>
      <c r="C176" t="s">
        <v>561</v>
      </c>
      <c r="D176" s="27" t="s">
        <v>516</v>
      </c>
      <c r="E176" s="27" t="str">
        <f t="shared" si="17"/>
        <v>?</v>
      </c>
      <c r="F176" s="118"/>
      <c r="G176" t="s">
        <v>22</v>
      </c>
      <c r="H176" s="24" t="s">
        <v>9</v>
      </c>
      <c r="I176">
        <v>3.8699999999999998E-2</v>
      </c>
      <c r="J176">
        <v>3.4540000000000002</v>
      </c>
      <c r="K176">
        <v>-7.4999999999999997E-3</v>
      </c>
      <c r="L176">
        <v>4.2000000000000003E-2</v>
      </c>
      <c r="M176" s="140">
        <f t="shared" si="18"/>
        <v>0.05</v>
      </c>
      <c r="N176" s="140">
        <f t="shared" si="18"/>
        <v>3.4540000000000002</v>
      </c>
      <c r="O176" s="140">
        <f t="shared" si="18"/>
        <v>0.05</v>
      </c>
      <c r="P176" s="140">
        <f t="shared" si="15"/>
        <v>0.05</v>
      </c>
      <c r="Q176" s="161" t="s">
        <v>676</v>
      </c>
      <c r="R176" s="125">
        <v>22.465</v>
      </c>
      <c r="S176" t="s">
        <v>676</v>
      </c>
      <c r="W176">
        <v>40.792200000000001</v>
      </c>
      <c r="X176">
        <v>-85.66695</v>
      </c>
      <c r="Y176">
        <v>7</v>
      </c>
      <c r="Z176">
        <v>6</v>
      </c>
      <c r="AA176">
        <v>2023</v>
      </c>
      <c r="AB176" t="b">
        <v>0</v>
      </c>
      <c r="AC176" s="19">
        <v>45113</v>
      </c>
      <c r="AD176" s="19"/>
    </row>
    <row r="177" spans="1:30" x14ac:dyDescent="0.25">
      <c r="A177" s="25">
        <v>10176</v>
      </c>
      <c r="B177" t="s">
        <v>199</v>
      </c>
      <c r="C177" t="s">
        <v>561</v>
      </c>
      <c r="D177" s="27" t="s">
        <v>516</v>
      </c>
      <c r="E177" s="27" t="str">
        <f t="shared" si="17"/>
        <v>?</v>
      </c>
      <c r="F177" s="118"/>
      <c r="G177" t="s">
        <v>22</v>
      </c>
      <c r="H177" s="24" t="s">
        <v>9</v>
      </c>
      <c r="I177">
        <v>3.2199999999999999E-2</v>
      </c>
      <c r="J177">
        <v>3.1970000000000001</v>
      </c>
      <c r="K177">
        <v>-0.01</v>
      </c>
      <c r="L177">
        <v>5.7000000000000002E-2</v>
      </c>
      <c r="M177" s="140">
        <f t="shared" si="18"/>
        <v>0.05</v>
      </c>
      <c r="N177" s="140">
        <f t="shared" si="18"/>
        <v>3.1970000000000001</v>
      </c>
      <c r="O177" s="140">
        <f t="shared" si="18"/>
        <v>0.05</v>
      </c>
      <c r="P177" s="140">
        <f t="shared" si="15"/>
        <v>0.05</v>
      </c>
      <c r="Q177" s="161" t="s">
        <v>676</v>
      </c>
      <c r="R177" s="125">
        <v>25.46</v>
      </c>
      <c r="S177" t="s">
        <v>676</v>
      </c>
      <c r="W177">
        <v>40.772410000000001</v>
      </c>
      <c r="X177">
        <v>-85.639949999999999</v>
      </c>
      <c r="Y177">
        <v>7</v>
      </c>
      <c r="Z177">
        <v>6</v>
      </c>
      <c r="AA177">
        <v>2023</v>
      </c>
      <c r="AB177" t="b">
        <v>0</v>
      </c>
      <c r="AC177" s="19">
        <v>45113</v>
      </c>
      <c r="AD177" s="19"/>
    </row>
    <row r="178" spans="1:30" x14ac:dyDescent="0.25">
      <c r="A178" s="25">
        <v>10177</v>
      </c>
      <c r="B178" t="s">
        <v>200</v>
      </c>
      <c r="C178" t="s">
        <v>561</v>
      </c>
      <c r="D178" s="27" t="s">
        <v>516</v>
      </c>
      <c r="E178" s="27" t="str">
        <f t="shared" si="17"/>
        <v>?</v>
      </c>
      <c r="F178" s="118"/>
      <c r="G178" t="s">
        <v>22</v>
      </c>
      <c r="H178" s="24" t="s">
        <v>9</v>
      </c>
      <c r="I178">
        <v>3.5233333333333297E-2</v>
      </c>
      <c r="J178">
        <v>3.1539999999999901</v>
      </c>
      <c r="K178">
        <v>-9.3333333333333393E-3</v>
      </c>
      <c r="L178">
        <v>5.2999999999999999E-2</v>
      </c>
      <c r="M178" s="140">
        <f t="shared" ref="M178:O193" si="19">IF(I178&lt;0.1,0.05,I178)</f>
        <v>0.05</v>
      </c>
      <c r="N178" s="140">
        <f t="shared" si="19"/>
        <v>3.1539999999999901</v>
      </c>
      <c r="O178" s="140">
        <f t="shared" si="19"/>
        <v>0.05</v>
      </c>
      <c r="P178" s="140">
        <f t="shared" si="15"/>
        <v>0.05</v>
      </c>
      <c r="Q178" s="161" t="s">
        <v>676</v>
      </c>
      <c r="R178" s="125">
        <v>15.13</v>
      </c>
      <c r="S178" t="s">
        <v>676</v>
      </c>
      <c r="W178">
        <v>40.777529999999999</v>
      </c>
      <c r="X178">
        <v>-85.646129999999999</v>
      </c>
      <c r="Y178">
        <v>7</v>
      </c>
      <c r="Z178">
        <v>6</v>
      </c>
      <c r="AA178">
        <v>2023</v>
      </c>
      <c r="AB178" t="b">
        <v>0</v>
      </c>
      <c r="AC178" s="19">
        <v>45113</v>
      </c>
      <c r="AD178" s="19"/>
    </row>
    <row r="179" spans="1:30" x14ac:dyDescent="0.25">
      <c r="A179" s="25">
        <v>10178</v>
      </c>
      <c r="B179" t="s">
        <v>201</v>
      </c>
      <c r="C179" t="s">
        <v>561</v>
      </c>
      <c r="D179" s="27" t="s">
        <v>516</v>
      </c>
      <c r="E179" s="27" t="str">
        <f t="shared" si="17"/>
        <v>?</v>
      </c>
      <c r="F179" s="118"/>
      <c r="G179" t="s">
        <v>22</v>
      </c>
      <c r="H179" s="24" t="s">
        <v>9</v>
      </c>
      <c r="L179">
        <v>5.8500000000000003E-2</v>
      </c>
      <c r="M179" s="140">
        <f t="shared" si="19"/>
        <v>0.05</v>
      </c>
      <c r="N179" s="140">
        <f t="shared" si="19"/>
        <v>0.05</v>
      </c>
      <c r="O179" s="140">
        <f t="shared" si="19"/>
        <v>0.05</v>
      </c>
      <c r="P179" s="140">
        <f t="shared" si="15"/>
        <v>0.05</v>
      </c>
      <c r="Q179" s="161" t="s">
        <v>676</v>
      </c>
      <c r="R179" s="125">
        <v>37.715000000000003</v>
      </c>
      <c r="S179" t="s">
        <v>676</v>
      </c>
      <c r="W179">
        <v>40.77908</v>
      </c>
      <c r="X179">
        <v>-85.63494</v>
      </c>
      <c r="Y179">
        <v>7</v>
      </c>
      <c r="Z179">
        <v>6</v>
      </c>
      <c r="AA179">
        <v>2023</v>
      </c>
      <c r="AB179" t="b">
        <v>0</v>
      </c>
      <c r="AC179" s="19">
        <v>45113</v>
      </c>
      <c r="AD179" s="19"/>
    </row>
    <row r="180" spans="1:30" x14ac:dyDescent="0.25">
      <c r="A180" s="25">
        <v>10179</v>
      </c>
      <c r="B180" t="s">
        <v>202</v>
      </c>
      <c r="C180" t="s">
        <v>561</v>
      </c>
      <c r="D180" s="27" t="s">
        <v>516</v>
      </c>
      <c r="E180" s="27" t="str">
        <f t="shared" si="17"/>
        <v>?</v>
      </c>
      <c r="F180" s="118"/>
      <c r="G180" t="s">
        <v>22</v>
      </c>
      <c r="H180" s="24" t="s">
        <v>9</v>
      </c>
      <c r="I180">
        <v>4.24E-2</v>
      </c>
      <c r="J180">
        <v>3.0030000000000001</v>
      </c>
      <c r="K180">
        <v>-1.0999999999999999E-2</v>
      </c>
      <c r="L180">
        <v>4.0500000000000001E-2</v>
      </c>
      <c r="M180" s="140">
        <f t="shared" si="19"/>
        <v>0.05</v>
      </c>
      <c r="N180" s="140">
        <f t="shared" si="19"/>
        <v>3.0030000000000001</v>
      </c>
      <c r="O180" s="140">
        <f t="shared" si="19"/>
        <v>0.05</v>
      </c>
      <c r="P180" s="140">
        <f t="shared" si="15"/>
        <v>0.05</v>
      </c>
      <c r="Q180" s="161" t="s">
        <v>676</v>
      </c>
      <c r="R180" s="125">
        <v>23.64</v>
      </c>
      <c r="S180" t="s">
        <v>676</v>
      </c>
      <c r="W180">
        <v>40.77243</v>
      </c>
      <c r="X180">
        <v>-85.605029999999999</v>
      </c>
      <c r="Y180">
        <v>7</v>
      </c>
      <c r="Z180">
        <v>6</v>
      </c>
      <c r="AA180">
        <v>2023</v>
      </c>
      <c r="AB180" t="b">
        <v>0</v>
      </c>
      <c r="AC180" s="19">
        <v>45113</v>
      </c>
      <c r="AD180" s="19"/>
    </row>
    <row r="181" spans="1:30" x14ac:dyDescent="0.25">
      <c r="A181" s="25">
        <v>10180</v>
      </c>
      <c r="B181" t="s">
        <v>203</v>
      </c>
      <c r="C181" t="s">
        <v>561</v>
      </c>
      <c r="D181" s="27" t="s">
        <v>516</v>
      </c>
      <c r="E181" s="27" t="str">
        <f t="shared" si="17"/>
        <v>?</v>
      </c>
      <c r="F181" s="118"/>
      <c r="G181" t="s">
        <v>22</v>
      </c>
      <c r="H181" s="24" t="s">
        <v>9</v>
      </c>
      <c r="I181">
        <v>4.9799999999999997E-2</v>
      </c>
      <c r="J181">
        <v>3.6440000000000001</v>
      </c>
      <c r="K181">
        <v>-1.2E-2</v>
      </c>
      <c r="L181">
        <v>6.5500000000000003E-2</v>
      </c>
      <c r="M181" s="140">
        <f t="shared" si="19"/>
        <v>0.05</v>
      </c>
      <c r="N181" s="140">
        <f t="shared" si="19"/>
        <v>3.6440000000000001</v>
      </c>
      <c r="O181" s="140">
        <f t="shared" si="19"/>
        <v>0.05</v>
      </c>
      <c r="P181" s="140">
        <f t="shared" si="15"/>
        <v>0.05</v>
      </c>
      <c r="Q181" s="161" t="s">
        <v>676</v>
      </c>
      <c r="R181" s="125">
        <v>42.685000000000002</v>
      </c>
      <c r="S181" t="s">
        <v>676</v>
      </c>
      <c r="W181">
        <v>40.751190000000001</v>
      </c>
      <c r="X181">
        <v>-85.581530000000001</v>
      </c>
      <c r="Y181">
        <v>7</v>
      </c>
      <c r="Z181">
        <v>6</v>
      </c>
      <c r="AA181">
        <v>2023</v>
      </c>
      <c r="AB181" t="b">
        <v>0</v>
      </c>
      <c r="AC181" s="19">
        <v>45113</v>
      </c>
      <c r="AD181" s="19"/>
    </row>
    <row r="182" spans="1:30" x14ac:dyDescent="0.25">
      <c r="A182" s="25">
        <v>10181</v>
      </c>
      <c r="B182" t="s">
        <v>204</v>
      </c>
      <c r="C182" t="s">
        <v>204</v>
      </c>
      <c r="D182" s="27">
        <v>2101</v>
      </c>
      <c r="E182" s="27">
        <v>1</v>
      </c>
      <c r="F182" s="118">
        <v>5999</v>
      </c>
      <c r="G182" t="s">
        <v>19</v>
      </c>
      <c r="H182" s="24" t="s">
        <v>8</v>
      </c>
      <c r="I182">
        <v>1.6899999999999998E-2</v>
      </c>
      <c r="J182">
        <v>3.8610000000000002</v>
      </c>
      <c r="K182">
        <v>-5.0000000000000001E-3</v>
      </c>
      <c r="L182">
        <v>3.85E-2</v>
      </c>
      <c r="M182" s="140">
        <f t="shared" si="19"/>
        <v>0.05</v>
      </c>
      <c r="N182" s="140">
        <f t="shared" si="19"/>
        <v>3.8610000000000002</v>
      </c>
      <c r="O182" s="140">
        <f t="shared" si="19"/>
        <v>0.05</v>
      </c>
      <c r="P182" s="140">
        <f t="shared" si="15"/>
        <v>0.05</v>
      </c>
      <c r="Q182" s="161" t="s">
        <v>676</v>
      </c>
      <c r="R182" s="125">
        <v>35.71</v>
      </c>
      <c r="S182" t="s">
        <v>676</v>
      </c>
      <c r="W182">
        <v>40.680888000000003</v>
      </c>
      <c r="X182">
        <v>-85.889013000000006</v>
      </c>
      <c r="Y182">
        <v>7</v>
      </c>
      <c r="Z182">
        <v>11</v>
      </c>
      <c r="AA182">
        <v>2023</v>
      </c>
      <c r="AB182" t="b">
        <v>0</v>
      </c>
      <c r="AC182" s="19">
        <v>45118</v>
      </c>
      <c r="AD182" s="19"/>
    </row>
    <row r="183" spans="1:30" x14ac:dyDescent="0.25">
      <c r="A183" s="25">
        <v>10182</v>
      </c>
      <c r="B183" t="s">
        <v>205</v>
      </c>
      <c r="C183" t="s">
        <v>205</v>
      </c>
      <c r="D183" s="27">
        <v>2102</v>
      </c>
      <c r="E183" s="27">
        <v>2</v>
      </c>
      <c r="F183" s="118">
        <v>8861</v>
      </c>
      <c r="G183" t="s">
        <v>19</v>
      </c>
      <c r="H183" s="24" t="s">
        <v>8</v>
      </c>
      <c r="I183">
        <v>2.8400000000000002E-2</v>
      </c>
      <c r="J183">
        <v>4.1900000000000004</v>
      </c>
      <c r="K183">
        <v>-1.2E-2</v>
      </c>
      <c r="L183">
        <v>4.8500000000000001E-2</v>
      </c>
      <c r="M183" s="140">
        <f t="shared" si="19"/>
        <v>0.05</v>
      </c>
      <c r="N183" s="140">
        <f t="shared" si="19"/>
        <v>4.1900000000000004</v>
      </c>
      <c r="O183" s="140">
        <f t="shared" si="19"/>
        <v>0.05</v>
      </c>
      <c r="P183" s="140">
        <f t="shared" si="15"/>
        <v>0.05</v>
      </c>
      <c r="Q183" s="161" t="s">
        <v>676</v>
      </c>
      <c r="R183" s="125">
        <v>33.125</v>
      </c>
      <c r="S183" t="s">
        <v>676</v>
      </c>
      <c r="W183">
        <v>40.678037000000003</v>
      </c>
      <c r="X183">
        <v>-85.87621</v>
      </c>
      <c r="Y183">
        <v>7</v>
      </c>
      <c r="Z183">
        <v>11</v>
      </c>
      <c r="AA183">
        <v>2023</v>
      </c>
      <c r="AB183" t="b">
        <v>0</v>
      </c>
      <c r="AC183" s="19">
        <v>45118</v>
      </c>
      <c r="AD183" s="19"/>
    </row>
    <row r="184" spans="1:30" x14ac:dyDescent="0.25">
      <c r="A184" s="25">
        <v>10183</v>
      </c>
      <c r="B184" t="s">
        <v>206</v>
      </c>
      <c r="C184" t="s">
        <v>206</v>
      </c>
      <c r="D184" s="27">
        <v>2103</v>
      </c>
      <c r="E184" s="27">
        <v>3</v>
      </c>
      <c r="F184" s="118">
        <v>9921</v>
      </c>
      <c r="G184" t="s">
        <v>19</v>
      </c>
      <c r="H184" s="24" t="s">
        <v>8</v>
      </c>
      <c r="I184">
        <v>9.2999999999999992E-3</v>
      </c>
      <c r="J184">
        <v>4.6559999999999997</v>
      </c>
      <c r="K184">
        <v>-0.01</v>
      </c>
      <c r="L184">
        <v>4.3999999999999997E-2</v>
      </c>
      <c r="M184" s="140">
        <f t="shared" si="19"/>
        <v>0.05</v>
      </c>
      <c r="N184" s="140">
        <f t="shared" si="19"/>
        <v>4.6559999999999997</v>
      </c>
      <c r="O184" s="140">
        <f t="shared" si="19"/>
        <v>0.05</v>
      </c>
      <c r="P184" s="140">
        <f t="shared" si="15"/>
        <v>0.05</v>
      </c>
      <c r="Q184" s="161" t="s">
        <v>676</v>
      </c>
      <c r="R184" s="125">
        <v>33.274999999999999</v>
      </c>
      <c r="S184" t="s">
        <v>676</v>
      </c>
      <c r="W184">
        <v>40.671593999999999</v>
      </c>
      <c r="X184">
        <v>-85.868559000000005</v>
      </c>
      <c r="Y184">
        <v>7</v>
      </c>
      <c r="Z184">
        <v>11</v>
      </c>
      <c r="AA184">
        <v>2023</v>
      </c>
      <c r="AB184" t="b">
        <v>0</v>
      </c>
      <c r="AC184" s="19">
        <v>45118</v>
      </c>
      <c r="AD184" s="19"/>
    </row>
    <row r="185" spans="1:30" x14ac:dyDescent="0.25">
      <c r="A185" s="25">
        <v>10184</v>
      </c>
      <c r="B185" t="s">
        <v>207</v>
      </c>
      <c r="C185" t="s">
        <v>207</v>
      </c>
      <c r="D185" s="27">
        <v>2104</v>
      </c>
      <c r="E185" s="27">
        <v>4</v>
      </c>
      <c r="F185" s="118">
        <v>10891</v>
      </c>
      <c r="G185" t="s">
        <v>19</v>
      </c>
      <c r="H185" s="24" t="s">
        <v>8</v>
      </c>
      <c r="I185">
        <v>1.2E-2</v>
      </c>
      <c r="J185">
        <v>5.915</v>
      </c>
      <c r="K185">
        <v>-0.01</v>
      </c>
      <c r="L185">
        <v>6.0999999999999999E-2</v>
      </c>
      <c r="M185" s="140">
        <f t="shared" si="19"/>
        <v>0.05</v>
      </c>
      <c r="N185" s="140">
        <f t="shared" si="19"/>
        <v>5.915</v>
      </c>
      <c r="O185" s="140">
        <f t="shared" si="19"/>
        <v>0.05</v>
      </c>
      <c r="P185" s="140">
        <f t="shared" si="15"/>
        <v>0.05</v>
      </c>
      <c r="Q185" s="161" t="s">
        <v>676</v>
      </c>
      <c r="R185" s="125">
        <v>21.51</v>
      </c>
      <c r="S185" t="s">
        <v>676</v>
      </c>
      <c r="W185">
        <v>40.663654000000001</v>
      </c>
      <c r="X185">
        <v>-85.864614000000003</v>
      </c>
      <c r="Y185">
        <v>7</v>
      </c>
      <c r="Z185">
        <v>11</v>
      </c>
      <c r="AA185">
        <v>2023</v>
      </c>
      <c r="AB185" t="b">
        <v>0</v>
      </c>
      <c r="AC185" s="19">
        <v>45118</v>
      </c>
      <c r="AD185" s="19"/>
    </row>
    <row r="186" spans="1:30" x14ac:dyDescent="0.25">
      <c r="A186" s="25">
        <v>10185</v>
      </c>
      <c r="B186" t="s">
        <v>208</v>
      </c>
      <c r="C186" t="s">
        <v>208</v>
      </c>
      <c r="D186" s="27">
        <v>2105</v>
      </c>
      <c r="E186" s="27">
        <v>5</v>
      </c>
      <c r="F186" s="118">
        <v>12821</v>
      </c>
      <c r="G186" t="s">
        <v>19</v>
      </c>
      <c r="H186" s="24" t="s">
        <v>8</v>
      </c>
      <c r="I186">
        <v>2.2800000000000001E-2</v>
      </c>
      <c r="J186">
        <v>6.2850000000000001</v>
      </c>
      <c r="K186">
        <v>-7.0000000000000001E-3</v>
      </c>
      <c r="L186">
        <v>0.09</v>
      </c>
      <c r="M186" s="140">
        <f t="shared" si="19"/>
        <v>0.05</v>
      </c>
      <c r="N186" s="140">
        <f t="shared" si="19"/>
        <v>6.2850000000000001</v>
      </c>
      <c r="O186" s="140">
        <f t="shared" si="19"/>
        <v>0.05</v>
      </c>
      <c r="P186" s="140">
        <f t="shared" si="15"/>
        <v>0.05</v>
      </c>
      <c r="Q186" s="161" t="s">
        <v>676</v>
      </c>
      <c r="R186" s="125">
        <v>34.524999999999999</v>
      </c>
      <c r="S186" t="s">
        <v>676</v>
      </c>
      <c r="W186">
        <v>40.669330000000002</v>
      </c>
      <c r="X186">
        <v>-85.845554000000007</v>
      </c>
      <c r="Y186">
        <v>7</v>
      </c>
      <c r="Z186">
        <v>11</v>
      </c>
      <c r="AA186">
        <v>2023</v>
      </c>
      <c r="AB186" t="b">
        <v>0</v>
      </c>
      <c r="AC186" s="19">
        <v>45118</v>
      </c>
      <c r="AD186" s="19"/>
    </row>
    <row r="187" spans="1:30" x14ac:dyDescent="0.25">
      <c r="A187" s="25">
        <v>10186</v>
      </c>
      <c r="B187" t="s">
        <v>209</v>
      </c>
      <c r="C187" t="s">
        <v>209</v>
      </c>
      <c r="D187" s="27">
        <v>2106</v>
      </c>
      <c r="E187" s="27">
        <v>6</v>
      </c>
      <c r="F187" s="118">
        <v>14351</v>
      </c>
      <c r="G187" t="s">
        <v>19</v>
      </c>
      <c r="H187" s="24" t="s">
        <v>8</v>
      </c>
      <c r="I187">
        <v>4.8300000000000003E-2</v>
      </c>
      <c r="J187">
        <v>5.734</v>
      </c>
      <c r="K187">
        <v>2E-3</v>
      </c>
      <c r="L187">
        <v>8.5500000000000007E-2</v>
      </c>
      <c r="M187" s="140">
        <f t="shared" si="19"/>
        <v>0.05</v>
      </c>
      <c r="N187" s="140">
        <f t="shared" si="19"/>
        <v>5.734</v>
      </c>
      <c r="O187" s="140">
        <f t="shared" si="19"/>
        <v>0.05</v>
      </c>
      <c r="P187" s="140">
        <f t="shared" si="15"/>
        <v>0.05</v>
      </c>
      <c r="Q187" s="161" t="s">
        <v>676</v>
      </c>
      <c r="R187" s="125">
        <v>30.094999999999999</v>
      </c>
      <c r="S187" t="s">
        <v>676</v>
      </c>
      <c r="W187">
        <v>40.674351999999999</v>
      </c>
      <c r="X187">
        <v>-85.830181999999994</v>
      </c>
      <c r="Y187">
        <v>7</v>
      </c>
      <c r="Z187">
        <v>11</v>
      </c>
      <c r="AA187">
        <v>2023</v>
      </c>
      <c r="AB187" t="b">
        <v>0</v>
      </c>
      <c r="AC187" s="19">
        <v>45118</v>
      </c>
      <c r="AD187" s="19"/>
    </row>
    <row r="188" spans="1:30" x14ac:dyDescent="0.25">
      <c r="A188" s="25">
        <v>10187</v>
      </c>
      <c r="B188" t="s">
        <v>210</v>
      </c>
      <c r="C188" t="s">
        <v>210</v>
      </c>
      <c r="D188" s="27">
        <v>2107</v>
      </c>
      <c r="E188" s="27">
        <v>7</v>
      </c>
      <c r="F188" s="118">
        <v>6411</v>
      </c>
      <c r="G188" t="s">
        <v>19</v>
      </c>
      <c r="H188" s="24" t="s">
        <v>8</v>
      </c>
      <c r="I188">
        <v>3.8600000000000002E-2</v>
      </c>
      <c r="J188">
        <v>3.899</v>
      </c>
      <c r="K188">
        <v>-8.0000000000000002E-3</v>
      </c>
      <c r="L188">
        <v>5.2249999999999998E-2</v>
      </c>
      <c r="M188" s="140">
        <f t="shared" si="19"/>
        <v>0.05</v>
      </c>
      <c r="N188" s="140">
        <f t="shared" si="19"/>
        <v>3.899</v>
      </c>
      <c r="O188" s="140">
        <f t="shared" si="19"/>
        <v>0.05</v>
      </c>
      <c r="P188" s="140">
        <f t="shared" si="15"/>
        <v>0.05</v>
      </c>
      <c r="Q188" s="161" t="s">
        <v>676</v>
      </c>
      <c r="R188" s="125">
        <v>40.11</v>
      </c>
      <c r="S188" t="s">
        <v>676</v>
      </c>
      <c r="W188">
        <v>40.689431999999996</v>
      </c>
      <c r="X188">
        <v>-85.896206000000006</v>
      </c>
      <c r="Y188">
        <v>7</v>
      </c>
      <c r="Z188">
        <v>11</v>
      </c>
      <c r="AA188">
        <v>2023</v>
      </c>
      <c r="AB188" t="b">
        <v>0</v>
      </c>
      <c r="AC188" s="19">
        <v>45118</v>
      </c>
      <c r="AD188" s="19"/>
    </row>
    <row r="189" spans="1:30" x14ac:dyDescent="0.25">
      <c r="A189" s="25">
        <v>10188</v>
      </c>
      <c r="B189" t="s">
        <v>211</v>
      </c>
      <c r="C189" t="s">
        <v>211</v>
      </c>
      <c r="D189" s="27">
        <v>2108</v>
      </c>
      <c r="E189" s="27">
        <v>8</v>
      </c>
      <c r="F189" s="118">
        <v>5401</v>
      </c>
      <c r="G189" t="s">
        <v>19</v>
      </c>
      <c r="H189" s="24" t="s">
        <v>8</v>
      </c>
      <c r="I189">
        <v>1.4200000000000001E-2</v>
      </c>
      <c r="J189">
        <v>3.3860000000000001</v>
      </c>
      <c r="K189">
        <v>-4.0000000000000001E-3</v>
      </c>
      <c r="L189">
        <v>4.9000000000000002E-2</v>
      </c>
      <c r="M189" s="140">
        <f t="shared" si="19"/>
        <v>0.05</v>
      </c>
      <c r="N189" s="140">
        <f t="shared" si="19"/>
        <v>3.3860000000000001</v>
      </c>
      <c r="O189" s="140">
        <f t="shared" si="19"/>
        <v>0.05</v>
      </c>
      <c r="P189" s="140">
        <f t="shared" si="15"/>
        <v>0.05</v>
      </c>
      <c r="Q189" s="161" t="s">
        <v>676</v>
      </c>
      <c r="R189" s="125">
        <v>35.25</v>
      </c>
      <c r="S189" t="s">
        <v>676</v>
      </c>
      <c r="W189">
        <v>40.694125999999997</v>
      </c>
      <c r="X189">
        <v>-85.906412000000003</v>
      </c>
      <c r="Y189">
        <v>7</v>
      </c>
      <c r="Z189">
        <v>11</v>
      </c>
      <c r="AA189">
        <v>2023</v>
      </c>
      <c r="AB189" t="b">
        <v>0</v>
      </c>
      <c r="AC189" s="19">
        <v>45118</v>
      </c>
      <c r="AD189" s="19"/>
    </row>
    <row r="190" spans="1:30" x14ac:dyDescent="0.25">
      <c r="A190" s="25">
        <v>10189</v>
      </c>
      <c r="B190" t="s">
        <v>212</v>
      </c>
      <c r="C190" t="s">
        <v>212</v>
      </c>
      <c r="D190" s="27">
        <v>2109</v>
      </c>
      <c r="E190" s="27">
        <v>9</v>
      </c>
      <c r="F190" s="118">
        <v>4381</v>
      </c>
      <c r="G190" t="s">
        <v>19</v>
      </c>
      <c r="H190" s="24" t="s">
        <v>8</v>
      </c>
      <c r="I190">
        <v>3.1199999999999999E-2</v>
      </c>
      <c r="J190">
        <v>3.4590000000000001</v>
      </c>
      <c r="K190">
        <v>-1.2E-2</v>
      </c>
      <c r="L190">
        <v>3.9E-2</v>
      </c>
      <c r="M190" s="140">
        <f t="shared" si="19"/>
        <v>0.05</v>
      </c>
      <c r="N190" s="140">
        <f t="shared" si="19"/>
        <v>3.4590000000000001</v>
      </c>
      <c r="O190" s="140">
        <f t="shared" si="19"/>
        <v>0.05</v>
      </c>
      <c r="P190" s="140">
        <f t="shared" si="15"/>
        <v>0.05</v>
      </c>
      <c r="Q190" s="161" t="s">
        <v>676</v>
      </c>
      <c r="R190" s="125">
        <v>35.354999999999997</v>
      </c>
      <c r="S190" t="s">
        <v>676</v>
      </c>
      <c r="W190">
        <v>40.703916</v>
      </c>
      <c r="X190">
        <v>-85.928926000000004</v>
      </c>
      <c r="Y190">
        <v>7</v>
      </c>
      <c r="Z190">
        <v>11</v>
      </c>
      <c r="AA190">
        <v>2023</v>
      </c>
      <c r="AB190" t="b">
        <v>0</v>
      </c>
      <c r="AC190" s="19">
        <v>45118</v>
      </c>
      <c r="AD190" s="19"/>
    </row>
    <row r="191" spans="1:30" x14ac:dyDescent="0.25">
      <c r="A191" s="25">
        <v>10190</v>
      </c>
      <c r="B191" t="s">
        <v>213</v>
      </c>
      <c r="C191" t="s">
        <v>213</v>
      </c>
      <c r="D191" s="27">
        <v>2110</v>
      </c>
      <c r="E191" s="27">
        <v>10</v>
      </c>
      <c r="F191" s="118">
        <v>2851</v>
      </c>
      <c r="G191" t="s">
        <v>19</v>
      </c>
      <c r="H191" s="24" t="s">
        <v>8</v>
      </c>
      <c r="I191">
        <v>1.43E-2</v>
      </c>
      <c r="J191">
        <v>3.464</v>
      </c>
      <c r="K191">
        <v>-0.01</v>
      </c>
      <c r="L191">
        <v>3.9750000000000001E-2</v>
      </c>
      <c r="M191" s="140">
        <f t="shared" si="19"/>
        <v>0.05</v>
      </c>
      <c r="N191" s="140">
        <f t="shared" si="19"/>
        <v>3.464</v>
      </c>
      <c r="O191" s="140">
        <f t="shared" si="19"/>
        <v>0.05</v>
      </c>
      <c r="P191" s="140">
        <f t="shared" si="15"/>
        <v>0.05</v>
      </c>
      <c r="Q191" s="161" t="s">
        <v>676</v>
      </c>
      <c r="R191" s="125">
        <v>36.89</v>
      </c>
      <c r="S191" t="s">
        <v>676</v>
      </c>
      <c r="W191">
        <v>40.694209999999998</v>
      </c>
      <c r="X191">
        <v>-85.918417000000005</v>
      </c>
      <c r="Y191">
        <v>7</v>
      </c>
      <c r="Z191">
        <v>11</v>
      </c>
      <c r="AA191">
        <v>2023</v>
      </c>
      <c r="AB191" t="b">
        <v>0</v>
      </c>
      <c r="AC191" s="19">
        <v>45118</v>
      </c>
      <c r="AD191" s="19"/>
    </row>
    <row r="192" spans="1:30" x14ac:dyDescent="0.25">
      <c r="A192" s="25">
        <v>10191</v>
      </c>
      <c r="B192" s="26" t="s">
        <v>214</v>
      </c>
      <c r="C192" s="26" t="s">
        <v>562</v>
      </c>
      <c r="D192" s="30" t="s">
        <v>516</v>
      </c>
      <c r="E192" s="30" t="str">
        <f t="shared" ref="E192:E207" si="20">RIGHT(D192,2)</f>
        <v>?</v>
      </c>
      <c r="F192" s="118"/>
      <c r="G192" s="26" t="s">
        <v>20</v>
      </c>
      <c r="H192" s="66" t="s">
        <v>9</v>
      </c>
      <c r="I192" s="26">
        <v>4.2099999999999999E-2</v>
      </c>
      <c r="J192" s="26">
        <v>1.48</v>
      </c>
      <c r="K192" s="26">
        <v>-2E-3</v>
      </c>
      <c r="L192" s="26">
        <v>8.4750000000000006E-2</v>
      </c>
      <c r="M192" s="140">
        <f t="shared" si="19"/>
        <v>0.05</v>
      </c>
      <c r="N192" s="140">
        <f t="shared" si="19"/>
        <v>1.48</v>
      </c>
      <c r="O192" s="140">
        <f t="shared" si="19"/>
        <v>0.05</v>
      </c>
      <c r="P192" s="140">
        <f t="shared" si="15"/>
        <v>0.05</v>
      </c>
      <c r="Q192" s="162">
        <v>3.0000000000000001E-3</v>
      </c>
      <c r="R192" s="128">
        <v>38.950000000000003</v>
      </c>
      <c r="S192" t="s">
        <v>676</v>
      </c>
      <c r="W192">
        <v>40.808892</v>
      </c>
      <c r="X192">
        <v>-86.794427999999996</v>
      </c>
      <c r="Y192">
        <v>7</v>
      </c>
      <c r="Z192">
        <v>13</v>
      </c>
      <c r="AA192">
        <v>2023</v>
      </c>
      <c r="AB192" t="b">
        <v>0</v>
      </c>
      <c r="AC192" s="19">
        <v>45120</v>
      </c>
      <c r="AD192" s="19"/>
    </row>
    <row r="193" spans="1:30" x14ac:dyDescent="0.25">
      <c r="A193" s="25">
        <v>10192</v>
      </c>
      <c r="B193" s="26" t="s">
        <v>215</v>
      </c>
      <c r="C193" s="26" t="s">
        <v>562</v>
      </c>
      <c r="D193" s="30" t="s">
        <v>516</v>
      </c>
      <c r="E193" s="30" t="str">
        <f t="shared" si="20"/>
        <v>?</v>
      </c>
      <c r="F193" s="118"/>
      <c r="G193" s="26" t="s">
        <v>20</v>
      </c>
      <c r="H193" s="66" t="s">
        <v>9</v>
      </c>
      <c r="I193" s="26">
        <v>1.5599999999999999E-2</v>
      </c>
      <c r="J193" s="26">
        <v>0.51100000000000001</v>
      </c>
      <c r="K193" s="26">
        <v>-8.0000000000000002E-3</v>
      </c>
      <c r="L193" s="26">
        <v>0.11225</v>
      </c>
      <c r="M193" s="140">
        <f t="shared" si="19"/>
        <v>0.05</v>
      </c>
      <c r="N193" s="140">
        <f t="shared" si="19"/>
        <v>0.51100000000000001</v>
      </c>
      <c r="O193" s="140">
        <f t="shared" si="19"/>
        <v>0.05</v>
      </c>
      <c r="P193" s="140">
        <f t="shared" si="15"/>
        <v>0.11225</v>
      </c>
      <c r="Q193" s="162">
        <v>2.5999999999999999E-2</v>
      </c>
      <c r="R193" s="128">
        <v>94.53</v>
      </c>
      <c r="S193" t="s">
        <v>676</v>
      </c>
      <c r="W193">
        <v>40.823616000000001</v>
      </c>
      <c r="X193">
        <v>-86.794668000000001</v>
      </c>
      <c r="Y193">
        <v>7</v>
      </c>
      <c r="Z193">
        <v>13</v>
      </c>
      <c r="AA193">
        <v>2023</v>
      </c>
      <c r="AB193" t="b">
        <v>0</v>
      </c>
      <c r="AC193" s="19">
        <v>45120</v>
      </c>
      <c r="AD193" s="19"/>
    </row>
    <row r="194" spans="1:30" x14ac:dyDescent="0.25">
      <c r="A194" s="25">
        <v>10193</v>
      </c>
      <c r="B194" s="26" t="s">
        <v>216</v>
      </c>
      <c r="C194" s="26" t="s">
        <v>562</v>
      </c>
      <c r="D194" s="30" t="s">
        <v>516</v>
      </c>
      <c r="E194" s="30" t="str">
        <f t="shared" si="20"/>
        <v>?</v>
      </c>
      <c r="F194" s="118"/>
      <c r="G194" s="26" t="s">
        <v>20</v>
      </c>
      <c r="H194" s="66" t="s">
        <v>9</v>
      </c>
      <c r="I194" s="26">
        <v>4.6783999999999999</v>
      </c>
      <c r="J194" s="26">
        <v>0.04</v>
      </c>
      <c r="K194" s="26">
        <v>1.44</v>
      </c>
      <c r="L194" s="26">
        <v>36.991999999999997</v>
      </c>
      <c r="M194" s="140">
        <f t="shared" ref="M194:O209" si="21">IF(I194&lt;0.1,0.05,I194)</f>
        <v>4.6783999999999999</v>
      </c>
      <c r="N194" s="140">
        <f t="shared" si="21"/>
        <v>0.05</v>
      </c>
      <c r="O194" s="140">
        <f t="shared" si="21"/>
        <v>1.44</v>
      </c>
      <c r="P194" s="140">
        <f t="shared" ref="P194:P257" si="22">IF(L194&lt;0.1,0.05,L194)</f>
        <v>36.991999999999997</v>
      </c>
      <c r="Q194" s="162">
        <v>0.28699999999999998</v>
      </c>
      <c r="R194" s="128">
        <v>45.435000000000002</v>
      </c>
      <c r="S194" t="s">
        <v>676</v>
      </c>
      <c r="W194">
        <v>40.843420000000002</v>
      </c>
      <c r="X194">
        <v>-86.817578999999995</v>
      </c>
      <c r="Y194">
        <v>7</v>
      </c>
      <c r="Z194">
        <v>13</v>
      </c>
      <c r="AA194">
        <v>2023</v>
      </c>
      <c r="AB194" t="b">
        <v>0</v>
      </c>
      <c r="AC194" s="19">
        <v>45120</v>
      </c>
      <c r="AD194" s="19"/>
    </row>
    <row r="195" spans="1:30" x14ac:dyDescent="0.25">
      <c r="A195" s="25">
        <v>10194</v>
      </c>
      <c r="B195" s="26" t="s">
        <v>217</v>
      </c>
      <c r="C195" s="26" t="s">
        <v>563</v>
      </c>
      <c r="D195" s="30" t="s">
        <v>516</v>
      </c>
      <c r="E195" s="30" t="str">
        <f t="shared" si="20"/>
        <v>?</v>
      </c>
      <c r="F195" s="118"/>
      <c r="G195" s="26" t="s">
        <v>514</v>
      </c>
      <c r="H195" s="66" t="s">
        <v>9</v>
      </c>
      <c r="I195" s="26">
        <v>4.8000000000000001E-2</v>
      </c>
      <c r="J195" s="26">
        <v>0.496</v>
      </c>
      <c r="K195" s="26">
        <v>-0.01</v>
      </c>
      <c r="L195" s="26">
        <v>7.1499999999999994E-2</v>
      </c>
      <c r="M195" s="140">
        <f t="shared" si="21"/>
        <v>0.05</v>
      </c>
      <c r="N195" s="140">
        <f t="shared" si="21"/>
        <v>0.496</v>
      </c>
      <c r="O195" s="140">
        <f t="shared" si="21"/>
        <v>0.05</v>
      </c>
      <c r="P195" s="140">
        <f t="shared" si="22"/>
        <v>0.05</v>
      </c>
      <c r="Q195" s="162">
        <v>6.7000000000000004E-2</v>
      </c>
      <c r="R195" s="128">
        <v>66.625</v>
      </c>
      <c r="S195" t="s">
        <v>676</v>
      </c>
      <c r="W195">
        <v>40.693818</v>
      </c>
      <c r="X195">
        <v>-86.766985000000005</v>
      </c>
      <c r="Y195">
        <v>7</v>
      </c>
      <c r="Z195">
        <v>13</v>
      </c>
      <c r="AA195">
        <v>2023</v>
      </c>
      <c r="AB195" t="b">
        <v>0</v>
      </c>
      <c r="AC195" s="19">
        <v>45120</v>
      </c>
      <c r="AD195" s="19"/>
    </row>
    <row r="196" spans="1:30" x14ac:dyDescent="0.25">
      <c r="A196" s="25">
        <v>10195</v>
      </c>
      <c r="B196" s="26" t="s">
        <v>218</v>
      </c>
      <c r="C196" s="26" t="s">
        <v>563</v>
      </c>
      <c r="D196" s="30" t="s">
        <v>516</v>
      </c>
      <c r="E196" s="30" t="str">
        <f t="shared" si="20"/>
        <v>?</v>
      </c>
      <c r="F196" s="118"/>
      <c r="G196" s="26" t="s">
        <v>514</v>
      </c>
      <c r="H196" s="66" t="s">
        <v>9</v>
      </c>
      <c r="I196" s="26">
        <v>9.4500000000000001E-2</v>
      </c>
      <c r="J196" s="26">
        <v>0.26100000000000001</v>
      </c>
      <c r="K196" s="26">
        <v>-5.0000000000000001E-3</v>
      </c>
      <c r="L196" s="26">
        <v>5.8500000000000003E-2</v>
      </c>
      <c r="M196" s="140">
        <f t="shared" si="21"/>
        <v>0.05</v>
      </c>
      <c r="N196" s="140">
        <f t="shared" si="21"/>
        <v>0.26100000000000001</v>
      </c>
      <c r="O196" s="140">
        <f t="shared" si="21"/>
        <v>0.05</v>
      </c>
      <c r="P196" s="140">
        <f t="shared" si="22"/>
        <v>0.05</v>
      </c>
      <c r="Q196" s="162">
        <v>7.3999999999999996E-2</v>
      </c>
      <c r="R196" s="128">
        <v>51.99</v>
      </c>
      <c r="S196" t="s">
        <v>676</v>
      </c>
      <c r="W196">
        <v>40.666173999999998</v>
      </c>
      <c r="X196">
        <v>-86.752939999999995</v>
      </c>
      <c r="Y196">
        <v>7</v>
      </c>
      <c r="Z196">
        <v>13</v>
      </c>
      <c r="AA196">
        <v>2023</v>
      </c>
      <c r="AB196" t="b">
        <v>0</v>
      </c>
      <c r="AC196" s="19">
        <v>45120</v>
      </c>
      <c r="AD196" s="19"/>
    </row>
    <row r="197" spans="1:30" x14ac:dyDescent="0.25">
      <c r="A197" s="25">
        <v>10196</v>
      </c>
      <c r="B197" s="26" t="s">
        <v>219</v>
      </c>
      <c r="C197" s="26" t="s">
        <v>563</v>
      </c>
      <c r="D197" s="30" t="s">
        <v>516</v>
      </c>
      <c r="E197" s="30" t="str">
        <f t="shared" si="20"/>
        <v>?</v>
      </c>
      <c r="F197" s="118"/>
      <c r="G197" s="26" t="s">
        <v>514</v>
      </c>
      <c r="H197" s="66" t="s">
        <v>9</v>
      </c>
      <c r="I197" s="26">
        <v>0.1069</v>
      </c>
      <c r="J197" s="26">
        <v>0.253</v>
      </c>
      <c r="K197" s="26">
        <v>-1.2E-2</v>
      </c>
      <c r="L197" s="26">
        <v>8.5999999999999993E-2</v>
      </c>
      <c r="M197" s="140">
        <f t="shared" si="21"/>
        <v>0.1069</v>
      </c>
      <c r="N197" s="140">
        <f t="shared" si="21"/>
        <v>0.253</v>
      </c>
      <c r="O197" s="140">
        <f t="shared" si="21"/>
        <v>0.05</v>
      </c>
      <c r="P197" s="140">
        <f t="shared" si="22"/>
        <v>0.05</v>
      </c>
      <c r="Q197" s="162">
        <v>1.4E-2</v>
      </c>
      <c r="R197" s="128">
        <v>56.164999999999999</v>
      </c>
      <c r="S197" t="s">
        <v>676</v>
      </c>
      <c r="W197">
        <v>40.680701999999997</v>
      </c>
      <c r="X197">
        <v>-86.752009999999999</v>
      </c>
      <c r="Y197">
        <v>7</v>
      </c>
      <c r="Z197">
        <v>13</v>
      </c>
      <c r="AA197">
        <v>2023</v>
      </c>
      <c r="AB197" t="b">
        <v>0</v>
      </c>
      <c r="AC197" s="19">
        <v>45120</v>
      </c>
      <c r="AD197" s="19"/>
    </row>
    <row r="198" spans="1:30" x14ac:dyDescent="0.25">
      <c r="A198" s="25">
        <v>10197</v>
      </c>
      <c r="B198" t="s">
        <v>220</v>
      </c>
      <c r="C198" t="s">
        <v>563</v>
      </c>
      <c r="D198" s="27" t="s">
        <v>516</v>
      </c>
      <c r="E198" s="27" t="str">
        <f t="shared" si="20"/>
        <v>?</v>
      </c>
      <c r="F198" s="118"/>
      <c r="G198" t="s">
        <v>514</v>
      </c>
      <c r="H198" s="24" t="s">
        <v>9</v>
      </c>
      <c r="I198">
        <v>7.3800000000000004E-2</v>
      </c>
      <c r="J198">
        <v>1.496</v>
      </c>
      <c r="K198">
        <v>-7.0000000000000001E-3</v>
      </c>
      <c r="M198" s="140">
        <f t="shared" si="21"/>
        <v>0.05</v>
      </c>
      <c r="N198" s="140">
        <f t="shared" si="21"/>
        <v>1.496</v>
      </c>
      <c r="O198" s="140">
        <f t="shared" si="21"/>
        <v>0.05</v>
      </c>
      <c r="P198" s="140">
        <f t="shared" si="22"/>
        <v>0.05</v>
      </c>
      <c r="Q198" s="161" t="s">
        <v>676</v>
      </c>
      <c r="R198" s="125">
        <v>56.89</v>
      </c>
      <c r="S198" t="s">
        <v>676</v>
      </c>
      <c r="W198">
        <v>40.730876000000002</v>
      </c>
      <c r="X198">
        <v>-86.757884000000004</v>
      </c>
      <c r="Y198">
        <v>7</v>
      </c>
      <c r="Z198">
        <v>13</v>
      </c>
      <c r="AA198">
        <v>2023</v>
      </c>
      <c r="AB198" t="b">
        <v>0</v>
      </c>
      <c r="AC198" s="19">
        <v>45120</v>
      </c>
      <c r="AD198" s="19"/>
    </row>
    <row r="199" spans="1:30" x14ac:dyDescent="0.25">
      <c r="A199" s="25">
        <v>10198</v>
      </c>
      <c r="B199" t="s">
        <v>221</v>
      </c>
      <c r="C199" t="s">
        <v>563</v>
      </c>
      <c r="D199" s="27" t="s">
        <v>516</v>
      </c>
      <c r="E199" s="27" t="str">
        <f t="shared" si="20"/>
        <v>?</v>
      </c>
      <c r="F199" s="118"/>
      <c r="G199" t="s">
        <v>514</v>
      </c>
      <c r="H199" s="24" t="s">
        <v>9</v>
      </c>
      <c r="I199">
        <v>7.51E-2</v>
      </c>
      <c r="J199">
        <v>1.571</v>
      </c>
      <c r="K199">
        <v>3.0000000000000001E-3</v>
      </c>
      <c r="L199">
        <v>7.5999999999999998E-2</v>
      </c>
      <c r="M199" s="140">
        <f t="shared" si="21"/>
        <v>0.05</v>
      </c>
      <c r="N199" s="140">
        <f t="shared" si="21"/>
        <v>1.571</v>
      </c>
      <c r="O199" s="140">
        <f t="shared" si="21"/>
        <v>0.05</v>
      </c>
      <c r="P199" s="140">
        <f t="shared" si="22"/>
        <v>0.05</v>
      </c>
      <c r="Q199" s="161">
        <v>1.4E-2</v>
      </c>
      <c r="R199" s="125" t="s">
        <v>676</v>
      </c>
      <c r="S199" t="s">
        <v>676</v>
      </c>
      <c r="W199">
        <v>40.745742</v>
      </c>
      <c r="X199">
        <v>-86.757273999999995</v>
      </c>
      <c r="Y199">
        <v>7</v>
      </c>
      <c r="Z199">
        <v>13</v>
      </c>
      <c r="AA199">
        <v>2023</v>
      </c>
      <c r="AB199" t="b">
        <v>0</v>
      </c>
      <c r="AC199" s="19">
        <v>45120</v>
      </c>
      <c r="AD199" s="19"/>
    </row>
    <row r="200" spans="1:30" x14ac:dyDescent="0.25">
      <c r="A200" s="25">
        <v>10199</v>
      </c>
      <c r="B200" t="s">
        <v>222</v>
      </c>
      <c r="C200" t="s">
        <v>564</v>
      </c>
      <c r="D200" s="27" t="s">
        <v>516</v>
      </c>
      <c r="E200" s="27" t="str">
        <f t="shared" si="20"/>
        <v>?</v>
      </c>
      <c r="F200" s="118"/>
      <c r="G200" t="s">
        <v>20</v>
      </c>
      <c r="H200" s="24" t="s">
        <v>9</v>
      </c>
      <c r="I200">
        <v>5.4350000000000002E-2</v>
      </c>
      <c r="J200">
        <v>1.093</v>
      </c>
      <c r="K200">
        <v>0.158</v>
      </c>
      <c r="M200" s="140">
        <f t="shared" si="21"/>
        <v>0.05</v>
      </c>
      <c r="N200" s="140">
        <f t="shared" si="21"/>
        <v>1.093</v>
      </c>
      <c r="O200" s="140">
        <f t="shared" si="21"/>
        <v>0.158</v>
      </c>
      <c r="P200" s="140">
        <f t="shared" si="22"/>
        <v>0.05</v>
      </c>
      <c r="Q200" s="161" t="s">
        <v>676</v>
      </c>
      <c r="R200" s="125">
        <v>23.954999999999998</v>
      </c>
      <c r="S200" t="s">
        <v>676</v>
      </c>
      <c r="W200">
        <v>40.808793000000001</v>
      </c>
      <c r="X200">
        <v>-86.794627000000006</v>
      </c>
      <c r="Y200">
        <v>7</v>
      </c>
      <c r="Z200">
        <v>18</v>
      </c>
      <c r="AA200">
        <v>2023</v>
      </c>
      <c r="AB200" t="b">
        <v>0</v>
      </c>
      <c r="AC200" s="19">
        <v>45125</v>
      </c>
      <c r="AD200" s="19"/>
    </row>
    <row r="201" spans="1:30" x14ac:dyDescent="0.25">
      <c r="A201" s="25">
        <v>10200</v>
      </c>
      <c r="B201" t="s">
        <v>223</v>
      </c>
      <c r="C201" t="s">
        <v>564</v>
      </c>
      <c r="D201" s="27" t="s">
        <v>516</v>
      </c>
      <c r="E201" s="27" t="str">
        <f t="shared" si="20"/>
        <v>?</v>
      </c>
      <c r="F201" s="118"/>
      <c r="G201" t="s">
        <v>20</v>
      </c>
      <c r="H201" s="24" t="s">
        <v>9</v>
      </c>
      <c r="I201">
        <v>0.1404</v>
      </c>
      <c r="J201">
        <v>0.16600000000000001</v>
      </c>
      <c r="K201">
        <v>0.22800000000000001</v>
      </c>
      <c r="M201" s="140">
        <f t="shared" si="21"/>
        <v>0.1404</v>
      </c>
      <c r="N201" s="140">
        <f t="shared" si="21"/>
        <v>0.16600000000000001</v>
      </c>
      <c r="O201" s="140">
        <f t="shared" si="21"/>
        <v>0.22800000000000001</v>
      </c>
      <c r="P201" s="140">
        <f t="shared" si="22"/>
        <v>0.05</v>
      </c>
      <c r="Q201" s="161" t="s">
        <v>676</v>
      </c>
      <c r="R201" s="125">
        <v>66.373333333333306</v>
      </c>
      <c r="S201" t="s">
        <v>676</v>
      </c>
      <c r="W201">
        <v>40.823822</v>
      </c>
      <c r="X201">
        <v>-86.794567000000001</v>
      </c>
      <c r="Y201">
        <v>7</v>
      </c>
      <c r="Z201">
        <v>18</v>
      </c>
      <c r="AA201">
        <v>2023</v>
      </c>
      <c r="AB201" t="b">
        <v>0</v>
      </c>
      <c r="AC201" s="19">
        <v>45125</v>
      </c>
      <c r="AD201" s="19"/>
    </row>
    <row r="202" spans="1:30" x14ac:dyDescent="0.25">
      <c r="A202" s="25">
        <v>10201</v>
      </c>
      <c r="B202" t="s">
        <v>224</v>
      </c>
      <c r="C202" t="s">
        <v>564</v>
      </c>
      <c r="D202" s="27" t="s">
        <v>516</v>
      </c>
      <c r="E202" s="27" t="str">
        <f t="shared" si="20"/>
        <v>?</v>
      </c>
      <c r="F202" s="118"/>
      <c r="G202" t="s">
        <v>20</v>
      </c>
      <c r="H202" s="24" t="s">
        <v>9</v>
      </c>
      <c r="I202">
        <v>0.87729999999999997</v>
      </c>
      <c r="J202">
        <v>1.0169999999999999</v>
      </c>
      <c r="K202">
        <v>0.625</v>
      </c>
      <c r="L202">
        <v>0.77600000000000002</v>
      </c>
      <c r="M202" s="140">
        <f t="shared" si="21"/>
        <v>0.87729999999999997</v>
      </c>
      <c r="N202" s="140">
        <f t="shared" si="21"/>
        <v>1.0169999999999999</v>
      </c>
      <c r="O202" s="140">
        <f t="shared" si="21"/>
        <v>0.625</v>
      </c>
      <c r="P202" s="140">
        <f t="shared" si="22"/>
        <v>0.77600000000000002</v>
      </c>
      <c r="Q202" s="161" t="s">
        <v>676</v>
      </c>
      <c r="R202" s="125">
        <v>32.31</v>
      </c>
      <c r="S202" t="s">
        <v>676</v>
      </c>
      <c r="W202">
        <v>40.843417000000002</v>
      </c>
      <c r="X202">
        <v>-86.817468000000005</v>
      </c>
      <c r="Y202">
        <v>7</v>
      </c>
      <c r="Z202">
        <v>18</v>
      </c>
      <c r="AA202">
        <v>2023</v>
      </c>
      <c r="AB202" t="b">
        <v>0</v>
      </c>
      <c r="AC202" s="19">
        <v>45125</v>
      </c>
      <c r="AD202" s="19"/>
    </row>
    <row r="203" spans="1:30" x14ac:dyDescent="0.25">
      <c r="A203" s="25">
        <v>10202</v>
      </c>
      <c r="B203" t="s">
        <v>225</v>
      </c>
      <c r="C203" t="s">
        <v>565</v>
      </c>
      <c r="D203" s="27" t="s">
        <v>516</v>
      </c>
      <c r="E203" s="27" t="str">
        <f t="shared" si="20"/>
        <v>?</v>
      </c>
      <c r="F203" s="118"/>
      <c r="G203" t="s">
        <v>514</v>
      </c>
      <c r="H203" s="24" t="s">
        <v>9</v>
      </c>
      <c r="I203">
        <v>7.9000000000000001E-2</v>
      </c>
      <c r="J203">
        <v>0.63200000000000001</v>
      </c>
      <c r="K203">
        <v>-8.9999999999999993E-3</v>
      </c>
      <c r="L203">
        <v>5.5E-2</v>
      </c>
      <c r="M203" s="140">
        <f t="shared" si="21"/>
        <v>0.05</v>
      </c>
      <c r="N203" s="140">
        <f t="shared" si="21"/>
        <v>0.63200000000000001</v>
      </c>
      <c r="O203" s="140">
        <f t="shared" si="21"/>
        <v>0.05</v>
      </c>
      <c r="P203" s="140">
        <f t="shared" si="22"/>
        <v>0.05</v>
      </c>
      <c r="Q203" s="161" t="s">
        <v>676</v>
      </c>
      <c r="R203" s="125">
        <v>30.67</v>
      </c>
      <c r="S203" t="s">
        <v>676</v>
      </c>
      <c r="W203">
        <v>40.693662000000003</v>
      </c>
      <c r="X203">
        <v>-86.766958000000002</v>
      </c>
      <c r="Y203">
        <v>7</v>
      </c>
      <c r="Z203">
        <v>18</v>
      </c>
      <c r="AA203">
        <v>2023</v>
      </c>
      <c r="AB203" t="b">
        <v>0</v>
      </c>
      <c r="AC203" s="19">
        <v>45125</v>
      </c>
      <c r="AD203" s="19"/>
    </row>
    <row r="204" spans="1:30" x14ac:dyDescent="0.25">
      <c r="A204" s="25">
        <v>10203</v>
      </c>
      <c r="B204" t="s">
        <v>226</v>
      </c>
      <c r="C204" t="s">
        <v>565</v>
      </c>
      <c r="D204" s="27" t="s">
        <v>516</v>
      </c>
      <c r="E204" s="27" t="str">
        <f t="shared" si="20"/>
        <v>?</v>
      </c>
      <c r="F204" s="118"/>
      <c r="G204" t="s">
        <v>514</v>
      </c>
      <c r="H204" s="24" t="s">
        <v>9</v>
      </c>
      <c r="I204">
        <v>2.5700000000000001E-2</v>
      </c>
      <c r="J204">
        <v>0.21199999999999999</v>
      </c>
      <c r="K204">
        <v>-1.0999999999999999E-2</v>
      </c>
      <c r="L204">
        <v>6.2E-2</v>
      </c>
      <c r="M204" s="140">
        <f t="shared" si="21"/>
        <v>0.05</v>
      </c>
      <c r="N204" s="140">
        <f t="shared" si="21"/>
        <v>0.21199999999999999</v>
      </c>
      <c r="O204" s="140">
        <f t="shared" si="21"/>
        <v>0.05</v>
      </c>
      <c r="P204" s="140">
        <f t="shared" si="22"/>
        <v>0.05</v>
      </c>
      <c r="Q204" s="161" t="s">
        <v>676</v>
      </c>
      <c r="R204" s="125">
        <v>71</v>
      </c>
      <c r="S204" t="s">
        <v>676</v>
      </c>
      <c r="W204">
        <v>40.667366000000001</v>
      </c>
      <c r="X204">
        <v>-86.752371999999994</v>
      </c>
      <c r="Y204">
        <v>7</v>
      </c>
      <c r="Z204">
        <v>18</v>
      </c>
      <c r="AA204">
        <v>2023</v>
      </c>
      <c r="AB204" t="b">
        <v>0</v>
      </c>
      <c r="AC204" s="19">
        <v>45125</v>
      </c>
      <c r="AD204" s="19"/>
    </row>
    <row r="205" spans="1:30" x14ac:dyDescent="0.25">
      <c r="A205" s="25">
        <v>10204</v>
      </c>
      <c r="B205" t="s">
        <v>227</v>
      </c>
      <c r="C205" t="s">
        <v>565</v>
      </c>
      <c r="D205" s="27" t="s">
        <v>516</v>
      </c>
      <c r="E205" s="27" t="str">
        <f t="shared" si="20"/>
        <v>?</v>
      </c>
      <c r="F205" s="118"/>
      <c r="G205" t="s">
        <v>514</v>
      </c>
      <c r="H205" s="24" t="s">
        <v>9</v>
      </c>
      <c r="I205">
        <v>2.9100000000000001E-2</v>
      </c>
      <c r="J205">
        <v>0.41099999999999998</v>
      </c>
      <c r="K205">
        <v>-8.9999999999999993E-3</v>
      </c>
      <c r="L205">
        <v>5.5500000000000001E-2</v>
      </c>
      <c r="M205" s="140">
        <f t="shared" si="21"/>
        <v>0.05</v>
      </c>
      <c r="N205" s="140">
        <f t="shared" si="21"/>
        <v>0.41099999999999998</v>
      </c>
      <c r="O205" s="140">
        <f t="shared" si="21"/>
        <v>0.05</v>
      </c>
      <c r="P205" s="140">
        <f t="shared" si="22"/>
        <v>0.05</v>
      </c>
      <c r="Q205" s="161" t="s">
        <v>676</v>
      </c>
      <c r="R205" s="125">
        <v>57.476666666666702</v>
      </c>
      <c r="S205" t="s">
        <v>676</v>
      </c>
      <c r="W205">
        <v>40.680768999999998</v>
      </c>
      <c r="X205">
        <v>-86.752054999999999</v>
      </c>
      <c r="Y205">
        <v>7</v>
      </c>
      <c r="Z205">
        <v>18</v>
      </c>
      <c r="AA205">
        <v>2023</v>
      </c>
      <c r="AB205" t="b">
        <v>0</v>
      </c>
      <c r="AC205" s="19">
        <v>45125</v>
      </c>
      <c r="AD205" s="19"/>
    </row>
    <row r="206" spans="1:30" x14ac:dyDescent="0.25">
      <c r="A206" s="25">
        <v>10205</v>
      </c>
      <c r="B206" t="s">
        <v>228</v>
      </c>
      <c r="C206" t="s">
        <v>565</v>
      </c>
      <c r="D206" s="27" t="s">
        <v>516</v>
      </c>
      <c r="E206" s="27" t="str">
        <f t="shared" si="20"/>
        <v>?</v>
      </c>
      <c r="F206" s="118"/>
      <c r="G206" t="s">
        <v>514</v>
      </c>
      <c r="H206" s="24" t="s">
        <v>9</v>
      </c>
      <c r="I206">
        <v>0.1011</v>
      </c>
      <c r="J206">
        <v>0.69899999999999995</v>
      </c>
      <c r="K206">
        <v>0.23400000000000001</v>
      </c>
      <c r="M206" s="140">
        <f t="shared" si="21"/>
        <v>0.1011</v>
      </c>
      <c r="N206" s="140">
        <f t="shared" si="21"/>
        <v>0.69899999999999995</v>
      </c>
      <c r="O206" s="140">
        <f t="shared" si="21"/>
        <v>0.23400000000000001</v>
      </c>
      <c r="P206" s="140">
        <f t="shared" si="22"/>
        <v>0.05</v>
      </c>
      <c r="Q206" s="161">
        <v>3.9E-2</v>
      </c>
      <c r="R206" s="125">
        <v>67.114999999999995</v>
      </c>
      <c r="S206" t="s">
        <v>676</v>
      </c>
      <c r="W206">
        <v>40.730885000000001</v>
      </c>
      <c r="X206">
        <v>-86.757958000000002</v>
      </c>
      <c r="Y206">
        <v>7</v>
      </c>
      <c r="Z206">
        <v>18</v>
      </c>
      <c r="AA206">
        <v>2023</v>
      </c>
      <c r="AB206" t="b">
        <v>0</v>
      </c>
      <c r="AC206" s="19">
        <v>45125</v>
      </c>
      <c r="AD206" s="19"/>
    </row>
    <row r="207" spans="1:30" x14ac:dyDescent="0.25">
      <c r="A207" s="25">
        <v>10206</v>
      </c>
      <c r="B207" t="s">
        <v>229</v>
      </c>
      <c r="C207" t="s">
        <v>565</v>
      </c>
      <c r="D207" s="27" t="s">
        <v>516</v>
      </c>
      <c r="E207" s="27" t="str">
        <f t="shared" si="20"/>
        <v>?</v>
      </c>
      <c r="F207" s="118"/>
      <c r="G207" t="s">
        <v>514</v>
      </c>
      <c r="H207" s="24" t="s">
        <v>9</v>
      </c>
      <c r="I207">
        <v>3.4200000000000001E-2</v>
      </c>
      <c r="J207">
        <v>0.80400000000000005</v>
      </c>
      <c r="K207">
        <v>-7.0000000000000001E-3</v>
      </c>
      <c r="L207">
        <v>8.2500000000000004E-2</v>
      </c>
      <c r="M207" s="140">
        <f t="shared" si="21"/>
        <v>0.05</v>
      </c>
      <c r="N207" s="140">
        <f t="shared" si="21"/>
        <v>0.80400000000000005</v>
      </c>
      <c r="O207" s="140">
        <f t="shared" si="21"/>
        <v>0.05</v>
      </c>
      <c r="P207" s="140">
        <f t="shared" si="22"/>
        <v>0.05</v>
      </c>
      <c r="Q207" s="161" t="s">
        <v>676</v>
      </c>
      <c r="R207" s="125">
        <v>49.23</v>
      </c>
      <c r="S207" t="s">
        <v>676</v>
      </c>
      <c r="W207">
        <v>40.745497999999998</v>
      </c>
      <c r="X207">
        <v>-86.757238999999998</v>
      </c>
      <c r="Y207">
        <v>7</v>
      </c>
      <c r="Z207">
        <v>18</v>
      </c>
      <c r="AA207">
        <v>2023</v>
      </c>
      <c r="AB207" t="b">
        <v>0</v>
      </c>
      <c r="AC207" s="19">
        <v>45125</v>
      </c>
      <c r="AD207" s="19"/>
    </row>
    <row r="208" spans="1:30" x14ac:dyDescent="0.25">
      <c r="A208" s="25">
        <v>10207</v>
      </c>
      <c r="B208" s="63" t="s">
        <v>230</v>
      </c>
      <c r="C208" s="63" t="s">
        <v>230</v>
      </c>
      <c r="D208" s="64">
        <v>3101</v>
      </c>
      <c r="E208" s="64">
        <v>1</v>
      </c>
      <c r="F208" s="118">
        <v>5210</v>
      </c>
      <c r="G208" s="63" t="s">
        <v>22</v>
      </c>
      <c r="H208" s="65" t="s">
        <v>8</v>
      </c>
      <c r="I208" s="63">
        <v>4.7500000000000001E-2</v>
      </c>
      <c r="J208" s="63">
        <v>2.71</v>
      </c>
      <c r="K208" s="63">
        <v>-0.01</v>
      </c>
      <c r="L208" s="63">
        <v>7.4999999999999997E-3</v>
      </c>
      <c r="M208" s="140">
        <f t="shared" si="21"/>
        <v>0.05</v>
      </c>
      <c r="N208" s="140">
        <f t="shared" si="21"/>
        <v>2.71</v>
      </c>
      <c r="O208" s="140">
        <f t="shared" si="21"/>
        <v>0.05</v>
      </c>
      <c r="P208" s="140">
        <f t="shared" si="22"/>
        <v>0.05</v>
      </c>
      <c r="Q208" s="163">
        <v>0.159</v>
      </c>
      <c r="R208" s="129">
        <v>23.62</v>
      </c>
      <c r="S208" t="s">
        <v>676</v>
      </c>
      <c r="W208">
        <v>40.772184000000003</v>
      </c>
      <c r="X208">
        <v>-85.643702000000005</v>
      </c>
      <c r="Y208">
        <v>7</v>
      </c>
      <c r="Z208">
        <v>21</v>
      </c>
      <c r="AA208">
        <v>2023</v>
      </c>
      <c r="AB208" t="b">
        <v>0</v>
      </c>
      <c r="AC208" s="19">
        <v>45128</v>
      </c>
      <c r="AD208" s="19"/>
    </row>
    <row r="209" spans="1:30" x14ac:dyDescent="0.25">
      <c r="A209" s="25">
        <v>10208</v>
      </c>
      <c r="B209" s="63" t="s">
        <v>231</v>
      </c>
      <c r="C209" s="63" t="s">
        <v>231</v>
      </c>
      <c r="D209" s="64">
        <v>3102</v>
      </c>
      <c r="E209" s="64">
        <v>2</v>
      </c>
      <c r="F209" s="118">
        <v>5430</v>
      </c>
      <c r="G209" s="63" t="s">
        <v>22</v>
      </c>
      <c r="H209" s="65" t="s">
        <v>8</v>
      </c>
      <c r="I209" s="63">
        <v>4.07E-2</v>
      </c>
      <c r="J209" s="63">
        <v>2.613</v>
      </c>
      <c r="K209" s="63">
        <v>-0.01</v>
      </c>
      <c r="L209" s="63">
        <v>1.0500000000000001E-2</v>
      </c>
      <c r="M209" s="140">
        <f t="shared" si="21"/>
        <v>0.05</v>
      </c>
      <c r="N209" s="140">
        <f t="shared" si="21"/>
        <v>2.613</v>
      </c>
      <c r="O209" s="140">
        <f t="shared" si="21"/>
        <v>0.05</v>
      </c>
      <c r="P209" s="140">
        <f t="shared" si="22"/>
        <v>0.05</v>
      </c>
      <c r="Q209" s="163">
        <v>0.125</v>
      </c>
      <c r="R209" s="129">
        <v>25.105</v>
      </c>
      <c r="S209" t="s">
        <v>676</v>
      </c>
      <c r="W209">
        <v>40.770507000000002</v>
      </c>
      <c r="X209">
        <v>-85.648168999999996</v>
      </c>
      <c r="Y209">
        <v>7</v>
      </c>
      <c r="Z209">
        <v>21</v>
      </c>
      <c r="AA209">
        <v>2023</v>
      </c>
      <c r="AB209" t="b">
        <v>0</v>
      </c>
      <c r="AC209" s="19">
        <v>45128</v>
      </c>
      <c r="AD209" s="19"/>
    </row>
    <row r="210" spans="1:30" x14ac:dyDescent="0.25">
      <c r="A210" s="25">
        <v>10209</v>
      </c>
      <c r="B210" s="63" t="s">
        <v>232</v>
      </c>
      <c r="C210" s="63" t="s">
        <v>232</v>
      </c>
      <c r="D210" s="64">
        <v>3103</v>
      </c>
      <c r="E210" s="64">
        <v>3</v>
      </c>
      <c r="F210" s="118">
        <v>4180</v>
      </c>
      <c r="G210" s="63" t="s">
        <v>22</v>
      </c>
      <c r="H210" s="65" t="s">
        <v>8</v>
      </c>
      <c r="I210" s="63">
        <v>2.4299999999999999E-2</v>
      </c>
      <c r="J210" s="63">
        <v>2.794</v>
      </c>
      <c r="K210" s="63">
        <v>-1.0999999999999999E-2</v>
      </c>
      <c r="L210" s="63">
        <v>0.04</v>
      </c>
      <c r="M210" s="140">
        <f t="shared" ref="M210:O225" si="23">IF(I210&lt;0.1,0.05,I210)</f>
        <v>0.05</v>
      </c>
      <c r="N210" s="140">
        <f t="shared" si="23"/>
        <v>2.794</v>
      </c>
      <c r="O210" s="140">
        <f t="shared" si="23"/>
        <v>0.05</v>
      </c>
      <c r="P210" s="140">
        <f t="shared" si="22"/>
        <v>0.05</v>
      </c>
      <c r="Q210" s="163">
        <v>7.0000000000000007E-2</v>
      </c>
      <c r="R210" s="129">
        <v>19.225000000000001</v>
      </c>
      <c r="S210" t="s">
        <v>676</v>
      </c>
      <c r="W210">
        <v>40.781067</v>
      </c>
      <c r="X210">
        <v>-85.644577999999996</v>
      </c>
      <c r="Y210">
        <v>7</v>
      </c>
      <c r="Z210">
        <v>21</v>
      </c>
      <c r="AA210">
        <v>2023</v>
      </c>
      <c r="AB210" t="b">
        <v>0</v>
      </c>
      <c r="AC210" s="19">
        <v>45128</v>
      </c>
      <c r="AD210" s="19"/>
    </row>
    <row r="211" spans="1:30" x14ac:dyDescent="0.25">
      <c r="A211" s="25">
        <v>10210</v>
      </c>
      <c r="B211" s="63" t="s">
        <v>233</v>
      </c>
      <c r="C211" s="63" t="s">
        <v>233</v>
      </c>
      <c r="D211" s="64">
        <v>3104</v>
      </c>
      <c r="E211" s="64">
        <v>4</v>
      </c>
      <c r="F211" s="118">
        <v>4980</v>
      </c>
      <c r="G211" s="63" t="s">
        <v>22</v>
      </c>
      <c r="H211" s="65" t="s">
        <v>8</v>
      </c>
      <c r="I211" s="63">
        <v>5.2600000000000001E-2</v>
      </c>
      <c r="J211" s="63">
        <v>2.7570000000000001</v>
      </c>
      <c r="K211" s="63">
        <v>-8.9999999999999993E-3</v>
      </c>
      <c r="L211" s="63">
        <v>8.3000000000000004E-2</v>
      </c>
      <c r="M211" s="140">
        <f t="shared" si="23"/>
        <v>0.05</v>
      </c>
      <c r="N211" s="140">
        <f t="shared" si="23"/>
        <v>2.7570000000000001</v>
      </c>
      <c r="O211" s="140">
        <f t="shared" si="23"/>
        <v>0.05</v>
      </c>
      <c r="P211" s="140">
        <f t="shared" si="22"/>
        <v>0.05</v>
      </c>
      <c r="Q211" s="163">
        <v>0.154</v>
      </c>
      <c r="R211" s="129">
        <v>29.59</v>
      </c>
      <c r="S211" t="s">
        <v>676</v>
      </c>
      <c r="W211">
        <v>40.784196999999999</v>
      </c>
      <c r="X211">
        <v>-85.637713000000005</v>
      </c>
      <c r="Y211">
        <v>7</v>
      </c>
      <c r="Z211">
        <v>21</v>
      </c>
      <c r="AA211">
        <v>2023</v>
      </c>
      <c r="AB211" t="b">
        <v>0</v>
      </c>
      <c r="AC211" s="19">
        <v>45128</v>
      </c>
      <c r="AD211" s="19"/>
    </row>
    <row r="212" spans="1:30" x14ac:dyDescent="0.25">
      <c r="A212" s="25">
        <v>10211</v>
      </c>
      <c r="B212" s="63" t="s">
        <v>234</v>
      </c>
      <c r="C212" s="63" t="s">
        <v>234</v>
      </c>
      <c r="D212" s="64">
        <v>3105</v>
      </c>
      <c r="E212" s="64">
        <v>5</v>
      </c>
      <c r="F212" s="118">
        <v>6340</v>
      </c>
      <c r="G212" s="63" t="s">
        <v>22</v>
      </c>
      <c r="H212" s="65" t="s">
        <v>8</v>
      </c>
      <c r="I212" s="63">
        <v>3.7400000000000003E-2</v>
      </c>
      <c r="J212" s="63">
        <v>2.9260000000000002</v>
      </c>
      <c r="K212" s="63">
        <v>-0.01</v>
      </c>
      <c r="L212" s="63">
        <v>2.7E-2</v>
      </c>
      <c r="M212" s="140">
        <f t="shared" si="23"/>
        <v>0.05</v>
      </c>
      <c r="N212" s="140">
        <f t="shared" si="23"/>
        <v>2.9260000000000002</v>
      </c>
      <c r="O212" s="140">
        <f t="shared" si="23"/>
        <v>0.05</v>
      </c>
      <c r="P212" s="140">
        <f t="shared" si="22"/>
        <v>0.05</v>
      </c>
      <c r="Q212" s="163">
        <v>0.28499999999999998</v>
      </c>
      <c r="R212" s="129">
        <v>19.024999999999999</v>
      </c>
      <c r="S212" t="s">
        <v>676</v>
      </c>
      <c r="W212">
        <v>40.775148999999999</v>
      </c>
      <c r="X212">
        <v>-85.623649999999998</v>
      </c>
      <c r="Y212">
        <v>7</v>
      </c>
      <c r="Z212">
        <v>21</v>
      </c>
      <c r="AA212">
        <v>2023</v>
      </c>
      <c r="AB212" t="b">
        <v>0</v>
      </c>
      <c r="AC212" s="19">
        <v>45128</v>
      </c>
      <c r="AD212" s="19"/>
    </row>
    <row r="213" spans="1:30" x14ac:dyDescent="0.25">
      <c r="A213" s="25">
        <v>10212</v>
      </c>
      <c r="B213" s="63" t="s">
        <v>235</v>
      </c>
      <c r="C213" s="63" t="s">
        <v>235</v>
      </c>
      <c r="D213" s="64">
        <v>3106</v>
      </c>
      <c r="E213" s="64">
        <v>6</v>
      </c>
      <c r="F213" s="118">
        <v>7900</v>
      </c>
      <c r="G213" s="63" t="s">
        <v>22</v>
      </c>
      <c r="H213" s="65" t="s">
        <v>8</v>
      </c>
      <c r="I213" s="63">
        <v>4.36E-2</v>
      </c>
      <c r="J213" s="63">
        <v>2.887</v>
      </c>
      <c r="K213" s="63">
        <v>-1.2999999999999999E-2</v>
      </c>
      <c r="L213" s="63">
        <v>4.4999999999999998E-2</v>
      </c>
      <c r="M213" s="140">
        <f t="shared" si="23"/>
        <v>0.05</v>
      </c>
      <c r="N213" s="140">
        <f t="shared" si="23"/>
        <v>2.887</v>
      </c>
      <c r="O213" s="140">
        <f t="shared" si="23"/>
        <v>0.05</v>
      </c>
      <c r="P213" s="140">
        <f t="shared" si="22"/>
        <v>0.05</v>
      </c>
      <c r="Q213" s="163">
        <v>0.17100000000000001</v>
      </c>
      <c r="R213" s="129">
        <v>25.73</v>
      </c>
      <c r="S213" t="s">
        <v>676</v>
      </c>
      <c r="W213">
        <v>40.775530000000003</v>
      </c>
      <c r="X213">
        <v>-85.606425000000002</v>
      </c>
      <c r="Y213">
        <v>7</v>
      </c>
      <c r="Z213">
        <v>21</v>
      </c>
      <c r="AA213">
        <v>2023</v>
      </c>
      <c r="AB213" t="b">
        <v>0</v>
      </c>
      <c r="AC213" s="19">
        <v>45128</v>
      </c>
      <c r="AD213" s="19"/>
    </row>
    <row r="214" spans="1:30" x14ac:dyDescent="0.25">
      <c r="A214" s="25">
        <v>10213</v>
      </c>
      <c r="B214" s="63" t="s">
        <v>236</v>
      </c>
      <c r="C214" s="63" t="s">
        <v>236</v>
      </c>
      <c r="D214" s="64">
        <v>3107</v>
      </c>
      <c r="E214" s="64">
        <v>7</v>
      </c>
      <c r="F214" s="118">
        <v>10610</v>
      </c>
      <c r="G214" s="63" t="s">
        <v>22</v>
      </c>
      <c r="H214" s="65" t="s">
        <v>8</v>
      </c>
      <c r="I214" s="63">
        <v>0.1142</v>
      </c>
      <c r="J214" s="63">
        <v>1.3520000000000001</v>
      </c>
      <c r="K214" s="63">
        <v>0.247</v>
      </c>
      <c r="L214" s="63">
        <v>8.0750000000000002E-2</v>
      </c>
      <c r="M214" s="140">
        <f t="shared" si="23"/>
        <v>0.1142</v>
      </c>
      <c r="N214" s="140">
        <f t="shared" si="23"/>
        <v>1.3520000000000001</v>
      </c>
      <c r="O214" s="140">
        <f t="shared" si="23"/>
        <v>0.247</v>
      </c>
      <c r="P214" s="140">
        <f t="shared" si="22"/>
        <v>0.05</v>
      </c>
      <c r="Q214" s="163">
        <v>0.11</v>
      </c>
      <c r="R214" s="129">
        <v>29.715</v>
      </c>
      <c r="S214" t="s">
        <v>676</v>
      </c>
      <c r="W214">
        <v>40.775835999999998</v>
      </c>
      <c r="X214">
        <v>-85.579385000000002</v>
      </c>
      <c r="Y214">
        <v>7</v>
      </c>
      <c r="Z214">
        <v>21</v>
      </c>
      <c r="AA214">
        <v>2023</v>
      </c>
      <c r="AB214" t="b">
        <v>0</v>
      </c>
      <c r="AC214" s="19">
        <v>45128</v>
      </c>
      <c r="AD214" s="19"/>
    </row>
    <row r="215" spans="1:30" x14ac:dyDescent="0.25">
      <c r="A215" s="25">
        <v>10214</v>
      </c>
      <c r="B215" s="63" t="s">
        <v>237</v>
      </c>
      <c r="C215" s="63" t="s">
        <v>237</v>
      </c>
      <c r="D215" s="64">
        <v>3108</v>
      </c>
      <c r="E215" s="64">
        <v>8</v>
      </c>
      <c r="F215" s="118">
        <v>9370</v>
      </c>
      <c r="G215" s="63" t="s">
        <v>22</v>
      </c>
      <c r="H215" s="65" t="s">
        <v>8</v>
      </c>
      <c r="I215" s="63">
        <v>0.1517</v>
      </c>
      <c r="J215" s="63">
        <v>2.3079999999999998</v>
      </c>
      <c r="K215" s="63">
        <v>0.27</v>
      </c>
      <c r="L215" s="63">
        <v>4.9000000000000002E-2</v>
      </c>
      <c r="M215" s="140">
        <f t="shared" si="23"/>
        <v>0.1517</v>
      </c>
      <c r="N215" s="140">
        <f t="shared" si="23"/>
        <v>2.3079999999999998</v>
      </c>
      <c r="O215" s="140">
        <f t="shared" si="23"/>
        <v>0.27</v>
      </c>
      <c r="P215" s="140">
        <f t="shared" si="22"/>
        <v>0.05</v>
      </c>
      <c r="Q215" s="163">
        <v>0.314</v>
      </c>
      <c r="R215" s="129">
        <v>24.864999999999998</v>
      </c>
      <c r="S215" t="s">
        <v>676</v>
      </c>
      <c r="W215">
        <v>40.766466000000001</v>
      </c>
      <c r="X215">
        <v>-85.597955999999996</v>
      </c>
      <c r="Y215">
        <v>7</v>
      </c>
      <c r="Z215">
        <v>21</v>
      </c>
      <c r="AA215">
        <v>2023</v>
      </c>
      <c r="AB215" t="b">
        <v>0</v>
      </c>
      <c r="AC215" s="19">
        <v>45128</v>
      </c>
      <c r="AD215" s="19"/>
    </row>
    <row r="216" spans="1:30" x14ac:dyDescent="0.25">
      <c r="A216" s="25">
        <v>10215</v>
      </c>
      <c r="B216" s="63" t="s">
        <v>238</v>
      </c>
      <c r="C216" s="63" t="s">
        <v>238</v>
      </c>
      <c r="D216" s="64">
        <v>3109</v>
      </c>
      <c r="E216" s="64">
        <v>9</v>
      </c>
      <c r="F216" s="118">
        <v>10331</v>
      </c>
      <c r="G216" s="63" t="s">
        <v>22</v>
      </c>
      <c r="H216" s="65" t="s">
        <v>8</v>
      </c>
      <c r="I216" s="63">
        <v>9.9400000000000002E-2</v>
      </c>
      <c r="J216" s="63">
        <v>2.976</v>
      </c>
      <c r="K216" s="63">
        <v>0.40899999999999997</v>
      </c>
      <c r="L216" s="63">
        <v>4.4499999999999998E-2</v>
      </c>
      <c r="M216" s="140">
        <f t="shared" si="23"/>
        <v>0.05</v>
      </c>
      <c r="N216" s="140">
        <f t="shared" si="23"/>
        <v>2.976</v>
      </c>
      <c r="O216" s="140">
        <f t="shared" si="23"/>
        <v>0.40899999999999997</v>
      </c>
      <c r="P216" s="140">
        <f t="shared" si="22"/>
        <v>0.05</v>
      </c>
      <c r="Q216" s="163">
        <v>0.33400000000000002</v>
      </c>
      <c r="R216" s="129">
        <v>21.274999999999999</v>
      </c>
      <c r="S216" t="s">
        <v>676</v>
      </c>
      <c r="W216">
        <v>40.756110999999997</v>
      </c>
      <c r="X216">
        <v>-85.595219999999998</v>
      </c>
      <c r="Y216">
        <v>7</v>
      </c>
      <c r="Z216">
        <v>21</v>
      </c>
      <c r="AA216">
        <v>2023</v>
      </c>
      <c r="AB216" t="b">
        <v>0</v>
      </c>
      <c r="AC216" s="19">
        <v>45128</v>
      </c>
      <c r="AD216" s="19"/>
    </row>
    <row r="217" spans="1:30" x14ac:dyDescent="0.25">
      <c r="A217" s="25">
        <v>10216</v>
      </c>
      <c r="B217" s="63" t="s">
        <v>239</v>
      </c>
      <c r="C217" s="63" t="s">
        <v>239</v>
      </c>
      <c r="D217" s="64">
        <v>3110</v>
      </c>
      <c r="E217" s="64">
        <v>10</v>
      </c>
      <c r="F217" s="118">
        <v>11270</v>
      </c>
      <c r="G217" s="63" t="s">
        <v>22</v>
      </c>
      <c r="H217" s="65" t="s">
        <v>8</v>
      </c>
      <c r="I217" s="63">
        <v>0.13639999999999999</v>
      </c>
      <c r="J217" s="63">
        <v>4.069</v>
      </c>
      <c r="K217" s="63">
        <v>0.30399999999999999</v>
      </c>
      <c r="L217" s="63">
        <v>5.5E-2</v>
      </c>
      <c r="M217" s="140">
        <f t="shared" si="23"/>
        <v>0.13639999999999999</v>
      </c>
      <c r="N217" s="140">
        <f t="shared" si="23"/>
        <v>4.069</v>
      </c>
      <c r="O217" s="140">
        <f t="shared" si="23"/>
        <v>0.30399999999999999</v>
      </c>
      <c r="P217" s="140">
        <f t="shared" si="22"/>
        <v>0.05</v>
      </c>
      <c r="Q217" s="163">
        <v>0.38100000000000001</v>
      </c>
      <c r="R217" s="129">
        <v>19.739999999999998</v>
      </c>
      <c r="S217" t="s">
        <v>676</v>
      </c>
      <c r="W217">
        <v>40.756017</v>
      </c>
      <c r="X217">
        <v>-85.581188999999995</v>
      </c>
      <c r="Y217">
        <v>7</v>
      </c>
      <c r="Z217">
        <v>21</v>
      </c>
      <c r="AA217">
        <v>2023</v>
      </c>
      <c r="AB217" t="b">
        <v>0</v>
      </c>
      <c r="AC217" s="19">
        <v>45128</v>
      </c>
      <c r="AD217" s="19"/>
    </row>
    <row r="218" spans="1:30" x14ac:dyDescent="0.25">
      <c r="A218" s="25">
        <v>10217</v>
      </c>
      <c r="B218" s="63" t="s">
        <v>240</v>
      </c>
      <c r="C218" s="63" t="s">
        <v>240</v>
      </c>
      <c r="D218" s="64">
        <v>3111</v>
      </c>
      <c r="E218" s="64">
        <v>11</v>
      </c>
      <c r="F218" s="118"/>
      <c r="G218" s="63" t="s">
        <v>22</v>
      </c>
      <c r="H218" s="65" t="s">
        <v>8</v>
      </c>
      <c r="I218" s="63">
        <v>3.3099999999999997E-2</v>
      </c>
      <c r="J218" s="63">
        <v>4.2089999999999996</v>
      </c>
      <c r="K218" s="63">
        <v>-8.0000000000000002E-3</v>
      </c>
      <c r="L218" s="63">
        <v>8.4000000000000005E-2</v>
      </c>
      <c r="M218" s="140">
        <f t="shared" si="23"/>
        <v>0.05</v>
      </c>
      <c r="N218" s="140">
        <f t="shared" si="23"/>
        <v>4.2089999999999996</v>
      </c>
      <c r="O218" s="140">
        <f t="shared" si="23"/>
        <v>0.05</v>
      </c>
      <c r="P218" s="140">
        <f t="shared" si="22"/>
        <v>0.05</v>
      </c>
      <c r="Q218" s="163">
        <v>0.19500000000000001</v>
      </c>
      <c r="R218" s="129">
        <v>46.255000000000003</v>
      </c>
      <c r="S218" t="s">
        <v>676</v>
      </c>
      <c r="W218">
        <v>40.74494</v>
      </c>
      <c r="X218">
        <v>-85.569293999999999</v>
      </c>
      <c r="Y218">
        <v>7</v>
      </c>
      <c r="Z218">
        <v>21</v>
      </c>
      <c r="AA218">
        <v>2023</v>
      </c>
      <c r="AB218" t="b">
        <v>0</v>
      </c>
      <c r="AC218" s="19">
        <v>45128</v>
      </c>
      <c r="AD218" s="19"/>
    </row>
    <row r="219" spans="1:30" x14ac:dyDescent="0.25">
      <c r="A219" s="25">
        <v>10218</v>
      </c>
      <c r="B219" t="s">
        <v>241</v>
      </c>
      <c r="C219" t="s">
        <v>241</v>
      </c>
      <c r="D219" s="27">
        <v>3112</v>
      </c>
      <c r="E219" s="27">
        <v>12</v>
      </c>
      <c r="F219" s="118"/>
      <c r="G219" t="s">
        <v>22</v>
      </c>
      <c r="H219" s="24" t="s">
        <v>8</v>
      </c>
      <c r="I219">
        <v>0.2361</v>
      </c>
      <c r="J219">
        <v>3.129</v>
      </c>
      <c r="K219">
        <v>0.39100000000000001</v>
      </c>
      <c r="M219" s="140">
        <f t="shared" si="23"/>
        <v>0.2361</v>
      </c>
      <c r="N219" s="140">
        <f t="shared" si="23"/>
        <v>3.129</v>
      </c>
      <c r="O219" s="140">
        <f t="shared" si="23"/>
        <v>0.39100000000000001</v>
      </c>
      <c r="P219" s="140">
        <f t="shared" si="22"/>
        <v>0.05</v>
      </c>
      <c r="Q219" s="161">
        <v>0.35499999999999998</v>
      </c>
      <c r="R219" s="125">
        <v>37.744999999999997</v>
      </c>
      <c r="S219" t="s">
        <v>676</v>
      </c>
      <c r="W219">
        <v>40.747396000000002</v>
      </c>
      <c r="X219">
        <v>-85.549599000000001</v>
      </c>
      <c r="Y219">
        <v>7</v>
      </c>
      <c r="Z219">
        <v>21</v>
      </c>
      <c r="AA219">
        <v>2023</v>
      </c>
      <c r="AB219" t="b">
        <v>0</v>
      </c>
      <c r="AC219" s="19">
        <v>45128</v>
      </c>
      <c r="AD219" s="19"/>
    </row>
    <row r="220" spans="1:30" x14ac:dyDescent="0.25">
      <c r="A220" s="25">
        <v>10219</v>
      </c>
      <c r="B220" s="63" t="s">
        <v>242</v>
      </c>
      <c r="C220" s="63" t="s">
        <v>242</v>
      </c>
      <c r="D220" s="64">
        <v>3113</v>
      </c>
      <c r="E220" s="64">
        <v>13</v>
      </c>
      <c r="F220" s="118">
        <v>5180</v>
      </c>
      <c r="G220" s="63" t="s">
        <v>22</v>
      </c>
      <c r="H220" s="65" t="s">
        <v>8</v>
      </c>
      <c r="I220" s="63">
        <v>5.5800000000000002E-2</v>
      </c>
      <c r="J220" s="63">
        <v>2.68</v>
      </c>
      <c r="K220" s="63">
        <v>0.34</v>
      </c>
      <c r="L220" s="63">
        <v>4.2000000000000003E-2</v>
      </c>
      <c r="M220" s="140">
        <f t="shared" si="23"/>
        <v>0.05</v>
      </c>
      <c r="N220" s="140">
        <f t="shared" si="23"/>
        <v>2.68</v>
      </c>
      <c r="O220" s="140">
        <f t="shared" si="23"/>
        <v>0.34</v>
      </c>
      <c r="P220" s="140">
        <f t="shared" si="22"/>
        <v>0.05</v>
      </c>
      <c r="Q220" s="163">
        <v>0.34699999999999998</v>
      </c>
      <c r="R220" s="129">
        <v>23.204999999999998</v>
      </c>
      <c r="S220" t="s">
        <v>676</v>
      </c>
      <c r="W220">
        <v>40.780465</v>
      </c>
      <c r="X220">
        <v>-85.637153999999995</v>
      </c>
      <c r="Y220">
        <v>7</v>
      </c>
      <c r="Z220">
        <v>21</v>
      </c>
      <c r="AA220">
        <v>2023</v>
      </c>
      <c r="AB220" t="b">
        <v>0</v>
      </c>
      <c r="AC220" s="19">
        <v>45128</v>
      </c>
      <c r="AD220" s="19"/>
    </row>
    <row r="221" spans="1:30" x14ac:dyDescent="0.25">
      <c r="A221" s="25">
        <v>10220</v>
      </c>
      <c r="B221" s="63" t="s">
        <v>243</v>
      </c>
      <c r="C221" s="63" t="s">
        <v>243</v>
      </c>
      <c r="D221" s="64">
        <v>2101</v>
      </c>
      <c r="E221" s="64">
        <v>1</v>
      </c>
      <c r="F221" s="118">
        <v>5999</v>
      </c>
      <c r="G221" s="63" t="s">
        <v>19</v>
      </c>
      <c r="H221" s="65" t="s">
        <v>8</v>
      </c>
      <c r="I221" s="63">
        <v>3.85E-2</v>
      </c>
      <c r="J221" s="63">
        <v>4.5439999999999996</v>
      </c>
      <c r="K221" s="63">
        <v>0.26</v>
      </c>
      <c r="L221" s="63">
        <v>2.5999999999999999E-2</v>
      </c>
      <c r="M221" s="140">
        <f t="shared" si="23"/>
        <v>0.05</v>
      </c>
      <c r="N221" s="140">
        <f t="shared" si="23"/>
        <v>4.5439999999999996</v>
      </c>
      <c r="O221" s="140">
        <f t="shared" si="23"/>
        <v>0.26</v>
      </c>
      <c r="P221" s="140">
        <f t="shared" si="22"/>
        <v>0.05</v>
      </c>
      <c r="Q221" s="163">
        <v>0.32900000000000001</v>
      </c>
      <c r="R221" s="129">
        <v>14.505000000000001</v>
      </c>
      <c r="S221" t="s">
        <v>676</v>
      </c>
      <c r="W221">
        <v>40.681922</v>
      </c>
      <c r="X221">
        <v>-85.888621000000001</v>
      </c>
      <c r="Y221">
        <v>7</v>
      </c>
      <c r="Z221">
        <v>27</v>
      </c>
      <c r="AA221">
        <v>2023</v>
      </c>
      <c r="AB221" t="b">
        <v>0</v>
      </c>
      <c r="AC221" s="19">
        <v>45134</v>
      </c>
      <c r="AD221" s="19"/>
    </row>
    <row r="222" spans="1:30" x14ac:dyDescent="0.25">
      <c r="A222" s="25">
        <v>10221</v>
      </c>
      <c r="B222" s="63" t="s">
        <v>244</v>
      </c>
      <c r="C222" s="63" t="s">
        <v>244</v>
      </c>
      <c r="D222" s="64">
        <v>2102</v>
      </c>
      <c r="E222" s="64">
        <v>2</v>
      </c>
      <c r="F222" s="118">
        <v>8861</v>
      </c>
      <c r="G222" s="63" t="s">
        <v>19</v>
      </c>
      <c r="H222" s="65" t="s">
        <v>8</v>
      </c>
      <c r="I222" s="63">
        <v>6.0299999999999999E-2</v>
      </c>
      <c r="J222" s="63">
        <v>4.6989999999999998</v>
      </c>
      <c r="K222" s="63">
        <v>0.27800000000000002</v>
      </c>
      <c r="L222" s="63">
        <v>0.03</v>
      </c>
      <c r="M222" s="140">
        <f t="shared" si="23"/>
        <v>0.05</v>
      </c>
      <c r="N222" s="140">
        <f t="shared" si="23"/>
        <v>4.6989999999999998</v>
      </c>
      <c r="O222" s="140">
        <f t="shared" si="23"/>
        <v>0.27800000000000002</v>
      </c>
      <c r="P222" s="140">
        <f t="shared" si="22"/>
        <v>0.05</v>
      </c>
      <c r="Q222" s="163">
        <v>0.185</v>
      </c>
      <c r="R222" s="129">
        <v>14.734999999999999</v>
      </c>
      <c r="S222" t="s">
        <v>676</v>
      </c>
      <c r="W222">
        <v>40.676791999999999</v>
      </c>
      <c r="X222">
        <v>-85.876581000000002</v>
      </c>
      <c r="Y222">
        <v>7</v>
      </c>
      <c r="Z222">
        <v>27</v>
      </c>
      <c r="AA222">
        <v>2023</v>
      </c>
      <c r="AB222" t="b">
        <v>0</v>
      </c>
      <c r="AC222" s="19">
        <v>45134</v>
      </c>
      <c r="AD222" s="19"/>
    </row>
    <row r="223" spans="1:30" x14ac:dyDescent="0.25">
      <c r="A223" s="25">
        <v>10222</v>
      </c>
      <c r="B223" s="63" t="s">
        <v>245</v>
      </c>
      <c r="C223" s="63" t="s">
        <v>245</v>
      </c>
      <c r="D223" s="64">
        <v>2103</v>
      </c>
      <c r="E223" s="64">
        <v>3</v>
      </c>
      <c r="F223" s="118">
        <v>9921</v>
      </c>
      <c r="G223" s="63" t="s">
        <v>19</v>
      </c>
      <c r="H223" s="65" t="s">
        <v>8</v>
      </c>
      <c r="I223" s="63">
        <v>5.8700000000000002E-2</v>
      </c>
      <c r="J223" s="63">
        <v>5.5039999999999996</v>
      </c>
      <c r="K223" s="63">
        <v>0.34200000000000003</v>
      </c>
      <c r="L223" s="63">
        <v>3.4500000000000003E-2</v>
      </c>
      <c r="M223" s="140">
        <f t="shared" si="23"/>
        <v>0.05</v>
      </c>
      <c r="N223" s="140">
        <f t="shared" si="23"/>
        <v>5.5039999999999996</v>
      </c>
      <c r="O223" s="140">
        <f t="shared" si="23"/>
        <v>0.34200000000000003</v>
      </c>
      <c r="P223" s="140">
        <f t="shared" si="22"/>
        <v>0.05</v>
      </c>
      <c r="Q223" s="163">
        <v>0.34699999999999998</v>
      </c>
      <c r="R223" s="129">
        <v>11.865</v>
      </c>
      <c r="S223" t="s">
        <v>676</v>
      </c>
      <c r="W223">
        <v>40.671010000000003</v>
      </c>
      <c r="X223">
        <v>-85.869494000000003</v>
      </c>
      <c r="Y223">
        <v>7</v>
      </c>
      <c r="Z223">
        <v>27</v>
      </c>
      <c r="AA223">
        <v>2023</v>
      </c>
      <c r="AB223" t="b">
        <v>0</v>
      </c>
      <c r="AC223" s="19">
        <v>45134</v>
      </c>
      <c r="AD223" s="19"/>
    </row>
    <row r="224" spans="1:30" x14ac:dyDescent="0.25">
      <c r="A224" s="25">
        <v>10223</v>
      </c>
      <c r="B224" s="63" t="s">
        <v>246</v>
      </c>
      <c r="C224" s="63" t="s">
        <v>246</v>
      </c>
      <c r="D224" s="64">
        <v>2104</v>
      </c>
      <c r="E224" s="64">
        <v>4</v>
      </c>
      <c r="F224" s="118">
        <v>10891</v>
      </c>
      <c r="G224" s="63" t="s">
        <v>19</v>
      </c>
      <c r="H224" s="65" t="s">
        <v>8</v>
      </c>
      <c r="I224" s="63">
        <v>6.1400000000000003E-2</v>
      </c>
      <c r="J224" s="63">
        <v>5.0510000000000002</v>
      </c>
      <c r="K224" s="63">
        <v>0.19900000000000001</v>
      </c>
      <c r="L224" s="63">
        <v>4.3499999999999997E-2</v>
      </c>
      <c r="M224" s="140">
        <f t="shared" si="23"/>
        <v>0.05</v>
      </c>
      <c r="N224" s="140">
        <f t="shared" si="23"/>
        <v>5.0510000000000002</v>
      </c>
      <c r="O224" s="140">
        <f t="shared" si="23"/>
        <v>0.19900000000000001</v>
      </c>
      <c r="P224" s="140">
        <f t="shared" si="22"/>
        <v>0.05</v>
      </c>
      <c r="Q224" s="163">
        <v>0.373</v>
      </c>
      <c r="R224" s="129">
        <v>13.705</v>
      </c>
      <c r="S224" t="s">
        <v>676</v>
      </c>
      <c r="W224">
        <v>40.663311</v>
      </c>
      <c r="X224">
        <v>-85.865977000000001</v>
      </c>
      <c r="Y224">
        <v>7</v>
      </c>
      <c r="Z224">
        <v>27</v>
      </c>
      <c r="AA224">
        <v>2023</v>
      </c>
      <c r="AB224" t="b">
        <v>0</v>
      </c>
      <c r="AC224" s="19">
        <v>45134</v>
      </c>
      <c r="AD224" s="19"/>
    </row>
    <row r="225" spans="1:30" x14ac:dyDescent="0.25">
      <c r="A225" s="25">
        <v>10224</v>
      </c>
      <c r="B225" t="s">
        <v>247</v>
      </c>
      <c r="C225" t="s">
        <v>247</v>
      </c>
      <c r="D225" s="27">
        <v>2105</v>
      </c>
      <c r="E225" s="27">
        <v>5</v>
      </c>
      <c r="F225" s="118">
        <v>12821</v>
      </c>
      <c r="G225" t="s">
        <v>19</v>
      </c>
      <c r="H225" s="24" t="s">
        <v>8</v>
      </c>
      <c r="L225">
        <v>7.5999999999999998E-2</v>
      </c>
      <c r="M225" s="140">
        <f t="shared" si="23"/>
        <v>0.05</v>
      </c>
      <c r="N225" s="140">
        <f t="shared" si="23"/>
        <v>0.05</v>
      </c>
      <c r="O225" s="140">
        <f t="shared" si="23"/>
        <v>0.05</v>
      </c>
      <c r="P225" s="140">
        <f t="shared" si="22"/>
        <v>0.05</v>
      </c>
      <c r="Q225" s="161">
        <v>0.40600000000000003</v>
      </c>
      <c r="R225" s="125">
        <v>17.22</v>
      </c>
      <c r="S225" t="s">
        <v>676</v>
      </c>
      <c r="W225">
        <v>40.668644</v>
      </c>
      <c r="X225">
        <v>-85.847110999999998</v>
      </c>
      <c r="Y225">
        <v>7</v>
      </c>
      <c r="Z225">
        <v>27</v>
      </c>
      <c r="AA225">
        <v>2023</v>
      </c>
      <c r="AB225" t="b">
        <v>0</v>
      </c>
      <c r="AC225" s="19">
        <v>45134</v>
      </c>
      <c r="AD225" s="19"/>
    </row>
    <row r="226" spans="1:30" x14ac:dyDescent="0.25">
      <c r="A226" s="25">
        <v>10225</v>
      </c>
      <c r="B226" s="63" t="s">
        <v>248</v>
      </c>
      <c r="C226" s="63" t="s">
        <v>248</v>
      </c>
      <c r="D226" s="64">
        <v>2106</v>
      </c>
      <c r="E226" s="64">
        <v>6</v>
      </c>
      <c r="F226" s="118">
        <v>14351</v>
      </c>
      <c r="G226" s="63" t="s">
        <v>19</v>
      </c>
      <c r="H226" s="65" t="s">
        <v>8</v>
      </c>
      <c r="I226" s="63">
        <v>3.8699999999999998E-2</v>
      </c>
      <c r="J226" s="63">
        <v>5.7759999999999998</v>
      </c>
      <c r="K226" s="63">
        <v>0.41199999999999998</v>
      </c>
      <c r="L226" s="63">
        <v>5.1499999999999997E-2</v>
      </c>
      <c r="M226" s="140">
        <f t="shared" ref="M226:O241" si="24">IF(I226&lt;0.1,0.05,I226)</f>
        <v>0.05</v>
      </c>
      <c r="N226" s="140">
        <f t="shared" si="24"/>
        <v>5.7759999999999998</v>
      </c>
      <c r="O226" s="140">
        <f t="shared" si="24"/>
        <v>0.41199999999999998</v>
      </c>
      <c r="P226" s="140">
        <f t="shared" si="22"/>
        <v>0.05</v>
      </c>
      <c r="Q226" s="163">
        <v>0.26600000000000001</v>
      </c>
      <c r="R226" s="129">
        <v>17.600000000000001</v>
      </c>
      <c r="S226" t="s">
        <v>676</v>
      </c>
      <c r="W226">
        <v>40.673974000000001</v>
      </c>
      <c r="X226">
        <v>-85.831631999999999</v>
      </c>
      <c r="Y226">
        <v>7</v>
      </c>
      <c r="Z226">
        <v>27</v>
      </c>
      <c r="AA226">
        <v>2023</v>
      </c>
      <c r="AB226" t="b">
        <v>0</v>
      </c>
      <c r="AC226" s="19">
        <v>45134</v>
      </c>
      <c r="AD226" s="19"/>
    </row>
    <row r="227" spans="1:30" x14ac:dyDescent="0.25">
      <c r="A227" s="25">
        <v>10226</v>
      </c>
      <c r="B227" s="63" t="s">
        <v>249</v>
      </c>
      <c r="C227" s="63" t="s">
        <v>249</v>
      </c>
      <c r="D227" s="64">
        <v>2107</v>
      </c>
      <c r="E227" s="64">
        <v>7</v>
      </c>
      <c r="F227" s="118">
        <v>6411</v>
      </c>
      <c r="G227" s="63" t="s">
        <v>19</v>
      </c>
      <c r="H227" s="65" t="s">
        <v>8</v>
      </c>
      <c r="I227" s="63">
        <v>6.3100000000000003E-2</v>
      </c>
      <c r="J227" s="63">
        <v>3.1890000000000001</v>
      </c>
      <c r="K227" s="63">
        <v>0.26</v>
      </c>
      <c r="L227" s="63">
        <v>3.5499999999999997E-2</v>
      </c>
      <c r="M227" s="140">
        <f t="shared" si="24"/>
        <v>0.05</v>
      </c>
      <c r="N227" s="140">
        <f t="shared" si="24"/>
        <v>3.1890000000000001</v>
      </c>
      <c r="O227" s="140">
        <f t="shared" si="24"/>
        <v>0.26</v>
      </c>
      <c r="P227" s="140">
        <f t="shared" si="22"/>
        <v>0.05</v>
      </c>
      <c r="Q227" s="163">
        <v>0.495</v>
      </c>
      <c r="R227" s="129">
        <v>26.045000000000002</v>
      </c>
      <c r="S227" t="s">
        <v>676</v>
      </c>
      <c r="W227">
        <v>40.689686000000002</v>
      </c>
      <c r="X227">
        <v>-85.895390000000006</v>
      </c>
      <c r="Y227">
        <v>7</v>
      </c>
      <c r="Z227">
        <v>27</v>
      </c>
      <c r="AA227">
        <v>2023</v>
      </c>
      <c r="AB227" t="b">
        <v>0</v>
      </c>
      <c r="AC227" s="19">
        <v>45134</v>
      </c>
      <c r="AD227" s="19"/>
    </row>
    <row r="228" spans="1:30" x14ac:dyDescent="0.25">
      <c r="A228" s="25">
        <v>10227</v>
      </c>
      <c r="B228" s="63" t="s">
        <v>250</v>
      </c>
      <c r="C228" s="63" t="s">
        <v>250</v>
      </c>
      <c r="D228" s="64">
        <v>2108</v>
      </c>
      <c r="E228" s="64">
        <v>8</v>
      </c>
      <c r="F228" s="118">
        <v>5401</v>
      </c>
      <c r="G228" s="63" t="s">
        <v>19</v>
      </c>
      <c r="H228" s="65" t="s">
        <v>8</v>
      </c>
      <c r="I228" s="63">
        <v>5.2600000000000001E-2</v>
      </c>
      <c r="J228" s="63">
        <v>4.1440000000000001</v>
      </c>
      <c r="K228" s="63">
        <v>0.26700000000000002</v>
      </c>
      <c r="L228" s="63">
        <v>3.5000000000000003E-2</v>
      </c>
      <c r="M228" s="140">
        <f t="shared" si="24"/>
        <v>0.05</v>
      </c>
      <c r="N228" s="140">
        <f t="shared" si="24"/>
        <v>4.1440000000000001</v>
      </c>
      <c r="O228" s="140">
        <f t="shared" si="24"/>
        <v>0.26700000000000002</v>
      </c>
      <c r="P228" s="140">
        <f t="shared" si="22"/>
        <v>0.05</v>
      </c>
      <c r="Q228" s="163">
        <v>0.55400000000000005</v>
      </c>
      <c r="R228" s="129">
        <v>12.87</v>
      </c>
      <c r="S228" t="s">
        <v>676</v>
      </c>
      <c r="W228">
        <v>40.693033</v>
      </c>
      <c r="X228">
        <v>-85.907493000000002</v>
      </c>
      <c r="Y228">
        <v>7</v>
      </c>
      <c r="Z228">
        <v>27</v>
      </c>
      <c r="AA228">
        <v>2023</v>
      </c>
      <c r="AB228" t="b">
        <v>0</v>
      </c>
      <c r="AC228" s="19">
        <v>45134</v>
      </c>
      <c r="AD228" s="19"/>
    </row>
    <row r="229" spans="1:30" x14ac:dyDescent="0.25">
      <c r="A229" s="25">
        <v>10228</v>
      </c>
      <c r="B229" s="63" t="s">
        <v>251</v>
      </c>
      <c r="C229" s="63" t="s">
        <v>251</v>
      </c>
      <c r="D229" s="64">
        <v>2109</v>
      </c>
      <c r="E229" s="64">
        <v>9</v>
      </c>
      <c r="F229" s="118">
        <v>4381</v>
      </c>
      <c r="G229" s="63" t="s">
        <v>19</v>
      </c>
      <c r="H229" s="65" t="s">
        <v>8</v>
      </c>
      <c r="I229" s="63">
        <v>4.2599999999999999E-2</v>
      </c>
      <c r="J229" s="63">
        <v>3.9340000000000002</v>
      </c>
      <c r="K229" s="63">
        <v>0.36899999999999999</v>
      </c>
      <c r="L229" s="63">
        <v>2.5999999999999999E-2</v>
      </c>
      <c r="M229" s="140">
        <f t="shared" si="24"/>
        <v>0.05</v>
      </c>
      <c r="N229" s="140">
        <f t="shared" si="24"/>
        <v>3.9340000000000002</v>
      </c>
      <c r="O229" s="140">
        <f t="shared" si="24"/>
        <v>0.36899999999999999</v>
      </c>
      <c r="P229" s="140">
        <f t="shared" si="22"/>
        <v>0.05</v>
      </c>
      <c r="Q229" s="163">
        <v>0.17899999999999999</v>
      </c>
      <c r="R229" s="129">
        <v>11.845000000000001</v>
      </c>
      <c r="S229" t="s">
        <v>676</v>
      </c>
      <c r="W229">
        <v>40.704790000000003</v>
      </c>
      <c r="X229">
        <v>-85.929541999999998</v>
      </c>
      <c r="Y229">
        <v>7</v>
      </c>
      <c r="Z229">
        <v>27</v>
      </c>
      <c r="AA229">
        <v>2023</v>
      </c>
      <c r="AB229" t="b">
        <v>0</v>
      </c>
      <c r="AC229" s="19">
        <v>45134</v>
      </c>
      <c r="AD229" s="19"/>
    </row>
    <row r="230" spans="1:30" x14ac:dyDescent="0.25">
      <c r="A230" s="25">
        <v>10229</v>
      </c>
      <c r="B230" s="63" t="s">
        <v>252</v>
      </c>
      <c r="C230" s="63" t="s">
        <v>252</v>
      </c>
      <c r="D230" s="64">
        <v>2110</v>
      </c>
      <c r="E230" s="64">
        <v>10</v>
      </c>
      <c r="F230" s="118">
        <v>2851</v>
      </c>
      <c r="G230" s="63" t="s">
        <v>19</v>
      </c>
      <c r="H230" s="65" t="s">
        <v>8</v>
      </c>
      <c r="I230" s="63">
        <v>4.8099999999999997E-2</v>
      </c>
      <c r="J230" s="63">
        <v>4.0439999999999996</v>
      </c>
      <c r="K230" s="63">
        <v>0.215</v>
      </c>
      <c r="L230" s="63">
        <v>2.8500000000000001E-2</v>
      </c>
      <c r="M230" s="140">
        <f t="shared" si="24"/>
        <v>0.05</v>
      </c>
      <c r="N230" s="140">
        <f t="shared" si="24"/>
        <v>4.0439999999999996</v>
      </c>
      <c r="O230" s="140">
        <f t="shared" si="24"/>
        <v>0.215</v>
      </c>
      <c r="P230" s="140">
        <f t="shared" si="22"/>
        <v>0.05</v>
      </c>
      <c r="Q230" s="163">
        <v>0.51200000000000001</v>
      </c>
      <c r="R230" s="129">
        <v>14.845000000000001</v>
      </c>
      <c r="S230" t="s">
        <v>676</v>
      </c>
      <c r="W230">
        <v>40.693753000000001</v>
      </c>
      <c r="X230">
        <v>-85.920210999999995</v>
      </c>
      <c r="Y230">
        <v>7</v>
      </c>
      <c r="Z230">
        <v>27</v>
      </c>
      <c r="AA230">
        <v>2023</v>
      </c>
      <c r="AB230" t="b">
        <v>0</v>
      </c>
      <c r="AC230" s="19">
        <v>45134</v>
      </c>
      <c r="AD230" s="19"/>
    </row>
    <row r="231" spans="1:30" x14ac:dyDescent="0.25">
      <c r="A231" s="25">
        <v>10230</v>
      </c>
      <c r="B231" s="63" t="s">
        <v>253</v>
      </c>
      <c r="C231" s="63" t="s">
        <v>253</v>
      </c>
      <c r="D231" s="64">
        <v>2111</v>
      </c>
      <c r="E231" s="64">
        <v>11</v>
      </c>
      <c r="F231" s="118">
        <v>1731</v>
      </c>
      <c r="G231" s="63" t="s">
        <v>19</v>
      </c>
      <c r="H231" s="65" t="s">
        <v>8</v>
      </c>
      <c r="I231" s="63">
        <v>6.1100000000000002E-2</v>
      </c>
      <c r="J231" s="63">
        <v>3.6909999999999998</v>
      </c>
      <c r="K231" s="63">
        <v>0.48099999999999998</v>
      </c>
      <c r="L231" s="63">
        <v>2.3E-2</v>
      </c>
      <c r="M231" s="140">
        <f t="shared" si="24"/>
        <v>0.05</v>
      </c>
      <c r="N231" s="140">
        <f t="shared" si="24"/>
        <v>3.6909999999999998</v>
      </c>
      <c r="O231" s="140">
        <f t="shared" si="24"/>
        <v>0.48099999999999998</v>
      </c>
      <c r="P231" s="140">
        <f t="shared" si="22"/>
        <v>0.05</v>
      </c>
      <c r="Q231" s="163">
        <v>0.55600000000000005</v>
      </c>
      <c r="R231" s="129">
        <v>13.465</v>
      </c>
      <c r="S231" t="s">
        <v>676</v>
      </c>
      <c r="W231">
        <v>40.713968999999999</v>
      </c>
      <c r="X231">
        <v>-85.936930000000004</v>
      </c>
      <c r="Y231">
        <v>7</v>
      </c>
      <c r="Z231">
        <v>27</v>
      </c>
      <c r="AA231">
        <v>2023</v>
      </c>
      <c r="AB231" t="b">
        <v>0</v>
      </c>
      <c r="AC231" s="19">
        <v>45134</v>
      </c>
      <c r="AD231" s="19"/>
    </row>
    <row r="232" spans="1:30" x14ac:dyDescent="0.25">
      <c r="A232" s="25">
        <v>10231</v>
      </c>
      <c r="B232" s="63" t="s">
        <v>254</v>
      </c>
      <c r="C232" s="63" t="s">
        <v>254</v>
      </c>
      <c r="D232" s="64">
        <v>2112</v>
      </c>
      <c r="E232" s="64">
        <v>12</v>
      </c>
      <c r="F232" s="118">
        <v>661</v>
      </c>
      <c r="G232" s="63" t="s">
        <v>19</v>
      </c>
      <c r="H232" s="65" t="s">
        <v>8</v>
      </c>
      <c r="I232" s="63">
        <v>4.6399999999999997E-2</v>
      </c>
      <c r="J232" s="63">
        <v>4.0410000000000004</v>
      </c>
      <c r="K232" s="63">
        <v>0.26100000000000001</v>
      </c>
      <c r="L232" s="63">
        <v>2.5000000000000001E-2</v>
      </c>
      <c r="M232" s="140">
        <f t="shared" si="24"/>
        <v>0.05</v>
      </c>
      <c r="N232" s="140">
        <f t="shared" si="24"/>
        <v>4.0410000000000004</v>
      </c>
      <c r="O232" s="140">
        <f t="shared" si="24"/>
        <v>0.26100000000000001</v>
      </c>
      <c r="P232" s="140">
        <f t="shared" si="22"/>
        <v>0.05</v>
      </c>
      <c r="Q232" s="163">
        <v>0.499</v>
      </c>
      <c r="R232" s="129">
        <v>13.705</v>
      </c>
      <c r="S232" t="s">
        <v>676</v>
      </c>
      <c r="W232">
        <v>40.711269999999999</v>
      </c>
      <c r="X232">
        <v>-85.953781000000006</v>
      </c>
      <c r="Y232">
        <v>7</v>
      </c>
      <c r="Z232">
        <v>27</v>
      </c>
      <c r="AA232">
        <v>2023</v>
      </c>
      <c r="AB232" t="b">
        <v>0</v>
      </c>
      <c r="AC232" s="19">
        <v>45134</v>
      </c>
      <c r="AD232" s="19"/>
    </row>
    <row r="233" spans="1:30" x14ac:dyDescent="0.25">
      <c r="A233" s="25">
        <v>10232</v>
      </c>
      <c r="B233" s="63" t="s">
        <v>255</v>
      </c>
      <c r="C233" s="63" t="s">
        <v>248</v>
      </c>
      <c r="D233" s="64">
        <v>2106</v>
      </c>
      <c r="E233" s="64">
        <v>6</v>
      </c>
      <c r="F233" s="118">
        <v>14351</v>
      </c>
      <c r="G233" s="63" t="s">
        <v>19</v>
      </c>
      <c r="H233" s="65" t="s">
        <v>8</v>
      </c>
      <c r="I233" s="63">
        <v>6.5699999999999995E-2</v>
      </c>
      <c r="J233" s="63">
        <v>5.5880000000000001</v>
      </c>
      <c r="K233" s="63">
        <v>0.315</v>
      </c>
      <c r="L233" s="63">
        <v>5.1499999999999997E-2</v>
      </c>
      <c r="M233" s="140">
        <f t="shared" si="24"/>
        <v>0.05</v>
      </c>
      <c r="N233" s="140">
        <f t="shared" si="24"/>
        <v>5.5880000000000001</v>
      </c>
      <c r="O233" s="140">
        <f t="shared" si="24"/>
        <v>0.315</v>
      </c>
      <c r="P233" s="140">
        <f t="shared" si="22"/>
        <v>0.05</v>
      </c>
      <c r="Q233" s="163">
        <v>0.251</v>
      </c>
      <c r="R233" s="129">
        <v>13.38</v>
      </c>
      <c r="S233" t="s">
        <v>676</v>
      </c>
      <c r="W233">
        <v>40.675078999999997</v>
      </c>
      <c r="X233">
        <v>-85.835430000000002</v>
      </c>
      <c r="Y233">
        <v>7</v>
      </c>
      <c r="Z233">
        <v>27</v>
      </c>
      <c r="AA233">
        <v>2023</v>
      </c>
      <c r="AB233" t="b">
        <v>0</v>
      </c>
      <c r="AC233" s="19">
        <v>45134</v>
      </c>
      <c r="AD233" s="19"/>
    </row>
    <row r="234" spans="1:30" x14ac:dyDescent="0.25">
      <c r="A234" s="25">
        <v>10233</v>
      </c>
      <c r="B234" t="s">
        <v>256</v>
      </c>
      <c r="C234" t="s">
        <v>255</v>
      </c>
      <c r="D234" s="27">
        <v>2113</v>
      </c>
      <c r="E234" s="27">
        <v>13</v>
      </c>
      <c r="F234" s="118">
        <v>13553</v>
      </c>
      <c r="G234" t="s">
        <v>19</v>
      </c>
      <c r="H234" s="24" t="s">
        <v>8</v>
      </c>
      <c r="J234">
        <v>6.6364999999999998</v>
      </c>
      <c r="L234">
        <v>6.0999999999999999E-2</v>
      </c>
      <c r="M234" s="140">
        <f t="shared" si="24"/>
        <v>0.05</v>
      </c>
      <c r="N234" s="140">
        <f t="shared" si="24"/>
        <v>6.6364999999999998</v>
      </c>
      <c r="O234" s="140">
        <f t="shared" si="24"/>
        <v>0.05</v>
      </c>
      <c r="P234" s="140">
        <f t="shared" si="22"/>
        <v>0.05</v>
      </c>
      <c r="Q234" s="161">
        <v>0.17499999999999999</v>
      </c>
      <c r="R234" s="125">
        <v>25.73</v>
      </c>
      <c r="S234" t="s">
        <v>676</v>
      </c>
      <c r="W234">
        <v>40.673793000000003</v>
      </c>
      <c r="X234">
        <v>-85.841280999999995</v>
      </c>
      <c r="Y234">
        <v>7</v>
      </c>
      <c r="Z234">
        <v>27</v>
      </c>
      <c r="AA234">
        <v>2023</v>
      </c>
      <c r="AB234" t="b">
        <v>0</v>
      </c>
      <c r="AC234" s="19">
        <v>45134</v>
      </c>
      <c r="AD234" s="19"/>
    </row>
    <row r="235" spans="1:30" x14ac:dyDescent="0.25">
      <c r="A235" s="25">
        <v>10234</v>
      </c>
      <c r="B235" s="63" t="s">
        <v>257</v>
      </c>
      <c r="C235" s="63" t="s">
        <v>253</v>
      </c>
      <c r="D235" s="64">
        <v>2111</v>
      </c>
      <c r="E235" s="64">
        <v>11</v>
      </c>
      <c r="F235" s="118">
        <v>1731</v>
      </c>
      <c r="G235" s="63" t="s">
        <v>19</v>
      </c>
      <c r="H235" s="65" t="s">
        <v>8</v>
      </c>
      <c r="I235" s="63">
        <v>5.4300000000000001E-2</v>
      </c>
      <c r="J235" s="63">
        <v>3.1749999999999998</v>
      </c>
      <c r="K235" s="63">
        <v>0.248</v>
      </c>
      <c r="L235" s="63">
        <v>2.8500000000000001E-2</v>
      </c>
      <c r="M235" s="140">
        <f t="shared" si="24"/>
        <v>0.05</v>
      </c>
      <c r="N235" s="140">
        <f t="shared" si="24"/>
        <v>3.1749999999999998</v>
      </c>
      <c r="O235" s="140">
        <f t="shared" si="24"/>
        <v>0.248</v>
      </c>
      <c r="P235" s="140">
        <f t="shared" si="22"/>
        <v>0.05</v>
      </c>
      <c r="Q235" s="163">
        <v>0.46400000000000002</v>
      </c>
      <c r="R235" s="129">
        <v>9.8249999999999993</v>
      </c>
      <c r="S235" t="s">
        <v>676</v>
      </c>
      <c r="W235">
        <v>40.707439999999998</v>
      </c>
      <c r="X235">
        <v>-85.940211000000005</v>
      </c>
      <c r="Y235">
        <v>7</v>
      </c>
      <c r="Z235">
        <v>27</v>
      </c>
      <c r="AA235">
        <v>2023</v>
      </c>
      <c r="AB235" t="b">
        <v>0</v>
      </c>
      <c r="AC235" s="19">
        <v>45134</v>
      </c>
      <c r="AD235" s="19"/>
    </row>
    <row r="236" spans="1:30" x14ac:dyDescent="0.25">
      <c r="A236" s="25">
        <v>10235</v>
      </c>
      <c r="B236" t="s">
        <v>258</v>
      </c>
      <c r="C236" t="s">
        <v>566</v>
      </c>
      <c r="D236" s="27">
        <v>4102</v>
      </c>
      <c r="E236" s="27">
        <v>2</v>
      </c>
      <c r="F236" s="118">
        <v>8165</v>
      </c>
      <c r="G236" t="s">
        <v>20</v>
      </c>
      <c r="H236" s="24" t="s">
        <v>8</v>
      </c>
      <c r="J236">
        <v>7.9000000000000001E-2</v>
      </c>
      <c r="L236">
        <v>0.28349999999999997</v>
      </c>
      <c r="M236" s="140">
        <f t="shared" si="24"/>
        <v>0.05</v>
      </c>
      <c r="N236" s="140">
        <f t="shared" si="24"/>
        <v>0.05</v>
      </c>
      <c r="O236" s="140">
        <f t="shared" si="24"/>
        <v>0.05</v>
      </c>
      <c r="P236" s="140">
        <f t="shared" si="22"/>
        <v>0.28349999999999997</v>
      </c>
      <c r="Q236" s="161" t="s">
        <v>676</v>
      </c>
      <c r="R236" s="125">
        <v>42.41</v>
      </c>
      <c r="S236" t="s">
        <v>676</v>
      </c>
      <c r="W236">
        <v>40.840980000000002</v>
      </c>
      <c r="X236">
        <v>-86.80489</v>
      </c>
      <c r="Y236">
        <v>8</v>
      </c>
      <c r="Z236">
        <v>1</v>
      </c>
      <c r="AA236">
        <v>2023</v>
      </c>
      <c r="AB236" t="b">
        <v>0</v>
      </c>
      <c r="AC236" s="19">
        <v>45139</v>
      </c>
      <c r="AD236" s="19"/>
    </row>
    <row r="237" spans="1:30" x14ac:dyDescent="0.25">
      <c r="A237" s="25">
        <v>10236</v>
      </c>
      <c r="B237" t="s">
        <v>259</v>
      </c>
      <c r="C237" t="s">
        <v>566</v>
      </c>
      <c r="D237" s="27">
        <v>4102</v>
      </c>
      <c r="E237" s="27">
        <v>2</v>
      </c>
      <c r="F237" s="118">
        <v>8165</v>
      </c>
      <c r="G237" t="s">
        <v>20</v>
      </c>
      <c r="H237" s="24" t="s">
        <v>8</v>
      </c>
      <c r="J237">
        <v>0.1075</v>
      </c>
      <c r="L237">
        <v>0.32150000000000001</v>
      </c>
      <c r="M237" s="140">
        <f t="shared" si="24"/>
        <v>0.05</v>
      </c>
      <c r="N237" s="140">
        <f t="shared" si="24"/>
        <v>0.1075</v>
      </c>
      <c r="O237" s="140">
        <f t="shared" si="24"/>
        <v>0.05</v>
      </c>
      <c r="P237" s="140">
        <f t="shared" si="22"/>
        <v>0.32150000000000001</v>
      </c>
      <c r="Q237" s="161" t="s">
        <v>676</v>
      </c>
      <c r="R237" s="125">
        <v>57.79</v>
      </c>
      <c r="S237" t="s">
        <v>676</v>
      </c>
      <c r="W237">
        <v>40.840850000000003</v>
      </c>
      <c r="X237">
        <v>-86.804950000000005</v>
      </c>
      <c r="Y237">
        <v>8</v>
      </c>
      <c r="Z237">
        <v>1</v>
      </c>
      <c r="AA237">
        <v>2023</v>
      </c>
      <c r="AB237" t="b">
        <v>0</v>
      </c>
      <c r="AC237" s="19">
        <v>45139</v>
      </c>
      <c r="AD237" s="19"/>
    </row>
    <row r="238" spans="1:30" x14ac:dyDescent="0.25">
      <c r="A238" s="25">
        <v>10237</v>
      </c>
      <c r="B238" t="s">
        <v>260</v>
      </c>
      <c r="C238" t="s">
        <v>567</v>
      </c>
      <c r="D238" s="27" t="s">
        <v>515</v>
      </c>
      <c r="E238" s="27" t="str">
        <f>RIGHT(D238,2)</f>
        <v>LL</v>
      </c>
      <c r="F238" s="118"/>
      <c r="G238" t="s">
        <v>20</v>
      </c>
      <c r="H238" s="24" t="s">
        <v>8</v>
      </c>
      <c r="L238">
        <v>0.36599999999999999</v>
      </c>
      <c r="M238" s="140">
        <f t="shared" si="24"/>
        <v>0.05</v>
      </c>
      <c r="N238" s="140">
        <f t="shared" si="24"/>
        <v>0.05</v>
      </c>
      <c r="O238" s="140">
        <f t="shared" si="24"/>
        <v>0.05</v>
      </c>
      <c r="P238" s="140">
        <f t="shared" si="22"/>
        <v>0.36599999999999999</v>
      </c>
      <c r="Q238" s="161" t="s">
        <v>676</v>
      </c>
      <c r="R238" s="125">
        <v>60.424999999999997</v>
      </c>
      <c r="S238" t="s">
        <v>676</v>
      </c>
      <c r="W238">
        <v>40.458579999999998</v>
      </c>
      <c r="X238">
        <v>-86.844009999999997</v>
      </c>
      <c r="Y238">
        <v>8</v>
      </c>
      <c r="Z238">
        <v>1</v>
      </c>
      <c r="AA238">
        <v>2023</v>
      </c>
      <c r="AB238" t="b">
        <v>0</v>
      </c>
      <c r="AC238" s="19">
        <v>45139</v>
      </c>
      <c r="AD238" s="19"/>
    </row>
    <row r="239" spans="1:30" x14ac:dyDescent="0.25">
      <c r="A239" s="25">
        <v>10238</v>
      </c>
      <c r="B239" t="s">
        <v>261</v>
      </c>
      <c r="C239" t="s">
        <v>568</v>
      </c>
      <c r="D239" s="27">
        <v>4104</v>
      </c>
      <c r="E239" s="27">
        <v>4</v>
      </c>
      <c r="F239" s="118"/>
      <c r="G239" t="s">
        <v>20</v>
      </c>
      <c r="H239" s="24" t="s">
        <v>8</v>
      </c>
      <c r="M239" s="140">
        <f t="shared" si="24"/>
        <v>0.05</v>
      </c>
      <c r="N239" s="140">
        <f t="shared" si="24"/>
        <v>0.05</v>
      </c>
      <c r="O239" s="140">
        <f t="shared" si="24"/>
        <v>0.05</v>
      </c>
      <c r="P239" s="140">
        <f t="shared" si="22"/>
        <v>0.05</v>
      </c>
      <c r="Q239" s="161" t="s">
        <v>676</v>
      </c>
      <c r="R239" s="125">
        <v>70.510000000000005</v>
      </c>
      <c r="S239" t="s">
        <v>676</v>
      </c>
      <c r="W239">
        <v>40.847639999999998</v>
      </c>
      <c r="X239">
        <v>-86.813280000000006</v>
      </c>
      <c r="Y239">
        <v>8</v>
      </c>
      <c r="Z239">
        <v>1</v>
      </c>
      <c r="AA239">
        <v>2023</v>
      </c>
      <c r="AB239" t="b">
        <v>0</v>
      </c>
      <c r="AC239" s="19">
        <v>45139</v>
      </c>
      <c r="AD239" s="19"/>
    </row>
    <row r="240" spans="1:30" x14ac:dyDescent="0.25">
      <c r="A240" s="25">
        <v>10239</v>
      </c>
      <c r="B240" t="s">
        <v>262</v>
      </c>
      <c r="C240" t="s">
        <v>461</v>
      </c>
      <c r="D240" s="27">
        <v>4105</v>
      </c>
      <c r="E240" s="27">
        <v>5</v>
      </c>
      <c r="F240" s="118">
        <v>6425</v>
      </c>
      <c r="G240" t="s">
        <v>20</v>
      </c>
      <c r="H240" s="24" t="s">
        <v>8</v>
      </c>
      <c r="J240">
        <v>3.4000000000000002E-2</v>
      </c>
      <c r="L240">
        <v>0.14799999999999999</v>
      </c>
      <c r="M240" s="140">
        <f t="shared" si="24"/>
        <v>0.05</v>
      </c>
      <c r="N240" s="140">
        <f t="shared" si="24"/>
        <v>0.05</v>
      </c>
      <c r="O240" s="140">
        <f t="shared" si="24"/>
        <v>0.05</v>
      </c>
      <c r="P240" s="140">
        <f t="shared" si="22"/>
        <v>0.14799999999999999</v>
      </c>
      <c r="Q240" s="161" t="s">
        <v>676</v>
      </c>
      <c r="R240" s="125">
        <v>63.155000000000001</v>
      </c>
      <c r="S240" t="s">
        <v>676</v>
      </c>
      <c r="W240">
        <v>40.823979999999999</v>
      </c>
      <c r="X240">
        <v>-86.795230000000004</v>
      </c>
      <c r="Y240">
        <v>8</v>
      </c>
      <c r="Z240">
        <v>1</v>
      </c>
      <c r="AA240">
        <v>2023</v>
      </c>
      <c r="AB240" t="b">
        <v>0</v>
      </c>
      <c r="AC240" s="19">
        <v>45139</v>
      </c>
      <c r="AD240" s="19"/>
    </row>
    <row r="241" spans="1:30" x14ac:dyDescent="0.25">
      <c r="A241" s="25">
        <v>10240</v>
      </c>
      <c r="B241" t="s">
        <v>263</v>
      </c>
      <c r="C241" t="s">
        <v>569</v>
      </c>
      <c r="D241" s="27">
        <v>4106</v>
      </c>
      <c r="E241" s="27">
        <v>6</v>
      </c>
      <c r="F241" s="118">
        <v>8245</v>
      </c>
      <c r="G241" t="s">
        <v>20</v>
      </c>
      <c r="H241" s="24" t="s">
        <v>8</v>
      </c>
      <c r="L241">
        <v>7.0000000000000007E-2</v>
      </c>
      <c r="M241" s="140">
        <f t="shared" si="24"/>
        <v>0.05</v>
      </c>
      <c r="N241" s="140">
        <f t="shared" si="24"/>
        <v>0.05</v>
      </c>
      <c r="O241" s="140">
        <f t="shared" si="24"/>
        <v>0.05</v>
      </c>
      <c r="P241" s="140">
        <f t="shared" si="22"/>
        <v>0.05</v>
      </c>
      <c r="Q241" s="161" t="s">
        <v>676</v>
      </c>
      <c r="R241" s="125">
        <v>5.0599999999999996</v>
      </c>
      <c r="S241" t="s">
        <v>676</v>
      </c>
      <c r="W241">
        <v>40.835050000000003</v>
      </c>
      <c r="X241">
        <v>-86.782030000000006</v>
      </c>
      <c r="Y241">
        <v>8</v>
      </c>
      <c r="Z241">
        <v>1</v>
      </c>
      <c r="AA241">
        <v>2023</v>
      </c>
      <c r="AB241" t="b">
        <v>0</v>
      </c>
      <c r="AC241" s="19">
        <v>45139</v>
      </c>
      <c r="AD241" s="19"/>
    </row>
    <row r="242" spans="1:30" x14ac:dyDescent="0.25">
      <c r="A242" s="25">
        <v>10241</v>
      </c>
      <c r="B242" t="s">
        <v>264</v>
      </c>
      <c r="C242" t="s">
        <v>570</v>
      </c>
      <c r="D242" s="27">
        <v>4107</v>
      </c>
      <c r="E242" s="27">
        <v>7</v>
      </c>
      <c r="F242" s="118"/>
      <c r="G242" t="s">
        <v>20</v>
      </c>
      <c r="H242" s="24" t="s">
        <v>8</v>
      </c>
      <c r="J242">
        <v>4.0579999999999998</v>
      </c>
      <c r="L242">
        <v>7.5499999999999998E-2</v>
      </c>
      <c r="M242" s="140">
        <f t="shared" ref="M242:O257" si="25">IF(I242&lt;0.1,0.05,I242)</f>
        <v>0.05</v>
      </c>
      <c r="N242" s="140">
        <f t="shared" si="25"/>
        <v>4.0579999999999998</v>
      </c>
      <c r="O242" s="140">
        <f t="shared" si="25"/>
        <v>0.05</v>
      </c>
      <c r="P242" s="140">
        <f t="shared" si="22"/>
        <v>0.05</v>
      </c>
      <c r="Q242" s="161" t="s">
        <v>676</v>
      </c>
      <c r="R242" s="125">
        <v>2.1850000000000001</v>
      </c>
      <c r="S242" t="s">
        <v>676</v>
      </c>
      <c r="W242">
        <v>40.846890000000002</v>
      </c>
      <c r="X242">
        <v>-86.760059999999996</v>
      </c>
      <c r="Y242">
        <v>8</v>
      </c>
      <c r="Z242">
        <v>1</v>
      </c>
      <c r="AA242">
        <v>2023</v>
      </c>
      <c r="AB242" t="b">
        <v>0</v>
      </c>
      <c r="AC242" s="19">
        <v>45139</v>
      </c>
      <c r="AD242" s="19"/>
    </row>
    <row r="243" spans="1:30" x14ac:dyDescent="0.25">
      <c r="A243" s="25">
        <v>10242</v>
      </c>
      <c r="B243" t="s">
        <v>265</v>
      </c>
      <c r="C243" t="s">
        <v>571</v>
      </c>
      <c r="D243" s="27">
        <v>4108</v>
      </c>
      <c r="E243" s="27">
        <v>8</v>
      </c>
      <c r="F243" s="118">
        <v>5065</v>
      </c>
      <c r="G243" t="s">
        <v>20</v>
      </c>
      <c r="H243" s="24" t="s">
        <v>8</v>
      </c>
      <c r="L243">
        <v>0.08</v>
      </c>
      <c r="M243" s="140">
        <f t="shared" si="25"/>
        <v>0.05</v>
      </c>
      <c r="N243" s="140">
        <f t="shared" si="25"/>
        <v>0.05</v>
      </c>
      <c r="O243" s="140">
        <f t="shared" si="25"/>
        <v>0.05</v>
      </c>
      <c r="P243" s="140">
        <f t="shared" si="22"/>
        <v>0.05</v>
      </c>
      <c r="Q243" s="161" t="s">
        <v>676</v>
      </c>
      <c r="R243" s="125">
        <v>17.41</v>
      </c>
      <c r="S243" t="s">
        <v>676</v>
      </c>
      <c r="W243">
        <v>40.811030000000002</v>
      </c>
      <c r="X243">
        <v>-86.794619999999995</v>
      </c>
      <c r="Y243">
        <v>8</v>
      </c>
      <c r="Z243">
        <v>1</v>
      </c>
      <c r="AA243">
        <v>2023</v>
      </c>
      <c r="AB243" t="b">
        <v>0</v>
      </c>
      <c r="AC243" s="19">
        <v>45139</v>
      </c>
      <c r="AD243" s="19"/>
    </row>
    <row r="244" spans="1:30" x14ac:dyDescent="0.25">
      <c r="A244" s="25">
        <v>10243</v>
      </c>
      <c r="B244" t="s">
        <v>266</v>
      </c>
      <c r="C244" t="s">
        <v>572</v>
      </c>
      <c r="D244" s="27">
        <v>4109</v>
      </c>
      <c r="E244" s="27">
        <v>9</v>
      </c>
      <c r="F244" s="118">
        <v>3385</v>
      </c>
      <c r="G244" t="s">
        <v>20</v>
      </c>
      <c r="H244" s="24" t="s">
        <v>8</v>
      </c>
      <c r="J244">
        <v>0.33550000000000002</v>
      </c>
      <c r="L244">
        <v>7.5999999999999998E-2</v>
      </c>
      <c r="M244" s="140">
        <f t="shared" si="25"/>
        <v>0.05</v>
      </c>
      <c r="N244" s="140">
        <f t="shared" si="25"/>
        <v>0.33550000000000002</v>
      </c>
      <c r="O244" s="140">
        <f t="shared" si="25"/>
        <v>0.05</v>
      </c>
      <c r="P244" s="140">
        <f t="shared" si="22"/>
        <v>0.05</v>
      </c>
      <c r="Q244" s="161" t="s">
        <v>676</v>
      </c>
      <c r="R244" s="125">
        <v>41.19</v>
      </c>
      <c r="S244" t="s">
        <v>676</v>
      </c>
      <c r="W244">
        <v>40.80368</v>
      </c>
      <c r="X244">
        <v>-86.775949999999995</v>
      </c>
      <c r="Y244">
        <v>8</v>
      </c>
      <c r="Z244">
        <v>1</v>
      </c>
      <c r="AA244">
        <v>2023</v>
      </c>
      <c r="AB244" t="b">
        <v>0</v>
      </c>
      <c r="AC244" s="19">
        <v>45139</v>
      </c>
      <c r="AD244" s="19"/>
    </row>
    <row r="245" spans="1:30" x14ac:dyDescent="0.25">
      <c r="A245" s="25">
        <v>10244</v>
      </c>
      <c r="B245" t="s">
        <v>267</v>
      </c>
      <c r="C245" t="s">
        <v>573</v>
      </c>
      <c r="D245" s="27">
        <v>4110</v>
      </c>
      <c r="E245" s="27">
        <v>10</v>
      </c>
      <c r="F245" s="118">
        <v>2205</v>
      </c>
      <c r="G245" t="s">
        <v>20</v>
      </c>
      <c r="H245" s="24" t="s">
        <v>8</v>
      </c>
      <c r="L245">
        <v>0.09</v>
      </c>
      <c r="M245" s="140">
        <f t="shared" si="25"/>
        <v>0.05</v>
      </c>
      <c r="N245" s="140">
        <f t="shared" si="25"/>
        <v>0.05</v>
      </c>
      <c r="O245" s="140">
        <f t="shared" si="25"/>
        <v>0.05</v>
      </c>
      <c r="P245" s="140">
        <f t="shared" si="22"/>
        <v>0.05</v>
      </c>
      <c r="Q245" s="161" t="s">
        <v>676</v>
      </c>
      <c r="R245" s="125">
        <v>62.793333333333301</v>
      </c>
      <c r="S245" t="s">
        <v>676</v>
      </c>
      <c r="W245">
        <v>40.794559999999997</v>
      </c>
      <c r="X245">
        <v>-86.773859999999999</v>
      </c>
      <c r="Y245">
        <v>8</v>
      </c>
      <c r="Z245">
        <v>1</v>
      </c>
      <c r="AA245">
        <v>2023</v>
      </c>
      <c r="AB245" t="b">
        <v>0</v>
      </c>
      <c r="AC245" s="19">
        <v>45139</v>
      </c>
      <c r="AD245" s="19"/>
    </row>
    <row r="246" spans="1:30" x14ac:dyDescent="0.25">
      <c r="A246" s="25">
        <v>10245</v>
      </c>
      <c r="B246" t="s">
        <v>268</v>
      </c>
      <c r="C246" t="s">
        <v>574</v>
      </c>
      <c r="D246" s="27">
        <v>4111</v>
      </c>
      <c r="E246" s="27">
        <v>11</v>
      </c>
      <c r="F246" s="118">
        <v>1385</v>
      </c>
      <c r="G246" t="s">
        <v>20</v>
      </c>
      <c r="H246" s="24" t="s">
        <v>8</v>
      </c>
      <c r="J246">
        <v>7.6499999999999999E-2</v>
      </c>
      <c r="L246">
        <v>0.1305</v>
      </c>
      <c r="M246" s="140">
        <f t="shared" si="25"/>
        <v>0.05</v>
      </c>
      <c r="N246" s="140">
        <f t="shared" si="25"/>
        <v>0.05</v>
      </c>
      <c r="O246" s="140">
        <f t="shared" si="25"/>
        <v>0.05</v>
      </c>
      <c r="P246" s="140">
        <f t="shared" si="22"/>
        <v>0.1305</v>
      </c>
      <c r="Q246" s="161" t="s">
        <v>676</v>
      </c>
      <c r="R246" s="125">
        <v>80.319999999999993</v>
      </c>
      <c r="S246" t="s">
        <v>676</v>
      </c>
      <c r="W246">
        <v>40.788409999999999</v>
      </c>
      <c r="X246">
        <v>-86.771069999999995</v>
      </c>
      <c r="Y246">
        <v>8</v>
      </c>
      <c r="Z246">
        <v>1</v>
      </c>
      <c r="AA246">
        <v>2023</v>
      </c>
      <c r="AB246" t="b">
        <v>0</v>
      </c>
      <c r="AC246" s="19">
        <v>45139</v>
      </c>
      <c r="AD246" s="19"/>
    </row>
    <row r="247" spans="1:30" x14ac:dyDescent="0.25">
      <c r="A247" s="25">
        <v>10246</v>
      </c>
      <c r="B247" t="s">
        <v>269</v>
      </c>
      <c r="C247" t="s">
        <v>575</v>
      </c>
      <c r="D247" s="27">
        <v>4112</v>
      </c>
      <c r="E247" s="27">
        <v>12</v>
      </c>
      <c r="F247" s="118">
        <v>275</v>
      </c>
      <c r="G247" t="s">
        <v>20</v>
      </c>
      <c r="H247" s="24" t="s">
        <v>8</v>
      </c>
      <c r="J247">
        <v>2.9499999999999998E-2</v>
      </c>
      <c r="L247">
        <v>0.1085</v>
      </c>
      <c r="M247" s="140">
        <f t="shared" si="25"/>
        <v>0.05</v>
      </c>
      <c r="N247" s="140">
        <f t="shared" si="25"/>
        <v>0.05</v>
      </c>
      <c r="O247" s="140">
        <f t="shared" si="25"/>
        <v>0.05</v>
      </c>
      <c r="P247" s="140">
        <f t="shared" si="22"/>
        <v>0.1085</v>
      </c>
      <c r="Q247" s="161" t="s">
        <v>676</v>
      </c>
      <c r="R247" s="125">
        <v>60.7</v>
      </c>
      <c r="S247" t="s">
        <v>676</v>
      </c>
      <c r="W247">
        <v>40.781559999999999</v>
      </c>
      <c r="X247">
        <v>-86.762090000000001</v>
      </c>
      <c r="Y247">
        <v>8</v>
      </c>
      <c r="Z247">
        <v>1</v>
      </c>
      <c r="AA247">
        <v>2023</v>
      </c>
      <c r="AB247" t="b">
        <v>0</v>
      </c>
      <c r="AC247" s="19">
        <v>45139</v>
      </c>
      <c r="AD247" s="19"/>
    </row>
    <row r="248" spans="1:30" x14ac:dyDescent="0.25">
      <c r="A248" s="25">
        <v>10247</v>
      </c>
      <c r="B248" t="s">
        <v>270</v>
      </c>
      <c r="C248" t="s">
        <v>568</v>
      </c>
      <c r="D248" s="27">
        <v>4104</v>
      </c>
      <c r="E248" s="27">
        <v>4</v>
      </c>
      <c r="F248" s="118"/>
      <c r="G248" t="s">
        <v>20</v>
      </c>
      <c r="H248" s="24" t="s">
        <v>8</v>
      </c>
      <c r="J248">
        <v>6.4999999999999997E-3</v>
      </c>
      <c r="L248">
        <v>0.38950000000000001</v>
      </c>
      <c r="M248" s="140">
        <f t="shared" si="25"/>
        <v>0.05</v>
      </c>
      <c r="N248" s="140">
        <f t="shared" si="25"/>
        <v>0.05</v>
      </c>
      <c r="O248" s="140">
        <f t="shared" si="25"/>
        <v>0.05</v>
      </c>
      <c r="P248" s="140">
        <f t="shared" si="22"/>
        <v>0.38950000000000001</v>
      </c>
      <c r="Q248" s="161" t="s">
        <v>676</v>
      </c>
      <c r="R248" s="125">
        <v>39.244999999999997</v>
      </c>
      <c r="S248" t="s">
        <v>676</v>
      </c>
      <c r="W248">
        <v>40.847639999999998</v>
      </c>
      <c r="X248">
        <v>-86.81326</v>
      </c>
      <c r="Y248">
        <v>8</v>
      </c>
      <c r="Z248">
        <v>1</v>
      </c>
      <c r="AA248">
        <v>2023</v>
      </c>
      <c r="AB248" t="b">
        <v>0</v>
      </c>
      <c r="AC248" s="19">
        <v>45139</v>
      </c>
      <c r="AD248" s="19"/>
    </row>
    <row r="249" spans="1:30" x14ac:dyDescent="0.25">
      <c r="A249" s="25">
        <v>10248</v>
      </c>
      <c r="B249" t="s">
        <v>271</v>
      </c>
      <c r="C249" t="s">
        <v>576</v>
      </c>
      <c r="D249" s="27">
        <v>4114</v>
      </c>
      <c r="E249" s="27">
        <v>14</v>
      </c>
      <c r="F249" s="118">
        <v>4225</v>
      </c>
      <c r="G249" t="s">
        <v>20</v>
      </c>
      <c r="H249" s="24" t="s">
        <v>8</v>
      </c>
      <c r="J249">
        <v>1.3965000000000001</v>
      </c>
      <c r="L249">
        <v>7.8E-2</v>
      </c>
      <c r="M249" s="140">
        <f t="shared" si="25"/>
        <v>0.05</v>
      </c>
      <c r="N249" s="140">
        <f t="shared" si="25"/>
        <v>1.3965000000000001</v>
      </c>
      <c r="O249" s="140">
        <f t="shared" si="25"/>
        <v>0.05</v>
      </c>
      <c r="P249" s="140">
        <f t="shared" si="22"/>
        <v>0.05</v>
      </c>
      <c r="Q249" s="161" t="s">
        <v>676</v>
      </c>
      <c r="R249" s="125">
        <v>24.734999999999999</v>
      </c>
      <c r="S249" t="s">
        <v>676</v>
      </c>
      <c r="W249">
        <v>40.8065</v>
      </c>
      <c r="X249">
        <v>-86.7851</v>
      </c>
      <c r="Y249">
        <v>8</v>
      </c>
      <c r="Z249">
        <v>1</v>
      </c>
      <c r="AA249">
        <v>2023</v>
      </c>
      <c r="AB249" t="b">
        <v>0</v>
      </c>
      <c r="AC249" s="19">
        <v>45139</v>
      </c>
      <c r="AD249" s="19"/>
    </row>
    <row r="250" spans="1:30" x14ac:dyDescent="0.25">
      <c r="A250" s="25">
        <v>10249</v>
      </c>
      <c r="B250" t="s">
        <v>272</v>
      </c>
      <c r="C250" t="s">
        <v>577</v>
      </c>
      <c r="D250" s="27">
        <v>4115</v>
      </c>
      <c r="E250" s="27">
        <v>15</v>
      </c>
      <c r="F250" s="118">
        <v>2905</v>
      </c>
      <c r="G250" t="s">
        <v>20</v>
      </c>
      <c r="H250" s="24" t="s">
        <v>8</v>
      </c>
      <c r="L250">
        <v>8.4000000000000005E-2</v>
      </c>
      <c r="M250" s="140">
        <f t="shared" si="25"/>
        <v>0.05</v>
      </c>
      <c r="N250" s="140">
        <f t="shared" si="25"/>
        <v>0.05</v>
      </c>
      <c r="O250" s="140">
        <f t="shared" si="25"/>
        <v>0.05</v>
      </c>
      <c r="P250" s="140">
        <f t="shared" si="22"/>
        <v>0.05</v>
      </c>
      <c r="Q250" s="161" t="s">
        <v>676</v>
      </c>
      <c r="R250" s="125">
        <v>73.995000000000005</v>
      </c>
      <c r="S250" t="s">
        <v>676</v>
      </c>
      <c r="W250">
        <v>40.80003</v>
      </c>
      <c r="X250">
        <v>-86.779110000000003</v>
      </c>
      <c r="Y250">
        <v>8</v>
      </c>
      <c r="Z250">
        <v>1</v>
      </c>
      <c r="AA250">
        <v>2023</v>
      </c>
      <c r="AB250" t="b">
        <v>0</v>
      </c>
      <c r="AC250" s="19">
        <v>45139</v>
      </c>
      <c r="AD250" s="19"/>
    </row>
    <row r="251" spans="1:30" x14ac:dyDescent="0.25">
      <c r="A251" s="25">
        <v>10250</v>
      </c>
      <c r="B251" t="s">
        <v>273</v>
      </c>
      <c r="C251" t="s">
        <v>273</v>
      </c>
      <c r="D251" s="27">
        <v>3101</v>
      </c>
      <c r="E251" s="27">
        <v>1</v>
      </c>
      <c r="F251" s="118">
        <v>5210</v>
      </c>
      <c r="G251" t="s">
        <v>22</v>
      </c>
      <c r="H251" s="24" t="s">
        <v>8</v>
      </c>
      <c r="J251">
        <v>2.3264999999999998</v>
      </c>
      <c r="M251" s="140">
        <f t="shared" si="25"/>
        <v>0.05</v>
      </c>
      <c r="N251" s="140">
        <f t="shared" si="25"/>
        <v>2.3264999999999998</v>
      </c>
      <c r="O251" s="140">
        <f t="shared" si="25"/>
        <v>0.05</v>
      </c>
      <c r="P251" s="140">
        <f t="shared" si="22"/>
        <v>0.05</v>
      </c>
      <c r="Q251" s="161" t="s">
        <v>676</v>
      </c>
      <c r="R251" s="125" t="s">
        <v>676</v>
      </c>
      <c r="S251" t="s">
        <v>676</v>
      </c>
      <c r="W251">
        <v>40.7727</v>
      </c>
      <c r="X251">
        <v>-85.644385</v>
      </c>
      <c r="Y251">
        <v>8</v>
      </c>
      <c r="Z251">
        <v>4</v>
      </c>
      <c r="AA251">
        <v>2023</v>
      </c>
      <c r="AB251" t="b">
        <v>0</v>
      </c>
      <c r="AC251" s="19">
        <v>45142</v>
      </c>
      <c r="AD251" s="19"/>
    </row>
    <row r="252" spans="1:30" x14ac:dyDescent="0.25">
      <c r="A252" s="25">
        <v>10251</v>
      </c>
      <c r="B252" t="s">
        <v>274</v>
      </c>
      <c r="C252" t="s">
        <v>274</v>
      </c>
      <c r="D252" s="27">
        <v>3102</v>
      </c>
      <c r="E252" s="27">
        <v>2</v>
      </c>
      <c r="F252" s="118">
        <v>5430</v>
      </c>
      <c r="G252" t="s">
        <v>22</v>
      </c>
      <c r="H252" s="24" t="s">
        <v>8</v>
      </c>
      <c r="J252">
        <v>2.5015000000000001</v>
      </c>
      <c r="M252" s="140">
        <f t="shared" si="25"/>
        <v>0.05</v>
      </c>
      <c r="N252" s="140">
        <f t="shared" si="25"/>
        <v>2.5015000000000001</v>
      </c>
      <c r="O252" s="140">
        <f t="shared" si="25"/>
        <v>0.05</v>
      </c>
      <c r="P252" s="140">
        <f t="shared" si="22"/>
        <v>0.05</v>
      </c>
      <c r="Q252" s="161" t="s">
        <v>676</v>
      </c>
      <c r="R252" s="125" t="s">
        <v>676</v>
      </c>
      <c r="S252" t="s">
        <v>676</v>
      </c>
      <c r="W252">
        <v>40.771228999999998</v>
      </c>
      <c r="X252">
        <v>-85.647807999999998</v>
      </c>
      <c r="Y252">
        <v>8</v>
      </c>
      <c r="Z252">
        <v>4</v>
      </c>
      <c r="AA252">
        <v>2023</v>
      </c>
      <c r="AB252" t="b">
        <v>0</v>
      </c>
      <c r="AC252" s="19">
        <v>45142</v>
      </c>
      <c r="AD252" s="19"/>
    </row>
    <row r="253" spans="1:30" x14ac:dyDescent="0.25">
      <c r="A253" s="25">
        <v>10252</v>
      </c>
      <c r="B253" t="s">
        <v>275</v>
      </c>
      <c r="C253" t="s">
        <v>275</v>
      </c>
      <c r="D253" s="27">
        <v>3103</v>
      </c>
      <c r="E253" s="27">
        <v>3</v>
      </c>
      <c r="F253" s="118">
        <v>4180</v>
      </c>
      <c r="G253" t="s">
        <v>22</v>
      </c>
      <c r="H253" s="24" t="s">
        <v>8</v>
      </c>
      <c r="J253">
        <v>2.6509999999999998</v>
      </c>
      <c r="M253" s="140">
        <f t="shared" si="25"/>
        <v>0.05</v>
      </c>
      <c r="N253" s="140">
        <f t="shared" si="25"/>
        <v>2.6509999999999998</v>
      </c>
      <c r="O253" s="140">
        <f t="shared" si="25"/>
        <v>0.05</v>
      </c>
      <c r="P253" s="140">
        <f t="shared" si="22"/>
        <v>0.05</v>
      </c>
      <c r="Q253" s="161" t="s">
        <v>676</v>
      </c>
      <c r="R253" s="125" t="s">
        <v>676</v>
      </c>
      <c r="S253" t="s">
        <v>676</v>
      </c>
      <c r="W253">
        <v>40.780830000000002</v>
      </c>
      <c r="X253">
        <v>-85.644176000000002</v>
      </c>
      <c r="Y253">
        <v>8</v>
      </c>
      <c r="Z253">
        <v>4</v>
      </c>
      <c r="AA253">
        <v>2023</v>
      </c>
      <c r="AB253" t="b">
        <v>0</v>
      </c>
      <c r="AC253" s="19">
        <v>45142</v>
      </c>
      <c r="AD253" s="19"/>
    </row>
    <row r="254" spans="1:30" x14ac:dyDescent="0.25">
      <c r="A254" s="25">
        <v>10253</v>
      </c>
      <c r="B254" t="s">
        <v>276</v>
      </c>
      <c r="C254" t="s">
        <v>276</v>
      </c>
      <c r="D254" s="27">
        <v>3104</v>
      </c>
      <c r="E254" s="27">
        <v>4</v>
      </c>
      <c r="F254" s="118">
        <v>4980</v>
      </c>
      <c r="G254" t="s">
        <v>22</v>
      </c>
      <c r="H254" s="24" t="s">
        <v>8</v>
      </c>
      <c r="J254">
        <v>2.5234999999999999</v>
      </c>
      <c r="M254" s="140">
        <f t="shared" si="25"/>
        <v>0.05</v>
      </c>
      <c r="N254" s="140">
        <f t="shared" si="25"/>
        <v>2.5234999999999999</v>
      </c>
      <c r="O254" s="140">
        <f t="shared" si="25"/>
        <v>0.05</v>
      </c>
      <c r="P254" s="140">
        <f t="shared" si="22"/>
        <v>0.05</v>
      </c>
      <c r="Q254" s="161" t="s">
        <v>676</v>
      </c>
      <c r="R254" s="125" t="s">
        <v>676</v>
      </c>
      <c r="S254" t="s">
        <v>676</v>
      </c>
      <c r="W254">
        <v>40.783552999999998</v>
      </c>
      <c r="X254">
        <v>-85.638116999999994</v>
      </c>
      <c r="Y254">
        <v>8</v>
      </c>
      <c r="Z254">
        <v>4</v>
      </c>
      <c r="AA254">
        <v>2023</v>
      </c>
      <c r="AB254" t="b">
        <v>0</v>
      </c>
      <c r="AC254" s="19">
        <v>45142</v>
      </c>
      <c r="AD254" s="19"/>
    </row>
    <row r="255" spans="1:30" x14ac:dyDescent="0.25">
      <c r="A255" s="25">
        <v>10254</v>
      </c>
      <c r="B255" t="s">
        <v>277</v>
      </c>
      <c r="C255" t="s">
        <v>277</v>
      </c>
      <c r="D255" s="27">
        <v>3105</v>
      </c>
      <c r="E255" s="27">
        <v>5</v>
      </c>
      <c r="F255" s="118">
        <v>6340</v>
      </c>
      <c r="G255" t="s">
        <v>22</v>
      </c>
      <c r="H255" s="24" t="s">
        <v>8</v>
      </c>
      <c r="J255">
        <v>2.7945000000000002</v>
      </c>
      <c r="M255" s="140">
        <f t="shared" si="25"/>
        <v>0.05</v>
      </c>
      <c r="N255" s="140">
        <f t="shared" si="25"/>
        <v>2.7945000000000002</v>
      </c>
      <c r="O255" s="140">
        <f t="shared" si="25"/>
        <v>0.05</v>
      </c>
      <c r="P255" s="140">
        <f t="shared" si="22"/>
        <v>0.05</v>
      </c>
      <c r="Q255" s="161" t="s">
        <v>676</v>
      </c>
      <c r="R255" s="125" t="s">
        <v>676</v>
      </c>
      <c r="S255" t="s">
        <v>676</v>
      </c>
      <c r="W255">
        <v>40.774898</v>
      </c>
      <c r="X255">
        <v>-85.623652000000007</v>
      </c>
      <c r="Y255">
        <v>8</v>
      </c>
      <c r="Z255">
        <v>4</v>
      </c>
      <c r="AA255">
        <v>2023</v>
      </c>
      <c r="AB255" t="b">
        <v>0</v>
      </c>
      <c r="AC255" s="19">
        <v>45142</v>
      </c>
      <c r="AD255" s="19"/>
    </row>
    <row r="256" spans="1:30" x14ac:dyDescent="0.25">
      <c r="A256" s="25">
        <v>10255</v>
      </c>
      <c r="B256" t="s">
        <v>278</v>
      </c>
      <c r="C256" t="s">
        <v>278</v>
      </c>
      <c r="D256" s="27">
        <v>3106</v>
      </c>
      <c r="E256" s="27">
        <v>6</v>
      </c>
      <c r="F256" s="118">
        <v>7900</v>
      </c>
      <c r="G256" t="s">
        <v>22</v>
      </c>
      <c r="H256" s="24" t="s">
        <v>8</v>
      </c>
      <c r="J256">
        <v>2.7524999999999999</v>
      </c>
      <c r="M256" s="140">
        <f t="shared" si="25"/>
        <v>0.05</v>
      </c>
      <c r="N256" s="140">
        <f t="shared" si="25"/>
        <v>2.7524999999999999</v>
      </c>
      <c r="O256" s="140">
        <f t="shared" si="25"/>
        <v>0.05</v>
      </c>
      <c r="P256" s="140">
        <f t="shared" si="22"/>
        <v>0.05</v>
      </c>
      <c r="Q256" s="161" t="s">
        <v>676</v>
      </c>
      <c r="R256" s="125" t="s">
        <v>676</v>
      </c>
      <c r="S256" t="s">
        <v>676</v>
      </c>
      <c r="W256">
        <v>40.775556000000002</v>
      </c>
      <c r="X256">
        <v>-85.606223999999997</v>
      </c>
      <c r="Y256">
        <v>8</v>
      </c>
      <c r="Z256">
        <v>4</v>
      </c>
      <c r="AA256">
        <v>2023</v>
      </c>
      <c r="AB256" t="b">
        <v>0</v>
      </c>
      <c r="AC256" s="19">
        <v>45142</v>
      </c>
      <c r="AD256" s="19"/>
    </row>
    <row r="257" spans="1:30" x14ac:dyDescent="0.25">
      <c r="A257" s="25">
        <v>10256</v>
      </c>
      <c r="B257" t="s">
        <v>279</v>
      </c>
      <c r="C257" t="s">
        <v>279</v>
      </c>
      <c r="D257" s="27">
        <v>3107</v>
      </c>
      <c r="E257" s="27">
        <v>7</v>
      </c>
      <c r="F257" s="118">
        <v>10610</v>
      </c>
      <c r="G257" t="s">
        <v>22</v>
      </c>
      <c r="H257" s="24" t="s">
        <v>8</v>
      </c>
      <c r="J257">
        <v>2.3315000000000001</v>
      </c>
      <c r="M257" s="140">
        <f t="shared" si="25"/>
        <v>0.05</v>
      </c>
      <c r="N257" s="140">
        <f t="shared" si="25"/>
        <v>2.3315000000000001</v>
      </c>
      <c r="O257" s="140">
        <f t="shared" si="25"/>
        <v>0.05</v>
      </c>
      <c r="P257" s="140">
        <f t="shared" si="22"/>
        <v>0.05</v>
      </c>
      <c r="Q257" s="161" t="s">
        <v>676</v>
      </c>
      <c r="R257" s="125" t="s">
        <v>676</v>
      </c>
      <c r="S257" t="s">
        <v>676</v>
      </c>
      <c r="W257">
        <v>40.775584000000002</v>
      </c>
      <c r="X257">
        <v>-85.581607000000005</v>
      </c>
      <c r="Y257">
        <v>8</v>
      </c>
      <c r="Z257">
        <v>4</v>
      </c>
      <c r="AA257">
        <v>2023</v>
      </c>
      <c r="AB257" t="b">
        <v>0</v>
      </c>
      <c r="AC257" s="19">
        <v>45142</v>
      </c>
      <c r="AD257" s="19"/>
    </row>
    <row r="258" spans="1:30" x14ac:dyDescent="0.25">
      <c r="A258" s="25">
        <v>10257</v>
      </c>
      <c r="B258" t="s">
        <v>280</v>
      </c>
      <c r="C258" t="s">
        <v>280</v>
      </c>
      <c r="D258" s="27">
        <v>3108</v>
      </c>
      <c r="E258" s="27">
        <v>8</v>
      </c>
      <c r="F258" s="118">
        <v>9370</v>
      </c>
      <c r="G258" t="s">
        <v>22</v>
      </c>
      <c r="H258" s="24" t="s">
        <v>8</v>
      </c>
      <c r="J258">
        <v>2.7509999999999999</v>
      </c>
      <c r="M258" s="140">
        <f t="shared" ref="M258:O273" si="26">IF(I258&lt;0.1,0.05,I258)</f>
        <v>0.05</v>
      </c>
      <c r="N258" s="140">
        <f t="shared" si="26"/>
        <v>2.7509999999999999</v>
      </c>
      <c r="O258" s="140">
        <f t="shared" si="26"/>
        <v>0.05</v>
      </c>
      <c r="P258" s="140">
        <f t="shared" ref="P258:P321" si="27">IF(L258&lt;0.1,0.05,L258)</f>
        <v>0.05</v>
      </c>
      <c r="Q258" s="161" t="s">
        <v>676</v>
      </c>
      <c r="R258" s="125" t="s">
        <v>676</v>
      </c>
      <c r="S258" t="s">
        <v>676</v>
      </c>
      <c r="W258">
        <v>40.768312999999999</v>
      </c>
      <c r="X258">
        <v>-85.597781999999995</v>
      </c>
      <c r="Y258">
        <v>8</v>
      </c>
      <c r="Z258">
        <v>4</v>
      </c>
      <c r="AA258">
        <v>2023</v>
      </c>
      <c r="AB258" t="b">
        <v>0</v>
      </c>
      <c r="AC258" s="19">
        <v>45142</v>
      </c>
      <c r="AD258" s="19"/>
    </row>
    <row r="259" spans="1:30" x14ac:dyDescent="0.25">
      <c r="A259" s="25">
        <v>10258</v>
      </c>
      <c r="B259" t="s">
        <v>281</v>
      </c>
      <c r="C259" t="s">
        <v>281</v>
      </c>
      <c r="D259" s="27">
        <v>3109</v>
      </c>
      <c r="E259" s="27">
        <v>9</v>
      </c>
      <c r="F259" s="118">
        <v>10331</v>
      </c>
      <c r="G259" t="s">
        <v>22</v>
      </c>
      <c r="H259" s="24" t="s">
        <v>8</v>
      </c>
      <c r="J259">
        <v>2.9889999999999999</v>
      </c>
      <c r="M259" s="140">
        <f t="shared" si="26"/>
        <v>0.05</v>
      </c>
      <c r="N259" s="140">
        <f t="shared" si="26"/>
        <v>2.9889999999999999</v>
      </c>
      <c r="O259" s="140">
        <f t="shared" si="26"/>
        <v>0.05</v>
      </c>
      <c r="P259" s="140">
        <f t="shared" si="27"/>
        <v>0.05</v>
      </c>
      <c r="Q259" s="161" t="s">
        <v>676</v>
      </c>
      <c r="R259" s="125" t="s">
        <v>676</v>
      </c>
      <c r="S259" t="s">
        <v>676</v>
      </c>
      <c r="W259">
        <v>40.757067999999997</v>
      </c>
      <c r="X259">
        <v>-85.595474999999993</v>
      </c>
      <c r="Y259">
        <v>8</v>
      </c>
      <c r="Z259">
        <v>4</v>
      </c>
      <c r="AA259">
        <v>2023</v>
      </c>
      <c r="AB259" t="b">
        <v>0</v>
      </c>
      <c r="AC259" s="19">
        <v>45142</v>
      </c>
      <c r="AD259" s="19"/>
    </row>
    <row r="260" spans="1:30" x14ac:dyDescent="0.25">
      <c r="A260" s="25">
        <v>10259</v>
      </c>
      <c r="B260" t="s">
        <v>282</v>
      </c>
      <c r="C260" t="s">
        <v>282</v>
      </c>
      <c r="D260" s="27">
        <v>3110</v>
      </c>
      <c r="E260" s="27">
        <v>10</v>
      </c>
      <c r="F260" s="118">
        <v>11270</v>
      </c>
      <c r="G260" t="s">
        <v>22</v>
      </c>
      <c r="H260" s="24" t="s">
        <v>8</v>
      </c>
      <c r="J260">
        <v>3.024</v>
      </c>
      <c r="M260" s="140">
        <f t="shared" si="26"/>
        <v>0.05</v>
      </c>
      <c r="N260" s="140">
        <f t="shared" si="26"/>
        <v>3.024</v>
      </c>
      <c r="O260" s="140">
        <f t="shared" si="26"/>
        <v>0.05</v>
      </c>
      <c r="P260" s="140">
        <f t="shared" si="27"/>
        <v>0.05</v>
      </c>
      <c r="Q260" s="161" t="s">
        <v>676</v>
      </c>
      <c r="R260" s="125" t="s">
        <v>676</v>
      </c>
      <c r="S260" t="s">
        <v>676</v>
      </c>
      <c r="W260">
        <v>40.755789999999998</v>
      </c>
      <c r="X260">
        <v>-85.582571000000002</v>
      </c>
      <c r="Y260">
        <v>8</v>
      </c>
      <c r="Z260">
        <v>4</v>
      </c>
      <c r="AA260">
        <v>2023</v>
      </c>
      <c r="AB260" t="b">
        <v>0</v>
      </c>
      <c r="AC260" s="19">
        <v>45142</v>
      </c>
      <c r="AD260" s="19"/>
    </row>
    <row r="261" spans="1:30" x14ac:dyDescent="0.25">
      <c r="A261" s="25">
        <v>10260</v>
      </c>
      <c r="B261" t="s">
        <v>283</v>
      </c>
      <c r="C261" t="s">
        <v>283</v>
      </c>
      <c r="D261" s="27">
        <v>3111</v>
      </c>
      <c r="E261" s="27">
        <v>11</v>
      </c>
      <c r="F261" s="118"/>
      <c r="G261" t="s">
        <v>22</v>
      </c>
      <c r="H261" s="24" t="s">
        <v>8</v>
      </c>
      <c r="J261">
        <v>2.3935</v>
      </c>
      <c r="M261" s="140">
        <f t="shared" si="26"/>
        <v>0.05</v>
      </c>
      <c r="N261" s="140">
        <f t="shared" si="26"/>
        <v>2.3935</v>
      </c>
      <c r="O261" s="140">
        <f t="shared" si="26"/>
        <v>0.05</v>
      </c>
      <c r="P261" s="140">
        <f t="shared" si="27"/>
        <v>0.05</v>
      </c>
      <c r="Q261" s="161" t="s">
        <v>676</v>
      </c>
      <c r="R261" s="125" t="s">
        <v>676</v>
      </c>
      <c r="S261" t="s">
        <v>676</v>
      </c>
      <c r="W261">
        <v>40.745711999999997</v>
      </c>
      <c r="X261">
        <v>-85.569688999999997</v>
      </c>
      <c r="Y261">
        <v>8</v>
      </c>
      <c r="Z261">
        <v>4</v>
      </c>
      <c r="AA261">
        <v>2023</v>
      </c>
      <c r="AB261" t="b">
        <v>0</v>
      </c>
      <c r="AC261" s="19">
        <v>45142</v>
      </c>
      <c r="AD261" s="19"/>
    </row>
    <row r="262" spans="1:30" x14ac:dyDescent="0.25">
      <c r="A262" s="25">
        <v>10261</v>
      </c>
      <c r="B262" t="s">
        <v>284</v>
      </c>
      <c r="C262" t="s">
        <v>284</v>
      </c>
      <c r="D262" s="27">
        <v>3112</v>
      </c>
      <c r="E262" s="27">
        <v>12</v>
      </c>
      <c r="F262" s="118"/>
      <c r="G262" t="s">
        <v>22</v>
      </c>
      <c r="H262" s="24" t="s">
        <v>8</v>
      </c>
      <c r="J262">
        <v>1.2909999999999999</v>
      </c>
      <c r="M262" s="140">
        <f t="shared" si="26"/>
        <v>0.05</v>
      </c>
      <c r="N262" s="140">
        <f t="shared" si="26"/>
        <v>1.2909999999999999</v>
      </c>
      <c r="O262" s="140">
        <f t="shared" si="26"/>
        <v>0.05</v>
      </c>
      <c r="P262" s="140">
        <f t="shared" si="27"/>
        <v>0.05</v>
      </c>
      <c r="Q262" s="161" t="s">
        <v>676</v>
      </c>
      <c r="R262" s="125" t="s">
        <v>676</v>
      </c>
      <c r="S262" t="s">
        <v>676</v>
      </c>
      <c r="W262">
        <v>40.747199999999999</v>
      </c>
      <c r="X262">
        <v>-85.549642000000006</v>
      </c>
      <c r="Y262">
        <v>8</v>
      </c>
      <c r="Z262">
        <v>4</v>
      </c>
      <c r="AA262">
        <v>2023</v>
      </c>
      <c r="AB262" t="b">
        <v>0</v>
      </c>
      <c r="AC262" s="19">
        <v>45142</v>
      </c>
      <c r="AD262" s="19"/>
    </row>
    <row r="263" spans="1:30" x14ac:dyDescent="0.25">
      <c r="A263" s="25">
        <v>10262</v>
      </c>
      <c r="B263" t="s">
        <v>285</v>
      </c>
      <c r="C263" t="s">
        <v>285</v>
      </c>
      <c r="D263" s="27">
        <v>3113</v>
      </c>
      <c r="E263" s="27">
        <v>13</v>
      </c>
      <c r="F263" s="118">
        <v>5180</v>
      </c>
      <c r="G263" t="s">
        <v>22</v>
      </c>
      <c r="H263" s="34" t="s">
        <v>8</v>
      </c>
      <c r="J263">
        <v>2.6970000000000001</v>
      </c>
      <c r="M263" s="140">
        <f t="shared" si="26"/>
        <v>0.05</v>
      </c>
      <c r="N263" s="140">
        <f t="shared" si="26"/>
        <v>2.6970000000000001</v>
      </c>
      <c r="O263" s="140">
        <f t="shared" si="26"/>
        <v>0.05</v>
      </c>
      <c r="P263" s="140">
        <f t="shared" si="27"/>
        <v>0.05</v>
      </c>
      <c r="Q263" s="161" t="s">
        <v>676</v>
      </c>
      <c r="R263" s="125" t="s">
        <v>676</v>
      </c>
      <c r="S263" t="s">
        <v>676</v>
      </c>
      <c r="W263">
        <v>40.780724999999997</v>
      </c>
      <c r="X263">
        <v>-85.637589000000006</v>
      </c>
      <c r="Y263">
        <v>8</v>
      </c>
      <c r="Z263">
        <v>4</v>
      </c>
      <c r="AA263">
        <v>2023</v>
      </c>
      <c r="AB263" t="b">
        <v>0</v>
      </c>
      <c r="AC263" s="19">
        <v>45142</v>
      </c>
      <c r="AD263" s="19"/>
    </row>
    <row r="264" spans="1:30" x14ac:dyDescent="0.25">
      <c r="A264" s="25">
        <v>10263</v>
      </c>
      <c r="B264" t="s">
        <v>286</v>
      </c>
      <c r="C264" t="s">
        <v>578</v>
      </c>
      <c r="D264" s="27">
        <v>1101</v>
      </c>
      <c r="E264" s="27">
        <v>1</v>
      </c>
      <c r="F264" s="118"/>
      <c r="G264" t="s">
        <v>514</v>
      </c>
      <c r="H264" s="34" t="s">
        <v>8</v>
      </c>
      <c r="J264">
        <v>0.03</v>
      </c>
      <c r="M264" s="140">
        <f t="shared" si="26"/>
        <v>0.05</v>
      </c>
      <c r="N264" s="140">
        <f t="shared" si="26"/>
        <v>0.05</v>
      </c>
      <c r="O264" s="140">
        <f t="shared" si="26"/>
        <v>0.05</v>
      </c>
      <c r="P264" s="140">
        <f t="shared" si="27"/>
        <v>0.05</v>
      </c>
      <c r="Q264" s="161" t="s">
        <v>676</v>
      </c>
      <c r="R264" s="125" t="s">
        <v>676</v>
      </c>
      <c r="S264" t="s">
        <v>676</v>
      </c>
      <c r="W264">
        <v>40.73124</v>
      </c>
      <c r="X264">
        <v>-86.755099999999999</v>
      </c>
      <c r="Y264">
        <v>9</v>
      </c>
      <c r="Z264">
        <v>22</v>
      </c>
      <c r="AA264">
        <v>2023</v>
      </c>
      <c r="AB264" t="b">
        <v>0</v>
      </c>
      <c r="AC264" s="19">
        <v>45191</v>
      </c>
      <c r="AD264" s="19"/>
    </row>
    <row r="265" spans="1:30" x14ac:dyDescent="0.25">
      <c r="A265" s="25">
        <v>10264</v>
      </c>
      <c r="B265" t="s">
        <v>287</v>
      </c>
      <c r="C265" t="s">
        <v>579</v>
      </c>
      <c r="D265" s="27">
        <v>1102</v>
      </c>
      <c r="E265" s="27">
        <v>2</v>
      </c>
      <c r="F265" s="118"/>
      <c r="G265" t="s">
        <v>514</v>
      </c>
      <c r="H265" s="34" t="s">
        <v>8</v>
      </c>
      <c r="J265">
        <v>2.8500000000000001E-2</v>
      </c>
      <c r="M265" s="140">
        <f t="shared" si="26"/>
        <v>0.05</v>
      </c>
      <c r="N265" s="140">
        <f t="shared" si="26"/>
        <v>0.05</v>
      </c>
      <c r="O265" s="140">
        <f t="shared" si="26"/>
        <v>0.05</v>
      </c>
      <c r="P265" s="140">
        <f t="shared" si="27"/>
        <v>0.05</v>
      </c>
      <c r="Q265" s="161" t="s">
        <v>676</v>
      </c>
      <c r="R265" s="125" t="s">
        <v>676</v>
      </c>
      <c r="S265" t="s">
        <v>676</v>
      </c>
      <c r="W265">
        <v>40.723280000000003</v>
      </c>
      <c r="X265">
        <v>-86.756259999999997</v>
      </c>
      <c r="Y265">
        <v>9</v>
      </c>
      <c r="Z265">
        <v>22</v>
      </c>
      <c r="AA265">
        <v>2023</v>
      </c>
      <c r="AB265" t="b">
        <v>0</v>
      </c>
      <c r="AC265" s="19">
        <v>45191</v>
      </c>
      <c r="AD265" s="19"/>
    </row>
    <row r="266" spans="1:30" x14ac:dyDescent="0.25">
      <c r="A266" s="25">
        <v>10265</v>
      </c>
      <c r="B266" t="s">
        <v>288</v>
      </c>
      <c r="C266" t="s">
        <v>580</v>
      </c>
      <c r="D266" s="27">
        <v>1103</v>
      </c>
      <c r="E266" s="27">
        <v>3</v>
      </c>
      <c r="F266" s="118"/>
      <c r="G266" t="s">
        <v>514</v>
      </c>
      <c r="H266" s="34" t="s">
        <v>8</v>
      </c>
      <c r="J266">
        <v>1.6500000000000001E-2</v>
      </c>
      <c r="M266" s="140">
        <f t="shared" si="26"/>
        <v>0.05</v>
      </c>
      <c r="N266" s="140">
        <f t="shared" si="26"/>
        <v>0.05</v>
      </c>
      <c r="O266" s="140">
        <f t="shared" si="26"/>
        <v>0.05</v>
      </c>
      <c r="P266" s="140">
        <f t="shared" si="27"/>
        <v>0.05</v>
      </c>
      <c r="Q266" s="161" t="s">
        <v>676</v>
      </c>
      <c r="R266" s="125" t="s">
        <v>676</v>
      </c>
      <c r="S266" t="s">
        <v>676</v>
      </c>
      <c r="W266">
        <v>40.710569999999997</v>
      </c>
      <c r="X266">
        <v>-86.755129999999994</v>
      </c>
      <c r="Y266">
        <v>9</v>
      </c>
      <c r="Z266">
        <v>22</v>
      </c>
      <c r="AA266">
        <v>2023</v>
      </c>
      <c r="AB266" t="b">
        <v>0</v>
      </c>
      <c r="AC266" s="19">
        <v>45191</v>
      </c>
      <c r="AD266" s="19"/>
    </row>
    <row r="267" spans="1:30" s="51" customFormat="1" x14ac:dyDescent="0.25">
      <c r="A267" s="47">
        <v>10266</v>
      </c>
      <c r="B267" s="48" t="s">
        <v>289</v>
      </c>
      <c r="C267" s="48" t="s">
        <v>581</v>
      </c>
      <c r="D267" s="49">
        <v>1111</v>
      </c>
      <c r="E267" s="49">
        <v>11</v>
      </c>
      <c r="F267" s="118"/>
      <c r="G267" s="48" t="s">
        <v>514</v>
      </c>
      <c r="H267" s="50" t="s">
        <v>8</v>
      </c>
      <c r="J267" s="51">
        <v>0.48299999999999998</v>
      </c>
      <c r="M267" s="140">
        <f t="shared" si="26"/>
        <v>0.05</v>
      </c>
      <c r="N267" s="140">
        <f t="shared" si="26"/>
        <v>0.48299999999999998</v>
      </c>
      <c r="O267" s="140">
        <f t="shared" si="26"/>
        <v>0.05</v>
      </c>
      <c r="P267" s="140">
        <f t="shared" si="27"/>
        <v>0.05</v>
      </c>
      <c r="Q267" s="164" t="s">
        <v>676</v>
      </c>
      <c r="R267" s="130" t="s">
        <v>676</v>
      </c>
      <c r="S267" s="51" t="s">
        <v>676</v>
      </c>
      <c r="W267" s="51">
        <v>40.698450000000001</v>
      </c>
      <c r="X267" s="51">
        <v>-86.761899</v>
      </c>
      <c r="Y267" s="51">
        <v>9</v>
      </c>
      <c r="Z267" s="51">
        <v>22</v>
      </c>
      <c r="AA267" s="51">
        <v>2023</v>
      </c>
      <c r="AB267" s="51" t="b">
        <v>0</v>
      </c>
      <c r="AC267" s="52">
        <v>45191</v>
      </c>
      <c r="AD267" s="52"/>
    </row>
    <row r="268" spans="1:30" x14ac:dyDescent="0.25">
      <c r="A268" s="25">
        <v>10267</v>
      </c>
      <c r="B268" s="26" t="s">
        <v>293</v>
      </c>
      <c r="C268" s="26" t="s">
        <v>293</v>
      </c>
      <c r="D268" s="30" t="s">
        <v>462</v>
      </c>
      <c r="E268" s="30">
        <v>1</v>
      </c>
      <c r="F268" s="118">
        <v>5999</v>
      </c>
      <c r="G268" s="26" t="s">
        <v>19</v>
      </c>
      <c r="H268" s="26" t="s">
        <v>8</v>
      </c>
      <c r="M268" s="140">
        <f t="shared" si="26"/>
        <v>0.05</v>
      </c>
      <c r="N268" s="140">
        <f t="shared" si="26"/>
        <v>0.05</v>
      </c>
      <c r="O268" s="140">
        <f t="shared" si="26"/>
        <v>0.05</v>
      </c>
      <c r="P268" s="140">
        <f t="shared" si="27"/>
        <v>0.05</v>
      </c>
      <c r="Q268" s="161" t="s">
        <v>515</v>
      </c>
      <c r="R268" s="125" t="s">
        <v>515</v>
      </c>
      <c r="S268" t="s">
        <v>515</v>
      </c>
      <c r="Y268">
        <f t="shared" ref="Y268:Y299" si="28">MONTH(AC268)</f>
        <v>5</v>
      </c>
      <c r="Z268">
        <f t="shared" ref="Z268:Z299" si="29">DAY(AC268)</f>
        <v>16</v>
      </c>
      <c r="AA268">
        <f t="shared" ref="AA268:AA299" si="30">YEAR(AC268)</f>
        <v>2024</v>
      </c>
      <c r="AC268" s="19">
        <v>45428</v>
      </c>
      <c r="AD268" s="19"/>
    </row>
    <row r="269" spans="1:30" x14ac:dyDescent="0.25">
      <c r="A269" s="25">
        <v>10268</v>
      </c>
      <c r="B269" t="s">
        <v>294</v>
      </c>
      <c r="C269" t="s">
        <v>294</v>
      </c>
      <c r="D269" s="27" t="s">
        <v>463</v>
      </c>
      <c r="E269" s="27">
        <v>2</v>
      </c>
      <c r="F269" s="118">
        <v>8861</v>
      </c>
      <c r="G269" t="s">
        <v>19</v>
      </c>
      <c r="H269" t="s">
        <v>8</v>
      </c>
      <c r="M269" s="140">
        <f t="shared" si="26"/>
        <v>0.05</v>
      </c>
      <c r="N269" s="140">
        <f t="shared" si="26"/>
        <v>0.05</v>
      </c>
      <c r="O269" s="140">
        <f t="shared" si="26"/>
        <v>0.05</v>
      </c>
      <c r="P269" s="140">
        <f t="shared" si="27"/>
        <v>0.05</v>
      </c>
      <c r="Q269" s="161" t="s">
        <v>515</v>
      </c>
      <c r="R269" s="125" t="s">
        <v>515</v>
      </c>
      <c r="S269" t="s">
        <v>515</v>
      </c>
      <c r="Y269">
        <f t="shared" si="28"/>
        <v>5</v>
      </c>
      <c r="Z269">
        <f t="shared" si="29"/>
        <v>16</v>
      </c>
      <c r="AA269">
        <f t="shared" si="30"/>
        <v>2024</v>
      </c>
      <c r="AC269" s="19">
        <v>45428</v>
      </c>
      <c r="AD269" s="19"/>
    </row>
    <row r="270" spans="1:30" x14ac:dyDescent="0.25">
      <c r="A270" s="25">
        <v>10269</v>
      </c>
      <c r="B270" t="s">
        <v>295</v>
      </c>
      <c r="C270" t="s">
        <v>295</v>
      </c>
      <c r="D270" s="27" t="s">
        <v>464</v>
      </c>
      <c r="E270" s="27">
        <v>3</v>
      </c>
      <c r="F270" s="118">
        <v>9921</v>
      </c>
      <c r="G270" t="s">
        <v>19</v>
      </c>
      <c r="H270" t="s">
        <v>8</v>
      </c>
      <c r="M270" s="140">
        <f t="shared" si="26"/>
        <v>0.05</v>
      </c>
      <c r="N270" s="140">
        <f t="shared" si="26"/>
        <v>0.05</v>
      </c>
      <c r="O270" s="140">
        <f t="shared" si="26"/>
        <v>0.05</v>
      </c>
      <c r="P270" s="140">
        <f t="shared" si="27"/>
        <v>0.05</v>
      </c>
      <c r="Q270" s="161" t="s">
        <v>515</v>
      </c>
      <c r="R270" s="125" t="s">
        <v>515</v>
      </c>
      <c r="S270" t="s">
        <v>515</v>
      </c>
      <c r="Y270">
        <f t="shared" si="28"/>
        <v>5</v>
      </c>
      <c r="Z270">
        <f t="shared" si="29"/>
        <v>16</v>
      </c>
      <c r="AA270">
        <f t="shared" si="30"/>
        <v>2024</v>
      </c>
      <c r="AC270" s="19">
        <v>45428</v>
      </c>
      <c r="AD270" s="19"/>
    </row>
    <row r="271" spans="1:30" x14ac:dyDescent="0.25">
      <c r="A271" s="25">
        <v>10270</v>
      </c>
      <c r="B271" t="s">
        <v>296</v>
      </c>
      <c r="C271" t="s">
        <v>296</v>
      </c>
      <c r="D271" s="27" t="s">
        <v>465</v>
      </c>
      <c r="E271" s="27">
        <v>4</v>
      </c>
      <c r="F271" s="118">
        <v>10891</v>
      </c>
      <c r="G271" t="s">
        <v>19</v>
      </c>
      <c r="H271" t="s">
        <v>8</v>
      </c>
      <c r="M271" s="140">
        <f t="shared" si="26"/>
        <v>0.05</v>
      </c>
      <c r="N271" s="140">
        <f t="shared" si="26"/>
        <v>0.05</v>
      </c>
      <c r="O271" s="140">
        <f t="shared" si="26"/>
        <v>0.05</v>
      </c>
      <c r="P271" s="140">
        <f t="shared" si="27"/>
        <v>0.05</v>
      </c>
      <c r="Q271" s="161" t="s">
        <v>515</v>
      </c>
      <c r="R271" s="125" t="s">
        <v>515</v>
      </c>
      <c r="S271" t="s">
        <v>515</v>
      </c>
      <c r="Y271">
        <f t="shared" si="28"/>
        <v>5</v>
      </c>
      <c r="Z271">
        <f t="shared" si="29"/>
        <v>16</v>
      </c>
      <c r="AA271">
        <f t="shared" si="30"/>
        <v>2024</v>
      </c>
      <c r="AC271" s="19">
        <v>45428</v>
      </c>
      <c r="AD271" s="19"/>
    </row>
    <row r="272" spans="1:30" x14ac:dyDescent="0.25">
      <c r="A272" s="25">
        <v>10271</v>
      </c>
      <c r="B272" t="s">
        <v>297</v>
      </c>
      <c r="C272" t="s">
        <v>297</v>
      </c>
      <c r="D272" s="27" t="s">
        <v>466</v>
      </c>
      <c r="E272" s="27">
        <v>5</v>
      </c>
      <c r="F272" s="118">
        <v>12821</v>
      </c>
      <c r="G272" t="s">
        <v>19</v>
      </c>
      <c r="H272" t="s">
        <v>8</v>
      </c>
      <c r="M272" s="140">
        <f t="shared" si="26"/>
        <v>0.05</v>
      </c>
      <c r="N272" s="140">
        <f t="shared" si="26"/>
        <v>0.05</v>
      </c>
      <c r="O272" s="140">
        <f t="shared" si="26"/>
        <v>0.05</v>
      </c>
      <c r="P272" s="140">
        <f t="shared" si="27"/>
        <v>0.05</v>
      </c>
      <c r="Q272" s="161" t="s">
        <v>515</v>
      </c>
      <c r="R272" s="125" t="s">
        <v>515</v>
      </c>
      <c r="S272" t="s">
        <v>515</v>
      </c>
      <c r="Y272">
        <f t="shared" si="28"/>
        <v>5</v>
      </c>
      <c r="Z272">
        <f t="shared" si="29"/>
        <v>16</v>
      </c>
      <c r="AA272">
        <f t="shared" si="30"/>
        <v>2024</v>
      </c>
      <c r="AC272" s="19">
        <v>45428</v>
      </c>
      <c r="AD272" s="19"/>
    </row>
    <row r="273" spans="1:30" x14ac:dyDescent="0.25">
      <c r="A273" s="25">
        <v>10272</v>
      </c>
      <c r="B273" t="s">
        <v>298</v>
      </c>
      <c r="C273" t="s">
        <v>298</v>
      </c>
      <c r="D273" s="27" t="s">
        <v>467</v>
      </c>
      <c r="E273" s="27">
        <v>6</v>
      </c>
      <c r="F273" s="118">
        <v>14351</v>
      </c>
      <c r="G273" t="s">
        <v>19</v>
      </c>
      <c r="H273" t="s">
        <v>8</v>
      </c>
      <c r="M273" s="140">
        <f t="shared" si="26"/>
        <v>0.05</v>
      </c>
      <c r="N273" s="140">
        <f t="shared" si="26"/>
        <v>0.05</v>
      </c>
      <c r="O273" s="140">
        <f t="shared" si="26"/>
        <v>0.05</v>
      </c>
      <c r="P273" s="140">
        <f t="shared" si="27"/>
        <v>0.05</v>
      </c>
      <c r="Q273" s="161" t="s">
        <v>515</v>
      </c>
      <c r="R273" s="125" t="s">
        <v>515</v>
      </c>
      <c r="S273" t="s">
        <v>515</v>
      </c>
      <c r="Y273">
        <f t="shared" si="28"/>
        <v>5</v>
      </c>
      <c r="Z273">
        <f t="shared" si="29"/>
        <v>16</v>
      </c>
      <c r="AA273">
        <f t="shared" si="30"/>
        <v>2024</v>
      </c>
      <c r="AC273" s="19">
        <v>45428</v>
      </c>
      <c r="AD273" s="19"/>
    </row>
    <row r="274" spans="1:30" x14ac:dyDescent="0.25">
      <c r="A274" s="25">
        <v>10273</v>
      </c>
      <c r="B274" t="s">
        <v>299</v>
      </c>
      <c r="C274" t="s">
        <v>299</v>
      </c>
      <c r="D274" s="27" t="s">
        <v>468</v>
      </c>
      <c r="E274" s="27">
        <v>7</v>
      </c>
      <c r="F274" s="118">
        <v>6411</v>
      </c>
      <c r="G274" t="s">
        <v>19</v>
      </c>
      <c r="H274" t="s">
        <v>8</v>
      </c>
      <c r="M274" s="140">
        <f t="shared" ref="M274:O289" si="31">IF(I274&lt;0.1,0.05,I274)</f>
        <v>0.05</v>
      </c>
      <c r="N274" s="140">
        <f t="shared" si="31"/>
        <v>0.05</v>
      </c>
      <c r="O274" s="140">
        <f t="shared" si="31"/>
        <v>0.05</v>
      </c>
      <c r="P274" s="140">
        <f t="shared" si="27"/>
        <v>0.05</v>
      </c>
      <c r="Q274" s="161" t="s">
        <v>515</v>
      </c>
      <c r="R274" s="125" t="s">
        <v>515</v>
      </c>
      <c r="S274" t="s">
        <v>515</v>
      </c>
      <c r="Y274">
        <f t="shared" si="28"/>
        <v>5</v>
      </c>
      <c r="Z274">
        <f t="shared" si="29"/>
        <v>16</v>
      </c>
      <c r="AA274">
        <f t="shared" si="30"/>
        <v>2024</v>
      </c>
      <c r="AC274" s="19">
        <v>45428</v>
      </c>
      <c r="AD274" s="19"/>
    </row>
    <row r="275" spans="1:30" x14ac:dyDescent="0.25">
      <c r="A275" s="25">
        <v>10274</v>
      </c>
      <c r="B275" t="s">
        <v>300</v>
      </c>
      <c r="C275" t="s">
        <v>300</v>
      </c>
      <c r="D275" s="27" t="s">
        <v>469</v>
      </c>
      <c r="E275" s="27">
        <v>8</v>
      </c>
      <c r="F275" s="118">
        <v>5401</v>
      </c>
      <c r="G275" t="s">
        <v>19</v>
      </c>
      <c r="H275" t="s">
        <v>8</v>
      </c>
      <c r="M275" s="140">
        <f t="shared" si="31"/>
        <v>0.05</v>
      </c>
      <c r="N275" s="140">
        <f t="shared" si="31"/>
        <v>0.05</v>
      </c>
      <c r="O275" s="140">
        <f t="shared" si="31"/>
        <v>0.05</v>
      </c>
      <c r="P275" s="140">
        <f t="shared" si="27"/>
        <v>0.05</v>
      </c>
      <c r="Q275" s="161" t="s">
        <v>515</v>
      </c>
      <c r="R275" s="125" t="s">
        <v>515</v>
      </c>
      <c r="S275" t="s">
        <v>515</v>
      </c>
      <c r="Y275">
        <f t="shared" si="28"/>
        <v>5</v>
      </c>
      <c r="Z275">
        <f t="shared" si="29"/>
        <v>16</v>
      </c>
      <c r="AA275">
        <f t="shared" si="30"/>
        <v>2024</v>
      </c>
      <c r="AC275" s="19">
        <v>45428</v>
      </c>
      <c r="AD275" s="19"/>
    </row>
    <row r="276" spans="1:30" x14ac:dyDescent="0.25">
      <c r="A276" s="25">
        <v>10275</v>
      </c>
      <c r="B276" t="s">
        <v>301</v>
      </c>
      <c r="C276" t="s">
        <v>301</v>
      </c>
      <c r="D276" s="27" t="s">
        <v>470</v>
      </c>
      <c r="E276" s="27">
        <v>9</v>
      </c>
      <c r="F276" s="118">
        <v>4381</v>
      </c>
      <c r="G276" t="s">
        <v>19</v>
      </c>
      <c r="H276" t="s">
        <v>8</v>
      </c>
      <c r="M276" s="140">
        <f t="shared" si="31"/>
        <v>0.05</v>
      </c>
      <c r="N276" s="140">
        <f t="shared" si="31"/>
        <v>0.05</v>
      </c>
      <c r="O276" s="140">
        <f t="shared" si="31"/>
        <v>0.05</v>
      </c>
      <c r="P276" s="140">
        <f t="shared" si="27"/>
        <v>0.05</v>
      </c>
      <c r="Q276" s="161" t="s">
        <v>515</v>
      </c>
      <c r="R276" s="125" t="s">
        <v>515</v>
      </c>
      <c r="S276" t="s">
        <v>515</v>
      </c>
      <c r="Y276">
        <f t="shared" si="28"/>
        <v>5</v>
      </c>
      <c r="Z276">
        <f t="shared" si="29"/>
        <v>16</v>
      </c>
      <c r="AA276">
        <f t="shared" si="30"/>
        <v>2024</v>
      </c>
      <c r="AC276" s="19">
        <v>45428</v>
      </c>
      <c r="AD276" s="19"/>
    </row>
    <row r="277" spans="1:30" x14ac:dyDescent="0.25">
      <c r="A277" s="25">
        <v>10276</v>
      </c>
      <c r="B277" t="s">
        <v>302</v>
      </c>
      <c r="C277" t="s">
        <v>302</v>
      </c>
      <c r="D277" s="27" t="s">
        <v>471</v>
      </c>
      <c r="E277" s="27">
        <v>10</v>
      </c>
      <c r="F277" s="118">
        <v>2851</v>
      </c>
      <c r="G277" t="s">
        <v>19</v>
      </c>
      <c r="H277" t="s">
        <v>8</v>
      </c>
      <c r="M277" s="140">
        <f t="shared" si="31"/>
        <v>0.05</v>
      </c>
      <c r="N277" s="140">
        <f t="shared" si="31"/>
        <v>0.05</v>
      </c>
      <c r="O277" s="140">
        <f t="shared" si="31"/>
        <v>0.05</v>
      </c>
      <c r="P277" s="140">
        <f t="shared" si="27"/>
        <v>0.05</v>
      </c>
      <c r="Q277" s="161" t="s">
        <v>515</v>
      </c>
      <c r="R277" s="125" t="s">
        <v>515</v>
      </c>
      <c r="S277" t="s">
        <v>515</v>
      </c>
      <c r="Y277">
        <f t="shared" si="28"/>
        <v>5</v>
      </c>
      <c r="Z277">
        <f t="shared" si="29"/>
        <v>16</v>
      </c>
      <c r="AA277">
        <f t="shared" si="30"/>
        <v>2024</v>
      </c>
      <c r="AC277" s="19">
        <v>45428</v>
      </c>
      <c r="AD277" s="19"/>
    </row>
    <row r="278" spans="1:30" x14ac:dyDescent="0.25">
      <c r="A278" s="25">
        <v>10277</v>
      </c>
      <c r="B278" t="s">
        <v>303</v>
      </c>
      <c r="C278" t="s">
        <v>303</v>
      </c>
      <c r="D278" s="27" t="s">
        <v>472</v>
      </c>
      <c r="E278" s="27">
        <v>11</v>
      </c>
      <c r="F278" s="118">
        <v>1731</v>
      </c>
      <c r="G278" t="s">
        <v>19</v>
      </c>
      <c r="H278" t="s">
        <v>8</v>
      </c>
      <c r="M278" s="140">
        <f t="shared" si="31"/>
        <v>0.05</v>
      </c>
      <c r="N278" s="140">
        <f t="shared" si="31"/>
        <v>0.05</v>
      </c>
      <c r="O278" s="140">
        <f t="shared" si="31"/>
        <v>0.05</v>
      </c>
      <c r="P278" s="140">
        <f t="shared" si="27"/>
        <v>0.05</v>
      </c>
      <c r="Q278" s="161" t="s">
        <v>515</v>
      </c>
      <c r="R278" s="125" t="s">
        <v>515</v>
      </c>
      <c r="S278" t="s">
        <v>515</v>
      </c>
      <c r="Y278">
        <f t="shared" si="28"/>
        <v>5</v>
      </c>
      <c r="Z278">
        <f t="shared" si="29"/>
        <v>16</v>
      </c>
      <c r="AA278">
        <f t="shared" si="30"/>
        <v>2024</v>
      </c>
      <c r="AC278" s="19">
        <v>45428</v>
      </c>
      <c r="AD278" s="19"/>
    </row>
    <row r="279" spans="1:30" x14ac:dyDescent="0.25">
      <c r="A279" s="25">
        <v>10278</v>
      </c>
      <c r="B279" t="s">
        <v>304</v>
      </c>
      <c r="C279" t="s">
        <v>304</v>
      </c>
      <c r="D279" s="27" t="s">
        <v>473</v>
      </c>
      <c r="E279" s="27">
        <v>12</v>
      </c>
      <c r="F279" s="118">
        <v>661</v>
      </c>
      <c r="G279" t="s">
        <v>19</v>
      </c>
      <c r="H279" t="s">
        <v>8</v>
      </c>
      <c r="M279" s="140">
        <f t="shared" si="31"/>
        <v>0.05</v>
      </c>
      <c r="N279" s="140">
        <f t="shared" si="31"/>
        <v>0.05</v>
      </c>
      <c r="O279" s="140">
        <f t="shared" si="31"/>
        <v>0.05</v>
      </c>
      <c r="P279" s="140">
        <f t="shared" si="27"/>
        <v>0.05</v>
      </c>
      <c r="Q279" s="161" t="s">
        <v>515</v>
      </c>
      <c r="R279" s="125" t="s">
        <v>515</v>
      </c>
      <c r="S279" t="s">
        <v>515</v>
      </c>
      <c r="Y279">
        <f t="shared" si="28"/>
        <v>5</v>
      </c>
      <c r="Z279">
        <f t="shared" si="29"/>
        <v>16</v>
      </c>
      <c r="AA279">
        <f t="shared" si="30"/>
        <v>2024</v>
      </c>
      <c r="AC279" s="19">
        <v>45428</v>
      </c>
      <c r="AD279" s="19"/>
    </row>
    <row r="280" spans="1:30" x14ac:dyDescent="0.25">
      <c r="A280" s="25">
        <v>10279</v>
      </c>
      <c r="B280" t="s">
        <v>305</v>
      </c>
      <c r="C280" t="s">
        <v>305</v>
      </c>
      <c r="D280" s="27" t="s">
        <v>474</v>
      </c>
      <c r="E280" s="27">
        <v>13</v>
      </c>
      <c r="F280" s="118">
        <v>13553</v>
      </c>
      <c r="G280" t="s">
        <v>19</v>
      </c>
      <c r="H280" t="s">
        <v>8</v>
      </c>
      <c r="M280" s="140">
        <f t="shared" si="31"/>
        <v>0.05</v>
      </c>
      <c r="N280" s="140">
        <f t="shared" si="31"/>
        <v>0.05</v>
      </c>
      <c r="O280" s="140">
        <f t="shared" si="31"/>
        <v>0.05</v>
      </c>
      <c r="P280" s="140">
        <f t="shared" si="27"/>
        <v>0.05</v>
      </c>
      <c r="Q280" s="161" t="s">
        <v>515</v>
      </c>
      <c r="R280" s="125" t="s">
        <v>515</v>
      </c>
      <c r="S280" t="s">
        <v>515</v>
      </c>
      <c r="Y280">
        <f t="shared" si="28"/>
        <v>5</v>
      </c>
      <c r="Z280">
        <f t="shared" si="29"/>
        <v>16</v>
      </c>
      <c r="AA280">
        <f t="shared" si="30"/>
        <v>2024</v>
      </c>
      <c r="AC280" s="19">
        <v>45428</v>
      </c>
      <c r="AD280" s="19"/>
    </row>
    <row r="281" spans="1:30" x14ac:dyDescent="0.25">
      <c r="A281" s="25">
        <v>10280</v>
      </c>
      <c r="B281" t="s">
        <v>306</v>
      </c>
      <c r="C281" t="s">
        <v>306</v>
      </c>
      <c r="D281" s="27" t="s">
        <v>475</v>
      </c>
      <c r="E281" s="27">
        <v>1</v>
      </c>
      <c r="F281" s="118"/>
      <c r="G281" t="s">
        <v>19</v>
      </c>
      <c r="H281" t="s">
        <v>9</v>
      </c>
      <c r="I281">
        <v>2.3699999999999999E-2</v>
      </c>
      <c r="J281">
        <v>2.3460000000000001</v>
      </c>
      <c r="K281">
        <v>2.1999999999999999E-2</v>
      </c>
      <c r="M281" s="140">
        <f t="shared" si="31"/>
        <v>0.05</v>
      </c>
      <c r="N281" s="140">
        <f t="shared" si="31"/>
        <v>2.3460000000000001</v>
      </c>
      <c r="O281" s="140">
        <f t="shared" si="31"/>
        <v>0.05</v>
      </c>
      <c r="P281" s="140">
        <f t="shared" si="27"/>
        <v>0.05</v>
      </c>
      <c r="Q281" s="161" t="s">
        <v>515</v>
      </c>
      <c r="R281" s="125">
        <v>15.24</v>
      </c>
      <c r="S281">
        <v>4.416666666666667</v>
      </c>
      <c r="T281" s="104">
        <v>3.423036292706092</v>
      </c>
      <c r="U281" s="104">
        <v>1.417308304427668</v>
      </c>
      <c r="V281" s="151"/>
      <c r="Y281">
        <f t="shared" si="28"/>
        <v>5</v>
      </c>
      <c r="Z281">
        <f t="shared" si="29"/>
        <v>30</v>
      </c>
      <c r="AA281">
        <f t="shared" si="30"/>
        <v>2024</v>
      </c>
      <c r="AC281" s="19">
        <v>45442</v>
      </c>
      <c r="AD281" s="19"/>
    </row>
    <row r="282" spans="1:30" x14ac:dyDescent="0.25">
      <c r="A282" s="25">
        <v>10281</v>
      </c>
      <c r="B282" t="s">
        <v>307</v>
      </c>
      <c r="C282" t="s">
        <v>307</v>
      </c>
      <c r="D282" s="27" t="s">
        <v>476</v>
      </c>
      <c r="E282" s="27">
        <v>2</v>
      </c>
      <c r="F282" s="118"/>
      <c r="G282" t="s">
        <v>19</v>
      </c>
      <c r="H282" t="s">
        <v>9</v>
      </c>
      <c r="I282">
        <v>1.21E-2</v>
      </c>
      <c r="J282">
        <v>2.141</v>
      </c>
      <c r="K282">
        <v>2.1999999999999999E-2</v>
      </c>
      <c r="M282" s="140">
        <f t="shared" si="31"/>
        <v>0.05</v>
      </c>
      <c r="N282" s="140">
        <f t="shared" si="31"/>
        <v>2.141</v>
      </c>
      <c r="O282" s="140">
        <f t="shared" si="31"/>
        <v>0.05</v>
      </c>
      <c r="P282" s="140">
        <f t="shared" si="27"/>
        <v>0.05</v>
      </c>
      <c r="Q282" s="161" t="s">
        <v>515</v>
      </c>
      <c r="R282" s="125">
        <v>30.76</v>
      </c>
      <c r="S282">
        <v>3.6766666666666672</v>
      </c>
      <c r="T282">
        <v>3.6740972461472277</v>
      </c>
      <c r="U282">
        <v>1.360449160035367</v>
      </c>
      <c r="Y282">
        <f t="shared" si="28"/>
        <v>5</v>
      </c>
      <c r="Z282">
        <f t="shared" si="29"/>
        <v>30</v>
      </c>
      <c r="AA282">
        <f t="shared" si="30"/>
        <v>2024</v>
      </c>
      <c r="AC282" s="19">
        <v>45442</v>
      </c>
      <c r="AD282" s="19"/>
    </row>
    <row r="283" spans="1:30" x14ac:dyDescent="0.25">
      <c r="A283" s="25">
        <v>10282</v>
      </c>
      <c r="B283" t="s">
        <v>308</v>
      </c>
      <c r="C283" t="s">
        <v>308</v>
      </c>
      <c r="D283" s="27" t="s">
        <v>477</v>
      </c>
      <c r="E283" s="27">
        <v>3</v>
      </c>
      <c r="F283" s="118"/>
      <c r="G283" t="s">
        <v>19</v>
      </c>
      <c r="H283" t="s">
        <v>9</v>
      </c>
      <c r="I283">
        <v>1.5299999999999999E-2</v>
      </c>
      <c r="J283">
        <v>2.3130000000000002</v>
      </c>
      <c r="K283">
        <v>2.8000000000000001E-2</v>
      </c>
      <c r="M283" s="140">
        <f t="shared" si="31"/>
        <v>0.05</v>
      </c>
      <c r="N283" s="140">
        <f t="shared" si="31"/>
        <v>2.3130000000000002</v>
      </c>
      <c r="O283" s="140">
        <f t="shared" si="31"/>
        <v>0.05</v>
      </c>
      <c r="P283" s="140">
        <f t="shared" si="27"/>
        <v>0.05</v>
      </c>
      <c r="Q283" s="161" t="s">
        <v>515</v>
      </c>
      <c r="R283" s="125">
        <v>24.08666666666667</v>
      </c>
      <c r="S283">
        <v>10.183333333333334</v>
      </c>
      <c r="T283">
        <v>4.1235465996505454</v>
      </c>
      <c r="U283">
        <v>1.31583241515337</v>
      </c>
      <c r="Y283">
        <f t="shared" si="28"/>
        <v>5</v>
      </c>
      <c r="Z283">
        <f t="shared" si="29"/>
        <v>30</v>
      </c>
      <c r="AA283">
        <f t="shared" si="30"/>
        <v>2024</v>
      </c>
      <c r="AC283" s="19">
        <v>45442</v>
      </c>
      <c r="AD283" s="19"/>
    </row>
    <row r="284" spans="1:30" x14ac:dyDescent="0.25">
      <c r="A284" s="25">
        <v>10283</v>
      </c>
      <c r="B284" t="s">
        <v>309</v>
      </c>
      <c r="C284" t="s">
        <v>309</v>
      </c>
      <c r="D284" s="27" t="s">
        <v>478</v>
      </c>
      <c r="E284" s="27">
        <v>4</v>
      </c>
      <c r="F284" s="118"/>
      <c r="G284" t="s">
        <v>19</v>
      </c>
      <c r="H284" t="s">
        <v>9</v>
      </c>
      <c r="I284">
        <v>1.35E-2</v>
      </c>
      <c r="J284">
        <v>2.08</v>
      </c>
      <c r="K284">
        <v>0.02</v>
      </c>
      <c r="M284" s="140">
        <f t="shared" si="31"/>
        <v>0.05</v>
      </c>
      <c r="N284" s="140">
        <f t="shared" si="31"/>
        <v>2.08</v>
      </c>
      <c r="O284" s="140">
        <f t="shared" si="31"/>
        <v>0.05</v>
      </c>
      <c r="P284" s="140">
        <f t="shared" si="27"/>
        <v>0.05</v>
      </c>
      <c r="Q284" s="161" t="s">
        <v>515</v>
      </c>
      <c r="R284" s="125">
        <v>32.550000000000004</v>
      </c>
      <c r="S284">
        <v>8.5200000000000014</v>
      </c>
      <c r="T284">
        <v>3.442268705288539</v>
      </c>
      <c r="U284">
        <v>1.2285032986465347</v>
      </c>
      <c r="Y284">
        <f t="shared" si="28"/>
        <v>5</v>
      </c>
      <c r="Z284">
        <f t="shared" si="29"/>
        <v>30</v>
      </c>
      <c r="AA284">
        <f t="shared" si="30"/>
        <v>2024</v>
      </c>
      <c r="AC284" s="19">
        <v>45442</v>
      </c>
      <c r="AD284" s="19"/>
    </row>
    <row r="285" spans="1:30" x14ac:dyDescent="0.25">
      <c r="A285" s="25">
        <v>10284</v>
      </c>
      <c r="B285" t="s">
        <v>310</v>
      </c>
      <c r="C285" t="s">
        <v>310</v>
      </c>
      <c r="D285" s="27" t="s">
        <v>479</v>
      </c>
      <c r="E285" s="27">
        <v>5</v>
      </c>
      <c r="F285" s="118"/>
      <c r="G285" t="s">
        <v>19</v>
      </c>
      <c r="H285" t="s">
        <v>9</v>
      </c>
      <c r="I285">
        <v>1.29E-2</v>
      </c>
      <c r="J285">
        <v>2.2069999999999999</v>
      </c>
      <c r="K285">
        <v>0.02</v>
      </c>
      <c r="M285" s="140">
        <f t="shared" si="31"/>
        <v>0.05</v>
      </c>
      <c r="N285" s="140">
        <f t="shared" si="31"/>
        <v>2.2069999999999999</v>
      </c>
      <c r="O285" s="140">
        <f t="shared" si="31"/>
        <v>0.05</v>
      </c>
      <c r="P285" s="140">
        <f t="shared" si="27"/>
        <v>0.05</v>
      </c>
      <c r="Q285" s="161" t="s">
        <v>515</v>
      </c>
      <c r="R285" s="125">
        <v>55.443333333333335</v>
      </c>
      <c r="S285">
        <v>5.7366666666666672</v>
      </c>
      <c r="T285">
        <v>3.2125193441684932</v>
      </c>
      <c r="U285">
        <v>1.0851311977147522</v>
      </c>
      <c r="Y285">
        <f t="shared" si="28"/>
        <v>5</v>
      </c>
      <c r="Z285">
        <f t="shared" si="29"/>
        <v>30</v>
      </c>
      <c r="AA285">
        <f t="shared" si="30"/>
        <v>2024</v>
      </c>
      <c r="AC285" s="19">
        <v>45442</v>
      </c>
      <c r="AD285" s="19"/>
    </row>
    <row r="286" spans="1:30" x14ac:dyDescent="0.25">
      <c r="A286" s="25">
        <v>10285</v>
      </c>
      <c r="B286" t="s">
        <v>311</v>
      </c>
      <c r="C286" t="s">
        <v>311</v>
      </c>
      <c r="D286" s="27" t="s">
        <v>480</v>
      </c>
      <c r="E286" s="27">
        <v>6</v>
      </c>
      <c r="F286" s="118"/>
      <c r="G286" t="s">
        <v>19</v>
      </c>
      <c r="H286" t="s">
        <v>9</v>
      </c>
      <c r="I286">
        <v>1.34E-2</v>
      </c>
      <c r="J286">
        <v>2.0939999999999999</v>
      </c>
      <c r="K286">
        <v>1.2E-2</v>
      </c>
      <c r="M286" s="140">
        <f t="shared" si="31"/>
        <v>0.05</v>
      </c>
      <c r="N286" s="140">
        <f t="shared" si="31"/>
        <v>2.0939999999999999</v>
      </c>
      <c r="O286" s="140">
        <f t="shared" si="31"/>
        <v>0.05</v>
      </c>
      <c r="P286" s="140">
        <f t="shared" si="27"/>
        <v>0.05</v>
      </c>
      <c r="Q286" s="161" t="s">
        <v>515</v>
      </c>
      <c r="R286" s="125">
        <v>74.263333333333335</v>
      </c>
      <c r="S286">
        <v>5.7766666666666664</v>
      </c>
      <c r="T286">
        <v>2.875692226508336</v>
      </c>
      <c r="U286">
        <v>0.99698592124056329</v>
      </c>
      <c r="Y286">
        <f t="shared" si="28"/>
        <v>5</v>
      </c>
      <c r="Z286">
        <f t="shared" si="29"/>
        <v>30</v>
      </c>
      <c r="AA286">
        <f t="shared" si="30"/>
        <v>2024</v>
      </c>
      <c r="AC286" s="19">
        <v>45442</v>
      </c>
      <c r="AD286" s="19"/>
    </row>
    <row r="287" spans="1:30" x14ac:dyDescent="0.25">
      <c r="A287" s="25">
        <v>10286</v>
      </c>
      <c r="B287" t="s">
        <v>312</v>
      </c>
      <c r="C287" t="s">
        <v>312</v>
      </c>
      <c r="D287" s="27" t="s">
        <v>481</v>
      </c>
      <c r="E287" s="27">
        <v>7</v>
      </c>
      <c r="F287" s="118"/>
      <c r="G287" t="s">
        <v>19</v>
      </c>
      <c r="H287" t="s">
        <v>9</v>
      </c>
      <c r="I287">
        <v>1.34E-2</v>
      </c>
      <c r="J287">
        <v>2.2559999999999998</v>
      </c>
      <c r="K287">
        <v>1.2999999999999999E-2</v>
      </c>
      <c r="M287" s="140">
        <f t="shared" si="31"/>
        <v>0.05</v>
      </c>
      <c r="N287" s="140">
        <f t="shared" si="31"/>
        <v>2.2559999999999998</v>
      </c>
      <c r="O287" s="140">
        <f t="shared" si="31"/>
        <v>0.05</v>
      </c>
      <c r="P287" s="140">
        <f t="shared" si="27"/>
        <v>0.05</v>
      </c>
      <c r="Q287" s="161" t="s">
        <v>515</v>
      </c>
      <c r="R287" s="125">
        <v>32.153333333333329</v>
      </c>
      <c r="S287">
        <v>9.2233333333333345</v>
      </c>
      <c r="T287">
        <v>3.0207150132786813</v>
      </c>
      <c r="U287">
        <v>1.068535945045229</v>
      </c>
      <c r="Y287">
        <f t="shared" si="28"/>
        <v>5</v>
      </c>
      <c r="Z287">
        <f t="shared" si="29"/>
        <v>30</v>
      </c>
      <c r="AA287">
        <f t="shared" si="30"/>
        <v>2024</v>
      </c>
      <c r="AC287" s="19">
        <v>45442</v>
      </c>
      <c r="AD287" s="19"/>
    </row>
    <row r="288" spans="1:30" x14ac:dyDescent="0.25">
      <c r="A288" s="25">
        <v>10287</v>
      </c>
      <c r="B288" t="s">
        <v>313</v>
      </c>
      <c r="C288" t="s">
        <v>313</v>
      </c>
      <c r="D288" s="27" t="s">
        <v>482</v>
      </c>
      <c r="E288" s="27">
        <v>8</v>
      </c>
      <c r="F288" s="118"/>
      <c r="G288" t="s">
        <v>19</v>
      </c>
      <c r="H288" t="s">
        <v>9</v>
      </c>
      <c r="I288">
        <v>2.5700000000000001E-2</v>
      </c>
      <c r="J288">
        <v>2.286</v>
      </c>
      <c r="K288">
        <v>3.0000000000000001E-3</v>
      </c>
      <c r="M288" s="140">
        <f t="shared" si="31"/>
        <v>0.05</v>
      </c>
      <c r="N288" s="140">
        <f t="shared" si="31"/>
        <v>2.286</v>
      </c>
      <c r="O288" s="140">
        <f t="shared" si="31"/>
        <v>0.05</v>
      </c>
      <c r="P288" s="140">
        <f t="shared" si="27"/>
        <v>0.05</v>
      </c>
      <c r="Q288" s="161" t="s">
        <v>515</v>
      </c>
      <c r="R288" s="125">
        <v>31.983333333333334</v>
      </c>
      <c r="S288">
        <v>8.1399999999999988</v>
      </c>
      <c r="T288">
        <v>3.0435859904037539</v>
      </c>
      <c r="U288">
        <v>1.877010406039584</v>
      </c>
      <c r="Y288">
        <f t="shared" si="28"/>
        <v>5</v>
      </c>
      <c r="Z288">
        <f t="shared" si="29"/>
        <v>30</v>
      </c>
      <c r="AA288">
        <f t="shared" si="30"/>
        <v>2024</v>
      </c>
      <c r="AC288" s="19">
        <v>45442</v>
      </c>
      <c r="AD288" s="19"/>
    </row>
    <row r="289" spans="1:30" x14ac:dyDescent="0.25">
      <c r="A289" s="25">
        <v>10288</v>
      </c>
      <c r="B289" t="s">
        <v>631</v>
      </c>
      <c r="C289" t="s">
        <v>631</v>
      </c>
      <c r="D289" s="27">
        <v>4105</v>
      </c>
      <c r="E289" s="27">
        <v>5</v>
      </c>
      <c r="F289" s="118">
        <v>6425</v>
      </c>
      <c r="G289" s="23" t="s">
        <v>20</v>
      </c>
      <c r="H289" t="s">
        <v>8</v>
      </c>
      <c r="I289">
        <v>-2.3999999999999998E-3</v>
      </c>
      <c r="J289">
        <v>3.6349999999999998</v>
      </c>
      <c r="K289">
        <v>0.33500000000000002</v>
      </c>
      <c r="L289" s="63">
        <v>1.4342001576044129E-2</v>
      </c>
      <c r="M289" s="140">
        <f t="shared" si="31"/>
        <v>0.05</v>
      </c>
      <c r="N289" s="140">
        <f t="shared" si="31"/>
        <v>3.6349999999999998</v>
      </c>
      <c r="O289" s="140">
        <f t="shared" si="31"/>
        <v>0.33500000000000002</v>
      </c>
      <c r="P289" s="140">
        <f t="shared" si="27"/>
        <v>0.05</v>
      </c>
      <c r="Q289" s="161" t="s">
        <v>515</v>
      </c>
      <c r="R289" s="125">
        <v>50.594999999999999</v>
      </c>
      <c r="S289">
        <v>10.07</v>
      </c>
      <c r="T289" s="27">
        <v>2.7772024917077909</v>
      </c>
      <c r="U289" s="27">
        <v>1.5239797786342895</v>
      </c>
      <c r="V289" s="27"/>
      <c r="Y289">
        <f t="shared" si="28"/>
        <v>6</v>
      </c>
      <c r="Z289">
        <f t="shared" si="29"/>
        <v>4</v>
      </c>
      <c r="AA289">
        <f t="shared" si="30"/>
        <v>2024</v>
      </c>
      <c r="AC289" s="22">
        <v>45447</v>
      </c>
      <c r="AD289" s="22"/>
    </row>
    <row r="290" spans="1:30" x14ac:dyDescent="0.25">
      <c r="A290" s="25">
        <v>10289</v>
      </c>
      <c r="B290" t="s">
        <v>314</v>
      </c>
      <c r="C290" t="s">
        <v>314</v>
      </c>
      <c r="D290" s="27" t="s">
        <v>483</v>
      </c>
      <c r="E290" s="27">
        <v>6</v>
      </c>
      <c r="F290" s="118">
        <v>8245</v>
      </c>
      <c r="G290" t="s">
        <v>20</v>
      </c>
      <c r="H290" t="s">
        <v>8</v>
      </c>
      <c r="I290">
        <v>1.14E-2</v>
      </c>
      <c r="J290">
        <v>3.2829999999999999</v>
      </c>
      <c r="K290">
        <v>0.246</v>
      </c>
      <c r="L290" s="63">
        <v>1.4342001576044129E-2</v>
      </c>
      <c r="M290" s="140">
        <f t="shared" ref="M290:O305" si="32">IF(I290&lt;0.1,0.05,I290)</f>
        <v>0.05</v>
      </c>
      <c r="N290" s="140">
        <f t="shared" si="32"/>
        <v>3.2829999999999999</v>
      </c>
      <c r="O290" s="140">
        <f t="shared" si="32"/>
        <v>0.246</v>
      </c>
      <c r="P290" s="140">
        <f t="shared" si="27"/>
        <v>0.05</v>
      </c>
      <c r="Q290" s="161" t="s">
        <v>515</v>
      </c>
      <c r="R290" s="125">
        <v>1.4566666666666668</v>
      </c>
      <c r="S290">
        <v>2.4666666666666668</v>
      </c>
      <c r="T290" s="27">
        <v>3.417826227651485</v>
      </c>
      <c r="U290" s="27">
        <v>2.3010633716008497</v>
      </c>
      <c r="V290" s="27"/>
      <c r="Y290">
        <f t="shared" si="28"/>
        <v>6</v>
      </c>
      <c r="Z290">
        <f t="shared" si="29"/>
        <v>4</v>
      </c>
      <c r="AA290">
        <f t="shared" si="30"/>
        <v>2024</v>
      </c>
      <c r="AC290" s="19">
        <v>45447</v>
      </c>
      <c r="AD290" s="19"/>
    </row>
    <row r="291" spans="1:30" x14ac:dyDescent="0.25">
      <c r="A291" s="25">
        <v>10290</v>
      </c>
      <c r="B291" t="s">
        <v>315</v>
      </c>
      <c r="C291" t="s">
        <v>315</v>
      </c>
      <c r="D291" s="27" t="s">
        <v>484</v>
      </c>
      <c r="E291" s="27">
        <v>8</v>
      </c>
      <c r="F291" s="118">
        <v>5065</v>
      </c>
      <c r="G291" t="s">
        <v>20</v>
      </c>
      <c r="H291" t="s">
        <v>8</v>
      </c>
      <c r="I291">
        <v>1.7100000000000001E-2</v>
      </c>
      <c r="J291">
        <v>5.7089999999999996</v>
      </c>
      <c r="K291">
        <v>0.24199999999999999</v>
      </c>
      <c r="M291" s="140">
        <f t="shared" si="32"/>
        <v>0.05</v>
      </c>
      <c r="N291" s="140">
        <f t="shared" si="32"/>
        <v>5.7089999999999996</v>
      </c>
      <c r="O291" s="140">
        <f t="shared" si="32"/>
        <v>0.24199999999999999</v>
      </c>
      <c r="P291" s="140">
        <f t="shared" si="27"/>
        <v>0.05</v>
      </c>
      <c r="Q291" s="161" t="s">
        <v>515</v>
      </c>
      <c r="R291" s="125">
        <v>1.7233333333333334</v>
      </c>
      <c r="S291">
        <v>2.9</v>
      </c>
      <c r="T291" s="27">
        <v>2.5142787800339779</v>
      </c>
      <c r="U291" s="27">
        <v>3.2934542078017173</v>
      </c>
      <c r="V291" s="27"/>
      <c r="Y291">
        <f t="shared" si="28"/>
        <v>6</v>
      </c>
      <c r="Z291">
        <f t="shared" si="29"/>
        <v>4</v>
      </c>
      <c r="AA291">
        <f t="shared" si="30"/>
        <v>2024</v>
      </c>
      <c r="AC291" s="19">
        <v>45447</v>
      </c>
      <c r="AD291" s="19"/>
    </row>
    <row r="292" spans="1:30" x14ac:dyDescent="0.25">
      <c r="A292" s="25">
        <v>10291</v>
      </c>
      <c r="B292" t="s">
        <v>316</v>
      </c>
      <c r="C292" t="s">
        <v>316</v>
      </c>
      <c r="D292" s="27" t="s">
        <v>485</v>
      </c>
      <c r="E292" s="27">
        <v>9</v>
      </c>
      <c r="F292" s="118">
        <v>3385</v>
      </c>
      <c r="G292" t="s">
        <v>20</v>
      </c>
      <c r="H292" t="s">
        <v>8</v>
      </c>
      <c r="I292">
        <v>7.4999999999999997E-3</v>
      </c>
      <c r="J292">
        <v>2.532</v>
      </c>
      <c r="K292">
        <v>0.23499999999999999</v>
      </c>
      <c r="L292" s="63">
        <v>6.4617809298660369E-3</v>
      </c>
      <c r="M292" s="140">
        <f t="shared" si="32"/>
        <v>0.05</v>
      </c>
      <c r="N292" s="140">
        <f t="shared" si="32"/>
        <v>2.532</v>
      </c>
      <c r="O292" s="140">
        <f t="shared" si="32"/>
        <v>0.23499999999999999</v>
      </c>
      <c r="P292" s="140">
        <f t="shared" si="27"/>
        <v>0.05</v>
      </c>
      <c r="Q292" s="161" t="s">
        <v>515</v>
      </c>
      <c r="R292" s="125">
        <v>23.366666666666664</v>
      </c>
      <c r="S292">
        <v>15.716666666666667</v>
      </c>
      <c r="T292" s="27">
        <v>3.5644567591618803</v>
      </c>
      <c r="U292" s="27">
        <v>2.6049553194085977</v>
      </c>
      <c r="V292" s="27"/>
      <c r="Y292">
        <f t="shared" si="28"/>
        <v>6</v>
      </c>
      <c r="Z292">
        <f t="shared" si="29"/>
        <v>4</v>
      </c>
      <c r="AA292">
        <f t="shared" si="30"/>
        <v>2024</v>
      </c>
      <c r="AC292" s="19">
        <v>45447</v>
      </c>
      <c r="AD292" s="19"/>
    </row>
    <row r="293" spans="1:30" x14ac:dyDescent="0.25">
      <c r="A293" s="25">
        <v>10292</v>
      </c>
      <c r="B293" t="s">
        <v>317</v>
      </c>
      <c r="C293" t="s">
        <v>317</v>
      </c>
      <c r="D293" s="27" t="s">
        <v>486</v>
      </c>
      <c r="E293" s="27">
        <v>10</v>
      </c>
      <c r="F293" s="118">
        <v>2205</v>
      </c>
      <c r="G293" t="s">
        <v>20</v>
      </c>
      <c r="H293" t="s">
        <v>8</v>
      </c>
      <c r="I293">
        <v>-3.8999999999999998E-3</v>
      </c>
      <c r="J293">
        <v>3.5329999999999999</v>
      </c>
      <c r="K293">
        <v>0.24199999999999999</v>
      </c>
      <c r="L293" s="63">
        <v>1.2765957446808512E-2</v>
      </c>
      <c r="M293" s="140">
        <f t="shared" si="32"/>
        <v>0.05</v>
      </c>
      <c r="N293" s="140">
        <f t="shared" si="32"/>
        <v>3.5329999999999999</v>
      </c>
      <c r="O293" s="140">
        <f t="shared" si="32"/>
        <v>0.24199999999999999</v>
      </c>
      <c r="P293" s="140">
        <f t="shared" si="27"/>
        <v>0.05</v>
      </c>
      <c r="Q293" s="161" t="s">
        <v>515</v>
      </c>
      <c r="R293" s="125">
        <v>26.55</v>
      </c>
      <c r="S293">
        <v>3.7266666666666666</v>
      </c>
      <c r="T293" s="27">
        <v>3.2256896691206198</v>
      </c>
      <c r="U293" s="27">
        <v>2.2215591037148901</v>
      </c>
      <c r="V293" s="27"/>
      <c r="Y293">
        <f t="shared" si="28"/>
        <v>6</v>
      </c>
      <c r="Z293">
        <f t="shared" si="29"/>
        <v>4</v>
      </c>
      <c r="AA293">
        <f t="shared" si="30"/>
        <v>2024</v>
      </c>
      <c r="AC293" s="19">
        <v>45447</v>
      </c>
      <c r="AD293" s="19"/>
    </row>
    <row r="294" spans="1:30" x14ac:dyDescent="0.25">
      <c r="A294" s="25">
        <v>10293</v>
      </c>
      <c r="B294" t="s">
        <v>318</v>
      </c>
      <c r="C294" t="s">
        <v>318</v>
      </c>
      <c r="D294" s="27" t="s">
        <v>487</v>
      </c>
      <c r="E294" s="27">
        <v>11</v>
      </c>
      <c r="F294" s="118">
        <v>1385</v>
      </c>
      <c r="G294" t="s">
        <v>20</v>
      </c>
      <c r="H294" t="s">
        <v>8</v>
      </c>
      <c r="I294">
        <v>-3.0999999999999999E-3</v>
      </c>
      <c r="J294">
        <v>5.0369999999999999</v>
      </c>
      <c r="K294">
        <v>0.24199999999999999</v>
      </c>
      <c r="L294" s="63">
        <v>1.4342001576044129E-2</v>
      </c>
      <c r="M294" s="140">
        <f t="shared" si="32"/>
        <v>0.05</v>
      </c>
      <c r="N294" s="140">
        <f t="shared" si="32"/>
        <v>5.0369999999999999</v>
      </c>
      <c r="O294" s="140">
        <f t="shared" si="32"/>
        <v>0.24199999999999999</v>
      </c>
      <c r="P294" s="140">
        <f t="shared" si="27"/>
        <v>0.05</v>
      </c>
      <c r="Q294" s="161" t="s">
        <v>515</v>
      </c>
      <c r="R294" s="125">
        <v>41.636666666666663</v>
      </c>
      <c r="S294">
        <v>32.410000000000004</v>
      </c>
      <c r="T294" s="27">
        <v>3.5776029447455713</v>
      </c>
      <c r="U294" s="27">
        <v>3.3880925368334802</v>
      </c>
      <c r="V294" s="27"/>
      <c r="Y294">
        <f t="shared" si="28"/>
        <v>6</v>
      </c>
      <c r="Z294">
        <f t="shared" si="29"/>
        <v>4</v>
      </c>
      <c r="AA294">
        <f t="shared" si="30"/>
        <v>2024</v>
      </c>
      <c r="AC294" s="19">
        <v>45447</v>
      </c>
      <c r="AD294" s="19"/>
    </row>
    <row r="295" spans="1:30" x14ac:dyDescent="0.25">
      <c r="A295" s="25">
        <v>10294</v>
      </c>
      <c r="B295" t="s">
        <v>319</v>
      </c>
      <c r="C295" t="s">
        <v>319</v>
      </c>
      <c r="D295" s="27" t="s">
        <v>488</v>
      </c>
      <c r="E295" s="27">
        <v>12</v>
      </c>
      <c r="F295" s="118">
        <v>275</v>
      </c>
      <c r="G295" t="s">
        <v>20</v>
      </c>
      <c r="H295" t="s">
        <v>8</v>
      </c>
      <c r="I295">
        <v>2.81E-2</v>
      </c>
      <c r="J295">
        <v>3.9940000000000002</v>
      </c>
      <c r="K295">
        <v>0.24099999999999999</v>
      </c>
      <c r="M295" s="140">
        <f t="shared" si="32"/>
        <v>0.05</v>
      </c>
      <c r="N295" s="140">
        <f t="shared" si="32"/>
        <v>3.9940000000000002</v>
      </c>
      <c r="O295" s="140">
        <f t="shared" si="32"/>
        <v>0.24099999999999999</v>
      </c>
      <c r="P295" s="140">
        <f t="shared" si="27"/>
        <v>0.05</v>
      </c>
      <c r="Q295" s="161" t="s">
        <v>515</v>
      </c>
      <c r="R295" s="125">
        <v>28.046666666666667</v>
      </c>
      <c r="S295">
        <v>24.44</v>
      </c>
      <c r="T295" s="27">
        <v>3.355634657390179</v>
      </c>
      <c r="U295" s="27">
        <v>2.6428913660140805</v>
      </c>
      <c r="V295" s="27"/>
      <c r="Y295">
        <f t="shared" si="28"/>
        <v>6</v>
      </c>
      <c r="Z295">
        <f t="shared" si="29"/>
        <v>4</v>
      </c>
      <c r="AA295">
        <f t="shared" si="30"/>
        <v>2024</v>
      </c>
      <c r="AC295" s="19">
        <v>45447</v>
      </c>
      <c r="AD295" s="19"/>
    </row>
    <row r="296" spans="1:30" x14ac:dyDescent="0.25">
      <c r="A296" s="25">
        <v>10295</v>
      </c>
      <c r="B296" t="s">
        <v>320</v>
      </c>
      <c r="C296" t="s">
        <v>320</v>
      </c>
      <c r="D296" s="27" t="s">
        <v>489</v>
      </c>
      <c r="E296" s="27">
        <v>14</v>
      </c>
      <c r="F296" s="118">
        <v>4225</v>
      </c>
      <c r="G296" t="s">
        <v>20</v>
      </c>
      <c r="H296" t="s">
        <v>8</v>
      </c>
      <c r="I296">
        <v>1.4500000000000001E-2</v>
      </c>
      <c r="J296">
        <v>3.2130000000000001</v>
      </c>
      <c r="K296">
        <v>0.254</v>
      </c>
      <c r="M296" s="140">
        <f t="shared" si="32"/>
        <v>0.05</v>
      </c>
      <c r="N296" s="140">
        <f t="shared" si="32"/>
        <v>3.2130000000000001</v>
      </c>
      <c r="O296" s="140">
        <f t="shared" si="32"/>
        <v>0.254</v>
      </c>
      <c r="P296" s="140">
        <f t="shared" si="27"/>
        <v>0.05</v>
      </c>
      <c r="Q296" s="161" t="s">
        <v>515</v>
      </c>
      <c r="R296" s="125">
        <v>3.83</v>
      </c>
      <c r="S296">
        <v>3.25</v>
      </c>
      <c r="T296" s="27">
        <v>3.3359153790146427</v>
      </c>
      <c r="U296" s="27">
        <v>2.3030812464202901</v>
      </c>
      <c r="V296" s="27"/>
      <c r="Y296">
        <f t="shared" si="28"/>
        <v>6</v>
      </c>
      <c r="Z296">
        <f t="shared" si="29"/>
        <v>4</v>
      </c>
      <c r="AA296">
        <f t="shared" si="30"/>
        <v>2024</v>
      </c>
      <c r="AC296" s="19">
        <v>45447</v>
      </c>
      <c r="AD296" s="19"/>
    </row>
    <row r="297" spans="1:30" x14ac:dyDescent="0.25">
      <c r="A297" s="25">
        <v>10296</v>
      </c>
      <c r="B297" t="s">
        <v>321</v>
      </c>
      <c r="C297" t="s">
        <v>321</v>
      </c>
      <c r="D297" s="27" t="s">
        <v>490</v>
      </c>
      <c r="E297" s="27">
        <v>15</v>
      </c>
      <c r="F297" s="118">
        <v>2905</v>
      </c>
      <c r="G297" t="s">
        <v>20</v>
      </c>
      <c r="H297" t="s">
        <v>8</v>
      </c>
      <c r="I297">
        <v>2.9999999999999997E-4</v>
      </c>
      <c r="J297">
        <v>3.6190000000000002</v>
      </c>
      <c r="K297">
        <v>0.21</v>
      </c>
      <c r="M297" s="140">
        <f t="shared" si="32"/>
        <v>0.05</v>
      </c>
      <c r="N297" s="140">
        <f t="shared" si="32"/>
        <v>3.6190000000000002</v>
      </c>
      <c r="O297" s="140">
        <f t="shared" si="32"/>
        <v>0.21</v>
      </c>
      <c r="P297" s="140">
        <f t="shared" si="27"/>
        <v>0.05</v>
      </c>
      <c r="Q297" s="161" t="s">
        <v>515</v>
      </c>
      <c r="R297" s="125">
        <v>16.783333333333335</v>
      </c>
      <c r="S297">
        <v>2.78</v>
      </c>
      <c r="T297" s="27">
        <v>3.084115362834722</v>
      </c>
      <c r="U297" s="27">
        <v>2.1791837325066394</v>
      </c>
      <c r="V297" s="27"/>
      <c r="Y297">
        <f t="shared" si="28"/>
        <v>6</v>
      </c>
      <c r="Z297">
        <f t="shared" si="29"/>
        <v>4</v>
      </c>
      <c r="AA297">
        <f t="shared" si="30"/>
        <v>2024</v>
      </c>
      <c r="AC297" s="19">
        <v>45447</v>
      </c>
      <c r="AD297" s="19"/>
    </row>
    <row r="298" spans="1:30" x14ac:dyDescent="0.25">
      <c r="A298" s="25">
        <v>10297</v>
      </c>
      <c r="B298" t="s">
        <v>322</v>
      </c>
      <c r="C298" t="s">
        <v>322</v>
      </c>
      <c r="D298" s="27" t="s">
        <v>491</v>
      </c>
      <c r="E298" s="27">
        <v>1</v>
      </c>
      <c r="F298" s="118">
        <v>5210</v>
      </c>
      <c r="G298" t="s">
        <v>22</v>
      </c>
      <c r="H298" t="s">
        <v>8</v>
      </c>
      <c r="I298">
        <v>-0.49569999999999997</v>
      </c>
      <c r="J298">
        <v>2.8149999999999999</v>
      </c>
      <c r="K298">
        <v>2.7E-2</v>
      </c>
      <c r="L298" s="29">
        <v>1.802096985583224E-2</v>
      </c>
      <c r="M298" s="140">
        <f t="shared" si="32"/>
        <v>0.05</v>
      </c>
      <c r="N298" s="140">
        <f t="shared" si="32"/>
        <v>2.8149999999999999</v>
      </c>
      <c r="O298" s="140">
        <f t="shared" si="32"/>
        <v>0.05</v>
      </c>
      <c r="P298" s="140">
        <f t="shared" si="27"/>
        <v>0.05</v>
      </c>
      <c r="Q298" s="161" t="s">
        <v>515</v>
      </c>
      <c r="R298" s="125">
        <v>34.299999999999997</v>
      </c>
      <c r="S298">
        <v>20.306666666666668</v>
      </c>
      <c r="T298" s="23">
        <v>3.580014362973635</v>
      </c>
      <c r="U298" s="23">
        <v>1.4130914779296742</v>
      </c>
      <c r="V298" s="23"/>
      <c r="Y298">
        <f t="shared" si="28"/>
        <v>6</v>
      </c>
      <c r="Z298">
        <f t="shared" si="29"/>
        <v>6</v>
      </c>
      <c r="AA298">
        <f t="shared" si="30"/>
        <v>2024</v>
      </c>
      <c r="AC298" s="19">
        <v>45449</v>
      </c>
      <c r="AD298" s="19"/>
    </row>
    <row r="299" spans="1:30" x14ac:dyDescent="0.25">
      <c r="A299" s="25">
        <v>10298</v>
      </c>
      <c r="B299" t="s">
        <v>323</v>
      </c>
      <c r="C299" t="s">
        <v>323</v>
      </c>
      <c r="D299" s="27" t="s">
        <v>492</v>
      </c>
      <c r="E299" s="27">
        <v>2</v>
      </c>
      <c r="F299" s="118">
        <v>5430</v>
      </c>
      <c r="G299" t="s">
        <v>22</v>
      </c>
      <c r="H299" t="s">
        <v>8</v>
      </c>
      <c r="I299">
        <v>-0.495</v>
      </c>
      <c r="J299">
        <v>4.4690000000000003</v>
      </c>
      <c r="K299">
        <v>6.2E-2</v>
      </c>
      <c r="L299" s="29">
        <v>2.8289473684210528E-2</v>
      </c>
      <c r="M299" s="140">
        <f t="shared" si="32"/>
        <v>0.05</v>
      </c>
      <c r="N299" s="140">
        <f t="shared" si="32"/>
        <v>4.4690000000000003</v>
      </c>
      <c r="O299" s="140">
        <f t="shared" si="32"/>
        <v>0.05</v>
      </c>
      <c r="P299" s="140">
        <f t="shared" si="27"/>
        <v>0.05</v>
      </c>
      <c r="Q299" s="161" t="s">
        <v>515</v>
      </c>
      <c r="R299" s="125">
        <v>22.136666666666667</v>
      </c>
      <c r="S299">
        <v>10.876666666666667</v>
      </c>
      <c r="T299">
        <v>3.5394703580700972</v>
      </c>
      <c r="U299">
        <v>1.8506892470924301</v>
      </c>
      <c r="Y299">
        <f t="shared" si="28"/>
        <v>6</v>
      </c>
      <c r="Z299">
        <f t="shared" si="29"/>
        <v>6</v>
      </c>
      <c r="AA299">
        <f t="shared" si="30"/>
        <v>2024</v>
      </c>
      <c r="AC299" s="19">
        <v>45449</v>
      </c>
      <c r="AD299" s="19"/>
    </row>
    <row r="300" spans="1:30" x14ac:dyDescent="0.25">
      <c r="A300" s="25">
        <v>10299</v>
      </c>
      <c r="B300" t="s">
        <v>324</v>
      </c>
      <c r="C300" t="s">
        <v>324</v>
      </c>
      <c r="D300" s="27" t="s">
        <v>493</v>
      </c>
      <c r="E300" s="27">
        <v>3</v>
      </c>
      <c r="F300" s="118">
        <v>4180</v>
      </c>
      <c r="G300" t="s">
        <v>22</v>
      </c>
      <c r="H300" t="s">
        <v>8</v>
      </c>
      <c r="I300">
        <v>-0.50170000000000003</v>
      </c>
      <c r="J300">
        <v>3.4350000000000001</v>
      </c>
      <c r="K300">
        <v>3.7999999999999999E-2</v>
      </c>
      <c r="L300" s="29">
        <v>1.802096985583224E-2</v>
      </c>
      <c r="M300" s="140">
        <f t="shared" si="32"/>
        <v>0.05</v>
      </c>
      <c r="N300" s="140">
        <f t="shared" si="32"/>
        <v>3.4350000000000001</v>
      </c>
      <c r="O300" s="140">
        <f t="shared" si="32"/>
        <v>0.05</v>
      </c>
      <c r="P300" s="140">
        <f t="shared" si="27"/>
        <v>0.05</v>
      </c>
      <c r="Q300" s="161" t="s">
        <v>515</v>
      </c>
      <c r="R300" s="125">
        <v>19.309999999999999</v>
      </c>
      <c r="S300">
        <v>4.3366666666666669</v>
      </c>
      <c r="T300">
        <v>3.9367669531291201</v>
      </c>
      <c r="U300">
        <v>2.1204301163027957</v>
      </c>
      <c r="Y300">
        <f t="shared" ref="Y300:Y331" si="33">MONTH(AC300)</f>
        <v>6</v>
      </c>
      <c r="Z300">
        <f t="shared" ref="Z300:Z331" si="34">DAY(AC300)</f>
        <v>6</v>
      </c>
      <c r="AA300">
        <f t="shared" ref="AA300:AA331" si="35">YEAR(AC300)</f>
        <v>2024</v>
      </c>
      <c r="AC300" s="19">
        <v>45449</v>
      </c>
      <c r="AD300" s="19"/>
    </row>
    <row r="301" spans="1:30" x14ac:dyDescent="0.25">
      <c r="A301" s="25">
        <v>10300</v>
      </c>
      <c r="B301" t="s">
        <v>325</v>
      </c>
      <c r="C301" t="s">
        <v>325</v>
      </c>
      <c r="D301" s="27" t="s">
        <v>494</v>
      </c>
      <c r="E301" s="27">
        <v>4</v>
      </c>
      <c r="F301" s="118">
        <v>4980</v>
      </c>
      <c r="G301" t="s">
        <v>22</v>
      </c>
      <c r="H301" t="s">
        <v>8</v>
      </c>
      <c r="I301">
        <v>-0.50080000000000002</v>
      </c>
      <c r="J301">
        <v>2.653</v>
      </c>
      <c r="K301">
        <v>1.0999999999999999E-2</v>
      </c>
      <c r="L301" s="29">
        <v>4.9148099606815187E-3</v>
      </c>
      <c r="M301" s="140">
        <f t="shared" si="32"/>
        <v>0.05</v>
      </c>
      <c r="N301" s="140">
        <f t="shared" si="32"/>
        <v>2.653</v>
      </c>
      <c r="O301" s="140">
        <f t="shared" si="32"/>
        <v>0.05</v>
      </c>
      <c r="P301" s="140">
        <f t="shared" si="27"/>
        <v>0.05</v>
      </c>
      <c r="Q301" s="161" t="s">
        <v>515</v>
      </c>
      <c r="R301" s="125">
        <v>25.563333333333333</v>
      </c>
      <c r="S301">
        <v>35.669999999999995</v>
      </c>
      <c r="T301">
        <v>3.6818941701671393</v>
      </c>
      <c r="U301">
        <v>1.8457922872883086</v>
      </c>
      <c r="Y301">
        <f t="shared" si="33"/>
        <v>6</v>
      </c>
      <c r="Z301">
        <f t="shared" si="34"/>
        <v>6</v>
      </c>
      <c r="AA301">
        <f t="shared" si="35"/>
        <v>2024</v>
      </c>
      <c r="AC301" s="19">
        <v>45449</v>
      </c>
      <c r="AD301" s="19"/>
    </row>
    <row r="302" spans="1:30" x14ac:dyDescent="0.25">
      <c r="A302" s="25">
        <v>10301</v>
      </c>
      <c r="B302" t="s">
        <v>326</v>
      </c>
      <c r="C302" t="s">
        <v>326</v>
      </c>
      <c r="D302" s="27" t="s">
        <v>495</v>
      </c>
      <c r="E302" s="27">
        <v>5</v>
      </c>
      <c r="F302" s="118">
        <v>6340</v>
      </c>
      <c r="G302" t="s">
        <v>22</v>
      </c>
      <c r="H302" t="s">
        <v>8</v>
      </c>
      <c r="I302">
        <v>-0.50209999999999999</v>
      </c>
      <c r="J302">
        <v>3.198</v>
      </c>
      <c r="K302">
        <v>2.5999999999999999E-2</v>
      </c>
      <c r="M302" s="140">
        <f t="shared" si="32"/>
        <v>0.05</v>
      </c>
      <c r="N302" s="140">
        <f t="shared" si="32"/>
        <v>3.198</v>
      </c>
      <c r="O302" s="140">
        <f t="shared" si="32"/>
        <v>0.05</v>
      </c>
      <c r="P302" s="140">
        <f t="shared" si="27"/>
        <v>0.05</v>
      </c>
      <c r="Q302" s="161" t="s">
        <v>515</v>
      </c>
      <c r="R302" s="125">
        <v>18.093333333333334</v>
      </c>
      <c r="S302">
        <v>23.656666666666666</v>
      </c>
      <c r="T302">
        <v>3.6647409373233346</v>
      </c>
      <c r="U302">
        <v>1.8508932870842687</v>
      </c>
      <c r="Y302">
        <f t="shared" si="33"/>
        <v>6</v>
      </c>
      <c r="Z302">
        <f t="shared" si="34"/>
        <v>6</v>
      </c>
      <c r="AA302">
        <f t="shared" si="35"/>
        <v>2024</v>
      </c>
      <c r="AC302" s="19">
        <v>45449</v>
      </c>
      <c r="AD302" s="19"/>
    </row>
    <row r="303" spans="1:30" x14ac:dyDescent="0.25">
      <c r="A303" s="25">
        <v>10302</v>
      </c>
      <c r="B303" t="s">
        <v>327</v>
      </c>
      <c r="C303" t="s">
        <v>327</v>
      </c>
      <c r="D303" s="27" t="s">
        <v>496</v>
      </c>
      <c r="E303" s="27">
        <v>6</v>
      </c>
      <c r="F303" s="118">
        <v>7900</v>
      </c>
      <c r="G303" t="s">
        <v>22</v>
      </c>
      <c r="H303" t="s">
        <v>8</v>
      </c>
      <c r="I303">
        <v>-0.50729999999999997</v>
      </c>
      <c r="J303">
        <v>2.9169999999999998</v>
      </c>
      <c r="K303">
        <v>2E-3</v>
      </c>
      <c r="M303" s="140">
        <f t="shared" si="32"/>
        <v>0.05</v>
      </c>
      <c r="N303" s="140">
        <f t="shared" si="32"/>
        <v>2.9169999999999998</v>
      </c>
      <c r="O303" s="140">
        <f t="shared" si="32"/>
        <v>0.05</v>
      </c>
      <c r="P303" s="140">
        <f t="shared" si="27"/>
        <v>0.05</v>
      </c>
      <c r="Q303" s="161" t="s">
        <v>515</v>
      </c>
      <c r="R303" s="125">
        <v>24.13</v>
      </c>
      <c r="S303">
        <v>33.020000000000003</v>
      </c>
      <c r="T303">
        <v>3.9106039414178637</v>
      </c>
      <c r="U303">
        <v>1.8949659253213631</v>
      </c>
      <c r="Y303">
        <f t="shared" si="33"/>
        <v>6</v>
      </c>
      <c r="Z303">
        <f t="shared" si="34"/>
        <v>6</v>
      </c>
      <c r="AA303">
        <f t="shared" si="35"/>
        <v>2024</v>
      </c>
      <c r="AC303" s="19">
        <v>45449</v>
      </c>
      <c r="AD303" s="19"/>
    </row>
    <row r="304" spans="1:30" x14ac:dyDescent="0.25">
      <c r="A304" s="25">
        <v>10303</v>
      </c>
      <c r="B304" t="s">
        <v>328</v>
      </c>
      <c r="C304" t="s">
        <v>328</v>
      </c>
      <c r="D304" s="27" t="s">
        <v>497</v>
      </c>
      <c r="E304" s="27">
        <v>7</v>
      </c>
      <c r="F304" s="118">
        <v>10610</v>
      </c>
      <c r="G304" t="s">
        <v>22</v>
      </c>
      <c r="H304" t="s">
        <v>8</v>
      </c>
      <c r="I304">
        <v>-0.50039999999999996</v>
      </c>
      <c r="J304">
        <v>2.694</v>
      </c>
      <c r="K304">
        <v>-2E-3</v>
      </c>
      <c r="L304" s="29">
        <v>1.9070133963750985E-2</v>
      </c>
      <c r="M304" s="140">
        <f t="shared" si="32"/>
        <v>0.05</v>
      </c>
      <c r="N304" s="140">
        <f t="shared" si="32"/>
        <v>2.694</v>
      </c>
      <c r="O304" s="140">
        <f t="shared" si="32"/>
        <v>0.05</v>
      </c>
      <c r="P304" s="140">
        <f t="shared" si="27"/>
        <v>0.05</v>
      </c>
      <c r="Q304" s="161" t="s">
        <v>515</v>
      </c>
      <c r="R304" s="125">
        <v>50.433333333333337</v>
      </c>
      <c r="S304">
        <v>56.089999999999996</v>
      </c>
      <c r="T304">
        <v>3.9501083564520796</v>
      </c>
      <c r="U304">
        <v>1.255300550907978</v>
      </c>
      <c r="Y304">
        <f t="shared" si="33"/>
        <v>6</v>
      </c>
      <c r="Z304">
        <f t="shared" si="34"/>
        <v>6</v>
      </c>
      <c r="AA304">
        <f t="shared" si="35"/>
        <v>2024</v>
      </c>
      <c r="AC304" s="19">
        <v>45449</v>
      </c>
      <c r="AD304" s="19"/>
    </row>
    <row r="305" spans="1:30" x14ac:dyDescent="0.25">
      <c r="A305" s="25">
        <v>10304</v>
      </c>
      <c r="B305" t="s">
        <v>329</v>
      </c>
      <c r="C305" t="s">
        <v>329</v>
      </c>
      <c r="D305" s="27" t="s">
        <v>498</v>
      </c>
      <c r="E305" s="27">
        <v>8</v>
      </c>
      <c r="F305" s="118">
        <v>9370</v>
      </c>
      <c r="G305" t="s">
        <v>22</v>
      </c>
      <c r="H305" t="s">
        <v>8</v>
      </c>
      <c r="I305">
        <v>-0.50519999999999998</v>
      </c>
      <c r="J305">
        <v>2.895</v>
      </c>
      <c r="K305">
        <v>1E-3</v>
      </c>
      <c r="M305" s="140">
        <f t="shared" si="32"/>
        <v>0.05</v>
      </c>
      <c r="N305" s="140">
        <f t="shared" si="32"/>
        <v>2.895</v>
      </c>
      <c r="O305" s="140">
        <f t="shared" si="32"/>
        <v>0.05</v>
      </c>
      <c r="P305" s="140">
        <f t="shared" si="27"/>
        <v>0.05</v>
      </c>
      <c r="Q305" s="161" t="s">
        <v>515</v>
      </c>
      <c r="R305" s="125">
        <v>33.97</v>
      </c>
      <c r="S305">
        <v>38.229999999999997</v>
      </c>
      <c r="T305">
        <v>3.9303561489349712</v>
      </c>
      <c r="U305">
        <v>1.312159695300279</v>
      </c>
      <c r="Y305">
        <f t="shared" si="33"/>
        <v>6</v>
      </c>
      <c r="Z305">
        <f t="shared" si="34"/>
        <v>6</v>
      </c>
      <c r="AA305">
        <f t="shared" si="35"/>
        <v>2024</v>
      </c>
      <c r="AC305" s="19">
        <v>45449</v>
      </c>
      <c r="AD305" s="19"/>
    </row>
    <row r="306" spans="1:30" x14ac:dyDescent="0.25">
      <c r="A306" s="25">
        <v>10305</v>
      </c>
      <c r="B306" t="s">
        <v>330</v>
      </c>
      <c r="C306" t="s">
        <v>330</v>
      </c>
      <c r="D306" s="27" t="s">
        <v>499</v>
      </c>
      <c r="E306" s="27">
        <v>9</v>
      </c>
      <c r="F306" s="118">
        <v>10331</v>
      </c>
      <c r="G306" t="s">
        <v>22</v>
      </c>
      <c r="H306" t="s">
        <v>8</v>
      </c>
      <c r="I306">
        <v>-0.50319999999999998</v>
      </c>
      <c r="J306">
        <v>2.073</v>
      </c>
      <c r="K306">
        <v>-3.0000000000000001E-3</v>
      </c>
      <c r="L306" s="29">
        <v>-1.63826998689384E-3</v>
      </c>
      <c r="M306" s="140">
        <f t="shared" ref="M306:O321" si="36">IF(I306&lt;0.1,0.05,I306)</f>
        <v>0.05</v>
      </c>
      <c r="N306" s="140">
        <f t="shared" si="36"/>
        <v>2.073</v>
      </c>
      <c r="O306" s="140">
        <f t="shared" si="36"/>
        <v>0.05</v>
      </c>
      <c r="P306" s="140">
        <f t="shared" si="27"/>
        <v>0.05</v>
      </c>
      <c r="Q306" s="161" t="s">
        <v>515</v>
      </c>
      <c r="R306" s="125">
        <v>41.14</v>
      </c>
      <c r="S306">
        <v>39.876666666666665</v>
      </c>
      <c r="T306">
        <v>3.2639790426999067</v>
      </c>
      <c r="U306">
        <v>0.94543181663606057</v>
      </c>
      <c r="Y306">
        <f t="shared" si="33"/>
        <v>6</v>
      </c>
      <c r="Z306">
        <f t="shared" si="34"/>
        <v>6</v>
      </c>
      <c r="AA306">
        <f t="shared" si="35"/>
        <v>2024</v>
      </c>
      <c r="AC306" s="19">
        <v>45449</v>
      </c>
      <c r="AD306" s="19"/>
    </row>
    <row r="307" spans="1:30" x14ac:dyDescent="0.25">
      <c r="A307" s="25">
        <v>10306</v>
      </c>
      <c r="B307" t="s">
        <v>331</v>
      </c>
      <c r="C307" t="s">
        <v>331</v>
      </c>
      <c r="D307" s="27" t="s">
        <v>500</v>
      </c>
      <c r="E307" s="27">
        <v>10</v>
      </c>
      <c r="F307" s="118">
        <v>11270</v>
      </c>
      <c r="G307" t="s">
        <v>22</v>
      </c>
      <c r="H307" t="s">
        <v>8</v>
      </c>
      <c r="I307">
        <v>-0.50149999999999995</v>
      </c>
      <c r="J307">
        <v>2.028</v>
      </c>
      <c r="K307">
        <v>-1E-3</v>
      </c>
      <c r="L307" s="29">
        <v>1.0197368421052632E-2</v>
      </c>
      <c r="M307" s="140">
        <f t="shared" si="36"/>
        <v>0.05</v>
      </c>
      <c r="N307" s="140">
        <f t="shared" si="36"/>
        <v>2.028</v>
      </c>
      <c r="O307" s="140">
        <f t="shared" si="36"/>
        <v>0.05</v>
      </c>
      <c r="P307" s="140">
        <f t="shared" si="27"/>
        <v>0.05</v>
      </c>
      <c r="Q307" s="161" t="s">
        <v>515</v>
      </c>
      <c r="R307" s="125">
        <v>43.466666666666669</v>
      </c>
      <c r="S307">
        <v>38.276666666666664</v>
      </c>
      <c r="T307">
        <v>3.2618998629612639</v>
      </c>
      <c r="U307">
        <v>1.4169002244439912</v>
      </c>
      <c r="Y307">
        <f t="shared" si="33"/>
        <v>6</v>
      </c>
      <c r="Z307">
        <f t="shared" si="34"/>
        <v>6</v>
      </c>
      <c r="AA307">
        <f t="shared" si="35"/>
        <v>2024</v>
      </c>
      <c r="AC307" s="19">
        <v>45449</v>
      </c>
      <c r="AD307" s="19"/>
    </row>
    <row r="308" spans="1:30" x14ac:dyDescent="0.25">
      <c r="A308" s="25">
        <v>10307</v>
      </c>
      <c r="B308" t="s">
        <v>332</v>
      </c>
      <c r="C308" t="s">
        <v>332</v>
      </c>
      <c r="D308" s="27" t="s">
        <v>501</v>
      </c>
      <c r="E308" s="27">
        <v>13</v>
      </c>
      <c r="F308" s="118">
        <v>5180</v>
      </c>
      <c r="G308" t="s">
        <v>22</v>
      </c>
      <c r="H308" t="s">
        <v>8</v>
      </c>
      <c r="I308">
        <v>-0.50119999999999998</v>
      </c>
      <c r="J308">
        <v>3.3119999999999998</v>
      </c>
      <c r="K308">
        <v>3.7999999999999999E-2</v>
      </c>
      <c r="M308" s="140">
        <f t="shared" si="36"/>
        <v>0.05</v>
      </c>
      <c r="N308" s="140">
        <f t="shared" si="36"/>
        <v>3.3119999999999998</v>
      </c>
      <c r="O308" s="140">
        <f t="shared" si="36"/>
        <v>0.05</v>
      </c>
      <c r="P308" s="140">
        <f t="shared" si="27"/>
        <v>0.05</v>
      </c>
      <c r="Q308" s="161" t="s">
        <v>515</v>
      </c>
      <c r="R308" s="125">
        <v>23.453333333333333</v>
      </c>
      <c r="S308">
        <v>6.87</v>
      </c>
      <c r="T308">
        <v>3.8944902984433805</v>
      </c>
      <c r="U308">
        <v>1.4023453716928518</v>
      </c>
      <c r="Y308">
        <f t="shared" si="33"/>
        <v>6</v>
      </c>
      <c r="Z308">
        <f t="shared" si="34"/>
        <v>6</v>
      </c>
      <c r="AA308">
        <f t="shared" si="35"/>
        <v>2024</v>
      </c>
      <c r="AC308" s="19">
        <v>45449</v>
      </c>
      <c r="AD308" s="19"/>
    </row>
    <row r="309" spans="1:30" x14ac:dyDescent="0.25">
      <c r="A309" s="25">
        <v>10308</v>
      </c>
      <c r="B309" t="s">
        <v>333</v>
      </c>
      <c r="C309" t="s">
        <v>333</v>
      </c>
      <c r="D309" s="27" t="s">
        <v>502</v>
      </c>
      <c r="E309" s="27">
        <v>14</v>
      </c>
      <c r="F309" s="118">
        <v>1040</v>
      </c>
      <c r="G309" t="s">
        <v>22</v>
      </c>
      <c r="H309" t="s">
        <v>8</v>
      </c>
      <c r="I309">
        <v>-0.50649999999999995</v>
      </c>
      <c r="J309">
        <v>2.6930000000000001</v>
      </c>
      <c r="K309">
        <v>5.0999999999999997E-2</v>
      </c>
      <c r="L309" s="29">
        <v>2.335526315789474E-2</v>
      </c>
      <c r="M309" s="140">
        <f t="shared" si="36"/>
        <v>0.05</v>
      </c>
      <c r="N309" s="140">
        <f t="shared" si="36"/>
        <v>2.6930000000000001</v>
      </c>
      <c r="O309" s="140">
        <f t="shared" si="36"/>
        <v>0.05</v>
      </c>
      <c r="P309" s="140">
        <f t="shared" si="27"/>
        <v>0.05</v>
      </c>
      <c r="Q309" s="161" t="s">
        <v>515</v>
      </c>
      <c r="R309" s="125">
        <v>8.4266666666666676</v>
      </c>
      <c r="S309">
        <v>11.796666666666667</v>
      </c>
      <c r="T309">
        <v>3.5587027706525447</v>
      </c>
      <c r="U309">
        <v>1.8449761273209551</v>
      </c>
      <c r="Y309">
        <f t="shared" si="33"/>
        <v>6</v>
      </c>
      <c r="Z309">
        <f t="shared" si="34"/>
        <v>6</v>
      </c>
      <c r="AA309">
        <f t="shared" si="35"/>
        <v>2024</v>
      </c>
      <c r="AC309" s="19">
        <v>45449</v>
      </c>
      <c r="AD309" s="19"/>
    </row>
    <row r="310" spans="1:30" x14ac:dyDescent="0.25">
      <c r="A310" s="25">
        <v>10309</v>
      </c>
      <c r="B310" t="s">
        <v>334</v>
      </c>
      <c r="C310" t="s">
        <v>334</v>
      </c>
      <c r="D310" s="27" t="s">
        <v>462</v>
      </c>
      <c r="E310" s="27">
        <v>1</v>
      </c>
      <c r="F310" s="118">
        <v>5999</v>
      </c>
      <c r="G310" t="s">
        <v>19</v>
      </c>
      <c r="H310" t="s">
        <v>8</v>
      </c>
      <c r="I310" s="68">
        <v>1.9333333333333331E-3</v>
      </c>
      <c r="J310">
        <v>2.4306666666666668</v>
      </c>
      <c r="K310">
        <v>6.5333333333333327E-2</v>
      </c>
      <c r="M310" s="140">
        <f t="shared" si="36"/>
        <v>0.05</v>
      </c>
      <c r="N310" s="140">
        <f t="shared" si="36"/>
        <v>2.4306666666666668</v>
      </c>
      <c r="O310" s="140">
        <f t="shared" si="36"/>
        <v>0.05</v>
      </c>
      <c r="P310" s="140">
        <f t="shared" si="27"/>
        <v>0.05</v>
      </c>
      <c r="Q310" s="161" t="s">
        <v>515</v>
      </c>
      <c r="R310" s="125">
        <v>64.905000000000001</v>
      </c>
      <c r="S310">
        <v>39.33</v>
      </c>
      <c r="T310">
        <v>2.9817303931791264</v>
      </c>
      <c r="U310">
        <v>0.96216309596680949</v>
      </c>
      <c r="Y310">
        <f t="shared" si="33"/>
        <v>6</v>
      </c>
      <c r="Z310">
        <f t="shared" si="34"/>
        <v>12</v>
      </c>
      <c r="AA310">
        <f t="shared" si="35"/>
        <v>2024</v>
      </c>
      <c r="AC310" s="19">
        <v>45455</v>
      </c>
      <c r="AD310" s="19"/>
    </row>
    <row r="311" spans="1:30" x14ac:dyDescent="0.25">
      <c r="A311" s="25">
        <v>10310</v>
      </c>
      <c r="B311" t="s">
        <v>335</v>
      </c>
      <c r="C311" t="s">
        <v>335</v>
      </c>
      <c r="D311" s="27" t="s">
        <v>463</v>
      </c>
      <c r="E311" s="27">
        <v>2</v>
      </c>
      <c r="F311" s="118">
        <v>8861</v>
      </c>
      <c r="G311" t="s">
        <v>19</v>
      </c>
      <c r="H311" t="s">
        <v>8</v>
      </c>
      <c r="I311" s="68">
        <v>7.5999999999999998E-2</v>
      </c>
      <c r="J311">
        <v>2.4873333333333334</v>
      </c>
      <c r="K311">
        <v>6.5666666666666665E-2</v>
      </c>
      <c r="M311" s="140">
        <f t="shared" si="36"/>
        <v>0.05</v>
      </c>
      <c r="N311" s="140">
        <f t="shared" si="36"/>
        <v>2.4873333333333334</v>
      </c>
      <c r="O311" s="140">
        <f t="shared" si="36"/>
        <v>0.05</v>
      </c>
      <c r="P311" s="140">
        <f t="shared" si="27"/>
        <v>0.05</v>
      </c>
      <c r="Q311" s="161" t="s">
        <v>515</v>
      </c>
      <c r="R311" s="125">
        <v>39.716666666666661</v>
      </c>
      <c r="S311">
        <v>22.236666666666668</v>
      </c>
      <c r="T311">
        <v>3.0924467142618632</v>
      </c>
      <c r="U311">
        <v>1.4740314221587432</v>
      </c>
      <c r="Y311">
        <f t="shared" si="33"/>
        <v>6</v>
      </c>
      <c r="Z311">
        <f t="shared" si="34"/>
        <v>12</v>
      </c>
      <c r="AA311">
        <f t="shared" si="35"/>
        <v>2024</v>
      </c>
      <c r="AC311" s="19">
        <v>45455</v>
      </c>
      <c r="AD311" s="19"/>
    </row>
    <row r="312" spans="1:30" x14ac:dyDescent="0.25">
      <c r="A312" s="25">
        <v>10311</v>
      </c>
      <c r="B312" t="s">
        <v>336</v>
      </c>
      <c r="C312" t="s">
        <v>336</v>
      </c>
      <c r="D312" s="27" t="s">
        <v>464</v>
      </c>
      <c r="E312" s="27">
        <v>3</v>
      </c>
      <c r="F312" s="118">
        <v>9921</v>
      </c>
      <c r="G312" t="s">
        <v>19</v>
      </c>
      <c r="H312" t="s">
        <v>8</v>
      </c>
      <c r="I312" s="68">
        <v>6.6666666666666671E-3</v>
      </c>
      <c r="J312">
        <v>2.4363333333333332</v>
      </c>
      <c r="K312">
        <v>4.4000000000000004E-2</v>
      </c>
      <c r="M312" s="140">
        <f t="shared" si="36"/>
        <v>0.05</v>
      </c>
      <c r="N312" s="140">
        <f t="shared" si="36"/>
        <v>2.4363333333333332</v>
      </c>
      <c r="O312" s="140">
        <f t="shared" si="36"/>
        <v>0.05</v>
      </c>
      <c r="P312" s="140">
        <f t="shared" si="27"/>
        <v>0.05</v>
      </c>
      <c r="Q312" s="161" t="s">
        <v>515</v>
      </c>
      <c r="R312" s="125">
        <v>87.555000000000007</v>
      </c>
      <c r="S312">
        <v>58.534999999999997</v>
      </c>
      <c r="T312">
        <v>2.9843293678524301</v>
      </c>
      <c r="U312">
        <v>1.39792450520302</v>
      </c>
      <c r="Y312">
        <f t="shared" si="33"/>
        <v>6</v>
      </c>
      <c r="Z312">
        <f t="shared" si="34"/>
        <v>12</v>
      </c>
      <c r="AA312">
        <f t="shared" si="35"/>
        <v>2024</v>
      </c>
      <c r="AC312" s="19">
        <v>45455</v>
      </c>
      <c r="AD312" s="19"/>
    </row>
    <row r="313" spans="1:30" x14ac:dyDescent="0.25">
      <c r="A313" s="25">
        <v>10312</v>
      </c>
      <c r="B313" t="s">
        <v>337</v>
      </c>
      <c r="C313" t="s">
        <v>337</v>
      </c>
      <c r="D313" s="27" t="s">
        <v>465</v>
      </c>
      <c r="E313" s="27">
        <v>4</v>
      </c>
      <c r="F313" s="118">
        <v>10891</v>
      </c>
      <c r="G313" t="s">
        <v>19</v>
      </c>
      <c r="H313" t="s">
        <v>8</v>
      </c>
      <c r="I313" s="68">
        <v>2.2166666666666668E-2</v>
      </c>
      <c r="J313">
        <v>3.0116666666666667</v>
      </c>
      <c r="K313">
        <v>2.3333333333333331E-2</v>
      </c>
      <c r="M313" s="140">
        <f t="shared" si="36"/>
        <v>0.05</v>
      </c>
      <c r="N313" s="140">
        <f t="shared" si="36"/>
        <v>3.0116666666666667</v>
      </c>
      <c r="O313" s="140">
        <f t="shared" si="36"/>
        <v>0.05</v>
      </c>
      <c r="P313" s="140">
        <f t="shared" si="27"/>
        <v>0.05</v>
      </c>
      <c r="Q313" s="161" t="s">
        <v>515</v>
      </c>
      <c r="R313" s="125">
        <v>42.006666666666668</v>
      </c>
      <c r="S313">
        <v>11.333333333333334</v>
      </c>
      <c r="T313">
        <v>2.7015609233969888</v>
      </c>
      <c r="U313">
        <v>1.7623399306264029</v>
      </c>
      <c r="Y313">
        <f t="shared" si="33"/>
        <v>6</v>
      </c>
      <c r="Z313">
        <f t="shared" si="34"/>
        <v>12</v>
      </c>
      <c r="AA313">
        <f t="shared" si="35"/>
        <v>2024</v>
      </c>
      <c r="AC313" s="19">
        <v>45455</v>
      </c>
      <c r="AD313" s="19"/>
    </row>
    <row r="314" spans="1:30" x14ac:dyDescent="0.25">
      <c r="A314" s="25">
        <v>10313</v>
      </c>
      <c r="B314" t="s">
        <v>338</v>
      </c>
      <c r="C314" t="s">
        <v>338</v>
      </c>
      <c r="D314" s="27" t="s">
        <v>466</v>
      </c>
      <c r="E314" s="27">
        <v>5</v>
      </c>
      <c r="F314" s="118">
        <v>12821</v>
      </c>
      <c r="G314" t="s">
        <v>19</v>
      </c>
      <c r="H314" t="s">
        <v>8</v>
      </c>
      <c r="I314">
        <v>1.0200000000000001E-2</v>
      </c>
      <c r="J314">
        <v>2.5129999999999999</v>
      </c>
      <c r="K314">
        <v>3.5999999999999997E-2</v>
      </c>
      <c r="M314" s="140">
        <f t="shared" si="36"/>
        <v>0.05</v>
      </c>
      <c r="N314" s="140">
        <f t="shared" si="36"/>
        <v>2.5129999999999999</v>
      </c>
      <c r="O314" s="140">
        <f t="shared" si="36"/>
        <v>0.05</v>
      </c>
      <c r="P314" s="140">
        <f t="shared" si="27"/>
        <v>0.05</v>
      </c>
      <c r="Q314" s="161" t="s">
        <v>515</v>
      </c>
      <c r="R314" s="125">
        <v>71.33</v>
      </c>
      <c r="S314">
        <v>4.4799999999999995</v>
      </c>
      <c r="T314">
        <v>2.9791314185058226</v>
      </c>
      <c r="U314">
        <v>1.2346244984016868</v>
      </c>
      <c r="Y314">
        <f t="shared" si="33"/>
        <v>6</v>
      </c>
      <c r="Z314">
        <f t="shared" si="34"/>
        <v>12</v>
      </c>
      <c r="AA314">
        <f t="shared" si="35"/>
        <v>2024</v>
      </c>
      <c r="AC314" s="19">
        <v>45455</v>
      </c>
      <c r="AD314" s="19"/>
    </row>
    <row r="315" spans="1:30" x14ac:dyDescent="0.25">
      <c r="A315" s="25">
        <v>10314</v>
      </c>
      <c r="B315" t="s">
        <v>339</v>
      </c>
      <c r="C315" t="s">
        <v>339</v>
      </c>
      <c r="D315" s="27" t="s">
        <v>467</v>
      </c>
      <c r="E315" s="27">
        <v>6</v>
      </c>
      <c r="F315" s="118">
        <v>14351</v>
      </c>
      <c r="G315" t="s">
        <v>19</v>
      </c>
      <c r="H315" t="s">
        <v>8</v>
      </c>
      <c r="I315">
        <v>1.6400000000000001E-2</v>
      </c>
      <c r="J315">
        <v>2.335</v>
      </c>
      <c r="K315">
        <v>1.7999999999999999E-2</v>
      </c>
      <c r="M315" s="140">
        <f t="shared" si="36"/>
        <v>0.05</v>
      </c>
      <c r="N315" s="140">
        <f t="shared" si="36"/>
        <v>2.335</v>
      </c>
      <c r="O315" s="140">
        <f t="shared" si="36"/>
        <v>0.05</v>
      </c>
      <c r="P315" s="140">
        <f t="shared" si="27"/>
        <v>0.05</v>
      </c>
      <c r="Q315" s="161" t="s">
        <v>515</v>
      </c>
      <c r="R315" s="125">
        <v>40.770000000000003</v>
      </c>
      <c r="S315">
        <v>34.32</v>
      </c>
      <c r="T315">
        <v>3.251503964268049</v>
      </c>
      <c r="U315">
        <v>1.2226541522138341</v>
      </c>
      <c r="Y315">
        <f t="shared" si="33"/>
        <v>6</v>
      </c>
      <c r="Z315">
        <f t="shared" si="34"/>
        <v>12</v>
      </c>
      <c r="AA315">
        <f t="shared" si="35"/>
        <v>2024</v>
      </c>
      <c r="AC315" s="19">
        <v>45455</v>
      </c>
      <c r="AD315" s="19"/>
    </row>
    <row r="316" spans="1:30" x14ac:dyDescent="0.25">
      <c r="A316" s="25">
        <v>10315</v>
      </c>
      <c r="B316" t="s">
        <v>340</v>
      </c>
      <c r="C316" t="s">
        <v>340</v>
      </c>
      <c r="D316" s="27" t="s">
        <v>468</v>
      </c>
      <c r="E316" s="27">
        <v>7</v>
      </c>
      <c r="F316" s="118">
        <v>6411</v>
      </c>
      <c r="G316" t="s">
        <v>19</v>
      </c>
      <c r="H316" t="s">
        <v>8</v>
      </c>
      <c r="I316">
        <v>-6.7999999999999996E-3</v>
      </c>
      <c r="J316">
        <v>1.7130000000000001</v>
      </c>
      <c r="K316">
        <v>0.04</v>
      </c>
      <c r="M316" s="140">
        <f t="shared" si="36"/>
        <v>0.05</v>
      </c>
      <c r="N316" s="140">
        <f t="shared" si="36"/>
        <v>1.7130000000000001</v>
      </c>
      <c r="O316" s="140">
        <f t="shared" si="36"/>
        <v>0.05</v>
      </c>
      <c r="P316" s="140">
        <f t="shared" si="27"/>
        <v>0.05</v>
      </c>
      <c r="Q316" s="161" t="s">
        <v>515</v>
      </c>
      <c r="R316" s="125">
        <v>61.83</v>
      </c>
      <c r="S316">
        <v>5.3</v>
      </c>
      <c r="T316">
        <v>2.9063601276533193</v>
      </c>
      <c r="U316">
        <v>0.9546816295994015</v>
      </c>
      <c r="Y316">
        <f t="shared" si="33"/>
        <v>6</v>
      </c>
      <c r="Z316">
        <f t="shared" si="34"/>
        <v>12</v>
      </c>
      <c r="AA316">
        <f t="shared" si="35"/>
        <v>2024</v>
      </c>
      <c r="AC316" s="19">
        <v>45455</v>
      </c>
      <c r="AD316" s="19"/>
    </row>
    <row r="317" spans="1:30" x14ac:dyDescent="0.25">
      <c r="A317" s="25">
        <v>10316</v>
      </c>
      <c r="B317" t="s">
        <v>341</v>
      </c>
      <c r="C317" t="s">
        <v>341</v>
      </c>
      <c r="D317" s="27" t="s">
        <v>469</v>
      </c>
      <c r="E317" s="27">
        <v>8</v>
      </c>
      <c r="F317" s="118">
        <v>5401</v>
      </c>
      <c r="G317" t="s">
        <v>19</v>
      </c>
      <c r="H317" t="s">
        <v>8</v>
      </c>
      <c r="I317" s="68">
        <v>2.463333333333333E-2</v>
      </c>
      <c r="J317">
        <v>2.6583333333333332</v>
      </c>
      <c r="K317">
        <v>6.4000000000000001E-2</v>
      </c>
      <c r="M317" s="140">
        <f t="shared" si="36"/>
        <v>0.05</v>
      </c>
      <c r="N317" s="140">
        <f t="shared" si="36"/>
        <v>2.6583333333333332</v>
      </c>
      <c r="O317" s="140">
        <f t="shared" si="36"/>
        <v>0.05</v>
      </c>
      <c r="P317" s="140">
        <f t="shared" si="27"/>
        <v>0.05</v>
      </c>
      <c r="Q317" s="161" t="s">
        <v>515</v>
      </c>
      <c r="R317" s="125">
        <v>38.685000000000002</v>
      </c>
      <c r="S317">
        <v>26.08</v>
      </c>
      <c r="T317">
        <v>3.0269525524946106</v>
      </c>
      <c r="U317">
        <v>1.5025970210161192</v>
      </c>
      <c r="Y317">
        <f t="shared" si="33"/>
        <v>6</v>
      </c>
      <c r="Z317">
        <f t="shared" si="34"/>
        <v>12</v>
      </c>
      <c r="AA317">
        <f t="shared" si="35"/>
        <v>2024</v>
      </c>
      <c r="AC317" s="19">
        <v>45455</v>
      </c>
      <c r="AD317" s="19"/>
    </row>
    <row r="318" spans="1:30" x14ac:dyDescent="0.25">
      <c r="A318" s="25">
        <v>10317</v>
      </c>
      <c r="B318" t="s">
        <v>342</v>
      </c>
      <c r="C318" t="s">
        <v>342</v>
      </c>
      <c r="D318" s="27" t="s">
        <v>470</v>
      </c>
      <c r="E318" s="27">
        <v>9</v>
      </c>
      <c r="F318" s="118">
        <v>4381</v>
      </c>
      <c r="G318" t="s">
        <v>19</v>
      </c>
      <c r="H318" t="s">
        <v>8</v>
      </c>
      <c r="I318">
        <v>2.3099999999999999E-2</v>
      </c>
      <c r="J318">
        <v>2.427</v>
      </c>
      <c r="K318">
        <v>0.06</v>
      </c>
      <c r="M318" s="140">
        <f t="shared" si="36"/>
        <v>0.05</v>
      </c>
      <c r="N318" s="140">
        <f t="shared" si="36"/>
        <v>2.427</v>
      </c>
      <c r="O318" s="140">
        <f t="shared" si="36"/>
        <v>0.05</v>
      </c>
      <c r="P318" s="140">
        <f t="shared" si="27"/>
        <v>0.05</v>
      </c>
      <c r="Q318" s="161" t="s">
        <v>515</v>
      </c>
      <c r="R318" s="125">
        <v>16.743333333333336</v>
      </c>
      <c r="S318">
        <v>8.1</v>
      </c>
      <c r="T318">
        <v>3.3097209969500514</v>
      </c>
      <c r="U318">
        <v>1.7431601713935931</v>
      </c>
      <c r="Y318">
        <f t="shared" si="33"/>
        <v>6</v>
      </c>
      <c r="Z318">
        <f t="shared" si="34"/>
        <v>12</v>
      </c>
      <c r="AA318">
        <f t="shared" si="35"/>
        <v>2024</v>
      </c>
      <c r="AC318" s="19">
        <v>45455</v>
      </c>
      <c r="AD318" s="19"/>
    </row>
    <row r="319" spans="1:30" x14ac:dyDescent="0.25">
      <c r="A319" s="25">
        <v>10318</v>
      </c>
      <c r="B319" t="s">
        <v>343</v>
      </c>
      <c r="C319" t="s">
        <v>343</v>
      </c>
      <c r="D319" s="27" t="s">
        <v>471</v>
      </c>
      <c r="E319" s="27">
        <v>10</v>
      </c>
      <c r="F319" s="118">
        <v>2851</v>
      </c>
      <c r="G319" t="s">
        <v>19</v>
      </c>
      <c r="H319" t="s">
        <v>8</v>
      </c>
      <c r="I319">
        <v>6.0000000000000001E-3</v>
      </c>
      <c r="J319">
        <v>2.351</v>
      </c>
      <c r="K319">
        <v>5.8999999999999997E-2</v>
      </c>
      <c r="M319" s="140">
        <f t="shared" si="36"/>
        <v>0.05</v>
      </c>
      <c r="N319" s="140">
        <f t="shared" si="36"/>
        <v>2.351</v>
      </c>
      <c r="O319" s="140">
        <f t="shared" si="36"/>
        <v>0.05</v>
      </c>
      <c r="P319" s="140">
        <f t="shared" si="27"/>
        <v>0.05</v>
      </c>
      <c r="Q319" s="161" t="s">
        <v>515</v>
      </c>
      <c r="R319" s="125">
        <v>20.553333333333331</v>
      </c>
      <c r="S319">
        <v>27.79666666666667</v>
      </c>
      <c r="T319">
        <v>2.9578198261847324</v>
      </c>
      <c r="U319">
        <v>1.5434050193837994</v>
      </c>
      <c r="Y319">
        <f t="shared" si="33"/>
        <v>6</v>
      </c>
      <c r="Z319">
        <f t="shared" si="34"/>
        <v>12</v>
      </c>
      <c r="AA319">
        <f t="shared" si="35"/>
        <v>2024</v>
      </c>
      <c r="AC319" s="19">
        <v>45455</v>
      </c>
      <c r="AD319" s="19"/>
    </row>
    <row r="320" spans="1:30" x14ac:dyDescent="0.25">
      <c r="A320" s="25">
        <v>10319</v>
      </c>
      <c r="B320" t="s">
        <v>344</v>
      </c>
      <c r="C320" t="s">
        <v>344</v>
      </c>
      <c r="D320" s="27" t="s">
        <v>472</v>
      </c>
      <c r="E320" s="27">
        <v>11</v>
      </c>
      <c r="F320" s="118">
        <v>1731</v>
      </c>
      <c r="G320" t="s">
        <v>19</v>
      </c>
      <c r="H320" t="s">
        <v>8</v>
      </c>
      <c r="I320">
        <v>-7.1000000000000004E-3</v>
      </c>
      <c r="J320">
        <v>2.38</v>
      </c>
      <c r="K320">
        <v>6.9000000000000006E-2</v>
      </c>
      <c r="M320" s="140">
        <f t="shared" si="36"/>
        <v>0.05</v>
      </c>
      <c r="N320" s="140">
        <f t="shared" si="36"/>
        <v>2.38</v>
      </c>
      <c r="O320" s="140">
        <f t="shared" si="36"/>
        <v>0.05</v>
      </c>
      <c r="P320" s="140">
        <f t="shared" si="27"/>
        <v>0.05</v>
      </c>
      <c r="Q320" s="161" t="s">
        <v>515</v>
      </c>
      <c r="R320" s="125">
        <v>48.42</v>
      </c>
      <c r="S320">
        <v>37.995000000000005</v>
      </c>
      <c r="T320">
        <v>3.085169585176613</v>
      </c>
      <c r="U320">
        <v>1.566053458477862</v>
      </c>
      <c r="Y320">
        <f t="shared" si="33"/>
        <v>6</v>
      </c>
      <c r="Z320">
        <f t="shared" si="34"/>
        <v>12</v>
      </c>
      <c r="AA320">
        <f t="shared" si="35"/>
        <v>2024</v>
      </c>
      <c r="AC320" s="19">
        <v>45455</v>
      </c>
      <c r="AD320" s="19"/>
    </row>
    <row r="321" spans="1:30" x14ac:dyDescent="0.25">
      <c r="A321" s="25">
        <v>10320</v>
      </c>
      <c r="B321" t="s">
        <v>345</v>
      </c>
      <c r="C321" t="s">
        <v>345</v>
      </c>
      <c r="D321" s="27" t="s">
        <v>473</v>
      </c>
      <c r="E321" s="27">
        <v>12</v>
      </c>
      <c r="F321" s="118">
        <v>661</v>
      </c>
      <c r="G321" t="s">
        <v>19</v>
      </c>
      <c r="H321" t="s">
        <v>8</v>
      </c>
      <c r="I321">
        <v>-1.1999999999999999E-3</v>
      </c>
      <c r="J321">
        <v>2.2639999999999998</v>
      </c>
      <c r="K321">
        <v>6.8000000000000005E-2</v>
      </c>
      <c r="M321" s="140">
        <f t="shared" si="36"/>
        <v>0.05</v>
      </c>
      <c r="N321" s="140">
        <f t="shared" si="36"/>
        <v>2.2639999999999998</v>
      </c>
      <c r="O321" s="140">
        <f t="shared" si="36"/>
        <v>0.05</v>
      </c>
      <c r="P321" s="140">
        <f t="shared" si="27"/>
        <v>0.05</v>
      </c>
      <c r="Q321" s="161" t="s">
        <v>515</v>
      </c>
      <c r="R321" s="125">
        <v>37.89</v>
      </c>
      <c r="S321">
        <v>39.58</v>
      </c>
      <c r="T321">
        <v>3.3388295132910524</v>
      </c>
      <c r="U321">
        <v>1.6019644970414202</v>
      </c>
      <c r="Y321">
        <f t="shared" si="33"/>
        <v>6</v>
      </c>
      <c r="Z321">
        <f t="shared" si="34"/>
        <v>12</v>
      </c>
      <c r="AA321">
        <f t="shared" si="35"/>
        <v>2024</v>
      </c>
      <c r="AC321" s="19">
        <v>45455</v>
      </c>
      <c r="AD321" s="19"/>
    </row>
    <row r="322" spans="1:30" x14ac:dyDescent="0.25">
      <c r="A322" s="25">
        <v>10321</v>
      </c>
      <c r="B322" t="s">
        <v>346</v>
      </c>
      <c r="C322" t="s">
        <v>346</v>
      </c>
      <c r="D322" s="27" t="s">
        <v>474</v>
      </c>
      <c r="E322" s="27">
        <v>13</v>
      </c>
      <c r="F322" s="118">
        <v>13553</v>
      </c>
      <c r="G322" t="s">
        <v>19</v>
      </c>
      <c r="H322" t="s">
        <v>8</v>
      </c>
      <c r="I322">
        <v>4.3E-3</v>
      </c>
      <c r="J322">
        <v>2.3530000000000002</v>
      </c>
      <c r="K322">
        <v>2.5000000000000001E-2</v>
      </c>
      <c r="M322" s="140">
        <f t="shared" ref="M322:O337" si="37">IF(I322&lt;0.1,0.05,I322)</f>
        <v>0.05</v>
      </c>
      <c r="N322" s="140">
        <f t="shared" si="37"/>
        <v>2.3530000000000002</v>
      </c>
      <c r="O322" s="140">
        <f t="shared" si="37"/>
        <v>0.05</v>
      </c>
      <c r="P322" s="140">
        <f t="shared" ref="P322:P385" si="38">IF(L322&lt;0.1,0.05,L322)</f>
        <v>0.05</v>
      </c>
      <c r="Q322" s="161" t="s">
        <v>515</v>
      </c>
      <c r="R322" s="125" t="s">
        <v>515</v>
      </c>
      <c r="S322" t="s">
        <v>515</v>
      </c>
      <c r="T322">
        <v>3.0602194283128976</v>
      </c>
      <c r="U322">
        <v>1.5717665782493371</v>
      </c>
      <c r="Y322">
        <f t="shared" si="33"/>
        <v>6</v>
      </c>
      <c r="Z322">
        <f t="shared" si="34"/>
        <v>12</v>
      </c>
      <c r="AA322">
        <f t="shared" si="35"/>
        <v>2024</v>
      </c>
      <c r="AC322" s="19">
        <v>45455</v>
      </c>
      <c r="AD322" s="19"/>
    </row>
    <row r="323" spans="1:30" x14ac:dyDescent="0.25">
      <c r="A323" s="25">
        <v>10322</v>
      </c>
      <c r="B323" t="s">
        <v>347</v>
      </c>
      <c r="C323" t="s">
        <v>347</v>
      </c>
      <c r="D323" s="27" t="s">
        <v>503</v>
      </c>
      <c r="E323" s="27">
        <v>1</v>
      </c>
      <c r="F323" s="118">
        <v>6865</v>
      </c>
      <c r="G323" t="s">
        <v>20</v>
      </c>
      <c r="H323" t="s">
        <v>8</v>
      </c>
      <c r="I323">
        <v>2.5999999999999999E-3</v>
      </c>
      <c r="J323">
        <v>2.2789999999999999</v>
      </c>
      <c r="K323">
        <v>0.154</v>
      </c>
      <c r="L323" s="108">
        <v>1.1842105263157895E-2</v>
      </c>
      <c r="M323" s="140">
        <f t="shared" si="37"/>
        <v>0.05</v>
      </c>
      <c r="N323" s="140">
        <f t="shared" si="37"/>
        <v>2.2789999999999999</v>
      </c>
      <c r="O323" s="140">
        <f t="shared" si="37"/>
        <v>0.154</v>
      </c>
      <c r="P323" s="140">
        <f t="shared" si="38"/>
        <v>0.05</v>
      </c>
      <c r="Q323" s="165">
        <v>0.15</v>
      </c>
      <c r="R323" s="125">
        <v>33.06666666666667</v>
      </c>
      <c r="S323">
        <v>45.78</v>
      </c>
      <c r="T323" s="27">
        <v>2.4728177331931072</v>
      </c>
      <c r="U323" s="27">
        <v>1.4402379736275062</v>
      </c>
      <c r="V323" s="27"/>
      <c r="Y323">
        <f t="shared" si="33"/>
        <v>6</v>
      </c>
      <c r="Z323">
        <f t="shared" si="34"/>
        <v>13</v>
      </c>
      <c r="AA323">
        <f t="shared" si="35"/>
        <v>2024</v>
      </c>
      <c r="AC323" s="19">
        <v>45456</v>
      </c>
      <c r="AD323" s="19"/>
    </row>
    <row r="324" spans="1:30" x14ac:dyDescent="0.25">
      <c r="A324" s="25">
        <v>10323</v>
      </c>
      <c r="B324" t="s">
        <v>348</v>
      </c>
      <c r="C324" t="s">
        <v>348</v>
      </c>
      <c r="D324" s="27" t="s">
        <v>504</v>
      </c>
      <c r="E324" s="27">
        <v>5</v>
      </c>
      <c r="F324" s="118">
        <v>6425</v>
      </c>
      <c r="G324" t="s">
        <v>20</v>
      </c>
      <c r="H324" t="s">
        <v>8</v>
      </c>
      <c r="I324">
        <v>-1.4E-3</v>
      </c>
      <c r="J324">
        <v>2.58</v>
      </c>
      <c r="K324">
        <v>0.252</v>
      </c>
      <c r="L324" s="108">
        <v>5.2631578947368429E-3</v>
      </c>
      <c r="M324" s="140">
        <f t="shared" si="37"/>
        <v>0.05</v>
      </c>
      <c r="N324" s="140">
        <f t="shared" si="37"/>
        <v>2.58</v>
      </c>
      <c r="O324" s="140">
        <f t="shared" si="37"/>
        <v>0.252</v>
      </c>
      <c r="P324" s="140">
        <f t="shared" si="38"/>
        <v>0.05</v>
      </c>
      <c r="Q324" s="161">
        <v>0.20767000509777853</v>
      </c>
      <c r="R324" s="125">
        <v>48.196666666666665</v>
      </c>
      <c r="S324">
        <v>15.299999999999999</v>
      </c>
      <c r="T324" s="27">
        <v>2.7038872259525926</v>
      </c>
      <c r="U324" s="27">
        <v>1.6492898049215483</v>
      </c>
      <c r="V324" s="27"/>
      <c r="Y324">
        <f t="shared" si="33"/>
        <v>6</v>
      </c>
      <c r="Z324">
        <f t="shared" si="34"/>
        <v>13</v>
      </c>
      <c r="AA324">
        <f t="shared" si="35"/>
        <v>2024</v>
      </c>
      <c r="AC324" s="19">
        <v>45456</v>
      </c>
      <c r="AD324" s="19"/>
    </row>
    <row r="325" spans="1:30" x14ac:dyDescent="0.25">
      <c r="A325" s="25">
        <v>10324</v>
      </c>
      <c r="B325" t="s">
        <v>349</v>
      </c>
      <c r="C325" t="s">
        <v>349</v>
      </c>
      <c r="D325" s="27" t="s">
        <v>483</v>
      </c>
      <c r="E325" s="27">
        <v>6</v>
      </c>
      <c r="F325" s="118">
        <v>8245</v>
      </c>
      <c r="G325" t="s">
        <v>20</v>
      </c>
      <c r="H325" t="s">
        <v>8</v>
      </c>
      <c r="I325">
        <v>-3.0000000000000001E-3</v>
      </c>
      <c r="J325">
        <v>3.7290000000000001</v>
      </c>
      <c r="K325">
        <v>0.25600000000000001</v>
      </c>
      <c r="L325" s="108">
        <v>-3.27653997378768E-3</v>
      </c>
      <c r="M325" s="140">
        <f t="shared" si="37"/>
        <v>0.05</v>
      </c>
      <c r="N325" s="140">
        <f t="shared" si="37"/>
        <v>3.7290000000000001</v>
      </c>
      <c r="O325" s="140">
        <f t="shared" si="37"/>
        <v>0.25600000000000001</v>
      </c>
      <c r="P325" s="140">
        <f t="shared" si="38"/>
        <v>0.05</v>
      </c>
      <c r="Q325" s="161">
        <v>0.15314518702982555</v>
      </c>
      <c r="R325" s="125">
        <v>0.69</v>
      </c>
      <c r="S325">
        <v>1.61</v>
      </c>
      <c r="T325" s="27">
        <v>2.668493649381118</v>
      </c>
      <c r="U325" s="27">
        <v>1.716485036408919</v>
      </c>
      <c r="V325" s="27"/>
      <c r="Y325">
        <f t="shared" si="33"/>
        <v>6</v>
      </c>
      <c r="Z325">
        <f t="shared" si="34"/>
        <v>13</v>
      </c>
      <c r="AA325">
        <f t="shared" si="35"/>
        <v>2024</v>
      </c>
      <c r="AC325" s="19">
        <v>45456</v>
      </c>
      <c r="AD325" s="19"/>
    </row>
    <row r="326" spans="1:30" x14ac:dyDescent="0.25">
      <c r="A326" s="25">
        <v>10325</v>
      </c>
      <c r="B326" t="s">
        <v>350</v>
      </c>
      <c r="C326" t="s">
        <v>350</v>
      </c>
      <c r="D326" s="27" t="s">
        <v>484</v>
      </c>
      <c r="E326" s="27">
        <v>8</v>
      </c>
      <c r="F326" s="118">
        <v>5065</v>
      </c>
      <c r="G326" t="s">
        <v>20</v>
      </c>
      <c r="H326" t="s">
        <v>8</v>
      </c>
      <c r="I326">
        <v>1.9400000000000001E-2</v>
      </c>
      <c r="J326">
        <v>4.3680000000000003</v>
      </c>
      <c r="K326">
        <v>0.11799999999999999</v>
      </c>
      <c r="L326" s="108">
        <v>-1.146788990825688E-2</v>
      </c>
      <c r="M326" s="140">
        <f t="shared" si="37"/>
        <v>0.05</v>
      </c>
      <c r="N326" s="140">
        <f t="shared" si="37"/>
        <v>4.3680000000000003</v>
      </c>
      <c r="O326" s="140">
        <f t="shared" si="37"/>
        <v>0.11799999999999999</v>
      </c>
      <c r="P326" s="140">
        <f t="shared" si="38"/>
        <v>0.05</v>
      </c>
      <c r="Q326" s="161">
        <v>5.4058683499071079E-2</v>
      </c>
      <c r="R326" s="125">
        <v>4.1033333333333326</v>
      </c>
      <c r="S326">
        <v>2.3266666666666667</v>
      </c>
      <c r="T326" s="27">
        <v>2.1183763449559097</v>
      </c>
      <c r="U326" s="27">
        <v>2.4439289088172416</v>
      </c>
      <c r="V326" s="27"/>
      <c r="Y326">
        <f t="shared" si="33"/>
        <v>6</v>
      </c>
      <c r="Z326">
        <f t="shared" si="34"/>
        <v>13</v>
      </c>
      <c r="AA326">
        <f t="shared" si="35"/>
        <v>2024</v>
      </c>
      <c r="AC326" s="19">
        <v>45456</v>
      </c>
      <c r="AD326" s="19"/>
    </row>
    <row r="327" spans="1:30" x14ac:dyDescent="0.25">
      <c r="A327" s="25">
        <v>10326</v>
      </c>
      <c r="B327" t="s">
        <v>351</v>
      </c>
      <c r="C327" t="s">
        <v>351</v>
      </c>
      <c r="D327" s="27" t="s">
        <v>485</v>
      </c>
      <c r="E327" s="27">
        <v>9</v>
      </c>
      <c r="F327" s="118">
        <v>3385</v>
      </c>
      <c r="G327" t="s">
        <v>20</v>
      </c>
      <c r="H327" t="s">
        <v>8</v>
      </c>
      <c r="I327">
        <v>1.6899999999999998E-2</v>
      </c>
      <c r="J327">
        <v>2.7010000000000001</v>
      </c>
      <c r="K327">
        <v>0.22</v>
      </c>
      <c r="L327" s="108">
        <v>1.6382699868938397E-2</v>
      </c>
      <c r="M327" s="140">
        <f t="shared" si="37"/>
        <v>0.05</v>
      </c>
      <c r="N327" s="140">
        <f t="shared" si="37"/>
        <v>2.7010000000000001</v>
      </c>
      <c r="O327" s="140">
        <f t="shared" si="37"/>
        <v>0.22</v>
      </c>
      <c r="P327" s="140">
        <f t="shared" si="38"/>
        <v>0.05</v>
      </c>
      <c r="Q327" s="161">
        <v>5.0012078729207099E-2</v>
      </c>
      <c r="R327" s="125">
        <v>26.650000000000002</v>
      </c>
      <c r="S327">
        <v>32.946666666666665</v>
      </c>
      <c r="T327" s="27">
        <v>2.786809319634334</v>
      </c>
      <c r="U327" s="27">
        <v>1.1530943868211143</v>
      </c>
      <c r="V327" s="27"/>
      <c r="Y327">
        <f t="shared" si="33"/>
        <v>6</v>
      </c>
      <c r="Z327">
        <f t="shared" si="34"/>
        <v>13</v>
      </c>
      <c r="AA327">
        <f t="shared" si="35"/>
        <v>2024</v>
      </c>
      <c r="AC327" s="19">
        <v>45456</v>
      </c>
      <c r="AD327" s="19"/>
    </row>
    <row r="328" spans="1:30" x14ac:dyDescent="0.25">
      <c r="A328" s="25">
        <v>10327</v>
      </c>
      <c r="B328" t="s">
        <v>352</v>
      </c>
      <c r="C328" t="s">
        <v>352</v>
      </c>
      <c r="D328" s="27" t="s">
        <v>486</v>
      </c>
      <c r="E328" s="27">
        <v>10</v>
      </c>
      <c r="F328" s="118">
        <v>2205</v>
      </c>
      <c r="G328" t="s">
        <v>20</v>
      </c>
      <c r="H328" t="s">
        <v>8</v>
      </c>
      <c r="I328">
        <v>4.7899999999999998E-2</v>
      </c>
      <c r="J328">
        <v>2.5390000000000001</v>
      </c>
      <c r="K328">
        <v>0.16500000000000001</v>
      </c>
      <c r="L328" s="108">
        <v>-8.1913499344692005E-3</v>
      </c>
      <c r="M328" s="140">
        <f t="shared" si="37"/>
        <v>0.05</v>
      </c>
      <c r="N328" s="140">
        <f t="shared" si="37"/>
        <v>2.5390000000000001</v>
      </c>
      <c r="O328" s="140">
        <f t="shared" si="37"/>
        <v>0.16500000000000001</v>
      </c>
      <c r="P328" s="140">
        <f t="shared" si="38"/>
        <v>0.05</v>
      </c>
      <c r="Q328" s="161">
        <v>0.12300938510614215</v>
      </c>
      <c r="R328" s="125">
        <v>17.513333333333332</v>
      </c>
      <c r="S328">
        <v>18.7</v>
      </c>
      <c r="T328" s="27">
        <v>2.5117506674217296</v>
      </c>
      <c r="U328" s="27">
        <v>1.4763579328954921</v>
      </c>
      <c r="V328" s="27"/>
      <c r="Y328">
        <f t="shared" si="33"/>
        <v>6</v>
      </c>
      <c r="Z328">
        <f t="shared" si="34"/>
        <v>13</v>
      </c>
      <c r="AA328">
        <f t="shared" si="35"/>
        <v>2024</v>
      </c>
      <c r="AC328" s="19">
        <v>45456</v>
      </c>
      <c r="AD328" s="19"/>
    </row>
    <row r="329" spans="1:30" x14ac:dyDescent="0.25">
      <c r="A329" s="25">
        <v>10328</v>
      </c>
      <c r="B329" t="s">
        <v>353</v>
      </c>
      <c r="C329" t="s">
        <v>353</v>
      </c>
      <c r="D329" s="27" t="s">
        <v>487</v>
      </c>
      <c r="E329" s="27">
        <v>11</v>
      </c>
      <c r="F329" s="118">
        <v>1385</v>
      </c>
      <c r="G329" t="s">
        <v>20</v>
      </c>
      <c r="H329" t="s">
        <v>8</v>
      </c>
      <c r="I329">
        <v>2.0999999999999999E-3</v>
      </c>
      <c r="J329">
        <v>2.6720000000000002</v>
      </c>
      <c r="K329">
        <v>0.188</v>
      </c>
      <c r="L329" s="108">
        <v>-4.9148099606815196E-3</v>
      </c>
      <c r="M329" s="140">
        <f t="shared" si="37"/>
        <v>0.05</v>
      </c>
      <c r="N329" s="140">
        <f t="shared" si="37"/>
        <v>2.6720000000000002</v>
      </c>
      <c r="O329" s="140">
        <f t="shared" si="37"/>
        <v>0.188</v>
      </c>
      <c r="P329" s="140">
        <f t="shared" si="38"/>
        <v>0.05</v>
      </c>
      <c r="Q329" s="161">
        <v>0.44766430882449798</v>
      </c>
      <c r="R329" s="125">
        <v>44.85</v>
      </c>
      <c r="S329">
        <v>42.493333333333332</v>
      </c>
      <c r="T329" s="27">
        <v>2.9870358385243909</v>
      </c>
      <c r="U329" s="27">
        <v>1.8765025095905556</v>
      </c>
      <c r="V329" s="27"/>
      <c r="Y329">
        <f t="shared" si="33"/>
        <v>6</v>
      </c>
      <c r="Z329">
        <f t="shared" si="34"/>
        <v>13</v>
      </c>
      <c r="AA329">
        <f t="shared" si="35"/>
        <v>2024</v>
      </c>
      <c r="AC329" s="19">
        <v>45456</v>
      </c>
      <c r="AD329" s="19"/>
    </row>
    <row r="330" spans="1:30" x14ac:dyDescent="0.25">
      <c r="A330" s="25">
        <v>10329</v>
      </c>
      <c r="B330" t="s">
        <v>354</v>
      </c>
      <c r="C330" t="s">
        <v>354</v>
      </c>
      <c r="D330" s="27" t="s">
        <v>488</v>
      </c>
      <c r="E330" s="27">
        <v>12</v>
      </c>
      <c r="F330" s="118">
        <v>275</v>
      </c>
      <c r="G330" t="s">
        <v>20</v>
      </c>
      <c r="H330" t="s">
        <v>8</v>
      </c>
      <c r="I330">
        <v>-9.7000000000000003E-3</v>
      </c>
      <c r="J330">
        <v>2.7610000000000001</v>
      </c>
      <c r="K330">
        <v>0.23899999999999999</v>
      </c>
      <c r="L330" s="108">
        <v>-3.27653997378768E-3</v>
      </c>
      <c r="M330" s="140">
        <f t="shared" si="37"/>
        <v>0.05</v>
      </c>
      <c r="N330" s="140">
        <f t="shared" si="37"/>
        <v>2.7610000000000001</v>
      </c>
      <c r="O330" s="140">
        <f t="shared" si="37"/>
        <v>0.23899999999999999</v>
      </c>
      <c r="P330" s="140">
        <f t="shared" si="38"/>
        <v>0.05</v>
      </c>
      <c r="Q330" s="161">
        <v>0.80374419829372346</v>
      </c>
      <c r="R330" s="125">
        <v>40.43333333333333</v>
      </c>
      <c r="S330">
        <v>21.553333333333331</v>
      </c>
      <c r="T330" s="27">
        <v>2.8348434592670495</v>
      </c>
      <c r="U330" s="27">
        <v>1.7076063872033806</v>
      </c>
      <c r="V330" s="27"/>
      <c r="Y330">
        <f t="shared" si="33"/>
        <v>6</v>
      </c>
      <c r="Z330">
        <f t="shared" si="34"/>
        <v>13</v>
      </c>
      <c r="AA330">
        <f t="shared" si="35"/>
        <v>2024</v>
      </c>
      <c r="AC330" s="19">
        <v>45456</v>
      </c>
      <c r="AD330" s="19"/>
    </row>
    <row r="331" spans="1:30" x14ac:dyDescent="0.25">
      <c r="A331" s="25">
        <v>10330</v>
      </c>
      <c r="B331" t="s">
        <v>355</v>
      </c>
      <c r="C331" t="s">
        <v>355</v>
      </c>
      <c r="D331" s="27" t="s">
        <v>489</v>
      </c>
      <c r="E331" s="27">
        <v>14</v>
      </c>
      <c r="F331" s="118">
        <v>4225</v>
      </c>
      <c r="G331" t="s">
        <v>20</v>
      </c>
      <c r="H331" t="s">
        <v>8</v>
      </c>
      <c r="I331">
        <v>1.9900000000000001E-2</v>
      </c>
      <c r="J331">
        <v>2.6760000000000002</v>
      </c>
      <c r="K331">
        <v>0.17599999999999999</v>
      </c>
      <c r="L331" s="108">
        <v>1.6382699868938385E-3</v>
      </c>
      <c r="M331" s="140">
        <f t="shared" si="37"/>
        <v>0.05</v>
      </c>
      <c r="N331" s="140">
        <f t="shared" si="37"/>
        <v>2.6760000000000002</v>
      </c>
      <c r="O331" s="140">
        <f t="shared" si="37"/>
        <v>0.17599999999999999</v>
      </c>
      <c r="P331" s="140">
        <f t="shared" si="38"/>
        <v>0.05</v>
      </c>
      <c r="Q331" s="161">
        <v>0.20173514905278223</v>
      </c>
      <c r="R331" s="125">
        <v>8.5166666666666675</v>
      </c>
      <c r="S331">
        <v>4.7133333333333338</v>
      </c>
      <c r="T331" s="27">
        <v>2.3019173206051291</v>
      </c>
      <c r="U331" s="27">
        <v>1.4049251642872962</v>
      </c>
      <c r="V331" s="27"/>
      <c r="Y331">
        <f t="shared" si="33"/>
        <v>6</v>
      </c>
      <c r="Z331">
        <f t="shared" si="34"/>
        <v>13</v>
      </c>
      <c r="AA331">
        <f t="shared" si="35"/>
        <v>2024</v>
      </c>
      <c r="AC331" s="19">
        <v>45456</v>
      </c>
      <c r="AD331" s="19"/>
    </row>
    <row r="332" spans="1:30" x14ac:dyDescent="0.25">
      <c r="A332" s="25">
        <v>10331</v>
      </c>
      <c r="B332" t="s">
        <v>356</v>
      </c>
      <c r="C332" t="s">
        <v>356</v>
      </c>
      <c r="D332" s="27" t="s">
        <v>490</v>
      </c>
      <c r="E332" s="27">
        <v>15</v>
      </c>
      <c r="F332" s="118">
        <v>2905</v>
      </c>
      <c r="G332" t="s">
        <v>20</v>
      </c>
      <c r="H332" t="s">
        <v>8</v>
      </c>
      <c r="I332">
        <v>-0.01</v>
      </c>
      <c r="J332">
        <v>2.508</v>
      </c>
      <c r="K332">
        <v>0.193</v>
      </c>
      <c r="L332" s="108">
        <v>-4.9148099606815196E-3</v>
      </c>
      <c r="M332" s="140">
        <f t="shared" si="37"/>
        <v>0.05</v>
      </c>
      <c r="N332" s="140">
        <f t="shared" si="37"/>
        <v>2.508</v>
      </c>
      <c r="O332" s="140">
        <f t="shared" si="37"/>
        <v>0.193</v>
      </c>
      <c r="P332" s="140">
        <f t="shared" si="38"/>
        <v>0.05</v>
      </c>
      <c r="Q332" s="161">
        <v>7.0698538434283517E-2</v>
      </c>
      <c r="R332" s="125">
        <v>20.923333333333332</v>
      </c>
      <c r="S332">
        <v>7.1533333333333333</v>
      </c>
      <c r="T332" s="27">
        <v>2.550683601650352</v>
      </c>
      <c r="U332" s="27">
        <v>1.5808838485425134</v>
      </c>
      <c r="V332" s="27"/>
      <c r="Y332">
        <f t="shared" ref="Y332:Y363" si="39">MONTH(AC332)</f>
        <v>6</v>
      </c>
      <c r="Z332">
        <f t="shared" ref="Z332:Z363" si="40">DAY(AC332)</f>
        <v>13</v>
      </c>
      <c r="AA332">
        <f t="shared" ref="AA332:AA363" si="41">YEAR(AC332)</f>
        <v>2024</v>
      </c>
      <c r="AC332" s="19">
        <v>45456</v>
      </c>
      <c r="AD332" s="19"/>
    </row>
    <row r="333" spans="1:30" x14ac:dyDescent="0.25">
      <c r="A333" s="25">
        <v>10332</v>
      </c>
      <c r="B333" t="s">
        <v>357</v>
      </c>
      <c r="C333" t="s">
        <v>357</v>
      </c>
      <c r="D333" s="27" t="s">
        <v>491</v>
      </c>
      <c r="E333" s="27">
        <v>1</v>
      </c>
      <c r="F333" s="118">
        <v>5210</v>
      </c>
      <c r="G333" t="s">
        <v>22</v>
      </c>
      <c r="H333" t="s">
        <v>8</v>
      </c>
      <c r="I333">
        <v>-0.50549999999999995</v>
      </c>
      <c r="J333">
        <v>2.69</v>
      </c>
      <c r="K333">
        <v>0</v>
      </c>
      <c r="M333" s="140">
        <f t="shared" si="37"/>
        <v>0.05</v>
      </c>
      <c r="N333" s="140">
        <f t="shared" si="37"/>
        <v>2.69</v>
      </c>
      <c r="O333" s="140">
        <f t="shared" si="37"/>
        <v>0.05</v>
      </c>
      <c r="P333" s="140">
        <f t="shared" si="38"/>
        <v>0.05</v>
      </c>
      <c r="Q333" s="161" t="s">
        <v>515</v>
      </c>
      <c r="R333" s="125">
        <v>21.396666666666665</v>
      </c>
      <c r="S333">
        <v>34.28</v>
      </c>
      <c r="T333">
        <v>4.0348349308017797</v>
      </c>
      <c r="U333">
        <v>1.2316319118547236</v>
      </c>
      <c r="Y333">
        <f t="shared" si="39"/>
        <v>6</v>
      </c>
      <c r="Z333">
        <f t="shared" si="40"/>
        <v>17</v>
      </c>
      <c r="AA333">
        <f t="shared" si="41"/>
        <v>2024</v>
      </c>
      <c r="AC333" s="19">
        <v>45460</v>
      </c>
      <c r="AD333" s="19"/>
    </row>
    <row r="334" spans="1:30" x14ac:dyDescent="0.25">
      <c r="A334" s="25">
        <v>10333</v>
      </c>
      <c r="B334" t="s">
        <v>358</v>
      </c>
      <c r="C334" t="s">
        <v>358</v>
      </c>
      <c r="D334" s="27" t="s">
        <v>492</v>
      </c>
      <c r="E334" s="27">
        <v>2</v>
      </c>
      <c r="F334" s="118">
        <v>5430</v>
      </c>
      <c r="G334" t="s">
        <v>22</v>
      </c>
      <c r="H334" t="s">
        <v>8</v>
      </c>
      <c r="I334">
        <v>-0.50839999999999996</v>
      </c>
      <c r="J334">
        <v>2.5840000000000001</v>
      </c>
      <c r="K334">
        <v>3.0000000000000001E-3</v>
      </c>
      <c r="L334" s="109">
        <v>0</v>
      </c>
      <c r="M334" s="140">
        <f t="shared" si="37"/>
        <v>0.05</v>
      </c>
      <c r="N334" s="140">
        <f t="shared" si="37"/>
        <v>2.5840000000000001</v>
      </c>
      <c r="O334" s="140">
        <f t="shared" si="37"/>
        <v>0.05</v>
      </c>
      <c r="P334" s="140">
        <f t="shared" si="38"/>
        <v>0.05</v>
      </c>
      <c r="Q334" s="161" t="s">
        <v>515</v>
      </c>
      <c r="R334" s="125">
        <v>22.366666666666664</v>
      </c>
      <c r="S334">
        <v>39.643333333333338</v>
      </c>
      <c r="T334">
        <v>3.8877329642927911</v>
      </c>
      <c r="U334">
        <v>1.7955984492960622</v>
      </c>
      <c r="Y334">
        <f t="shared" si="39"/>
        <v>6</v>
      </c>
      <c r="Z334">
        <f t="shared" si="40"/>
        <v>17</v>
      </c>
      <c r="AA334">
        <f t="shared" si="41"/>
        <v>2024</v>
      </c>
      <c r="AC334" s="19">
        <v>45460</v>
      </c>
      <c r="AD334" s="19"/>
    </row>
    <row r="335" spans="1:30" x14ac:dyDescent="0.25">
      <c r="A335" s="25">
        <v>10334</v>
      </c>
      <c r="B335" t="s">
        <v>359</v>
      </c>
      <c r="C335" t="s">
        <v>359</v>
      </c>
      <c r="D335" s="27" t="s">
        <v>493</v>
      </c>
      <c r="E335" s="27">
        <v>3</v>
      </c>
      <c r="F335" s="118">
        <v>4180</v>
      </c>
      <c r="G335" t="s">
        <v>22</v>
      </c>
      <c r="H335" t="s">
        <v>8</v>
      </c>
      <c r="I335">
        <v>-0.49759999999999999</v>
      </c>
      <c r="J335">
        <v>2.7090000000000001</v>
      </c>
      <c r="K335">
        <v>3.0000000000000001E-3</v>
      </c>
      <c r="L335" s="109">
        <v>1.348684210526316E-2</v>
      </c>
      <c r="M335" s="140">
        <f t="shared" si="37"/>
        <v>0.05</v>
      </c>
      <c r="N335" s="140">
        <f t="shared" si="37"/>
        <v>2.7090000000000001</v>
      </c>
      <c r="O335" s="140">
        <f t="shared" si="37"/>
        <v>0.05</v>
      </c>
      <c r="P335" s="140">
        <f t="shared" si="38"/>
        <v>0.05</v>
      </c>
      <c r="Q335" s="161" t="s">
        <v>515</v>
      </c>
      <c r="R335" s="125">
        <v>24.166666666666668</v>
      </c>
      <c r="S335">
        <v>42.086666666666666</v>
      </c>
      <c r="T335">
        <v>4.0156025182193327</v>
      </c>
      <c r="U335">
        <v>1.8400791675168335</v>
      </c>
      <c r="Y335">
        <f t="shared" si="39"/>
        <v>6</v>
      </c>
      <c r="Z335">
        <f t="shared" si="40"/>
        <v>17</v>
      </c>
      <c r="AA335">
        <f t="shared" si="41"/>
        <v>2024</v>
      </c>
      <c r="AC335" s="19">
        <v>45460</v>
      </c>
      <c r="AD335" s="19"/>
    </row>
    <row r="336" spans="1:30" x14ac:dyDescent="0.25">
      <c r="A336" s="25">
        <v>10335</v>
      </c>
      <c r="B336" t="s">
        <v>360</v>
      </c>
      <c r="C336" t="s">
        <v>360</v>
      </c>
      <c r="D336" s="27" t="s">
        <v>494</v>
      </c>
      <c r="E336" s="27">
        <v>4</v>
      </c>
      <c r="F336" s="118">
        <v>4980</v>
      </c>
      <c r="G336" t="s">
        <v>22</v>
      </c>
      <c r="H336" t="s">
        <v>8</v>
      </c>
      <c r="I336">
        <v>-0.50060000000000004</v>
      </c>
      <c r="J336">
        <v>2.4249999999999998</v>
      </c>
      <c r="K336">
        <v>3.0000000000000001E-3</v>
      </c>
      <c r="M336" s="140">
        <f t="shared" si="37"/>
        <v>0.05</v>
      </c>
      <c r="N336" s="140">
        <f t="shared" si="37"/>
        <v>2.4249999999999998</v>
      </c>
      <c r="O336" s="140">
        <f t="shared" si="37"/>
        <v>0.05</v>
      </c>
      <c r="P336" s="140">
        <f t="shared" si="38"/>
        <v>0.05</v>
      </c>
      <c r="Q336" s="161" t="s">
        <v>515</v>
      </c>
      <c r="R336" s="125">
        <v>54.156666666666666</v>
      </c>
      <c r="S336">
        <v>88.8</v>
      </c>
      <c r="T336">
        <v>4.013003543546029</v>
      </c>
      <c r="U336">
        <v>1.7688692103652319</v>
      </c>
      <c r="Y336">
        <f t="shared" si="39"/>
        <v>6</v>
      </c>
      <c r="Z336">
        <f t="shared" si="40"/>
        <v>17</v>
      </c>
      <c r="AA336">
        <f t="shared" si="41"/>
        <v>2024</v>
      </c>
      <c r="AC336" s="19">
        <v>45460</v>
      </c>
      <c r="AD336" s="19"/>
    </row>
    <row r="337" spans="1:30" x14ac:dyDescent="0.25">
      <c r="A337" s="25">
        <v>10336</v>
      </c>
      <c r="B337" t="s">
        <v>361</v>
      </c>
      <c r="C337" t="s">
        <v>361</v>
      </c>
      <c r="D337" s="27" t="s">
        <v>495</v>
      </c>
      <c r="E337" s="27">
        <v>5</v>
      </c>
      <c r="F337" s="118">
        <v>6340</v>
      </c>
      <c r="G337" t="s">
        <v>22</v>
      </c>
      <c r="H337" t="s">
        <v>8</v>
      </c>
      <c r="I337">
        <v>-0.49890000000000001</v>
      </c>
      <c r="J337">
        <v>2.64</v>
      </c>
      <c r="K337">
        <v>1E-3</v>
      </c>
      <c r="L337" s="109">
        <v>5.2631578947368429E-3</v>
      </c>
      <c r="M337" s="140">
        <f t="shared" si="37"/>
        <v>0.05</v>
      </c>
      <c r="N337" s="140">
        <f t="shared" si="37"/>
        <v>2.64</v>
      </c>
      <c r="O337" s="140">
        <f t="shared" si="37"/>
        <v>0.05</v>
      </c>
      <c r="P337" s="140">
        <f t="shared" si="38"/>
        <v>0.05</v>
      </c>
      <c r="Q337" s="161">
        <v>0.13574505906711387</v>
      </c>
      <c r="R337" s="125">
        <v>18.95</v>
      </c>
      <c r="S337">
        <v>37.286666666666669</v>
      </c>
      <c r="T337">
        <v>4.0208004675659392</v>
      </c>
      <c r="U337">
        <v>1.7758065700877372</v>
      </c>
      <c r="Y337">
        <f t="shared" si="39"/>
        <v>6</v>
      </c>
      <c r="Z337">
        <f t="shared" si="40"/>
        <v>17</v>
      </c>
      <c r="AA337">
        <f t="shared" si="41"/>
        <v>2024</v>
      </c>
      <c r="AC337" s="19">
        <v>45460</v>
      </c>
      <c r="AD337" s="19"/>
    </row>
    <row r="338" spans="1:30" x14ac:dyDescent="0.25">
      <c r="A338" s="25">
        <v>10337</v>
      </c>
      <c r="B338" t="s">
        <v>362</v>
      </c>
      <c r="C338" t="s">
        <v>362</v>
      </c>
      <c r="D338" s="27" t="s">
        <v>496</v>
      </c>
      <c r="E338" s="27">
        <v>6</v>
      </c>
      <c r="F338" s="118">
        <v>7900</v>
      </c>
      <c r="G338" t="s">
        <v>22</v>
      </c>
      <c r="H338" t="s">
        <v>8</v>
      </c>
      <c r="I338">
        <v>-0.50249999999999995</v>
      </c>
      <c r="J338">
        <v>2.3239999999999998</v>
      </c>
      <c r="K338">
        <v>3.0000000000000001E-3</v>
      </c>
      <c r="M338" s="140">
        <f t="shared" ref="M338:O353" si="42">IF(I338&lt;0.1,0.05,I338)</f>
        <v>0.05</v>
      </c>
      <c r="N338" s="140">
        <f t="shared" si="42"/>
        <v>2.3239999999999998</v>
      </c>
      <c r="O338" s="140">
        <f t="shared" si="42"/>
        <v>0.05</v>
      </c>
      <c r="P338" s="140">
        <f t="shared" si="38"/>
        <v>0.05</v>
      </c>
      <c r="Q338" s="161">
        <v>0.14968364274386892</v>
      </c>
      <c r="R338" s="125">
        <v>27.733333333333334</v>
      </c>
      <c r="S338">
        <v>50.906666666666666</v>
      </c>
      <c r="T338">
        <v>3.8570650631478074</v>
      </c>
      <c r="U338">
        <v>1.6295098959396044</v>
      </c>
      <c r="Y338">
        <f t="shared" si="39"/>
        <v>6</v>
      </c>
      <c r="Z338">
        <f t="shared" si="40"/>
        <v>17</v>
      </c>
      <c r="AA338">
        <f t="shared" si="41"/>
        <v>2024</v>
      </c>
      <c r="AC338" s="19">
        <v>45460</v>
      </c>
      <c r="AD338" s="19"/>
    </row>
    <row r="339" spans="1:30" x14ac:dyDescent="0.25">
      <c r="A339" s="25">
        <v>10338</v>
      </c>
      <c r="B339" t="s">
        <v>363</v>
      </c>
      <c r="C339" t="s">
        <v>363</v>
      </c>
      <c r="D339" s="27" t="s">
        <v>497</v>
      </c>
      <c r="E339" s="27">
        <v>7</v>
      </c>
      <c r="F339" s="118">
        <v>10610</v>
      </c>
      <c r="G339" t="s">
        <v>22</v>
      </c>
      <c r="H339" t="s">
        <v>8</v>
      </c>
      <c r="I339">
        <v>-0.50439999999999996</v>
      </c>
      <c r="J339">
        <v>2.6219999999999999</v>
      </c>
      <c r="K339">
        <v>1E-3</v>
      </c>
      <c r="M339" s="140">
        <f t="shared" si="42"/>
        <v>0.05</v>
      </c>
      <c r="N339" s="140">
        <f t="shared" si="42"/>
        <v>2.6219999999999999</v>
      </c>
      <c r="O339" s="140">
        <f t="shared" si="42"/>
        <v>0.05</v>
      </c>
      <c r="P339" s="140">
        <f t="shared" si="38"/>
        <v>0.05</v>
      </c>
      <c r="Q339" s="161">
        <v>0.15423945029774655</v>
      </c>
      <c r="R339" s="125">
        <v>52.906666666666666</v>
      </c>
      <c r="S339">
        <v>80.483333333333334</v>
      </c>
      <c r="T339">
        <v>4.1107249912622477</v>
      </c>
      <c r="U339">
        <v>1.7747863701285453</v>
      </c>
      <c r="Y339">
        <f t="shared" si="39"/>
        <v>6</v>
      </c>
      <c r="Z339">
        <f t="shared" si="40"/>
        <v>17</v>
      </c>
      <c r="AA339">
        <f t="shared" si="41"/>
        <v>2024</v>
      </c>
      <c r="AC339" s="19">
        <v>45460</v>
      </c>
      <c r="AD339" s="19"/>
    </row>
    <row r="340" spans="1:30" x14ac:dyDescent="0.25">
      <c r="A340" s="25">
        <v>10339</v>
      </c>
      <c r="B340" t="s">
        <v>364</v>
      </c>
      <c r="C340" t="s">
        <v>364</v>
      </c>
      <c r="D340" s="27" t="s">
        <v>498</v>
      </c>
      <c r="E340" s="27">
        <v>8</v>
      </c>
      <c r="F340" s="118">
        <v>9370</v>
      </c>
      <c r="G340" t="s">
        <v>22</v>
      </c>
      <c r="H340" t="s">
        <v>8</v>
      </c>
      <c r="I340">
        <v>-0.50609999999999999</v>
      </c>
      <c r="J340">
        <v>2.7610000000000001</v>
      </c>
      <c r="K340">
        <v>1E-3</v>
      </c>
      <c r="L340" s="109">
        <v>-1.63826998689384E-3</v>
      </c>
      <c r="M340" s="140">
        <f t="shared" si="42"/>
        <v>0.05</v>
      </c>
      <c r="N340" s="140">
        <f t="shared" si="42"/>
        <v>2.7610000000000001</v>
      </c>
      <c r="O340" s="140">
        <f t="shared" si="42"/>
        <v>0.05</v>
      </c>
      <c r="P340" s="140">
        <f t="shared" si="38"/>
        <v>0.05</v>
      </c>
      <c r="Q340" s="161">
        <v>0.14422491778307095</v>
      </c>
      <c r="R340" s="125">
        <v>39.9</v>
      </c>
      <c r="S340">
        <v>56.639999999999993</v>
      </c>
      <c r="T340">
        <v>4.0467902142989765</v>
      </c>
      <c r="U340">
        <v>1.7974348092226076</v>
      </c>
      <c r="Y340">
        <f t="shared" si="39"/>
        <v>6</v>
      </c>
      <c r="Z340">
        <f t="shared" si="40"/>
        <v>17</v>
      </c>
      <c r="AA340">
        <f t="shared" si="41"/>
        <v>2024</v>
      </c>
      <c r="AC340" s="19">
        <v>45460</v>
      </c>
      <c r="AD340" s="19"/>
    </row>
    <row r="341" spans="1:30" x14ac:dyDescent="0.25">
      <c r="A341" s="25">
        <v>10340</v>
      </c>
      <c r="B341" t="s">
        <v>365</v>
      </c>
      <c r="C341" t="s">
        <v>365</v>
      </c>
      <c r="D341" s="27" t="s">
        <v>499</v>
      </c>
      <c r="E341" s="27">
        <v>9</v>
      </c>
      <c r="F341" s="118">
        <v>10331</v>
      </c>
      <c r="G341" t="s">
        <v>22</v>
      </c>
      <c r="H341" t="s">
        <v>8</v>
      </c>
      <c r="I341">
        <v>-0.5101</v>
      </c>
      <c r="J341">
        <v>2.7090000000000001</v>
      </c>
      <c r="K341">
        <v>2E-3</v>
      </c>
      <c r="M341" s="140">
        <f t="shared" si="42"/>
        <v>0.05</v>
      </c>
      <c r="N341" s="140">
        <f t="shared" si="42"/>
        <v>2.7090000000000001</v>
      </c>
      <c r="O341" s="140">
        <f t="shared" si="42"/>
        <v>0.05</v>
      </c>
      <c r="P341" s="140">
        <f t="shared" si="38"/>
        <v>0.05</v>
      </c>
      <c r="Q341" s="161">
        <v>0.20272207257542854</v>
      </c>
      <c r="R341" s="125">
        <v>37.856666666666669</v>
      </c>
      <c r="S341">
        <v>40.183333333333337</v>
      </c>
      <c r="T341">
        <v>4.1881744365266975</v>
      </c>
      <c r="U341">
        <v>1.8376306876147726</v>
      </c>
      <c r="Y341">
        <f t="shared" si="39"/>
        <v>6</v>
      </c>
      <c r="Z341">
        <f t="shared" si="40"/>
        <v>17</v>
      </c>
      <c r="AA341">
        <f t="shared" si="41"/>
        <v>2024</v>
      </c>
      <c r="AC341" s="19">
        <v>45460</v>
      </c>
      <c r="AD341" s="19"/>
    </row>
    <row r="342" spans="1:30" x14ac:dyDescent="0.25">
      <c r="A342" s="25">
        <v>10341</v>
      </c>
      <c r="B342" t="s">
        <v>366</v>
      </c>
      <c r="C342" t="s">
        <v>366</v>
      </c>
      <c r="D342" s="27" t="s">
        <v>500</v>
      </c>
      <c r="E342" s="27">
        <v>10</v>
      </c>
      <c r="F342" s="118">
        <v>11270</v>
      </c>
      <c r="G342" t="s">
        <v>22</v>
      </c>
      <c r="H342" t="s">
        <v>8</v>
      </c>
      <c r="I342">
        <v>-0.50129999999999997</v>
      </c>
      <c r="J342">
        <v>2.77</v>
      </c>
      <c r="K342">
        <v>2E-3</v>
      </c>
      <c r="M342" s="140">
        <f t="shared" si="42"/>
        <v>0.05</v>
      </c>
      <c r="N342" s="140">
        <f t="shared" si="42"/>
        <v>2.77</v>
      </c>
      <c r="O342" s="140">
        <f t="shared" si="42"/>
        <v>0.05</v>
      </c>
      <c r="P342" s="140">
        <f t="shared" si="38"/>
        <v>0.05</v>
      </c>
      <c r="Q342" s="161">
        <v>0.22173503371726239</v>
      </c>
      <c r="R342" s="125">
        <v>28.836666666666662</v>
      </c>
      <c r="S342">
        <v>40.206666666666663</v>
      </c>
      <c r="T342">
        <v>4.0285973915858513</v>
      </c>
      <c r="U342">
        <v>1.8559942868802288</v>
      </c>
      <c r="Y342">
        <f t="shared" si="39"/>
        <v>6</v>
      </c>
      <c r="Z342">
        <f t="shared" si="40"/>
        <v>17</v>
      </c>
      <c r="AA342">
        <f t="shared" si="41"/>
        <v>2024</v>
      </c>
      <c r="AC342" s="19">
        <v>45460</v>
      </c>
      <c r="AD342" s="19"/>
    </row>
    <row r="343" spans="1:30" x14ac:dyDescent="0.25">
      <c r="A343" s="25">
        <v>10342</v>
      </c>
      <c r="B343" t="s">
        <v>367</v>
      </c>
      <c r="C343" t="s">
        <v>367</v>
      </c>
      <c r="D343" s="27" t="s">
        <v>501</v>
      </c>
      <c r="E343" s="27">
        <v>13</v>
      </c>
      <c r="F343" s="118">
        <v>5180</v>
      </c>
      <c r="G343" t="s">
        <v>22</v>
      </c>
      <c r="H343" t="s">
        <v>8</v>
      </c>
      <c r="I343">
        <v>-0.50209999999999999</v>
      </c>
      <c r="J343">
        <v>2.5950000000000002</v>
      </c>
      <c r="K343">
        <v>1E-3</v>
      </c>
      <c r="M343" s="140">
        <f t="shared" si="42"/>
        <v>0.05</v>
      </c>
      <c r="N343" s="140">
        <f t="shared" si="42"/>
        <v>2.5950000000000002</v>
      </c>
      <c r="O343" s="140">
        <f t="shared" si="42"/>
        <v>0.05</v>
      </c>
      <c r="P343" s="140">
        <f t="shared" si="38"/>
        <v>0.05</v>
      </c>
      <c r="Q343" s="161">
        <v>0.19989054292111763</v>
      </c>
      <c r="R343" s="125">
        <v>29.03</v>
      </c>
      <c r="S343">
        <v>50.213333333333338</v>
      </c>
      <c r="T343">
        <v>4.0701809863587091</v>
      </c>
      <c r="U343">
        <v>1.8025358090185679</v>
      </c>
      <c r="Y343">
        <f t="shared" si="39"/>
        <v>6</v>
      </c>
      <c r="Z343">
        <f t="shared" si="40"/>
        <v>17</v>
      </c>
      <c r="AA343">
        <f t="shared" si="41"/>
        <v>2024</v>
      </c>
      <c r="AC343" s="19">
        <v>45460</v>
      </c>
      <c r="AD343" s="19"/>
    </row>
    <row r="344" spans="1:30" x14ac:dyDescent="0.25">
      <c r="A344" s="25">
        <v>10343</v>
      </c>
      <c r="B344" t="s">
        <v>368</v>
      </c>
      <c r="C344" t="s">
        <v>368</v>
      </c>
      <c r="D344" s="27" t="s">
        <v>502</v>
      </c>
      <c r="E344" s="27">
        <v>14</v>
      </c>
      <c r="F344" s="118">
        <v>1040</v>
      </c>
      <c r="G344" t="s">
        <v>22</v>
      </c>
      <c r="H344" t="s">
        <v>8</v>
      </c>
      <c r="I344">
        <v>-0.68030000000000002</v>
      </c>
      <c r="J344">
        <v>2.6680000000000001</v>
      </c>
      <c r="K344">
        <v>1E-3</v>
      </c>
      <c r="L344" s="109">
        <v>7.434210526315789E-2</v>
      </c>
      <c r="M344" s="140">
        <f t="shared" si="42"/>
        <v>0.05</v>
      </c>
      <c r="N344" s="140">
        <f t="shared" si="42"/>
        <v>2.6680000000000001</v>
      </c>
      <c r="O344" s="140">
        <f t="shared" si="42"/>
        <v>0.05</v>
      </c>
      <c r="P344" s="140">
        <f t="shared" si="38"/>
        <v>0.05</v>
      </c>
      <c r="Q344" s="161">
        <v>0.16155635043878247</v>
      </c>
      <c r="R344" s="125">
        <v>22.33</v>
      </c>
      <c r="S344">
        <v>36.4</v>
      </c>
      <c r="T344">
        <v>4.0426318548216909</v>
      </c>
      <c r="U344">
        <v>1.784784329728627</v>
      </c>
      <c r="Y344">
        <f t="shared" si="39"/>
        <v>6</v>
      </c>
      <c r="Z344">
        <f t="shared" si="40"/>
        <v>17</v>
      </c>
      <c r="AA344">
        <f t="shared" si="41"/>
        <v>2024</v>
      </c>
      <c r="AC344" s="19">
        <v>45460</v>
      </c>
      <c r="AD344" s="19"/>
    </row>
    <row r="345" spans="1:30" x14ac:dyDescent="0.25">
      <c r="A345" s="25">
        <v>10344</v>
      </c>
      <c r="B345" s="69" t="s">
        <v>369</v>
      </c>
      <c r="C345" s="37" t="s">
        <v>369</v>
      </c>
      <c r="D345" s="38" t="s">
        <v>504</v>
      </c>
      <c r="E345" s="38">
        <v>5</v>
      </c>
      <c r="F345" s="118">
        <v>6425</v>
      </c>
      <c r="G345" s="37" t="s">
        <v>20</v>
      </c>
      <c r="H345" s="37" t="s">
        <v>8</v>
      </c>
      <c r="I345">
        <v>1.72E-2</v>
      </c>
      <c r="J345">
        <v>2.165</v>
      </c>
      <c r="K345">
        <v>-3.5999999999999997E-2</v>
      </c>
      <c r="L345" s="108"/>
      <c r="M345" s="140">
        <f t="shared" si="42"/>
        <v>0.05</v>
      </c>
      <c r="N345" s="140">
        <f t="shared" si="42"/>
        <v>2.165</v>
      </c>
      <c r="O345" s="140">
        <f t="shared" si="42"/>
        <v>0.05</v>
      </c>
      <c r="P345" s="140">
        <f t="shared" si="38"/>
        <v>0.05</v>
      </c>
      <c r="Q345" s="165">
        <v>0.15</v>
      </c>
      <c r="R345" s="125">
        <v>43.443333333333328</v>
      </c>
      <c r="S345">
        <v>51.446666666666665</v>
      </c>
      <c r="T345" s="27">
        <v>2.4212442359032442</v>
      </c>
      <c r="U345" s="27">
        <v>1.5296298281287231</v>
      </c>
      <c r="V345" s="27"/>
      <c r="Y345">
        <f t="shared" si="39"/>
        <v>6</v>
      </c>
      <c r="Z345">
        <f t="shared" si="40"/>
        <v>19</v>
      </c>
      <c r="AA345">
        <f t="shared" si="41"/>
        <v>2024</v>
      </c>
      <c r="AC345" s="19">
        <v>45462</v>
      </c>
      <c r="AD345" s="19"/>
    </row>
    <row r="346" spans="1:30" x14ac:dyDescent="0.25">
      <c r="A346" s="25">
        <v>10345</v>
      </c>
      <c r="B346" s="69" t="s">
        <v>370</v>
      </c>
      <c r="C346" s="37" t="s">
        <v>370</v>
      </c>
      <c r="D346" s="38" t="s">
        <v>483</v>
      </c>
      <c r="E346" s="38">
        <v>6</v>
      </c>
      <c r="F346" s="118">
        <v>8245</v>
      </c>
      <c r="G346" s="37" t="s">
        <v>20</v>
      </c>
      <c r="H346" s="37" t="s">
        <v>8</v>
      </c>
      <c r="I346">
        <v>1.3299999999999999E-2</v>
      </c>
      <c r="J346">
        <v>1.6659999999999999</v>
      </c>
      <c r="K346">
        <v>-0.04</v>
      </c>
      <c r="M346" s="140">
        <f t="shared" si="42"/>
        <v>0.05</v>
      </c>
      <c r="N346" s="140">
        <f t="shared" si="42"/>
        <v>1.6659999999999999</v>
      </c>
      <c r="O346" s="140">
        <f t="shared" si="42"/>
        <v>0.05</v>
      </c>
      <c r="P346" s="140">
        <f t="shared" si="38"/>
        <v>0.05</v>
      </c>
      <c r="Q346" s="161">
        <v>0.15971973526009681</v>
      </c>
      <c r="R346" s="125">
        <v>1.2</v>
      </c>
      <c r="S346">
        <v>2.4</v>
      </c>
      <c r="T346" s="27">
        <v>3.023609200981582</v>
      </c>
      <c r="U346" s="27">
        <v>1.5035992429579399</v>
      </c>
      <c r="V346" s="27"/>
      <c r="Y346">
        <f t="shared" si="39"/>
        <v>6</v>
      </c>
      <c r="Z346">
        <f t="shared" si="40"/>
        <v>19</v>
      </c>
      <c r="AA346">
        <f t="shared" si="41"/>
        <v>2024</v>
      </c>
      <c r="AC346" s="19">
        <v>45462</v>
      </c>
      <c r="AD346" s="19"/>
    </row>
    <row r="347" spans="1:30" x14ac:dyDescent="0.25">
      <c r="A347" s="25">
        <v>10346</v>
      </c>
      <c r="B347" t="s">
        <v>371</v>
      </c>
      <c r="C347" t="s">
        <v>371</v>
      </c>
      <c r="D347" s="27" t="s">
        <v>484</v>
      </c>
      <c r="E347" s="27">
        <v>8</v>
      </c>
      <c r="F347" s="118">
        <v>5065</v>
      </c>
      <c r="G347" t="s">
        <v>20</v>
      </c>
      <c r="H347" t="s">
        <v>8</v>
      </c>
      <c r="I347">
        <v>3.4700000000000002E-2</v>
      </c>
      <c r="J347">
        <v>3.7410000000000001</v>
      </c>
      <c r="K347">
        <v>0.18</v>
      </c>
      <c r="L347" s="108">
        <v>3.3096926713947999E-3</v>
      </c>
      <c r="M347" s="140">
        <f t="shared" si="42"/>
        <v>0.05</v>
      </c>
      <c r="N347" s="140">
        <f t="shared" si="42"/>
        <v>3.7410000000000001</v>
      </c>
      <c r="O347" s="140">
        <f t="shared" si="42"/>
        <v>0.18</v>
      </c>
      <c r="P347" s="140">
        <f t="shared" si="38"/>
        <v>0.05</v>
      </c>
      <c r="Q347" s="165">
        <v>0.15</v>
      </c>
      <c r="R347" s="125">
        <v>8.6766666666666676</v>
      </c>
      <c r="S347">
        <v>8.7033333333333331</v>
      </c>
      <c r="T347" s="27">
        <v>273.70289620580854</v>
      </c>
      <c r="U347" s="27">
        <v>1.9477334907168073</v>
      </c>
      <c r="V347" s="27"/>
      <c r="Y347">
        <f t="shared" si="39"/>
        <v>6</v>
      </c>
      <c r="Z347">
        <f t="shared" si="40"/>
        <v>19</v>
      </c>
      <c r="AA347">
        <f t="shared" si="41"/>
        <v>2024</v>
      </c>
      <c r="AC347" s="19">
        <v>45462</v>
      </c>
      <c r="AD347" s="19"/>
    </row>
    <row r="348" spans="1:30" x14ac:dyDescent="0.25">
      <c r="A348" s="25">
        <v>10347</v>
      </c>
      <c r="B348" t="s">
        <v>372</v>
      </c>
      <c r="C348" t="s">
        <v>372</v>
      </c>
      <c r="D348" s="27" t="s">
        <v>485</v>
      </c>
      <c r="E348" s="27">
        <v>9</v>
      </c>
      <c r="F348" s="118">
        <v>3385</v>
      </c>
      <c r="G348" t="s">
        <v>20</v>
      </c>
      <c r="H348" t="s">
        <v>8</v>
      </c>
      <c r="I348">
        <v>1.3899999999999999E-2</v>
      </c>
      <c r="J348">
        <v>4.3650000000000002</v>
      </c>
      <c r="K348">
        <v>0.26900000000000002</v>
      </c>
      <c r="L348" s="108">
        <v>1.7494089834515367E-2</v>
      </c>
      <c r="M348" s="140">
        <f t="shared" si="42"/>
        <v>0.05</v>
      </c>
      <c r="N348" s="140">
        <f t="shared" si="42"/>
        <v>4.3650000000000002</v>
      </c>
      <c r="O348" s="140">
        <f t="shared" si="42"/>
        <v>0.26900000000000002</v>
      </c>
      <c r="P348" s="140">
        <f t="shared" si="38"/>
        <v>0.05</v>
      </c>
      <c r="Q348" s="161">
        <v>0.10903253941265602</v>
      </c>
      <c r="R348" s="125">
        <v>53.930000000000007</v>
      </c>
      <c r="S348">
        <v>45.326666666666661</v>
      </c>
      <c r="T348" s="27">
        <v>3.9445163552031932</v>
      </c>
      <c r="U348" s="27">
        <v>2.43141808493671</v>
      </c>
      <c r="V348" s="27"/>
      <c r="Y348">
        <f t="shared" si="39"/>
        <v>6</v>
      </c>
      <c r="Z348">
        <f t="shared" si="40"/>
        <v>19</v>
      </c>
      <c r="AA348">
        <f t="shared" si="41"/>
        <v>2024</v>
      </c>
      <c r="AC348" s="19">
        <v>45462</v>
      </c>
      <c r="AD348" s="19"/>
    </row>
    <row r="349" spans="1:30" x14ac:dyDescent="0.25">
      <c r="A349" s="25">
        <v>10348</v>
      </c>
      <c r="B349" t="s">
        <v>373</v>
      </c>
      <c r="C349" t="s">
        <v>373</v>
      </c>
      <c r="D349" s="27" t="s">
        <v>486</v>
      </c>
      <c r="E349" s="27">
        <v>10</v>
      </c>
      <c r="F349" s="118">
        <v>2205</v>
      </c>
      <c r="G349" t="s">
        <v>20</v>
      </c>
      <c r="H349" t="s">
        <v>8</v>
      </c>
      <c r="I349">
        <v>9.9000000000000008E-3</v>
      </c>
      <c r="J349">
        <v>3.8980000000000001</v>
      </c>
      <c r="K349">
        <v>0.16</v>
      </c>
      <c r="L349" s="108">
        <v>1.4342001576044129E-2</v>
      </c>
      <c r="M349" s="140">
        <f t="shared" si="42"/>
        <v>0.05</v>
      </c>
      <c r="N349" s="140">
        <f t="shared" si="42"/>
        <v>3.8980000000000001</v>
      </c>
      <c r="O349" s="140">
        <f t="shared" si="42"/>
        <v>0.16</v>
      </c>
      <c r="P349" s="140">
        <f t="shared" si="38"/>
        <v>0.05</v>
      </c>
      <c r="Q349" s="165">
        <v>0.15</v>
      </c>
      <c r="R349" s="125">
        <v>24.013333333333335</v>
      </c>
      <c r="S349">
        <v>23.296666666666667</v>
      </c>
      <c r="T349" s="27">
        <v>2.9460804142059707</v>
      </c>
      <c r="U349" s="27">
        <v>2.3858141140173532</v>
      </c>
      <c r="V349" s="27"/>
      <c r="Y349">
        <f t="shared" si="39"/>
        <v>6</v>
      </c>
      <c r="Z349">
        <f t="shared" si="40"/>
        <v>19</v>
      </c>
      <c r="AA349">
        <f t="shared" si="41"/>
        <v>2024</v>
      </c>
      <c r="AC349" s="19">
        <v>45462</v>
      </c>
      <c r="AD349" s="19"/>
    </row>
    <row r="350" spans="1:30" x14ac:dyDescent="0.25">
      <c r="A350" s="25">
        <v>10349</v>
      </c>
      <c r="B350" t="s">
        <v>374</v>
      </c>
      <c r="C350" t="s">
        <v>374</v>
      </c>
      <c r="D350" s="27" t="s">
        <v>487</v>
      </c>
      <c r="E350" s="27">
        <v>11</v>
      </c>
      <c r="F350" s="118">
        <v>1385</v>
      </c>
      <c r="G350" t="s">
        <v>20</v>
      </c>
      <c r="H350" t="s">
        <v>8</v>
      </c>
      <c r="I350">
        <v>1.9300000000000001E-2</v>
      </c>
      <c r="J350">
        <v>4.9690000000000003</v>
      </c>
      <c r="K350">
        <v>0.19900000000000001</v>
      </c>
      <c r="M350" s="140">
        <f t="shared" si="42"/>
        <v>0.05</v>
      </c>
      <c r="N350" s="140">
        <f t="shared" si="42"/>
        <v>4.9690000000000003</v>
      </c>
      <c r="O350" s="140">
        <f t="shared" si="42"/>
        <v>0.19900000000000001</v>
      </c>
      <c r="P350" s="140">
        <f t="shared" si="38"/>
        <v>0.05</v>
      </c>
      <c r="Q350" s="161">
        <v>0.17163431638319676</v>
      </c>
      <c r="R350" s="125">
        <v>56.913333333333334</v>
      </c>
      <c r="S350">
        <v>43.74</v>
      </c>
      <c r="T350" s="27">
        <v>3.0077663619448263</v>
      </c>
      <c r="U350" s="27">
        <v>2.6487432029904578</v>
      </c>
      <c r="V350" s="27"/>
      <c r="Y350">
        <f t="shared" si="39"/>
        <v>6</v>
      </c>
      <c r="Z350">
        <f t="shared" si="40"/>
        <v>19</v>
      </c>
      <c r="AA350">
        <f t="shared" si="41"/>
        <v>2024</v>
      </c>
      <c r="AC350" s="19">
        <v>45462</v>
      </c>
      <c r="AD350" s="19"/>
    </row>
    <row r="351" spans="1:30" x14ac:dyDescent="0.25">
      <c r="A351" s="25">
        <v>10350</v>
      </c>
      <c r="B351" t="s">
        <v>375</v>
      </c>
      <c r="C351" t="s">
        <v>375</v>
      </c>
      <c r="D351" s="27" t="s">
        <v>488</v>
      </c>
      <c r="E351" s="27">
        <v>12</v>
      </c>
      <c r="F351" s="118">
        <v>275</v>
      </c>
      <c r="G351" t="s">
        <v>20</v>
      </c>
      <c r="H351" t="s">
        <v>8</v>
      </c>
      <c r="I351">
        <v>1.7000000000000001E-2</v>
      </c>
      <c r="J351">
        <v>4.9409999999999998</v>
      </c>
      <c r="K351">
        <v>0.17</v>
      </c>
      <c r="M351" s="140">
        <f t="shared" si="42"/>
        <v>0.05</v>
      </c>
      <c r="N351" s="140">
        <f t="shared" si="42"/>
        <v>4.9409999999999998</v>
      </c>
      <c r="O351" s="140">
        <f t="shared" si="42"/>
        <v>0.17</v>
      </c>
      <c r="P351" s="140">
        <f t="shared" si="38"/>
        <v>0.05</v>
      </c>
      <c r="Q351" s="165">
        <v>0.15</v>
      </c>
      <c r="R351" s="125">
        <v>37.576666666666668</v>
      </c>
      <c r="S351">
        <v>33.163333333333334</v>
      </c>
      <c r="T351" s="27">
        <v>3.2802969015451828</v>
      </c>
      <c r="U351" s="27">
        <v>2.8910899688052698</v>
      </c>
      <c r="V351" s="27"/>
      <c r="Y351">
        <f t="shared" si="39"/>
        <v>6</v>
      </c>
      <c r="Z351">
        <f t="shared" si="40"/>
        <v>19</v>
      </c>
      <c r="AA351">
        <f t="shared" si="41"/>
        <v>2024</v>
      </c>
      <c r="AC351" s="19">
        <v>45462</v>
      </c>
      <c r="AD351" s="19"/>
    </row>
    <row r="352" spans="1:30" x14ac:dyDescent="0.25">
      <c r="A352" s="25">
        <v>10351</v>
      </c>
      <c r="B352" t="s">
        <v>376</v>
      </c>
      <c r="C352" t="s">
        <v>376</v>
      </c>
      <c r="D352" s="27" t="s">
        <v>489</v>
      </c>
      <c r="E352" s="27">
        <v>14</v>
      </c>
      <c r="F352" s="118">
        <v>4225</v>
      </c>
      <c r="G352" t="s">
        <v>20</v>
      </c>
      <c r="H352" t="s">
        <v>8</v>
      </c>
      <c r="I352">
        <v>6.4000000000000003E-3</v>
      </c>
      <c r="J352">
        <v>3.512</v>
      </c>
      <c r="K352">
        <v>0.16300000000000001</v>
      </c>
      <c r="M352" s="140">
        <f t="shared" si="42"/>
        <v>0.05</v>
      </c>
      <c r="N352" s="140">
        <f t="shared" si="42"/>
        <v>3.512</v>
      </c>
      <c r="O352" s="140">
        <f t="shared" si="42"/>
        <v>0.16300000000000001</v>
      </c>
      <c r="P352" s="140">
        <f t="shared" si="38"/>
        <v>0.05</v>
      </c>
      <c r="Q352" s="165">
        <v>0.15</v>
      </c>
      <c r="R352" s="125">
        <v>7.6566666666666663</v>
      </c>
      <c r="S352">
        <v>9.3433333333333319</v>
      </c>
      <c r="T352" s="27">
        <v>2.593661516058571</v>
      </c>
      <c r="U352" s="27">
        <v>2.0619452054971434</v>
      </c>
      <c r="V352" s="27"/>
      <c r="Y352">
        <f t="shared" si="39"/>
        <v>6</v>
      </c>
      <c r="Z352">
        <f t="shared" si="40"/>
        <v>19</v>
      </c>
      <c r="AA352">
        <f t="shared" si="41"/>
        <v>2024</v>
      </c>
      <c r="AC352" s="19">
        <v>45462</v>
      </c>
      <c r="AD352" s="19"/>
    </row>
    <row r="353" spans="1:30" x14ac:dyDescent="0.25">
      <c r="A353" s="25">
        <v>10352</v>
      </c>
      <c r="B353" t="s">
        <v>377</v>
      </c>
      <c r="C353" t="s">
        <v>377</v>
      </c>
      <c r="D353" s="27" t="s">
        <v>490</v>
      </c>
      <c r="E353" s="27">
        <v>15</v>
      </c>
      <c r="F353" s="118">
        <v>2905</v>
      </c>
      <c r="G353" t="s">
        <v>20</v>
      </c>
      <c r="H353" t="s">
        <v>8</v>
      </c>
      <c r="I353">
        <v>1.6199999999999999E-2</v>
      </c>
      <c r="J353">
        <v>3.94</v>
      </c>
      <c r="K353">
        <v>0.17399999999999999</v>
      </c>
      <c r="L353" s="108">
        <v>2.2222222222222223E-2</v>
      </c>
      <c r="M353" s="140">
        <f t="shared" si="42"/>
        <v>0.05</v>
      </c>
      <c r="N353" s="140">
        <f t="shared" si="42"/>
        <v>3.94</v>
      </c>
      <c r="O353" s="140">
        <f t="shared" si="42"/>
        <v>0.17399999999999999</v>
      </c>
      <c r="P353" s="140">
        <f t="shared" si="38"/>
        <v>0.05</v>
      </c>
      <c r="Q353" s="161">
        <v>6.9118739914141705E-2</v>
      </c>
      <c r="R353" s="125">
        <v>24.076666666666668</v>
      </c>
      <c r="S353">
        <v>17.256666666666664</v>
      </c>
      <c r="T353" s="27">
        <v>2.7220896367607796</v>
      </c>
      <c r="U353" s="27">
        <v>1.4878652003658219</v>
      </c>
      <c r="V353" s="27"/>
      <c r="Y353">
        <f t="shared" si="39"/>
        <v>6</v>
      </c>
      <c r="Z353">
        <f t="shared" si="40"/>
        <v>19</v>
      </c>
      <c r="AA353">
        <f t="shared" si="41"/>
        <v>2024</v>
      </c>
      <c r="AC353" s="19">
        <v>45462</v>
      </c>
      <c r="AD353" s="19"/>
    </row>
    <row r="354" spans="1:30" x14ac:dyDescent="0.25">
      <c r="A354" s="25">
        <v>10353</v>
      </c>
      <c r="B354" t="s">
        <v>378</v>
      </c>
      <c r="C354" t="s">
        <v>378</v>
      </c>
      <c r="D354" s="27" t="s">
        <v>462</v>
      </c>
      <c r="E354" s="27">
        <v>1</v>
      </c>
      <c r="F354" s="118">
        <v>5999</v>
      </c>
      <c r="G354" t="s">
        <v>19</v>
      </c>
      <c r="H354" t="s">
        <v>8</v>
      </c>
      <c r="I354">
        <v>2.0999999999999999E-3</v>
      </c>
      <c r="J354">
        <v>1.645</v>
      </c>
      <c r="K354">
        <v>-4.0000000000000001E-3</v>
      </c>
      <c r="L354" s="26">
        <v>7.7093908629441626E-2</v>
      </c>
      <c r="M354" s="140">
        <f t="shared" ref="M354:O369" si="43">IF(I354&lt;0.1,0.05,I354)</f>
        <v>0.05</v>
      </c>
      <c r="N354" s="140">
        <f t="shared" si="43"/>
        <v>1.645</v>
      </c>
      <c r="O354" s="140">
        <f t="shared" si="43"/>
        <v>0.05</v>
      </c>
      <c r="P354" s="140">
        <f t="shared" si="38"/>
        <v>0.05</v>
      </c>
      <c r="Q354" s="161">
        <v>1.0502766978045142</v>
      </c>
      <c r="R354" s="125">
        <v>14.796666666666667</v>
      </c>
      <c r="S354">
        <v>25.053333333333331</v>
      </c>
      <c r="T354">
        <v>2.7166349765021502</v>
      </c>
      <c r="U354">
        <v>1.233876351764946</v>
      </c>
      <c r="Y354">
        <f t="shared" si="39"/>
        <v>6</v>
      </c>
      <c r="Z354">
        <f t="shared" si="40"/>
        <v>24</v>
      </c>
      <c r="AA354">
        <f t="shared" si="41"/>
        <v>2024</v>
      </c>
      <c r="AC354" s="19">
        <v>45467</v>
      </c>
      <c r="AD354" s="19"/>
    </row>
    <row r="355" spans="1:30" x14ac:dyDescent="0.25">
      <c r="A355" s="25">
        <v>10354</v>
      </c>
      <c r="B355" t="s">
        <v>379</v>
      </c>
      <c r="C355" t="s">
        <v>379</v>
      </c>
      <c r="D355" s="27" t="s">
        <v>463</v>
      </c>
      <c r="E355" s="27">
        <v>2</v>
      </c>
      <c r="F355" s="118">
        <v>8861</v>
      </c>
      <c r="G355" t="s">
        <v>19</v>
      </c>
      <c r="H355" t="s">
        <v>8</v>
      </c>
      <c r="I355">
        <v>-2E-3</v>
      </c>
      <c r="J355">
        <v>1.724</v>
      </c>
      <c r="K355">
        <v>-5.0000000000000001E-3</v>
      </c>
      <c r="M355" s="140">
        <f t="shared" si="43"/>
        <v>0.05</v>
      </c>
      <c r="N355" s="140">
        <f t="shared" si="43"/>
        <v>1.724</v>
      </c>
      <c r="O355" s="140">
        <f t="shared" si="43"/>
        <v>0.05</v>
      </c>
      <c r="P355" s="140">
        <f t="shared" si="38"/>
        <v>0.05</v>
      </c>
      <c r="Q355" s="161">
        <v>0.3084440650235159</v>
      </c>
      <c r="R355" s="125">
        <v>19.43</v>
      </c>
      <c r="S355">
        <v>29.52</v>
      </c>
      <c r="T355">
        <v>2.885048535332229</v>
      </c>
      <c r="U355">
        <v>1.3285509079779638</v>
      </c>
      <c r="Y355">
        <f t="shared" si="39"/>
        <v>6</v>
      </c>
      <c r="Z355">
        <f t="shared" si="40"/>
        <v>24</v>
      </c>
      <c r="AA355">
        <f t="shared" si="41"/>
        <v>2024</v>
      </c>
      <c r="AC355" s="19">
        <v>45467</v>
      </c>
      <c r="AD355" s="19"/>
    </row>
    <row r="356" spans="1:30" x14ac:dyDescent="0.25">
      <c r="A356" s="25">
        <v>10355</v>
      </c>
      <c r="B356" t="s">
        <v>380</v>
      </c>
      <c r="C356" t="s">
        <v>380</v>
      </c>
      <c r="D356" s="27" t="s">
        <v>464</v>
      </c>
      <c r="E356" s="27">
        <v>3</v>
      </c>
      <c r="F356" s="118">
        <v>9921</v>
      </c>
      <c r="G356" t="s">
        <v>19</v>
      </c>
      <c r="H356" t="s">
        <v>8</v>
      </c>
      <c r="I356">
        <v>-3.8E-3</v>
      </c>
      <c r="J356">
        <v>1.7</v>
      </c>
      <c r="K356">
        <v>-4.0000000000000001E-3</v>
      </c>
      <c r="L356" s="26">
        <v>-6.9796954314720805E-3</v>
      </c>
      <c r="M356" s="140">
        <f t="shared" si="43"/>
        <v>0.05</v>
      </c>
      <c r="N356" s="140">
        <f t="shared" si="43"/>
        <v>1.7</v>
      </c>
      <c r="O356" s="140">
        <f t="shared" si="43"/>
        <v>0.05</v>
      </c>
      <c r="P356" s="140">
        <f t="shared" si="38"/>
        <v>0.05</v>
      </c>
      <c r="Q356" s="161">
        <v>0.60303791707909904</v>
      </c>
      <c r="R356" s="125">
        <v>31.136666666666667</v>
      </c>
      <c r="S356">
        <v>41.246666666666663</v>
      </c>
      <c r="T356">
        <v>2.785767702812028</v>
      </c>
      <c r="U356">
        <v>1.315900428483983</v>
      </c>
      <c r="Y356">
        <f t="shared" si="39"/>
        <v>6</v>
      </c>
      <c r="Z356">
        <f t="shared" si="40"/>
        <v>24</v>
      </c>
      <c r="AA356">
        <f t="shared" si="41"/>
        <v>2024</v>
      </c>
      <c r="AC356" s="19">
        <v>45467</v>
      </c>
      <c r="AD356" s="19"/>
    </row>
    <row r="357" spans="1:30" x14ac:dyDescent="0.25">
      <c r="A357" s="25">
        <v>10356</v>
      </c>
      <c r="B357" t="s">
        <v>381</v>
      </c>
      <c r="C357" t="s">
        <v>381</v>
      </c>
      <c r="D357" s="27" t="s">
        <v>465</v>
      </c>
      <c r="E357" s="27">
        <v>4</v>
      </c>
      <c r="F357" s="118">
        <v>10891</v>
      </c>
      <c r="G357" t="s">
        <v>19</v>
      </c>
      <c r="H357" t="s">
        <v>8</v>
      </c>
      <c r="I357">
        <v>-2.3999999999999998E-3</v>
      </c>
      <c r="J357">
        <v>1.7050000000000001</v>
      </c>
      <c r="K357">
        <v>-3.0000000000000001E-3</v>
      </c>
      <c r="M357" s="140">
        <f t="shared" si="43"/>
        <v>0.05</v>
      </c>
      <c r="N357" s="140">
        <f t="shared" si="43"/>
        <v>1.7050000000000001</v>
      </c>
      <c r="O357" s="140">
        <f t="shared" si="43"/>
        <v>0.05</v>
      </c>
      <c r="P357" s="140">
        <f t="shared" si="38"/>
        <v>0.05</v>
      </c>
      <c r="Q357" s="161">
        <v>1.4350066717602503</v>
      </c>
      <c r="R357" s="125">
        <v>27.819999999999997</v>
      </c>
      <c r="S357">
        <v>37.33</v>
      </c>
      <c r="T357">
        <v>2.7488622624511163</v>
      </c>
      <c r="U357">
        <v>1.3338559477657621</v>
      </c>
      <c r="Y357">
        <f t="shared" si="39"/>
        <v>6</v>
      </c>
      <c r="Z357">
        <f t="shared" si="40"/>
        <v>24</v>
      </c>
      <c r="AA357">
        <f t="shared" si="41"/>
        <v>2024</v>
      </c>
      <c r="AC357" s="19">
        <v>45467</v>
      </c>
      <c r="AD357" s="19"/>
    </row>
    <row r="358" spans="1:30" x14ac:dyDescent="0.25">
      <c r="A358" s="25">
        <v>10357</v>
      </c>
      <c r="B358" t="s">
        <v>382</v>
      </c>
      <c r="C358" t="s">
        <v>382</v>
      </c>
      <c r="D358" s="27" t="s">
        <v>466</v>
      </c>
      <c r="E358" s="27">
        <v>5</v>
      </c>
      <c r="F358" s="118">
        <v>12821</v>
      </c>
      <c r="G358" t="s">
        <v>19</v>
      </c>
      <c r="H358" t="s">
        <v>8</v>
      </c>
      <c r="I358">
        <v>6.6E-3</v>
      </c>
      <c r="J358">
        <v>1.6120000000000001</v>
      </c>
      <c r="K358">
        <v>0</v>
      </c>
      <c r="M358" s="140">
        <f t="shared" si="43"/>
        <v>0.05</v>
      </c>
      <c r="N358" s="140">
        <f t="shared" si="43"/>
        <v>1.6120000000000001</v>
      </c>
      <c r="O358" s="140">
        <f t="shared" si="43"/>
        <v>0.05</v>
      </c>
      <c r="P358" s="140">
        <f t="shared" si="38"/>
        <v>0.05</v>
      </c>
      <c r="Q358" s="161">
        <v>0.7706619758508324</v>
      </c>
      <c r="R358" s="125">
        <v>28.053333333333331</v>
      </c>
      <c r="S358">
        <v>40.293333333333329</v>
      </c>
      <c r="T358">
        <v>2.6116363997006813</v>
      </c>
      <c r="U358">
        <v>1.2606055906957763</v>
      </c>
      <c r="Y358">
        <f t="shared" si="39"/>
        <v>6</v>
      </c>
      <c r="Z358">
        <f t="shared" si="40"/>
        <v>24</v>
      </c>
      <c r="AA358">
        <f t="shared" si="41"/>
        <v>2024</v>
      </c>
      <c r="AC358" s="19">
        <v>45467</v>
      </c>
      <c r="AD358" s="19"/>
    </row>
    <row r="359" spans="1:30" x14ac:dyDescent="0.25">
      <c r="A359" s="25">
        <v>10358</v>
      </c>
      <c r="B359" t="s">
        <v>383</v>
      </c>
      <c r="C359" t="s">
        <v>383</v>
      </c>
      <c r="D359" s="27" t="s">
        <v>467</v>
      </c>
      <c r="E359" s="27">
        <v>6</v>
      </c>
      <c r="F359" s="118">
        <v>14351</v>
      </c>
      <c r="G359" t="s">
        <v>19</v>
      </c>
      <c r="H359" t="s">
        <v>8</v>
      </c>
      <c r="I359">
        <v>-3.5000000000000001E-3</v>
      </c>
      <c r="J359">
        <v>1.5620000000000001</v>
      </c>
      <c r="K359">
        <v>6.0000000000000001E-3</v>
      </c>
      <c r="L359" s="26">
        <v>0.10406091370558378</v>
      </c>
      <c r="M359" s="140">
        <f t="shared" si="43"/>
        <v>0.05</v>
      </c>
      <c r="N359" s="140">
        <f t="shared" si="43"/>
        <v>1.5620000000000001</v>
      </c>
      <c r="O359" s="140">
        <f t="shared" si="43"/>
        <v>0.05</v>
      </c>
      <c r="P359" s="140">
        <f t="shared" si="38"/>
        <v>0.10406091370558378</v>
      </c>
      <c r="Q359" s="161">
        <v>4.1553525432513334</v>
      </c>
      <c r="R359" s="125">
        <v>40.466666666666669</v>
      </c>
      <c r="S359">
        <v>48.516666666666673</v>
      </c>
      <c r="T359">
        <v>2.4115153498562978</v>
      </c>
      <c r="U359">
        <v>1.1687875943684962</v>
      </c>
      <c r="Y359">
        <f t="shared" si="39"/>
        <v>6</v>
      </c>
      <c r="Z359">
        <f t="shared" si="40"/>
        <v>24</v>
      </c>
      <c r="AA359">
        <f t="shared" si="41"/>
        <v>2024</v>
      </c>
      <c r="AC359" s="19">
        <v>45467</v>
      </c>
      <c r="AD359" s="19"/>
    </row>
    <row r="360" spans="1:30" x14ac:dyDescent="0.25">
      <c r="A360" s="25">
        <v>10359</v>
      </c>
      <c r="B360" t="s">
        <v>384</v>
      </c>
      <c r="C360" t="s">
        <v>384</v>
      </c>
      <c r="D360" s="27" t="s">
        <v>468</v>
      </c>
      <c r="E360" s="27">
        <v>7</v>
      </c>
      <c r="F360" s="118">
        <v>6411</v>
      </c>
      <c r="G360" t="s">
        <v>19</v>
      </c>
      <c r="H360" t="s">
        <v>8</v>
      </c>
      <c r="I360">
        <v>2.53E-2</v>
      </c>
      <c r="J360">
        <v>1.6759999999999999</v>
      </c>
      <c r="K360">
        <v>-5.0000000000000001E-3</v>
      </c>
      <c r="L360" s="26">
        <v>5.6472081218274114E-2</v>
      </c>
      <c r="M360" s="140">
        <f t="shared" si="43"/>
        <v>0.05</v>
      </c>
      <c r="N360" s="140">
        <f t="shared" si="43"/>
        <v>1.6759999999999999</v>
      </c>
      <c r="O360" s="140">
        <f t="shared" si="43"/>
        <v>0.05</v>
      </c>
      <c r="P360" s="140">
        <f t="shared" si="38"/>
        <v>0.05</v>
      </c>
      <c r="Q360" s="161">
        <v>0.35886266345629142</v>
      </c>
      <c r="R360" s="125">
        <v>19.733333333333334</v>
      </c>
      <c r="S360">
        <v>28.553333333333331</v>
      </c>
      <c r="T360">
        <v>2.6693336374480232</v>
      </c>
      <c r="U360">
        <v>1.2561167108753315</v>
      </c>
      <c r="Y360">
        <f t="shared" si="39"/>
        <v>6</v>
      </c>
      <c r="Z360">
        <f t="shared" si="40"/>
        <v>24</v>
      </c>
      <c r="AA360">
        <f t="shared" si="41"/>
        <v>2024</v>
      </c>
      <c r="AC360" s="19">
        <v>45467</v>
      </c>
      <c r="AD360" s="19"/>
    </row>
    <row r="361" spans="1:30" x14ac:dyDescent="0.25">
      <c r="A361" s="25">
        <v>10360</v>
      </c>
      <c r="B361" t="s">
        <v>385</v>
      </c>
      <c r="C361" t="s">
        <v>385</v>
      </c>
      <c r="D361" s="27" t="s">
        <v>469</v>
      </c>
      <c r="E361" s="27">
        <v>8</v>
      </c>
      <c r="F361" s="118">
        <v>5401</v>
      </c>
      <c r="G361" t="s">
        <v>19</v>
      </c>
      <c r="H361" t="s">
        <v>8</v>
      </c>
      <c r="I361">
        <v>2.4299999999999999E-2</v>
      </c>
      <c r="J361">
        <v>1.6930000000000001</v>
      </c>
      <c r="K361">
        <v>-5.0000000000000001E-3</v>
      </c>
      <c r="L361" s="26">
        <v>5.8058375634517774E-2</v>
      </c>
      <c r="M361" s="140">
        <f t="shared" si="43"/>
        <v>0.05</v>
      </c>
      <c r="N361" s="140">
        <f t="shared" si="43"/>
        <v>1.6930000000000001</v>
      </c>
      <c r="O361" s="140">
        <f t="shared" si="43"/>
        <v>0.05</v>
      </c>
      <c r="P361" s="140">
        <f t="shared" si="38"/>
        <v>0.05</v>
      </c>
      <c r="Q361" s="161">
        <v>0.42640239094176918</v>
      </c>
      <c r="R361" s="125">
        <v>14.82</v>
      </c>
      <c r="S361">
        <v>17.809999999999999</v>
      </c>
      <c r="T361">
        <v>2.7790103686614387</v>
      </c>
      <c r="U361">
        <v>1.3736437461742503</v>
      </c>
      <c r="Y361">
        <f t="shared" si="39"/>
        <v>6</v>
      </c>
      <c r="Z361">
        <f t="shared" si="40"/>
        <v>24</v>
      </c>
      <c r="AA361">
        <f t="shared" si="41"/>
        <v>2024</v>
      </c>
      <c r="AC361" s="19">
        <v>45467</v>
      </c>
      <c r="AD361" s="19"/>
    </row>
    <row r="362" spans="1:30" x14ac:dyDescent="0.25">
      <c r="A362" s="25">
        <v>10361</v>
      </c>
      <c r="B362" t="s">
        <v>386</v>
      </c>
      <c r="C362" t="s">
        <v>386</v>
      </c>
      <c r="D362" s="27" t="s">
        <v>470</v>
      </c>
      <c r="E362" s="27">
        <v>9</v>
      </c>
      <c r="F362" s="118">
        <v>4381</v>
      </c>
      <c r="G362" t="s">
        <v>19</v>
      </c>
      <c r="H362" t="s">
        <v>8</v>
      </c>
      <c r="I362">
        <v>2.1999999999999999E-2</v>
      </c>
      <c r="J362">
        <v>1.7330000000000001</v>
      </c>
      <c r="K362">
        <v>-5.0000000000000001E-3</v>
      </c>
      <c r="L362" s="26">
        <v>4.5368020304568532E-2</v>
      </c>
      <c r="M362" s="140">
        <f t="shared" si="43"/>
        <v>0.05</v>
      </c>
      <c r="N362" s="140">
        <f t="shared" si="43"/>
        <v>1.7330000000000001</v>
      </c>
      <c r="O362" s="140">
        <f t="shared" si="43"/>
        <v>0.05</v>
      </c>
      <c r="P362" s="140">
        <f t="shared" si="38"/>
        <v>0.05</v>
      </c>
      <c r="Q362" s="161">
        <v>0.56276013323861318</v>
      </c>
      <c r="R362" s="125">
        <v>13.233333333333334</v>
      </c>
      <c r="S362">
        <v>21.39</v>
      </c>
      <c r="T362">
        <v>2.9552208515114291</v>
      </c>
      <c r="U362">
        <v>1.4409769434809223</v>
      </c>
      <c r="Y362">
        <f t="shared" si="39"/>
        <v>6</v>
      </c>
      <c r="Z362">
        <f t="shared" si="40"/>
        <v>24</v>
      </c>
      <c r="AA362">
        <f t="shared" si="41"/>
        <v>2024</v>
      </c>
      <c r="AC362" s="19">
        <v>45467</v>
      </c>
      <c r="AD362" s="19"/>
    </row>
    <row r="363" spans="1:30" x14ac:dyDescent="0.25">
      <c r="A363" s="25">
        <v>10362</v>
      </c>
      <c r="B363" t="s">
        <v>387</v>
      </c>
      <c r="C363" t="s">
        <v>387</v>
      </c>
      <c r="D363" s="27" t="s">
        <v>471</v>
      </c>
      <c r="E363" s="27">
        <v>10</v>
      </c>
      <c r="F363" s="118">
        <v>2851</v>
      </c>
      <c r="G363" t="s">
        <v>19</v>
      </c>
      <c r="H363" t="s">
        <v>8</v>
      </c>
      <c r="I363">
        <v>2.0199999999999999E-2</v>
      </c>
      <c r="J363">
        <v>1.722</v>
      </c>
      <c r="K363">
        <v>-6.0000000000000001E-3</v>
      </c>
      <c r="M363" s="140">
        <f t="shared" si="43"/>
        <v>0.05</v>
      </c>
      <c r="N363" s="140">
        <f t="shared" si="43"/>
        <v>1.722</v>
      </c>
      <c r="O363" s="140">
        <f t="shared" si="43"/>
        <v>0.05</v>
      </c>
      <c r="P363" s="140">
        <f t="shared" si="38"/>
        <v>0.05</v>
      </c>
      <c r="Q363" s="161" t="s">
        <v>515</v>
      </c>
      <c r="R363" s="125">
        <v>14.886666666666665</v>
      </c>
      <c r="S363">
        <v>14.156666666666666</v>
      </c>
      <c r="T363">
        <v>2.7675748800989028</v>
      </c>
      <c r="U363">
        <v>1.3936396653744136</v>
      </c>
      <c r="Y363">
        <f t="shared" si="39"/>
        <v>6</v>
      </c>
      <c r="Z363">
        <f t="shared" si="40"/>
        <v>24</v>
      </c>
      <c r="AA363">
        <f t="shared" si="41"/>
        <v>2024</v>
      </c>
      <c r="AC363" s="19">
        <v>45467</v>
      </c>
      <c r="AD363" s="19"/>
    </row>
    <row r="364" spans="1:30" x14ac:dyDescent="0.25">
      <c r="A364" s="25">
        <v>10363</v>
      </c>
      <c r="B364" t="s">
        <v>388</v>
      </c>
      <c r="C364" t="s">
        <v>388</v>
      </c>
      <c r="D364" s="27" t="s">
        <v>472</v>
      </c>
      <c r="E364" s="27">
        <v>11</v>
      </c>
      <c r="F364" s="118">
        <v>1731</v>
      </c>
      <c r="G364" t="s">
        <v>19</v>
      </c>
      <c r="H364" t="s">
        <v>8</v>
      </c>
      <c r="I364">
        <v>2.0799999999999999E-2</v>
      </c>
      <c r="J364">
        <v>1.7370000000000001</v>
      </c>
      <c r="K364">
        <v>-4.0000000000000001E-3</v>
      </c>
      <c r="M364" s="140">
        <f t="shared" si="43"/>
        <v>0.05</v>
      </c>
      <c r="N364" s="140">
        <f t="shared" si="43"/>
        <v>1.7370000000000001</v>
      </c>
      <c r="O364" s="140">
        <f t="shared" si="43"/>
        <v>0.05</v>
      </c>
      <c r="P364" s="140">
        <f t="shared" si="38"/>
        <v>0.05</v>
      </c>
      <c r="Q364" s="161">
        <v>0.39820835685073785</v>
      </c>
      <c r="R364" s="125">
        <v>13.329999999999998</v>
      </c>
      <c r="S364">
        <v>18.546666666666667</v>
      </c>
      <c r="T364">
        <v>2.7535404168630624</v>
      </c>
      <c r="U364">
        <v>1.2916196694552133</v>
      </c>
      <c r="Y364">
        <f t="shared" ref="Y364:Y395" si="44">MONTH(AC364)</f>
        <v>6</v>
      </c>
      <c r="Z364">
        <f t="shared" ref="Z364:Z395" si="45">DAY(AC364)</f>
        <v>24</v>
      </c>
      <c r="AA364">
        <f t="shared" ref="AA364:AA395" si="46">YEAR(AC364)</f>
        <v>2024</v>
      </c>
      <c r="AC364" s="19">
        <v>45467</v>
      </c>
      <c r="AD364" s="19"/>
    </row>
    <row r="365" spans="1:30" x14ac:dyDescent="0.25">
      <c r="A365" s="25">
        <v>10364</v>
      </c>
      <c r="B365" t="s">
        <v>389</v>
      </c>
      <c r="C365" t="s">
        <v>389</v>
      </c>
      <c r="D365" s="27" t="s">
        <v>473</v>
      </c>
      <c r="E365" s="27">
        <v>12</v>
      </c>
      <c r="F365" s="118">
        <v>661</v>
      </c>
      <c r="G365" t="s">
        <v>19</v>
      </c>
      <c r="H365" t="s">
        <v>8</v>
      </c>
      <c r="I365">
        <v>6.6E-3</v>
      </c>
      <c r="J365">
        <v>1.77</v>
      </c>
      <c r="K365">
        <v>-6.0000000000000001E-3</v>
      </c>
      <c r="M365" s="140">
        <f t="shared" si="43"/>
        <v>0.05</v>
      </c>
      <c r="N365" s="140">
        <f t="shared" si="43"/>
        <v>1.77</v>
      </c>
      <c r="O365" s="140">
        <f t="shared" si="43"/>
        <v>0.05</v>
      </c>
      <c r="P365" s="140">
        <f t="shared" si="38"/>
        <v>0.05</v>
      </c>
      <c r="Q365" s="161">
        <v>1.1541632770311205</v>
      </c>
      <c r="R365" s="125">
        <v>9.5400000000000009</v>
      </c>
      <c r="S365">
        <v>13.6</v>
      </c>
      <c r="T365">
        <v>2.7597779560789917</v>
      </c>
      <c r="U365">
        <v>0.9421671767666463</v>
      </c>
      <c r="Y365">
        <f t="shared" si="44"/>
        <v>6</v>
      </c>
      <c r="Z365">
        <f t="shared" si="45"/>
        <v>24</v>
      </c>
      <c r="AA365">
        <f t="shared" si="46"/>
        <v>2024</v>
      </c>
      <c r="AC365" s="19">
        <v>45467</v>
      </c>
      <c r="AD365" s="19"/>
    </row>
    <row r="366" spans="1:30" x14ac:dyDescent="0.25">
      <c r="A366" s="25">
        <v>10365</v>
      </c>
      <c r="B366" t="s">
        <v>390</v>
      </c>
      <c r="C366" t="s">
        <v>390</v>
      </c>
      <c r="D366" s="27" t="s">
        <v>474</v>
      </c>
      <c r="E366" s="27">
        <v>13</v>
      </c>
      <c r="F366" s="118">
        <v>13553</v>
      </c>
      <c r="G366" t="s">
        <v>19</v>
      </c>
      <c r="H366" t="s">
        <v>8</v>
      </c>
      <c r="I366">
        <v>1.09E-2</v>
      </c>
      <c r="J366">
        <v>1.5229999999999999</v>
      </c>
      <c r="K366">
        <v>-2E-3</v>
      </c>
      <c r="M366" s="140">
        <f t="shared" si="43"/>
        <v>0.05</v>
      </c>
      <c r="N366" s="140">
        <f t="shared" si="43"/>
        <v>1.5229999999999999</v>
      </c>
      <c r="O366" s="140">
        <f t="shared" si="43"/>
        <v>0.05</v>
      </c>
      <c r="P366" s="140">
        <f t="shared" si="38"/>
        <v>0.05</v>
      </c>
      <c r="Q366" s="161">
        <v>0.29678288592751328</v>
      </c>
      <c r="R366" s="125">
        <v>20.063333333333333</v>
      </c>
      <c r="S366">
        <v>22.850000000000005</v>
      </c>
      <c r="T366">
        <v>2.7956438065705824</v>
      </c>
      <c r="U366">
        <v>0.91972277766442223</v>
      </c>
      <c r="Y366">
        <f t="shared" si="44"/>
        <v>6</v>
      </c>
      <c r="Z366">
        <f t="shared" si="45"/>
        <v>24</v>
      </c>
      <c r="AA366">
        <f t="shared" si="46"/>
        <v>2024</v>
      </c>
      <c r="AC366" s="19">
        <v>45467</v>
      </c>
      <c r="AD366" s="19"/>
    </row>
    <row r="367" spans="1:30" x14ac:dyDescent="0.25">
      <c r="A367" s="25">
        <v>10366</v>
      </c>
      <c r="B367" t="s">
        <v>391</v>
      </c>
      <c r="C367" t="s">
        <v>391</v>
      </c>
      <c r="D367" s="27" t="s">
        <v>491</v>
      </c>
      <c r="E367" s="27">
        <v>1</v>
      </c>
      <c r="F367" s="118">
        <v>5210</v>
      </c>
      <c r="G367" t="s">
        <v>22</v>
      </c>
      <c r="H367" t="s">
        <v>8</v>
      </c>
      <c r="I367">
        <v>1.77E-2</v>
      </c>
      <c r="J367">
        <v>2.1379999999999999</v>
      </c>
      <c r="K367">
        <v>-3.3000000000000002E-2</v>
      </c>
      <c r="L367" s="109">
        <v>6.9078947368421068E-3</v>
      </c>
      <c r="M367" s="140">
        <f t="shared" si="43"/>
        <v>0.05</v>
      </c>
      <c r="N367" s="140">
        <f t="shared" si="43"/>
        <v>2.1379999999999999</v>
      </c>
      <c r="O367" s="140">
        <f t="shared" si="43"/>
        <v>0.05</v>
      </c>
      <c r="P367" s="140">
        <f t="shared" si="38"/>
        <v>0.05</v>
      </c>
      <c r="Q367" s="161">
        <v>0.34058794311516605</v>
      </c>
      <c r="R367" s="125">
        <v>14.056666666666667</v>
      </c>
      <c r="S367">
        <v>16.13</v>
      </c>
      <c r="T367">
        <v>4.1471106366884989</v>
      </c>
      <c r="U367">
        <v>1.7403036115078554</v>
      </c>
      <c r="Y367">
        <f t="shared" si="44"/>
        <v>6</v>
      </c>
      <c r="Z367">
        <f t="shared" si="45"/>
        <v>27</v>
      </c>
      <c r="AA367">
        <f t="shared" si="46"/>
        <v>2024</v>
      </c>
      <c r="AC367" s="19">
        <v>45470</v>
      </c>
      <c r="AD367" s="19"/>
    </row>
    <row r="368" spans="1:30" x14ac:dyDescent="0.25">
      <c r="A368" s="25">
        <v>10367</v>
      </c>
      <c r="B368" t="s">
        <v>392</v>
      </c>
      <c r="C368" t="s">
        <v>392</v>
      </c>
      <c r="D368" s="27" t="s">
        <v>492</v>
      </c>
      <c r="E368" s="27">
        <v>2</v>
      </c>
      <c r="F368" s="118">
        <v>5430</v>
      </c>
      <c r="G368" t="s">
        <v>22</v>
      </c>
      <c r="H368" t="s">
        <v>8</v>
      </c>
      <c r="I368">
        <v>2.41E-2</v>
      </c>
      <c r="J368">
        <v>2.052</v>
      </c>
      <c r="K368">
        <v>-2.1000000000000001E-2</v>
      </c>
      <c r="L368" s="109">
        <v>-8.1913499344692005E-3</v>
      </c>
      <c r="M368" s="140">
        <f t="shared" si="43"/>
        <v>0.05</v>
      </c>
      <c r="N368" s="140">
        <f t="shared" si="43"/>
        <v>2.052</v>
      </c>
      <c r="O368" s="140">
        <f t="shared" si="43"/>
        <v>0.05</v>
      </c>
      <c r="P368" s="140">
        <f t="shared" si="38"/>
        <v>0.05</v>
      </c>
      <c r="Q368" s="161">
        <v>0.42691706430212684</v>
      </c>
      <c r="R368" s="125">
        <v>5.4066666666666663</v>
      </c>
      <c r="S368">
        <v>5.8</v>
      </c>
      <c r="T368">
        <v>4.0135233384806899</v>
      </c>
      <c r="U368">
        <v>1.710921852683126</v>
      </c>
      <c r="Y368">
        <f t="shared" si="44"/>
        <v>6</v>
      </c>
      <c r="Z368">
        <f t="shared" si="45"/>
        <v>27</v>
      </c>
      <c r="AA368">
        <f t="shared" si="46"/>
        <v>2024</v>
      </c>
      <c r="AC368" s="19">
        <v>45470</v>
      </c>
      <c r="AD368" s="19"/>
    </row>
    <row r="369" spans="1:30" x14ac:dyDescent="0.25">
      <c r="A369" s="25">
        <v>10368</v>
      </c>
      <c r="B369" t="s">
        <v>393</v>
      </c>
      <c r="C369" t="s">
        <v>393</v>
      </c>
      <c r="D369" s="27" t="s">
        <v>493</v>
      </c>
      <c r="E369" s="27">
        <v>3</v>
      </c>
      <c r="F369" s="118">
        <v>4180</v>
      </c>
      <c r="G369" t="s">
        <v>22</v>
      </c>
      <c r="H369" t="s">
        <v>8</v>
      </c>
      <c r="I369">
        <v>1.5100000000000001E-2</v>
      </c>
      <c r="J369">
        <v>2.0339999999999998</v>
      </c>
      <c r="K369">
        <v>-3.3000000000000002E-2</v>
      </c>
      <c r="L369" s="109">
        <v>0</v>
      </c>
      <c r="M369" s="140">
        <f t="shared" si="43"/>
        <v>0.05</v>
      </c>
      <c r="N369" s="140">
        <f t="shared" si="43"/>
        <v>2.0339999999999998</v>
      </c>
      <c r="O369" s="140">
        <f t="shared" si="43"/>
        <v>0.05</v>
      </c>
      <c r="P369" s="140">
        <f t="shared" si="38"/>
        <v>0.05</v>
      </c>
      <c r="Q369" s="161" t="s">
        <v>515</v>
      </c>
      <c r="R369" s="125">
        <v>3.59</v>
      </c>
      <c r="S369">
        <v>2.8699999999999997</v>
      </c>
      <c r="T369">
        <v>3.8669411669063614</v>
      </c>
      <c r="U369">
        <v>1.6178796164048155</v>
      </c>
      <c r="Y369">
        <f t="shared" si="44"/>
        <v>6</v>
      </c>
      <c r="Z369">
        <f t="shared" si="45"/>
        <v>27</v>
      </c>
      <c r="AA369">
        <f t="shared" si="46"/>
        <v>2024</v>
      </c>
      <c r="AC369" s="19">
        <v>45470</v>
      </c>
      <c r="AD369" s="19"/>
    </row>
    <row r="370" spans="1:30" x14ac:dyDescent="0.25">
      <c r="A370" s="25">
        <v>10369</v>
      </c>
      <c r="B370" t="s">
        <v>394</v>
      </c>
      <c r="C370" t="s">
        <v>394</v>
      </c>
      <c r="D370" s="27" t="s">
        <v>494</v>
      </c>
      <c r="E370" s="27">
        <v>4</v>
      </c>
      <c r="F370" s="118">
        <v>4980</v>
      </c>
      <c r="G370" t="s">
        <v>22</v>
      </c>
      <c r="H370" t="s">
        <v>8</v>
      </c>
      <c r="I370">
        <v>1.9099999999999999E-2</v>
      </c>
      <c r="J370">
        <v>1.9239999999999999</v>
      </c>
      <c r="K370">
        <v>-3.4000000000000002E-2</v>
      </c>
      <c r="M370" s="140">
        <f t="shared" ref="M370:O385" si="47">IF(I370&lt;0.1,0.05,I370)</f>
        <v>0.05</v>
      </c>
      <c r="N370" s="140">
        <f t="shared" si="47"/>
        <v>1.9239999999999999</v>
      </c>
      <c r="O370" s="140">
        <f t="shared" si="47"/>
        <v>0.05</v>
      </c>
      <c r="P370" s="140">
        <f t="shared" si="38"/>
        <v>0.05</v>
      </c>
      <c r="Q370" s="161">
        <v>0.40175155267877694</v>
      </c>
      <c r="R370" s="125">
        <v>6.06</v>
      </c>
      <c r="S370">
        <v>11.106666666666664</v>
      </c>
      <c r="T370">
        <v>3.5436287175473833</v>
      </c>
      <c r="U370">
        <v>1.4324072638237095</v>
      </c>
      <c r="Y370">
        <f t="shared" si="44"/>
        <v>6</v>
      </c>
      <c r="Z370">
        <f t="shared" si="45"/>
        <v>27</v>
      </c>
      <c r="AA370">
        <f t="shared" si="46"/>
        <v>2024</v>
      </c>
      <c r="AC370" s="19">
        <v>45470</v>
      </c>
      <c r="AD370" s="19"/>
    </row>
    <row r="371" spans="1:30" x14ac:dyDescent="0.25">
      <c r="A371" s="25">
        <v>10370</v>
      </c>
      <c r="B371" t="s">
        <v>395</v>
      </c>
      <c r="C371" t="s">
        <v>395</v>
      </c>
      <c r="D371" s="27" t="s">
        <v>495</v>
      </c>
      <c r="E371" s="27">
        <v>5</v>
      </c>
      <c r="F371" s="118">
        <v>6340</v>
      </c>
      <c r="G371" t="s">
        <v>22</v>
      </c>
      <c r="H371" t="s">
        <v>8</v>
      </c>
      <c r="I371">
        <v>5.4000000000000003E-3</v>
      </c>
      <c r="J371">
        <v>1.93</v>
      </c>
      <c r="K371">
        <v>-3.5999999999999997E-2</v>
      </c>
      <c r="L371" s="109">
        <v>3.6184210526315794E-3</v>
      </c>
      <c r="M371" s="140">
        <f t="shared" si="47"/>
        <v>0.05</v>
      </c>
      <c r="N371" s="140">
        <f t="shared" si="47"/>
        <v>1.93</v>
      </c>
      <c r="O371" s="140">
        <f t="shared" si="47"/>
        <v>0.05</v>
      </c>
      <c r="P371" s="140">
        <f t="shared" si="38"/>
        <v>0.05</v>
      </c>
      <c r="Q371" s="161">
        <v>0.62165368181414871</v>
      </c>
      <c r="R371" s="125">
        <v>4.8866666666666667</v>
      </c>
      <c r="S371">
        <v>2.8466666666666662</v>
      </c>
      <c r="T371">
        <v>3.351824386657571</v>
      </c>
      <c r="U371">
        <v>1.3558922668843094</v>
      </c>
      <c r="Y371">
        <f t="shared" si="44"/>
        <v>6</v>
      </c>
      <c r="Z371">
        <f t="shared" si="45"/>
        <v>27</v>
      </c>
      <c r="AA371">
        <f t="shared" si="46"/>
        <v>2024</v>
      </c>
      <c r="AC371" s="19">
        <v>45470</v>
      </c>
      <c r="AD371" s="19"/>
    </row>
    <row r="372" spans="1:30" x14ac:dyDescent="0.25">
      <c r="A372" s="25">
        <v>10371</v>
      </c>
      <c r="B372" t="s">
        <v>396</v>
      </c>
      <c r="C372" t="s">
        <v>396</v>
      </c>
      <c r="D372" s="27" t="s">
        <v>496</v>
      </c>
      <c r="E372" s="27">
        <v>6</v>
      </c>
      <c r="F372" s="118">
        <v>7900</v>
      </c>
      <c r="G372" t="s">
        <v>22</v>
      </c>
      <c r="H372" t="s">
        <v>8</v>
      </c>
      <c r="I372">
        <v>2.3599999999999999E-2</v>
      </c>
      <c r="J372">
        <v>1.8080000000000001</v>
      </c>
      <c r="K372">
        <v>-3.5999999999999997E-2</v>
      </c>
      <c r="L372" s="109">
        <v>-4.9148099606815196E-3</v>
      </c>
      <c r="M372" s="140">
        <f t="shared" si="47"/>
        <v>0.05</v>
      </c>
      <c r="N372" s="140">
        <f t="shared" si="47"/>
        <v>1.8080000000000001</v>
      </c>
      <c r="O372" s="140">
        <f t="shared" si="47"/>
        <v>0.05</v>
      </c>
      <c r="P372" s="140">
        <f t="shared" si="38"/>
        <v>0.05</v>
      </c>
      <c r="Q372" s="161">
        <v>0.40816819826437972</v>
      </c>
      <c r="R372" s="125">
        <v>6.9300000000000006</v>
      </c>
      <c r="S372">
        <v>7.7133333333333338</v>
      </c>
      <c r="T372">
        <v>3.3362305386177491</v>
      </c>
      <c r="U372">
        <v>1.4071063048357479</v>
      </c>
      <c r="Y372">
        <f t="shared" si="44"/>
        <v>6</v>
      </c>
      <c r="Z372">
        <f t="shared" si="45"/>
        <v>27</v>
      </c>
      <c r="AA372">
        <f t="shared" si="46"/>
        <v>2024</v>
      </c>
      <c r="AC372" s="19">
        <v>45470</v>
      </c>
      <c r="AD372" s="19"/>
    </row>
    <row r="373" spans="1:30" x14ac:dyDescent="0.25">
      <c r="A373" s="25">
        <v>10372</v>
      </c>
      <c r="B373" t="s">
        <v>397</v>
      </c>
      <c r="C373" t="s">
        <v>397</v>
      </c>
      <c r="D373" s="27" t="s">
        <v>497</v>
      </c>
      <c r="E373" s="27">
        <v>7</v>
      </c>
      <c r="F373" s="118">
        <v>10610</v>
      </c>
      <c r="G373" t="s">
        <v>22</v>
      </c>
      <c r="H373" t="s">
        <v>8</v>
      </c>
      <c r="I373">
        <v>2.3699999999999999E-2</v>
      </c>
      <c r="J373">
        <v>1.617</v>
      </c>
      <c r="K373">
        <v>-3.7999999999999999E-2</v>
      </c>
      <c r="L373" s="109">
        <v>1.0197368421052632E-2</v>
      </c>
      <c r="M373" s="140">
        <f t="shared" si="47"/>
        <v>0.05</v>
      </c>
      <c r="N373" s="140">
        <f t="shared" si="47"/>
        <v>1.617</v>
      </c>
      <c r="O373" s="140">
        <f t="shared" si="47"/>
        <v>0.05</v>
      </c>
      <c r="P373" s="140">
        <f t="shared" si="38"/>
        <v>0.05</v>
      </c>
      <c r="Q373" s="161">
        <v>0.52657273403023397</v>
      </c>
      <c r="R373" s="125">
        <v>9.6333333333333346</v>
      </c>
      <c r="S373">
        <v>8.2266666666666666</v>
      </c>
      <c r="T373">
        <v>3.0659371725941655</v>
      </c>
      <c r="U373">
        <v>1.3354882677004691</v>
      </c>
      <c r="Y373">
        <f t="shared" si="44"/>
        <v>6</v>
      </c>
      <c r="Z373">
        <f t="shared" si="45"/>
        <v>27</v>
      </c>
      <c r="AA373">
        <f t="shared" si="46"/>
        <v>2024</v>
      </c>
      <c r="AC373" s="19">
        <v>45470</v>
      </c>
      <c r="AD373" s="19"/>
    </row>
    <row r="374" spans="1:30" x14ac:dyDescent="0.25">
      <c r="A374" s="25">
        <v>10373</v>
      </c>
      <c r="B374" t="s">
        <v>398</v>
      </c>
      <c r="C374" t="s">
        <v>398</v>
      </c>
      <c r="D374" s="27" t="s">
        <v>498</v>
      </c>
      <c r="E374" s="27">
        <v>8</v>
      </c>
      <c r="F374" s="118">
        <v>9370</v>
      </c>
      <c r="G374" t="s">
        <v>22</v>
      </c>
      <c r="H374" t="s">
        <v>8</v>
      </c>
      <c r="I374">
        <v>2.06E-2</v>
      </c>
      <c r="J374">
        <v>1.7430000000000001</v>
      </c>
      <c r="K374">
        <v>-0.04</v>
      </c>
      <c r="L374" s="109">
        <v>-6.55307994757536E-3</v>
      </c>
      <c r="M374" s="140">
        <f t="shared" si="47"/>
        <v>0.05</v>
      </c>
      <c r="N374" s="140">
        <f t="shared" si="47"/>
        <v>1.7430000000000001</v>
      </c>
      <c r="O374" s="140">
        <f t="shared" si="47"/>
        <v>0.05</v>
      </c>
      <c r="P374" s="140">
        <f t="shared" si="38"/>
        <v>0.05</v>
      </c>
      <c r="Q374" s="161">
        <v>0.50390770545922192</v>
      </c>
      <c r="R374" s="125">
        <v>17.106666666666669</v>
      </c>
      <c r="S374">
        <v>16.183333333333334</v>
      </c>
      <c r="T374">
        <v>3.68969109418705</v>
      </c>
      <c r="U374">
        <v>1.5968634972454603</v>
      </c>
      <c r="Y374">
        <f t="shared" si="44"/>
        <v>6</v>
      </c>
      <c r="Z374">
        <f t="shared" si="45"/>
        <v>27</v>
      </c>
      <c r="AA374">
        <f t="shared" si="46"/>
        <v>2024</v>
      </c>
      <c r="AC374" s="19">
        <v>45470</v>
      </c>
      <c r="AD374" s="19"/>
    </row>
    <row r="375" spans="1:30" x14ac:dyDescent="0.25">
      <c r="A375" s="25">
        <v>10374</v>
      </c>
      <c r="B375" t="s">
        <v>399</v>
      </c>
      <c r="C375" t="s">
        <v>399</v>
      </c>
      <c r="D375" s="27" t="s">
        <v>499</v>
      </c>
      <c r="E375" s="27">
        <v>9</v>
      </c>
      <c r="F375" s="118">
        <v>10331</v>
      </c>
      <c r="G375" t="s">
        <v>22</v>
      </c>
      <c r="H375" t="s">
        <v>8</v>
      </c>
      <c r="I375">
        <v>1.2500000000000001E-2</v>
      </c>
      <c r="J375">
        <v>1.7909999999999999</v>
      </c>
      <c r="K375">
        <v>-3.9E-2</v>
      </c>
      <c r="L375" s="109">
        <v>6.9078947368421068E-3</v>
      </c>
      <c r="M375" s="140">
        <f t="shared" si="47"/>
        <v>0.05</v>
      </c>
      <c r="N375" s="140">
        <f t="shared" si="47"/>
        <v>1.7909999999999999</v>
      </c>
      <c r="O375" s="140">
        <f t="shared" si="47"/>
        <v>0.05</v>
      </c>
      <c r="P375" s="140">
        <f t="shared" si="38"/>
        <v>0.05</v>
      </c>
      <c r="Q375" s="161">
        <v>0.79845920158930817</v>
      </c>
      <c r="R375" s="125">
        <v>15.343333333333334</v>
      </c>
      <c r="S375">
        <v>21.166666666666668</v>
      </c>
      <c r="T375">
        <v>3.4999659430358809</v>
      </c>
      <c r="U375">
        <v>1.5332030197918793</v>
      </c>
      <c r="Y375">
        <f t="shared" si="44"/>
        <v>6</v>
      </c>
      <c r="Z375">
        <f t="shared" si="45"/>
        <v>27</v>
      </c>
      <c r="AA375">
        <f t="shared" si="46"/>
        <v>2024</v>
      </c>
      <c r="AC375" s="19">
        <v>45470</v>
      </c>
      <c r="AD375" s="19"/>
    </row>
    <row r="376" spans="1:30" x14ac:dyDescent="0.25">
      <c r="A376" s="25">
        <v>10375</v>
      </c>
      <c r="B376" t="s">
        <v>400</v>
      </c>
      <c r="C376" t="s">
        <v>400</v>
      </c>
      <c r="D376" s="27" t="s">
        <v>500</v>
      </c>
      <c r="E376" s="27">
        <v>10</v>
      </c>
      <c r="F376" s="118">
        <v>11270</v>
      </c>
      <c r="G376" t="s">
        <v>22</v>
      </c>
      <c r="H376" t="s">
        <v>8</v>
      </c>
      <c r="I376">
        <v>3.61E-2</v>
      </c>
      <c r="J376">
        <v>1.831</v>
      </c>
      <c r="K376">
        <v>-0.03</v>
      </c>
      <c r="L376" s="109">
        <v>-4.9148099606815196E-3</v>
      </c>
      <c r="M376" s="140">
        <f t="shared" si="47"/>
        <v>0.05</v>
      </c>
      <c r="N376" s="140">
        <f t="shared" si="47"/>
        <v>1.831</v>
      </c>
      <c r="O376" s="140">
        <f t="shared" si="47"/>
        <v>0.05</v>
      </c>
      <c r="P376" s="140">
        <f t="shared" si="38"/>
        <v>0.05</v>
      </c>
      <c r="Q376" s="161">
        <v>0.53836416339767168</v>
      </c>
      <c r="R376" s="125">
        <v>16.63</v>
      </c>
      <c r="S376">
        <v>13.063333333333333</v>
      </c>
      <c r="T376">
        <v>3.9516677412560615</v>
      </c>
      <c r="U376">
        <v>1.6741946541522141</v>
      </c>
      <c r="Y376">
        <f t="shared" si="44"/>
        <v>6</v>
      </c>
      <c r="Z376">
        <f t="shared" si="45"/>
        <v>27</v>
      </c>
      <c r="AA376">
        <f t="shared" si="46"/>
        <v>2024</v>
      </c>
      <c r="AC376" s="19">
        <v>45470</v>
      </c>
      <c r="AD376" s="19"/>
    </row>
    <row r="377" spans="1:30" x14ac:dyDescent="0.25">
      <c r="A377" s="25">
        <v>10376</v>
      </c>
      <c r="B377" t="s">
        <v>401</v>
      </c>
      <c r="C377" t="s">
        <v>401</v>
      </c>
      <c r="D377" s="27" t="s">
        <v>501</v>
      </c>
      <c r="E377" s="27">
        <v>13</v>
      </c>
      <c r="F377" s="118">
        <v>5180</v>
      </c>
      <c r="G377" t="s">
        <v>22</v>
      </c>
      <c r="H377" t="s">
        <v>8</v>
      </c>
      <c r="I377">
        <v>6.8999999999999999E-3</v>
      </c>
      <c r="J377">
        <v>2.0219999999999998</v>
      </c>
      <c r="K377">
        <v>-3.2000000000000001E-2</v>
      </c>
      <c r="L377" s="109">
        <v>5.2631578947368429E-3</v>
      </c>
      <c r="M377" s="140">
        <f t="shared" si="47"/>
        <v>0.05</v>
      </c>
      <c r="N377" s="140">
        <f t="shared" si="47"/>
        <v>2.0219999999999998</v>
      </c>
      <c r="O377" s="140">
        <f t="shared" si="47"/>
        <v>0.05</v>
      </c>
      <c r="P377" s="140">
        <f t="shared" si="38"/>
        <v>0.05</v>
      </c>
      <c r="Q377" s="161">
        <v>0.58084984178456001</v>
      </c>
      <c r="R377" s="125">
        <v>6.0266666666666664</v>
      </c>
      <c r="S377">
        <v>4.9899999999999993</v>
      </c>
      <c r="T377">
        <v>3.9527073311253833</v>
      </c>
      <c r="U377">
        <v>1.6639926545602939</v>
      </c>
      <c r="Y377">
        <f t="shared" si="44"/>
        <v>6</v>
      </c>
      <c r="Z377">
        <f t="shared" si="45"/>
        <v>27</v>
      </c>
      <c r="AA377">
        <f t="shared" si="46"/>
        <v>2024</v>
      </c>
      <c r="AC377" s="19">
        <v>45470</v>
      </c>
      <c r="AD377" s="19"/>
    </row>
    <row r="378" spans="1:30" x14ac:dyDescent="0.25">
      <c r="A378" s="25">
        <v>10377</v>
      </c>
      <c r="B378" t="s">
        <v>402</v>
      </c>
      <c r="C378" t="s">
        <v>402</v>
      </c>
      <c r="D378" s="27" t="s">
        <v>502</v>
      </c>
      <c r="E378" s="27">
        <v>14</v>
      </c>
      <c r="F378" s="118">
        <v>1040</v>
      </c>
      <c r="G378" t="s">
        <v>22</v>
      </c>
      <c r="H378" t="s">
        <v>8</v>
      </c>
      <c r="I378">
        <v>2.8E-3</v>
      </c>
      <c r="J378">
        <v>2.036</v>
      </c>
      <c r="K378">
        <v>-3.4000000000000002E-2</v>
      </c>
      <c r="L378" s="109">
        <v>1.9736842105263159E-3</v>
      </c>
      <c r="M378" s="140">
        <f t="shared" si="47"/>
        <v>0.05</v>
      </c>
      <c r="N378" s="140">
        <f t="shared" si="47"/>
        <v>2.036</v>
      </c>
      <c r="O378" s="140">
        <f t="shared" si="47"/>
        <v>0.05</v>
      </c>
      <c r="P378" s="140">
        <f t="shared" si="38"/>
        <v>0.05</v>
      </c>
      <c r="Q378" s="161">
        <v>0.63492242791880182</v>
      </c>
      <c r="R378" s="125">
        <v>13.160000000000002</v>
      </c>
      <c r="S378">
        <v>14.813333333333333</v>
      </c>
      <c r="T378">
        <v>4.0774581154439602</v>
      </c>
      <c r="U378">
        <v>1.74866925117323</v>
      </c>
      <c r="Y378">
        <f t="shared" si="44"/>
        <v>6</v>
      </c>
      <c r="Z378">
        <f t="shared" si="45"/>
        <v>27</v>
      </c>
      <c r="AA378">
        <f t="shared" si="46"/>
        <v>2024</v>
      </c>
      <c r="AC378" s="19">
        <v>45470</v>
      </c>
      <c r="AD378" s="19"/>
    </row>
    <row r="379" spans="1:30" x14ac:dyDescent="0.25">
      <c r="A379" s="25">
        <v>10378</v>
      </c>
      <c r="B379" t="s">
        <v>403</v>
      </c>
      <c r="C379" t="s">
        <v>403</v>
      </c>
      <c r="D379" s="27" t="s">
        <v>503</v>
      </c>
      <c r="E379" s="27">
        <v>1</v>
      </c>
      <c r="F379" s="118">
        <v>6865</v>
      </c>
      <c r="G379" t="s">
        <v>20</v>
      </c>
      <c r="H379" t="s">
        <v>8</v>
      </c>
      <c r="I379">
        <v>2.1700000000000001E-2</v>
      </c>
      <c r="J379">
        <v>1.2789999999999999</v>
      </c>
      <c r="K379">
        <v>0.27300000000000002</v>
      </c>
      <c r="L379" s="63">
        <v>1.4744429882044561E-2</v>
      </c>
      <c r="M379" s="140">
        <f t="shared" si="47"/>
        <v>0.05</v>
      </c>
      <c r="N379" s="140">
        <f t="shared" si="47"/>
        <v>1.2789999999999999</v>
      </c>
      <c r="O379" s="140">
        <f t="shared" si="47"/>
        <v>0.27300000000000002</v>
      </c>
      <c r="P379" s="140">
        <f t="shared" si="38"/>
        <v>0.05</v>
      </c>
      <c r="Q379" s="161">
        <v>0.74295880086724564</v>
      </c>
      <c r="R379" s="125">
        <v>9.7166666666666668</v>
      </c>
      <c r="S379">
        <v>6.1333333333333329</v>
      </c>
      <c r="T379" s="27">
        <v>3.2570382655124992</v>
      </c>
      <c r="U379" s="27">
        <v>1.1785196095460655</v>
      </c>
      <c r="V379" s="27"/>
      <c r="Y379">
        <f t="shared" si="44"/>
        <v>7</v>
      </c>
      <c r="Z379">
        <f t="shared" si="45"/>
        <v>1</v>
      </c>
      <c r="AA379">
        <f t="shared" si="46"/>
        <v>2024</v>
      </c>
      <c r="AC379" s="19">
        <v>45474</v>
      </c>
      <c r="AD379" s="19"/>
    </row>
    <row r="380" spans="1:30" x14ac:dyDescent="0.25">
      <c r="A380" s="25">
        <v>10379</v>
      </c>
      <c r="B380" t="s">
        <v>404</v>
      </c>
      <c r="C380" t="s">
        <v>404</v>
      </c>
      <c r="D380" s="27" t="s">
        <v>504</v>
      </c>
      <c r="E380" s="27">
        <v>5</v>
      </c>
      <c r="F380" s="118">
        <v>6425</v>
      </c>
      <c r="G380" t="s">
        <v>20</v>
      </c>
      <c r="H380" t="s">
        <v>8</v>
      </c>
      <c r="I380">
        <v>-5.8200000000000002E-2</v>
      </c>
      <c r="J380">
        <v>2.6379999999999999</v>
      </c>
      <c r="K380">
        <v>0.19500000000000001</v>
      </c>
      <c r="L380" s="63">
        <v>-8.1913499344692005E-3</v>
      </c>
      <c r="M380" s="140">
        <f t="shared" si="47"/>
        <v>0.05</v>
      </c>
      <c r="N380" s="140">
        <f t="shared" si="47"/>
        <v>2.6379999999999999</v>
      </c>
      <c r="O380" s="140">
        <f t="shared" si="47"/>
        <v>0.19500000000000001</v>
      </c>
      <c r="P380" s="140">
        <f t="shared" si="38"/>
        <v>0.05</v>
      </c>
      <c r="Q380" s="161">
        <v>0.59651149987262886</v>
      </c>
      <c r="R380" s="125">
        <v>10.56</v>
      </c>
      <c r="S380">
        <v>5.416666666666667</v>
      </c>
      <c r="T380" s="27">
        <v>3.8910889086643481</v>
      </c>
      <c r="U380" s="27">
        <v>2.2181287165218424</v>
      </c>
      <c r="V380" s="27"/>
      <c r="Y380">
        <f t="shared" si="44"/>
        <v>7</v>
      </c>
      <c r="Z380">
        <f t="shared" si="45"/>
        <v>1</v>
      </c>
      <c r="AA380">
        <f t="shared" si="46"/>
        <v>2024</v>
      </c>
      <c r="AC380" s="19">
        <v>45474</v>
      </c>
      <c r="AD380" s="19"/>
    </row>
    <row r="381" spans="1:30" x14ac:dyDescent="0.25">
      <c r="A381" s="25">
        <v>10380</v>
      </c>
      <c r="B381" t="s">
        <v>405</v>
      </c>
      <c r="C381" t="s">
        <v>405</v>
      </c>
      <c r="D381" s="27" t="s">
        <v>483</v>
      </c>
      <c r="E381" s="27">
        <v>6</v>
      </c>
      <c r="F381" s="118">
        <v>8245</v>
      </c>
      <c r="G381" t="s">
        <v>20</v>
      </c>
      <c r="H381" t="s">
        <v>8</v>
      </c>
      <c r="I381">
        <v>-4.99E-2</v>
      </c>
      <c r="J381">
        <v>4.4740000000000002</v>
      </c>
      <c r="K381">
        <v>0.28499999999999998</v>
      </c>
      <c r="L381" s="63">
        <v>1.348684210526316E-2</v>
      </c>
      <c r="M381" s="140">
        <f t="shared" si="47"/>
        <v>0.05</v>
      </c>
      <c r="N381" s="140">
        <f t="shared" si="47"/>
        <v>4.4740000000000002</v>
      </c>
      <c r="O381" s="140">
        <f t="shared" si="47"/>
        <v>0.28499999999999998</v>
      </c>
      <c r="P381" s="140">
        <f t="shared" si="38"/>
        <v>0.05</v>
      </c>
      <c r="Q381" s="161">
        <v>0.60246254113904973</v>
      </c>
      <c r="R381" s="125">
        <v>0.57999999999999996</v>
      </c>
      <c r="S381">
        <v>1.1533333333333333</v>
      </c>
      <c r="T381" s="27">
        <v>3.763166410484589</v>
      </c>
      <c r="U381" s="27">
        <v>3.1356563969214655</v>
      </c>
      <c r="V381" s="27"/>
      <c r="Y381">
        <f t="shared" si="44"/>
        <v>7</v>
      </c>
      <c r="Z381">
        <f t="shared" si="45"/>
        <v>1</v>
      </c>
      <c r="AA381">
        <f t="shared" si="46"/>
        <v>2024</v>
      </c>
      <c r="AC381" s="19">
        <v>45474</v>
      </c>
      <c r="AD381" s="19"/>
    </row>
    <row r="382" spans="1:30" x14ac:dyDescent="0.25">
      <c r="A382" s="25">
        <v>10381</v>
      </c>
      <c r="B382" t="s">
        <v>406</v>
      </c>
      <c r="C382" t="s">
        <v>406</v>
      </c>
      <c r="D382" s="27" t="s">
        <v>484</v>
      </c>
      <c r="E382" s="27">
        <v>8</v>
      </c>
      <c r="F382" s="118">
        <v>5065</v>
      </c>
      <c r="G382" t="s">
        <v>20</v>
      </c>
      <c r="H382" t="s">
        <v>8</v>
      </c>
      <c r="I382">
        <v>-4.24E-2</v>
      </c>
      <c r="J382">
        <v>5.1639999999999997</v>
      </c>
      <c r="K382">
        <v>0.20200000000000001</v>
      </c>
      <c r="L382" s="63">
        <v>6.9078947368421068E-3</v>
      </c>
      <c r="M382" s="140">
        <f t="shared" si="47"/>
        <v>0.05</v>
      </c>
      <c r="N382" s="140">
        <f t="shared" si="47"/>
        <v>5.1639999999999997</v>
      </c>
      <c r="O382" s="140">
        <f t="shared" si="47"/>
        <v>0.20200000000000001</v>
      </c>
      <c r="P382" s="140">
        <f t="shared" si="38"/>
        <v>0.05</v>
      </c>
      <c r="Q382" s="161">
        <v>0.44388122881878833</v>
      </c>
      <c r="R382" s="125">
        <v>1.8266666666666669</v>
      </c>
      <c r="S382">
        <v>1.1433333333333333</v>
      </c>
      <c r="T382" s="27">
        <v>4.8537941914084621</v>
      </c>
      <c r="U382" s="27">
        <v>4.4002585462648653</v>
      </c>
      <c r="V382" s="27"/>
      <c r="Y382">
        <f t="shared" si="44"/>
        <v>7</v>
      </c>
      <c r="Z382">
        <f t="shared" si="45"/>
        <v>1</v>
      </c>
      <c r="AA382">
        <f t="shared" si="46"/>
        <v>2024</v>
      </c>
      <c r="AC382" s="19">
        <v>45474</v>
      </c>
      <c r="AD382" s="19"/>
    </row>
    <row r="383" spans="1:30" x14ac:dyDescent="0.25">
      <c r="A383" s="25">
        <v>10382</v>
      </c>
      <c r="B383" t="s">
        <v>407</v>
      </c>
      <c r="C383" t="s">
        <v>407</v>
      </c>
      <c r="D383" s="27" t="s">
        <v>485</v>
      </c>
      <c r="E383" s="27">
        <v>9</v>
      </c>
      <c r="F383" s="118">
        <v>3385</v>
      </c>
      <c r="G383" t="s">
        <v>20</v>
      </c>
      <c r="H383" t="s">
        <v>8</v>
      </c>
      <c r="I383">
        <v>-5.0200000000000002E-2</v>
      </c>
      <c r="J383">
        <v>4.0819999999999999</v>
      </c>
      <c r="K383">
        <v>0.19500000000000001</v>
      </c>
      <c r="L383" s="63">
        <v>8.552631578947369E-3</v>
      </c>
      <c r="M383" s="140">
        <f t="shared" si="47"/>
        <v>0.05</v>
      </c>
      <c r="N383" s="140">
        <f t="shared" si="47"/>
        <v>4.0819999999999999</v>
      </c>
      <c r="O383" s="140">
        <f t="shared" si="47"/>
        <v>0.19500000000000001</v>
      </c>
      <c r="P383" s="140">
        <f t="shared" si="38"/>
        <v>0.05</v>
      </c>
      <c r="Q383" s="161">
        <v>0.60827851725952864</v>
      </c>
      <c r="R383" s="125">
        <v>9.4500000000000011</v>
      </c>
      <c r="S383">
        <v>9.5533333333333328</v>
      </c>
      <c r="T383" s="27">
        <v>4.144405792411618</v>
      </c>
      <c r="U383" s="27">
        <v>2.3422952804114181</v>
      </c>
      <c r="V383" s="27"/>
      <c r="Y383">
        <f t="shared" si="44"/>
        <v>7</v>
      </c>
      <c r="Z383">
        <f t="shared" si="45"/>
        <v>1</v>
      </c>
      <c r="AA383">
        <f t="shared" si="46"/>
        <v>2024</v>
      </c>
      <c r="AC383" s="19">
        <v>45474</v>
      </c>
      <c r="AD383" s="19"/>
    </row>
    <row r="384" spans="1:30" x14ac:dyDescent="0.25">
      <c r="A384" s="25">
        <v>10383</v>
      </c>
      <c r="B384" t="s">
        <v>408</v>
      </c>
      <c r="C384" t="s">
        <v>408</v>
      </c>
      <c r="D384" s="27" t="s">
        <v>486</v>
      </c>
      <c r="E384" s="27">
        <v>10</v>
      </c>
      <c r="F384" s="118">
        <v>2205</v>
      </c>
      <c r="G384" t="s">
        <v>20</v>
      </c>
      <c r="H384" t="s">
        <v>8</v>
      </c>
      <c r="I384">
        <v>-4.0899999999999999E-2</v>
      </c>
      <c r="J384">
        <v>4.9169999999999998</v>
      </c>
      <c r="K384">
        <v>0.17899999999999999</v>
      </c>
      <c r="L384" s="63">
        <v>4.9148099606815187E-3</v>
      </c>
      <c r="M384" s="140">
        <f t="shared" si="47"/>
        <v>0.05</v>
      </c>
      <c r="N384" s="140">
        <f t="shared" si="47"/>
        <v>4.9169999999999998</v>
      </c>
      <c r="O384" s="140">
        <f t="shared" si="47"/>
        <v>0.17899999999999999</v>
      </c>
      <c r="P384" s="140">
        <f t="shared" si="38"/>
        <v>0.05</v>
      </c>
      <c r="Q384" s="161">
        <v>0.47556762570749589</v>
      </c>
      <c r="R384" s="125">
        <v>1.5433333333333332</v>
      </c>
      <c r="S384">
        <v>2.0533333333333332</v>
      </c>
      <c r="T384" s="27">
        <v>4.0538993608931317</v>
      </c>
      <c r="U384" s="27">
        <v>4.0013246944614664</v>
      </c>
      <c r="V384" s="27"/>
      <c r="Y384">
        <f t="shared" si="44"/>
        <v>7</v>
      </c>
      <c r="Z384">
        <f t="shared" si="45"/>
        <v>1</v>
      </c>
      <c r="AA384">
        <f t="shared" si="46"/>
        <v>2024</v>
      </c>
      <c r="AC384" s="19">
        <v>45474</v>
      </c>
      <c r="AD384" s="19"/>
    </row>
    <row r="385" spans="1:30" x14ac:dyDescent="0.25">
      <c r="A385" s="25">
        <v>10384</v>
      </c>
      <c r="B385" t="s">
        <v>409</v>
      </c>
      <c r="C385" t="s">
        <v>409</v>
      </c>
      <c r="D385" s="27" t="s">
        <v>487</v>
      </c>
      <c r="E385" s="27">
        <v>11</v>
      </c>
      <c r="F385" s="118">
        <v>1385</v>
      </c>
      <c r="G385" t="s">
        <v>20</v>
      </c>
      <c r="H385" t="s">
        <v>8</v>
      </c>
      <c r="I385">
        <v>-6.3100000000000003E-2</v>
      </c>
      <c r="J385">
        <v>4.0279999999999996</v>
      </c>
      <c r="K385">
        <v>0.21199999999999999</v>
      </c>
      <c r="L385" s="63">
        <v>1.0197368421052632E-2</v>
      </c>
      <c r="M385" s="140">
        <f t="shared" si="47"/>
        <v>0.05</v>
      </c>
      <c r="N385" s="140">
        <f t="shared" si="47"/>
        <v>4.0279999999999996</v>
      </c>
      <c r="O385" s="140">
        <f t="shared" si="47"/>
        <v>0.21199999999999999</v>
      </c>
      <c r="P385" s="140">
        <f t="shared" si="38"/>
        <v>0.05</v>
      </c>
      <c r="Q385" s="161">
        <v>0.50983272905435539</v>
      </c>
      <c r="R385" s="125">
        <v>18.516666666666666</v>
      </c>
      <c r="S385">
        <v>12.319999999999999</v>
      </c>
      <c r="T385" s="27">
        <v>5.0636275382250631</v>
      </c>
      <c r="U385" s="27">
        <v>2.6683838512330134</v>
      </c>
      <c r="V385" s="27"/>
      <c r="Y385">
        <f t="shared" si="44"/>
        <v>7</v>
      </c>
      <c r="Z385">
        <f t="shared" si="45"/>
        <v>1</v>
      </c>
      <c r="AA385">
        <f t="shared" si="46"/>
        <v>2024</v>
      </c>
      <c r="AC385" s="19">
        <v>45474</v>
      </c>
      <c r="AD385" s="19"/>
    </row>
    <row r="386" spans="1:30" x14ac:dyDescent="0.25">
      <c r="A386" s="25">
        <v>10385</v>
      </c>
      <c r="B386" t="s">
        <v>410</v>
      </c>
      <c r="C386" t="s">
        <v>410</v>
      </c>
      <c r="D386" s="27" t="s">
        <v>488</v>
      </c>
      <c r="E386" s="27">
        <v>12</v>
      </c>
      <c r="F386" s="118">
        <v>275</v>
      </c>
      <c r="G386" t="s">
        <v>20</v>
      </c>
      <c r="H386" t="s">
        <v>8</v>
      </c>
      <c r="I386">
        <v>-6.0299999999999999E-2</v>
      </c>
      <c r="J386">
        <v>4.9180000000000001</v>
      </c>
      <c r="K386">
        <v>0.34</v>
      </c>
      <c r="L386" s="63">
        <v>3.6184210526315794E-3</v>
      </c>
      <c r="M386" s="140">
        <f t="shared" ref="M386:O401" si="48">IF(I386&lt;0.1,0.05,I386)</f>
        <v>0.05</v>
      </c>
      <c r="N386" s="140">
        <f t="shared" si="48"/>
        <v>4.9180000000000001</v>
      </c>
      <c r="O386" s="140">
        <f t="shared" si="48"/>
        <v>0.34</v>
      </c>
      <c r="P386" s="140">
        <f t="shared" ref="P386:P449" si="49">IF(L386&lt;0.1,0.05,L386)</f>
        <v>0.05</v>
      </c>
      <c r="Q386" s="161">
        <v>0.45757771565448979</v>
      </c>
      <c r="R386" s="125">
        <v>10.733333333333334</v>
      </c>
      <c r="S386">
        <v>11.993333333333334</v>
      </c>
      <c r="T386" s="27">
        <v>5.2412695844457033</v>
      </c>
      <c r="U386" s="27">
        <v>3.9342639879620585</v>
      </c>
      <c r="V386" s="27"/>
      <c r="Y386">
        <f t="shared" si="44"/>
        <v>7</v>
      </c>
      <c r="Z386">
        <f t="shared" si="45"/>
        <v>1</v>
      </c>
      <c r="AA386">
        <f t="shared" si="46"/>
        <v>2024</v>
      </c>
      <c r="AC386" s="19">
        <v>45474</v>
      </c>
      <c r="AD386" s="19"/>
    </row>
    <row r="387" spans="1:30" x14ac:dyDescent="0.25">
      <c r="A387" s="25">
        <v>10386</v>
      </c>
      <c r="B387" t="s">
        <v>411</v>
      </c>
      <c r="C387" t="s">
        <v>411</v>
      </c>
      <c r="D387" s="27" t="s">
        <v>489</v>
      </c>
      <c r="E387" s="27">
        <v>14</v>
      </c>
      <c r="F387" s="118">
        <v>4225</v>
      </c>
      <c r="G387" t="s">
        <v>20</v>
      </c>
      <c r="H387" t="s">
        <v>8</v>
      </c>
      <c r="I387">
        <v>-4.9099999999999998E-2</v>
      </c>
      <c r="J387">
        <v>4.7300000000000004</v>
      </c>
      <c r="K387">
        <v>0.253</v>
      </c>
      <c r="L387" s="63">
        <v>6.9078947368421068E-3</v>
      </c>
      <c r="M387" s="140">
        <f t="shared" si="48"/>
        <v>0.05</v>
      </c>
      <c r="N387" s="140">
        <f t="shared" si="48"/>
        <v>4.7300000000000004</v>
      </c>
      <c r="O387" s="140">
        <f t="shared" si="48"/>
        <v>0.253</v>
      </c>
      <c r="P387" s="140">
        <f t="shared" si="49"/>
        <v>0.05</v>
      </c>
      <c r="Q387" s="161">
        <v>0.76773116934302532</v>
      </c>
      <c r="R387" s="125">
        <v>0.51333333333333331</v>
      </c>
      <c r="S387">
        <v>0.92</v>
      </c>
      <c r="T387" s="27">
        <v>4.0372138176522938</v>
      </c>
      <c r="U387" s="27">
        <v>3.6502144758788089</v>
      </c>
      <c r="V387" s="27"/>
      <c r="Y387">
        <f t="shared" si="44"/>
        <v>7</v>
      </c>
      <c r="Z387">
        <f t="shared" si="45"/>
        <v>1</v>
      </c>
      <c r="AA387">
        <f t="shared" si="46"/>
        <v>2024</v>
      </c>
      <c r="AC387" s="19">
        <v>45474</v>
      </c>
      <c r="AD387" s="19"/>
    </row>
    <row r="388" spans="1:30" x14ac:dyDescent="0.25">
      <c r="A388" s="25">
        <v>10387</v>
      </c>
      <c r="B388" t="s">
        <v>412</v>
      </c>
      <c r="C388" t="s">
        <v>412</v>
      </c>
      <c r="D388" s="27" t="s">
        <v>490</v>
      </c>
      <c r="E388" s="27">
        <v>15</v>
      </c>
      <c r="F388" s="118">
        <v>2905</v>
      </c>
      <c r="G388" t="s">
        <v>20</v>
      </c>
      <c r="H388" t="s">
        <v>8</v>
      </c>
      <c r="I388">
        <v>-4.0899999999999999E-2</v>
      </c>
      <c r="J388">
        <v>5.3150000000000004</v>
      </c>
      <c r="K388">
        <v>0.19700000000000001</v>
      </c>
      <c r="L388" s="63">
        <v>1.0197368421052632E-2</v>
      </c>
      <c r="M388" s="140">
        <f t="shared" si="48"/>
        <v>0.05</v>
      </c>
      <c r="N388" s="140">
        <f t="shared" si="48"/>
        <v>5.3150000000000004</v>
      </c>
      <c r="O388" s="140">
        <f t="shared" si="48"/>
        <v>0.19700000000000001</v>
      </c>
      <c r="P388" s="140">
        <f t="shared" si="49"/>
        <v>0.05</v>
      </c>
      <c r="Q388" s="161">
        <v>0.63932817814465104</v>
      </c>
      <c r="R388" s="125">
        <v>4.7633333333333328</v>
      </c>
      <c r="S388">
        <v>3.1733333333333333</v>
      </c>
      <c r="T388" s="27">
        <v>4.6271067605102081</v>
      </c>
      <c r="U388" s="27">
        <v>4.6888146454448654</v>
      </c>
      <c r="V388" s="27"/>
      <c r="Y388">
        <f t="shared" si="44"/>
        <v>7</v>
      </c>
      <c r="Z388">
        <f t="shared" si="45"/>
        <v>1</v>
      </c>
      <c r="AA388">
        <f t="shared" si="46"/>
        <v>2024</v>
      </c>
      <c r="AC388" s="19">
        <v>45474</v>
      </c>
      <c r="AD388" s="19"/>
    </row>
    <row r="389" spans="1:30" x14ac:dyDescent="0.25">
      <c r="A389" s="25">
        <v>10388</v>
      </c>
      <c r="B389" t="s">
        <v>413</v>
      </c>
      <c r="C389" t="s">
        <v>413</v>
      </c>
      <c r="D389" s="27" t="s">
        <v>505</v>
      </c>
      <c r="E389" s="27">
        <v>9</v>
      </c>
      <c r="F389" s="118"/>
      <c r="G389" t="s">
        <v>19</v>
      </c>
      <c r="H389" t="s">
        <v>9</v>
      </c>
      <c r="I389">
        <v>1.95E-2</v>
      </c>
      <c r="J389">
        <v>5.14</v>
      </c>
      <c r="K389">
        <v>0.30299999999999999</v>
      </c>
      <c r="M389" s="140">
        <f t="shared" si="48"/>
        <v>0.05</v>
      </c>
      <c r="N389" s="140">
        <f t="shared" si="48"/>
        <v>5.14</v>
      </c>
      <c r="O389" s="140">
        <f t="shared" si="48"/>
        <v>0.30299999999999999</v>
      </c>
      <c r="P389" s="140">
        <f t="shared" si="49"/>
        <v>0.05</v>
      </c>
      <c r="Q389" s="161">
        <v>0.34504367758120047</v>
      </c>
      <c r="R389" s="125">
        <v>3.6833333333333336</v>
      </c>
      <c r="S389">
        <v>4.9200000000000008</v>
      </c>
      <c r="T389">
        <v>3.0253931676906278</v>
      </c>
      <c r="U389">
        <v>2.2658426171529622</v>
      </c>
      <c r="Y389">
        <f t="shared" si="44"/>
        <v>7</v>
      </c>
      <c r="Z389">
        <f t="shared" si="45"/>
        <v>11</v>
      </c>
      <c r="AA389">
        <f t="shared" si="46"/>
        <v>2024</v>
      </c>
      <c r="AC389" s="19">
        <v>45484</v>
      </c>
      <c r="AD389" s="19"/>
    </row>
    <row r="390" spans="1:30" x14ac:dyDescent="0.25">
      <c r="A390" s="25">
        <v>10389</v>
      </c>
      <c r="B390" t="s">
        <v>414</v>
      </c>
      <c r="C390" t="s">
        <v>414</v>
      </c>
      <c r="D390" s="27" t="s">
        <v>506</v>
      </c>
      <c r="E390" s="27">
        <v>10</v>
      </c>
      <c r="F390" s="118"/>
      <c r="G390" t="s">
        <v>19</v>
      </c>
      <c r="H390" t="s">
        <v>9</v>
      </c>
      <c r="I390">
        <v>4.5699999999999998E-2</v>
      </c>
      <c r="J390">
        <v>5.8310000000000004</v>
      </c>
      <c r="K390">
        <v>0.314</v>
      </c>
      <c r="M390" s="140">
        <f t="shared" si="48"/>
        <v>0.05</v>
      </c>
      <c r="N390" s="140">
        <f t="shared" si="48"/>
        <v>5.8310000000000004</v>
      </c>
      <c r="O390" s="140">
        <f t="shared" si="48"/>
        <v>0.314</v>
      </c>
      <c r="P390" s="140">
        <f t="shared" si="49"/>
        <v>0.05</v>
      </c>
      <c r="Q390" s="161">
        <v>0.33197983238835527</v>
      </c>
      <c r="R390" s="125">
        <v>6.5166666666666666</v>
      </c>
      <c r="S390">
        <v>10.293333333333335</v>
      </c>
      <c r="T390">
        <v>3.2255142175350122</v>
      </c>
      <c r="U390">
        <v>3.6035968169761272</v>
      </c>
      <c r="Y390">
        <f t="shared" si="44"/>
        <v>7</v>
      </c>
      <c r="Z390">
        <f t="shared" si="45"/>
        <v>11</v>
      </c>
      <c r="AA390">
        <f t="shared" si="46"/>
        <v>2024</v>
      </c>
      <c r="AC390" s="19">
        <v>45484</v>
      </c>
      <c r="AD390" s="19"/>
    </row>
    <row r="391" spans="1:30" x14ac:dyDescent="0.25">
      <c r="A391" s="25">
        <v>10390</v>
      </c>
      <c r="B391" t="s">
        <v>415</v>
      </c>
      <c r="C391" t="s">
        <v>415</v>
      </c>
      <c r="D391" s="27" t="s">
        <v>507</v>
      </c>
      <c r="E391" s="27">
        <v>11</v>
      </c>
      <c r="F391" s="118"/>
      <c r="G391" t="s">
        <v>19</v>
      </c>
      <c r="H391" t="s">
        <v>9</v>
      </c>
      <c r="I391">
        <v>2.5600000000000001E-2</v>
      </c>
      <c r="J391">
        <v>5.875</v>
      </c>
      <c r="K391">
        <v>0.30199999999999999</v>
      </c>
      <c r="L391" s="26">
        <v>0.33090101522842641</v>
      </c>
      <c r="M391" s="140">
        <f t="shared" si="48"/>
        <v>0.05</v>
      </c>
      <c r="N391" s="140">
        <f t="shared" si="48"/>
        <v>5.875</v>
      </c>
      <c r="O391" s="140">
        <f t="shared" si="48"/>
        <v>0.30199999999999999</v>
      </c>
      <c r="P391" s="140">
        <f t="shared" si="49"/>
        <v>0.33090101522842641</v>
      </c>
      <c r="Q391" s="161">
        <v>0.37335709165273034</v>
      </c>
      <c r="R391" s="125">
        <v>5.6366666666666667</v>
      </c>
      <c r="S391">
        <v>7.286666666666668</v>
      </c>
      <c r="T391">
        <v>11.753789710513725</v>
      </c>
      <c r="U391">
        <v>1.5968634972454605</v>
      </c>
      <c r="Y391">
        <f t="shared" si="44"/>
        <v>7</v>
      </c>
      <c r="Z391">
        <f t="shared" si="45"/>
        <v>11</v>
      </c>
      <c r="AA391">
        <f t="shared" si="46"/>
        <v>2024</v>
      </c>
      <c r="AC391" s="19">
        <v>45484</v>
      </c>
      <c r="AD391" s="19"/>
    </row>
    <row r="392" spans="1:30" x14ac:dyDescent="0.25">
      <c r="A392" s="25">
        <v>10391</v>
      </c>
      <c r="B392" t="s">
        <v>416</v>
      </c>
      <c r="C392" t="s">
        <v>416</v>
      </c>
      <c r="D392" s="27" t="s">
        <v>508</v>
      </c>
      <c r="E392" s="27">
        <v>12</v>
      </c>
      <c r="F392" s="118"/>
      <c r="G392" t="s">
        <v>19</v>
      </c>
      <c r="H392" t="s">
        <v>9</v>
      </c>
      <c r="I392">
        <v>0.12230000000000001</v>
      </c>
      <c r="J392">
        <v>3.33</v>
      </c>
      <c r="K392">
        <v>0.28399999999999997</v>
      </c>
      <c r="L392" s="26">
        <v>0.24206852791878175</v>
      </c>
      <c r="M392" s="140">
        <f t="shared" si="48"/>
        <v>0.12230000000000001</v>
      </c>
      <c r="N392" s="140">
        <f t="shared" si="48"/>
        <v>3.33</v>
      </c>
      <c r="O392" s="140">
        <f t="shared" si="48"/>
        <v>0.28399999999999997</v>
      </c>
      <c r="P392" s="140">
        <f t="shared" si="49"/>
        <v>0.24206852791878175</v>
      </c>
      <c r="Q392" s="161">
        <v>0.46692141347924859</v>
      </c>
      <c r="R392" s="125">
        <v>10.936666666666667</v>
      </c>
      <c r="S392">
        <v>9.2466666666666661</v>
      </c>
      <c r="T392" s="106">
        <v>299.14840908443529</v>
      </c>
      <c r="U392">
        <v>3.3624215466231382</v>
      </c>
      <c r="Y392">
        <f t="shared" si="44"/>
        <v>7</v>
      </c>
      <c r="Z392">
        <f t="shared" si="45"/>
        <v>11</v>
      </c>
      <c r="AA392">
        <f t="shared" si="46"/>
        <v>2024</v>
      </c>
      <c r="AC392" s="19">
        <v>45484</v>
      </c>
      <c r="AD392" s="19"/>
    </row>
    <row r="393" spans="1:30" x14ac:dyDescent="0.25">
      <c r="A393" s="25">
        <v>10392</v>
      </c>
      <c r="B393" t="s">
        <v>417</v>
      </c>
      <c r="C393" t="s">
        <v>417</v>
      </c>
      <c r="D393" s="27" t="s">
        <v>504</v>
      </c>
      <c r="E393" s="27">
        <v>5</v>
      </c>
      <c r="F393" s="118">
        <v>6425</v>
      </c>
      <c r="G393" t="s">
        <v>20</v>
      </c>
      <c r="H393" t="s">
        <v>8</v>
      </c>
      <c r="I393">
        <v>0.1135</v>
      </c>
      <c r="J393">
        <v>5.5880000000000001</v>
      </c>
      <c r="K393">
        <v>0.34399999999999997</v>
      </c>
      <c r="L393" s="110">
        <v>3.7982663514578408E-2</v>
      </c>
      <c r="M393" s="140">
        <f t="shared" si="48"/>
        <v>0.1135</v>
      </c>
      <c r="N393" s="140">
        <f t="shared" si="48"/>
        <v>5.5880000000000001</v>
      </c>
      <c r="O393" s="140">
        <f t="shared" si="48"/>
        <v>0.34399999999999997</v>
      </c>
      <c r="P393" s="140">
        <f t="shared" si="49"/>
        <v>0.05</v>
      </c>
      <c r="Q393" s="161">
        <v>0.43651461146073567</v>
      </c>
      <c r="R393" s="125">
        <v>5.3049999999999997</v>
      </c>
      <c r="S393">
        <v>10.309999999999999</v>
      </c>
      <c r="T393" s="27">
        <v>3.9984494242644879</v>
      </c>
      <c r="U393" s="27">
        <v>3.0698736778077036</v>
      </c>
      <c r="V393" s="27"/>
      <c r="Y393">
        <f t="shared" si="44"/>
        <v>7</v>
      </c>
      <c r="Z393">
        <f t="shared" si="45"/>
        <v>17</v>
      </c>
      <c r="AA393">
        <f t="shared" si="46"/>
        <v>2024</v>
      </c>
      <c r="AC393" s="19">
        <v>45490</v>
      </c>
      <c r="AD393" s="19"/>
    </row>
    <row r="394" spans="1:30" x14ac:dyDescent="0.25">
      <c r="A394" s="25">
        <v>10393</v>
      </c>
      <c r="B394" t="s">
        <v>418</v>
      </c>
      <c r="C394" t="s">
        <v>418</v>
      </c>
      <c r="D394" s="27" t="s">
        <v>483</v>
      </c>
      <c r="E394" s="27">
        <v>6</v>
      </c>
      <c r="F394" s="118">
        <v>8245</v>
      </c>
      <c r="G394" t="s">
        <v>20</v>
      </c>
      <c r="H394" t="s">
        <v>8</v>
      </c>
      <c r="I394">
        <v>4.0399999999999998E-2</v>
      </c>
      <c r="J394">
        <v>5.1269999999999998</v>
      </c>
      <c r="K394">
        <v>0.27200000000000002</v>
      </c>
      <c r="M394" s="140">
        <f t="shared" si="48"/>
        <v>0.05</v>
      </c>
      <c r="N394" s="140">
        <f t="shared" si="48"/>
        <v>5.1269999999999998</v>
      </c>
      <c r="O394" s="140">
        <f t="shared" si="48"/>
        <v>0.27200000000000002</v>
      </c>
      <c r="P394" s="140">
        <f t="shared" si="49"/>
        <v>0.05</v>
      </c>
      <c r="Q394" s="161">
        <v>0.52367660752160261</v>
      </c>
      <c r="R394" s="125">
        <v>2.2925</v>
      </c>
      <c r="S394">
        <v>6.9524999999999997</v>
      </c>
      <c r="T394" s="27">
        <v>6.2149300218428944</v>
      </c>
      <c r="U394" s="27">
        <v>3.1854979049616476</v>
      </c>
      <c r="V394" s="27"/>
      <c r="Y394">
        <f t="shared" si="44"/>
        <v>7</v>
      </c>
      <c r="Z394">
        <f t="shared" si="45"/>
        <v>17</v>
      </c>
      <c r="AA394">
        <f t="shared" si="46"/>
        <v>2024</v>
      </c>
      <c r="AC394" s="19">
        <v>45490</v>
      </c>
      <c r="AD394" s="19"/>
    </row>
    <row r="395" spans="1:30" x14ac:dyDescent="0.25">
      <c r="A395" s="25">
        <v>10394</v>
      </c>
      <c r="B395" s="28" t="s">
        <v>419</v>
      </c>
      <c r="C395" s="23" t="s">
        <v>419</v>
      </c>
      <c r="D395" s="56" t="s">
        <v>484</v>
      </c>
      <c r="E395" s="56">
        <v>8</v>
      </c>
      <c r="F395" s="118">
        <v>5065</v>
      </c>
      <c r="G395" s="23" t="s">
        <v>20</v>
      </c>
      <c r="H395" s="23" t="s">
        <v>8</v>
      </c>
      <c r="I395">
        <v>0.1348</v>
      </c>
      <c r="J395">
        <v>4.585</v>
      </c>
      <c r="K395">
        <v>-1.7000000000000001E-2</v>
      </c>
      <c r="L395" s="110">
        <v>5.0591016548463368E-2</v>
      </c>
      <c r="M395" s="140">
        <f t="shared" si="48"/>
        <v>0.1348</v>
      </c>
      <c r="N395" s="140">
        <f t="shared" si="48"/>
        <v>4.585</v>
      </c>
      <c r="O395" s="140">
        <f t="shared" si="48"/>
        <v>0.05</v>
      </c>
      <c r="P395" s="140">
        <f t="shared" si="49"/>
        <v>0.05</v>
      </c>
      <c r="Q395" s="161">
        <v>0.40507670352516922</v>
      </c>
      <c r="R395" s="125">
        <v>3.063333333333333</v>
      </c>
      <c r="S395">
        <v>24.806666666666661</v>
      </c>
      <c r="T395" s="27">
        <v>5.8438030903648581</v>
      </c>
      <c r="U395" s="27">
        <v>3.6697878616273822</v>
      </c>
      <c r="V395" s="27"/>
      <c r="Y395">
        <f t="shared" si="44"/>
        <v>7</v>
      </c>
      <c r="Z395">
        <f t="shared" si="45"/>
        <v>17</v>
      </c>
      <c r="AA395">
        <f t="shared" si="46"/>
        <v>2024</v>
      </c>
      <c r="AC395" s="19">
        <v>45490</v>
      </c>
      <c r="AD395" s="19"/>
    </row>
    <row r="396" spans="1:30" x14ac:dyDescent="0.25">
      <c r="A396" s="25">
        <v>10395</v>
      </c>
      <c r="B396" s="23" t="s">
        <v>420</v>
      </c>
      <c r="C396" s="23" t="s">
        <v>420</v>
      </c>
      <c r="D396" s="56" t="s">
        <v>485</v>
      </c>
      <c r="E396" s="56">
        <v>9</v>
      </c>
      <c r="F396" s="118">
        <v>3385</v>
      </c>
      <c r="G396" s="23" t="s">
        <v>20</v>
      </c>
      <c r="H396" s="23" t="s">
        <v>8</v>
      </c>
      <c r="I396">
        <v>5.9999999999999995E-4</v>
      </c>
      <c r="J396">
        <v>4.6360000000000001</v>
      </c>
      <c r="K396">
        <v>0.35599999999999998</v>
      </c>
      <c r="L396" s="23"/>
      <c r="M396" s="140">
        <f t="shared" si="48"/>
        <v>0.05</v>
      </c>
      <c r="N396" s="140">
        <f t="shared" si="48"/>
        <v>4.6360000000000001</v>
      </c>
      <c r="O396" s="140">
        <f t="shared" si="48"/>
        <v>0.35599999999999998</v>
      </c>
      <c r="P396" s="140">
        <f t="shared" si="49"/>
        <v>0.05</v>
      </c>
      <c r="Q396" s="161">
        <v>0.33265756285629511</v>
      </c>
      <c r="R396" s="125">
        <v>69.94</v>
      </c>
      <c r="S396">
        <v>134.56333333333333</v>
      </c>
      <c r="T396" s="27">
        <v>5.237561685947739</v>
      </c>
      <c r="U396" s="27">
        <v>3.0850077389535073</v>
      </c>
      <c r="V396" s="27"/>
      <c r="Y396">
        <f t="shared" ref="Y396:Y427" si="50">MONTH(AC396)</f>
        <v>7</v>
      </c>
      <c r="Z396">
        <f t="shared" ref="Z396:Z427" si="51">DAY(AC396)</f>
        <v>17</v>
      </c>
      <c r="AA396">
        <f t="shared" ref="AA396:AA427" si="52">YEAR(AC396)</f>
        <v>2024</v>
      </c>
      <c r="AC396" s="19">
        <v>45490</v>
      </c>
      <c r="AD396" s="19"/>
    </row>
    <row r="397" spans="1:30" x14ac:dyDescent="0.25">
      <c r="A397" s="25">
        <v>10396</v>
      </c>
      <c r="B397" t="s">
        <v>421</v>
      </c>
      <c r="C397" t="s">
        <v>421</v>
      </c>
      <c r="D397" s="27" t="s">
        <v>486</v>
      </c>
      <c r="E397" s="27">
        <v>10</v>
      </c>
      <c r="F397" s="118">
        <v>2205</v>
      </c>
      <c r="G397" t="s">
        <v>20</v>
      </c>
      <c r="H397" t="s">
        <v>8</v>
      </c>
      <c r="I397">
        <v>4.0800000000000003E-2</v>
      </c>
      <c r="J397">
        <v>4.2130000000000001</v>
      </c>
      <c r="K397">
        <v>0.217</v>
      </c>
      <c r="L397" s="110">
        <v>2.6950354609929082E-2</v>
      </c>
      <c r="M397" s="140">
        <f t="shared" si="48"/>
        <v>0.05</v>
      </c>
      <c r="N397" s="140">
        <f t="shared" si="48"/>
        <v>4.2130000000000001</v>
      </c>
      <c r="O397" s="140">
        <f t="shared" si="48"/>
        <v>0.217</v>
      </c>
      <c r="P397" s="140">
        <f t="shared" si="49"/>
        <v>0.05</v>
      </c>
      <c r="Q397" s="161">
        <v>0.35589167553658685</v>
      </c>
      <c r="R397" s="125">
        <v>3.5233333333333334</v>
      </c>
      <c r="S397">
        <v>14.166666666666666</v>
      </c>
      <c r="T397" s="27">
        <v>6.5299328533290186</v>
      </c>
      <c r="U397" s="27">
        <v>3.4080694975459416</v>
      </c>
      <c r="V397" s="27"/>
      <c r="Y397">
        <f t="shared" si="50"/>
        <v>7</v>
      </c>
      <c r="Z397">
        <f t="shared" si="51"/>
        <v>17</v>
      </c>
      <c r="AA397">
        <f t="shared" si="52"/>
        <v>2024</v>
      </c>
      <c r="AC397" s="19">
        <v>45490</v>
      </c>
      <c r="AD397" s="19"/>
    </row>
    <row r="398" spans="1:30" x14ac:dyDescent="0.25">
      <c r="A398" s="25">
        <v>10397</v>
      </c>
      <c r="B398" t="s">
        <v>422</v>
      </c>
      <c r="C398" t="s">
        <v>422</v>
      </c>
      <c r="D398" s="27" t="s">
        <v>487</v>
      </c>
      <c r="E398" s="27">
        <v>11</v>
      </c>
      <c r="F398" s="118">
        <v>1385</v>
      </c>
      <c r="G398" t="s">
        <v>20</v>
      </c>
      <c r="H398" t="s">
        <v>8</v>
      </c>
      <c r="I398">
        <v>5.6399999999999999E-2</v>
      </c>
      <c r="J398">
        <v>6.0490000000000004</v>
      </c>
      <c r="K398">
        <v>0.35199999999999998</v>
      </c>
      <c r="L398" s="110">
        <v>3.3254531126871559E-2</v>
      </c>
      <c r="M398" s="140">
        <f t="shared" si="48"/>
        <v>0.05</v>
      </c>
      <c r="N398" s="140">
        <f t="shared" si="48"/>
        <v>6.0490000000000004</v>
      </c>
      <c r="O398" s="140">
        <f t="shared" si="48"/>
        <v>0.35199999999999998</v>
      </c>
      <c r="P398" s="140">
        <f t="shared" si="49"/>
        <v>0.05</v>
      </c>
      <c r="Q398" s="161">
        <v>0.33887640555203613</v>
      </c>
      <c r="R398" s="125">
        <v>3.6799999999999997</v>
      </c>
      <c r="S398">
        <v>8.34</v>
      </c>
      <c r="T398" s="27">
        <v>4.8507604562737647</v>
      </c>
      <c r="U398" s="27">
        <v>3.5420563855567946</v>
      </c>
      <c r="V398" s="27"/>
      <c r="Y398">
        <f t="shared" si="50"/>
        <v>7</v>
      </c>
      <c r="Z398">
        <f t="shared" si="51"/>
        <v>17</v>
      </c>
      <c r="AA398">
        <f t="shared" si="52"/>
        <v>2024</v>
      </c>
      <c r="AC398" s="19">
        <v>45490</v>
      </c>
      <c r="AD398" s="19"/>
    </row>
    <row r="399" spans="1:30" x14ac:dyDescent="0.25">
      <c r="A399" s="25">
        <v>10398</v>
      </c>
      <c r="B399" t="s">
        <v>423</v>
      </c>
      <c r="C399" t="s">
        <v>423</v>
      </c>
      <c r="D399" s="27" t="s">
        <v>488</v>
      </c>
      <c r="E399" s="27">
        <v>12</v>
      </c>
      <c r="F399" s="118">
        <v>275</v>
      </c>
      <c r="G399" t="s">
        <v>20</v>
      </c>
      <c r="H399" t="s">
        <v>8</v>
      </c>
      <c r="I399">
        <v>6.5199999999999994E-2</v>
      </c>
      <c r="J399">
        <v>4.9370000000000003</v>
      </c>
      <c r="K399">
        <v>0.308</v>
      </c>
      <c r="L399" s="110">
        <v>1.591804570527975E-2</v>
      </c>
      <c r="M399" s="140">
        <f t="shared" si="48"/>
        <v>0.05</v>
      </c>
      <c r="N399" s="140">
        <f t="shared" si="48"/>
        <v>4.9370000000000003</v>
      </c>
      <c r="O399" s="140">
        <f t="shared" si="48"/>
        <v>0.308</v>
      </c>
      <c r="P399" s="140">
        <f t="shared" si="49"/>
        <v>0.05</v>
      </c>
      <c r="Q399" s="161">
        <v>0.40907508559543099</v>
      </c>
      <c r="R399" s="125">
        <v>2.6933333333333334</v>
      </c>
      <c r="S399">
        <v>5.9899999999999993</v>
      </c>
      <c r="T399" s="27">
        <v>5.4726761588868218</v>
      </c>
      <c r="U399" s="27">
        <v>2.0163412345777867</v>
      </c>
      <c r="V399" s="27"/>
      <c r="Y399">
        <f t="shared" si="50"/>
        <v>7</v>
      </c>
      <c r="Z399">
        <f t="shared" si="51"/>
        <v>17</v>
      </c>
      <c r="AA399">
        <f t="shared" si="52"/>
        <v>2024</v>
      </c>
      <c r="AC399" s="19">
        <v>45490</v>
      </c>
      <c r="AD399" s="19"/>
    </row>
    <row r="400" spans="1:30" x14ac:dyDescent="0.25">
      <c r="A400" s="25">
        <v>10399</v>
      </c>
      <c r="B400" t="s">
        <v>424</v>
      </c>
      <c r="C400" t="s">
        <v>424</v>
      </c>
      <c r="D400" s="27" t="s">
        <v>489</v>
      </c>
      <c r="E400" s="27">
        <v>14</v>
      </c>
      <c r="F400" s="118">
        <v>4225</v>
      </c>
      <c r="G400" t="s">
        <v>20</v>
      </c>
      <c r="H400" t="s">
        <v>8</v>
      </c>
      <c r="I400">
        <v>6.1600000000000002E-2</v>
      </c>
      <c r="J400">
        <v>5.359</v>
      </c>
      <c r="K400">
        <v>0.33900000000000002</v>
      </c>
      <c r="M400" s="140">
        <f t="shared" si="48"/>
        <v>0.05</v>
      </c>
      <c r="N400" s="140">
        <f t="shared" si="48"/>
        <v>5.359</v>
      </c>
      <c r="O400" s="140">
        <f t="shared" si="48"/>
        <v>0.33900000000000002</v>
      </c>
      <c r="P400" s="140">
        <f t="shared" si="49"/>
        <v>0.05</v>
      </c>
      <c r="Q400" s="161">
        <v>0.39770183890916089</v>
      </c>
      <c r="R400" s="125">
        <v>2.2333333333333334</v>
      </c>
      <c r="S400">
        <v>4.9800000000000004</v>
      </c>
      <c r="T400" s="27">
        <v>5.1354259364129113</v>
      </c>
      <c r="U400" s="27">
        <v>3.2103177652407666</v>
      </c>
      <c r="V400" s="27"/>
      <c r="Y400">
        <f t="shared" si="50"/>
        <v>7</v>
      </c>
      <c r="Z400">
        <f t="shared" si="51"/>
        <v>17</v>
      </c>
      <c r="AA400">
        <f t="shared" si="52"/>
        <v>2024</v>
      </c>
      <c r="AC400" s="19">
        <v>45490</v>
      </c>
      <c r="AD400" s="19"/>
    </row>
    <row r="401" spans="1:30" x14ac:dyDescent="0.25">
      <c r="A401" s="25">
        <v>10400</v>
      </c>
      <c r="B401" t="s">
        <v>425</v>
      </c>
      <c r="C401" t="s">
        <v>425</v>
      </c>
      <c r="D401" s="27" t="s">
        <v>490</v>
      </c>
      <c r="E401" s="27">
        <v>15</v>
      </c>
      <c r="F401" s="118">
        <v>2905</v>
      </c>
      <c r="G401" t="s">
        <v>20</v>
      </c>
      <c r="H401" t="s">
        <v>8</v>
      </c>
      <c r="I401">
        <v>4.9799999999999997E-2</v>
      </c>
      <c r="J401">
        <v>4.9119999999999999</v>
      </c>
      <c r="K401">
        <v>0.29699999999999999</v>
      </c>
      <c r="L401" s="110">
        <v>2.3798266351457844E-2</v>
      </c>
      <c r="M401" s="140">
        <f t="shared" si="48"/>
        <v>0.05</v>
      </c>
      <c r="N401" s="140">
        <f t="shared" si="48"/>
        <v>4.9119999999999999</v>
      </c>
      <c r="O401" s="140">
        <f t="shared" si="48"/>
        <v>0.29699999999999999</v>
      </c>
      <c r="P401" s="140">
        <f t="shared" si="49"/>
        <v>0.05</v>
      </c>
      <c r="Q401" s="161">
        <v>0.3539041820413904</v>
      </c>
      <c r="R401" s="125">
        <v>2.3433333333333333</v>
      </c>
      <c r="S401">
        <v>6.1566666666666663</v>
      </c>
      <c r="T401" s="27">
        <v>9.2748024701345633E-2</v>
      </c>
      <c r="U401" s="27">
        <v>0.19904317218961698</v>
      </c>
      <c r="V401" s="27"/>
      <c r="Y401">
        <f t="shared" si="50"/>
        <v>7</v>
      </c>
      <c r="Z401">
        <f t="shared" si="51"/>
        <v>17</v>
      </c>
      <c r="AA401">
        <f t="shared" si="52"/>
        <v>2024</v>
      </c>
      <c r="AC401" s="19">
        <v>45490</v>
      </c>
      <c r="AD401" s="19"/>
    </row>
    <row r="402" spans="1:30" x14ac:dyDescent="0.25">
      <c r="A402" s="25">
        <v>10401</v>
      </c>
      <c r="B402" t="s">
        <v>426</v>
      </c>
      <c r="C402" t="s">
        <v>426</v>
      </c>
      <c r="D402" s="27" t="s">
        <v>462</v>
      </c>
      <c r="E402" s="27">
        <v>1</v>
      </c>
      <c r="F402" s="118">
        <v>5999</v>
      </c>
      <c r="G402" t="s">
        <v>19</v>
      </c>
      <c r="H402" t="s">
        <v>8</v>
      </c>
      <c r="I402" s="68">
        <v>3.1000000000000003E-3</v>
      </c>
      <c r="J402" s="71">
        <v>1.8393333333333333</v>
      </c>
      <c r="K402" s="71">
        <v>6.533333333333334E-2</v>
      </c>
      <c r="L402" s="111">
        <v>0.14689086294416245</v>
      </c>
      <c r="M402" s="140">
        <f t="shared" ref="M402:O417" si="53">IF(I402&lt;0.1,0.05,I402)</f>
        <v>0.05</v>
      </c>
      <c r="N402" s="140">
        <f t="shared" si="53"/>
        <v>1.8393333333333333</v>
      </c>
      <c r="O402" s="140">
        <f t="shared" si="53"/>
        <v>0.05</v>
      </c>
      <c r="P402" s="140">
        <f t="shared" si="49"/>
        <v>0.14689086294416245</v>
      </c>
      <c r="Q402" s="161">
        <v>0.32824190662092656</v>
      </c>
      <c r="R402" s="125">
        <v>5.5033333333333339</v>
      </c>
      <c r="S402">
        <v>4.7299999999999995</v>
      </c>
      <c r="T402">
        <v>3.4259817973358366</v>
      </c>
      <c r="U402">
        <v>1.1471593552336259</v>
      </c>
      <c r="Y402">
        <f t="shared" si="50"/>
        <v>7</v>
      </c>
      <c r="Z402">
        <f t="shared" si="51"/>
        <v>18</v>
      </c>
      <c r="AA402">
        <f t="shared" si="52"/>
        <v>2024</v>
      </c>
      <c r="AC402" s="19">
        <v>45491</v>
      </c>
      <c r="AD402" s="19"/>
    </row>
    <row r="403" spans="1:30" x14ac:dyDescent="0.25">
      <c r="A403" s="25">
        <v>10402</v>
      </c>
      <c r="B403" t="s">
        <v>427</v>
      </c>
      <c r="C403" t="s">
        <v>427</v>
      </c>
      <c r="D403" s="27" t="s">
        <v>463</v>
      </c>
      <c r="E403" s="27">
        <v>2</v>
      </c>
      <c r="F403" s="118">
        <v>8861</v>
      </c>
      <c r="G403" t="s">
        <v>19</v>
      </c>
      <c r="H403" t="s">
        <v>8</v>
      </c>
      <c r="I403">
        <v>-4.8999999999999998E-3</v>
      </c>
      <c r="J403">
        <v>1.62</v>
      </c>
      <c r="K403">
        <v>5.6000000000000001E-2</v>
      </c>
      <c r="L403" s="111">
        <v>6.2817258883248725E-2</v>
      </c>
      <c r="M403" s="140">
        <f t="shared" si="53"/>
        <v>0.05</v>
      </c>
      <c r="N403" s="140">
        <f t="shared" si="53"/>
        <v>1.62</v>
      </c>
      <c r="O403" s="140">
        <f t="shared" si="53"/>
        <v>0.05</v>
      </c>
      <c r="P403" s="140">
        <f t="shared" si="49"/>
        <v>0.05</v>
      </c>
      <c r="Q403" s="161">
        <v>0.40345308715057798</v>
      </c>
      <c r="R403" s="125">
        <v>15.976666666666665</v>
      </c>
      <c r="S403">
        <v>10.723333333333334</v>
      </c>
      <c r="T403">
        <v>2.6209927085245699</v>
      </c>
      <c r="U403">
        <v>1.1491997551520097</v>
      </c>
      <c r="Y403">
        <f t="shared" si="50"/>
        <v>7</v>
      </c>
      <c r="Z403">
        <f t="shared" si="51"/>
        <v>18</v>
      </c>
      <c r="AA403">
        <f t="shared" si="52"/>
        <v>2024</v>
      </c>
      <c r="AC403" s="19">
        <v>45491</v>
      </c>
      <c r="AD403" s="19"/>
    </row>
    <row r="404" spans="1:30" x14ac:dyDescent="0.25">
      <c r="A404" s="25">
        <v>10403</v>
      </c>
      <c r="B404" t="s">
        <v>428</v>
      </c>
      <c r="C404" t="s">
        <v>428</v>
      </c>
      <c r="D404" s="27" t="s">
        <v>464</v>
      </c>
      <c r="E404" s="27">
        <v>3</v>
      </c>
      <c r="F404" s="118">
        <v>9921</v>
      </c>
      <c r="G404" t="s">
        <v>19</v>
      </c>
      <c r="H404" t="s">
        <v>8</v>
      </c>
      <c r="I404">
        <v>1.5299999999999999E-2</v>
      </c>
      <c r="J404">
        <v>1.347</v>
      </c>
      <c r="K404">
        <v>8.9999999999999993E-3</v>
      </c>
      <c r="L404" s="111">
        <v>7.3921319796954321E-2</v>
      </c>
      <c r="M404" s="140">
        <f t="shared" si="53"/>
        <v>0.05</v>
      </c>
      <c r="N404" s="140">
        <f t="shared" si="53"/>
        <v>1.347</v>
      </c>
      <c r="O404" s="140">
        <f t="shared" si="53"/>
        <v>0.05</v>
      </c>
      <c r="P404" s="140">
        <f t="shared" si="49"/>
        <v>0.05</v>
      </c>
      <c r="Q404" s="161">
        <v>0.41933287867878899</v>
      </c>
      <c r="R404" s="125">
        <v>7.4233333333333347</v>
      </c>
      <c r="S404">
        <v>4.8066666666666666</v>
      </c>
      <c r="T404">
        <v>2.7828221981822843</v>
      </c>
      <c r="U404">
        <v>1.2640742705570291</v>
      </c>
      <c r="Y404">
        <f t="shared" si="50"/>
        <v>7</v>
      </c>
      <c r="Z404">
        <f t="shared" si="51"/>
        <v>18</v>
      </c>
      <c r="AA404">
        <f t="shared" si="52"/>
        <v>2024</v>
      </c>
      <c r="AC404" s="19">
        <v>45491</v>
      </c>
      <c r="AD404" s="19"/>
    </row>
    <row r="405" spans="1:30" x14ac:dyDescent="0.25">
      <c r="A405" s="25">
        <v>10404</v>
      </c>
      <c r="B405" t="s">
        <v>429</v>
      </c>
      <c r="C405" t="s">
        <v>429</v>
      </c>
      <c r="D405" s="27" t="s">
        <v>465</v>
      </c>
      <c r="E405" s="27">
        <v>4</v>
      </c>
      <c r="F405" s="118">
        <v>10891</v>
      </c>
      <c r="G405" t="s">
        <v>19</v>
      </c>
      <c r="H405" t="s">
        <v>8</v>
      </c>
      <c r="I405">
        <v>4.0000000000000002E-4</v>
      </c>
      <c r="J405">
        <v>1.341</v>
      </c>
      <c r="K405">
        <v>0</v>
      </c>
      <c r="L405" s="111">
        <v>8.1852791878172598E-2</v>
      </c>
      <c r="M405" s="140">
        <f t="shared" si="53"/>
        <v>0.05</v>
      </c>
      <c r="N405" s="140">
        <f t="shared" si="53"/>
        <v>1.341</v>
      </c>
      <c r="O405" s="140">
        <f t="shared" si="53"/>
        <v>0.05</v>
      </c>
      <c r="P405" s="140">
        <f t="shared" si="49"/>
        <v>0.05</v>
      </c>
      <c r="Q405" s="161">
        <v>0.4417066509477221</v>
      </c>
      <c r="R405" s="125">
        <v>16.326666666666664</v>
      </c>
      <c r="S405">
        <v>23.533333333333331</v>
      </c>
      <c r="T405">
        <v>2.7093578474169</v>
      </c>
      <c r="U405">
        <v>0.84791974426987693</v>
      </c>
      <c r="Y405">
        <f t="shared" si="50"/>
        <v>7</v>
      </c>
      <c r="Z405">
        <f t="shared" si="51"/>
        <v>18</v>
      </c>
      <c r="AA405">
        <f t="shared" si="52"/>
        <v>2024</v>
      </c>
      <c r="AC405" s="19">
        <v>45491</v>
      </c>
      <c r="AD405" s="19"/>
    </row>
    <row r="406" spans="1:30" x14ac:dyDescent="0.25">
      <c r="A406" s="25">
        <v>10405</v>
      </c>
      <c r="B406" t="s">
        <v>430</v>
      </c>
      <c r="C406" t="s">
        <v>430</v>
      </c>
      <c r="D406" s="27" t="s">
        <v>466</v>
      </c>
      <c r="E406" s="27">
        <v>5</v>
      </c>
      <c r="F406" s="118">
        <v>12821</v>
      </c>
      <c r="G406" t="s">
        <v>19</v>
      </c>
      <c r="H406" t="s">
        <v>8</v>
      </c>
      <c r="I406">
        <v>3.7000000000000002E-3</v>
      </c>
      <c r="J406">
        <v>1.776</v>
      </c>
      <c r="K406">
        <v>7.0000000000000001E-3</v>
      </c>
      <c r="L406" s="111">
        <v>0.12309644670050762</v>
      </c>
      <c r="M406" s="140">
        <f t="shared" si="53"/>
        <v>0.05</v>
      </c>
      <c r="N406" s="140">
        <f t="shared" si="53"/>
        <v>1.776</v>
      </c>
      <c r="O406" s="140">
        <f t="shared" si="53"/>
        <v>0.05</v>
      </c>
      <c r="P406" s="140">
        <f t="shared" si="49"/>
        <v>0.12309644670050762</v>
      </c>
      <c r="Q406" s="161">
        <v>0.4134438211625992</v>
      </c>
      <c r="R406" s="125">
        <v>12.796666666666667</v>
      </c>
      <c r="S406">
        <v>16.296666666666663</v>
      </c>
      <c r="T406">
        <v>2.6490616349962544</v>
      </c>
      <c r="U406">
        <v>0.95454560293817592</v>
      </c>
      <c r="Y406">
        <f t="shared" si="50"/>
        <v>7</v>
      </c>
      <c r="Z406">
        <f t="shared" si="51"/>
        <v>18</v>
      </c>
      <c r="AA406">
        <f t="shared" si="52"/>
        <v>2024</v>
      </c>
      <c r="AC406" s="19">
        <v>45491</v>
      </c>
      <c r="AD406" s="19"/>
    </row>
    <row r="407" spans="1:30" x14ac:dyDescent="0.25">
      <c r="A407" s="25">
        <v>10406</v>
      </c>
      <c r="B407" t="s">
        <v>431</v>
      </c>
      <c r="C407" t="s">
        <v>431</v>
      </c>
      <c r="D407" s="27" t="s">
        <v>467</v>
      </c>
      <c r="E407" s="27">
        <v>6</v>
      </c>
      <c r="F407" s="118">
        <v>14351</v>
      </c>
      <c r="G407" t="s">
        <v>19</v>
      </c>
      <c r="H407" t="s">
        <v>8</v>
      </c>
      <c r="I407">
        <v>2.12E-2</v>
      </c>
      <c r="J407">
        <v>1.887</v>
      </c>
      <c r="K407">
        <v>0.13600000000000001</v>
      </c>
      <c r="L407">
        <v>0.12706218274111675</v>
      </c>
      <c r="M407" s="140">
        <f t="shared" si="53"/>
        <v>0.05</v>
      </c>
      <c r="N407" s="140">
        <f t="shared" si="53"/>
        <v>1.887</v>
      </c>
      <c r="O407" s="140">
        <f t="shared" si="53"/>
        <v>0.13600000000000001</v>
      </c>
      <c r="P407" s="140">
        <f t="shared" si="49"/>
        <v>0.12706218274111675</v>
      </c>
      <c r="Q407" s="161">
        <v>0.37801911441317848</v>
      </c>
      <c r="R407" s="125">
        <v>16.726666666666667</v>
      </c>
      <c r="S407">
        <v>17.366666666666664</v>
      </c>
      <c r="T407">
        <v>3.2582612984186383</v>
      </c>
      <c r="U407">
        <v>1.5492541658165002</v>
      </c>
      <c r="Y407">
        <f t="shared" si="50"/>
        <v>7</v>
      </c>
      <c r="Z407">
        <f t="shared" si="51"/>
        <v>18</v>
      </c>
      <c r="AA407">
        <f t="shared" si="52"/>
        <v>2024</v>
      </c>
      <c r="AC407" s="19">
        <v>45491</v>
      </c>
      <c r="AD407" s="19"/>
    </row>
    <row r="408" spans="1:30" x14ac:dyDescent="0.25">
      <c r="A408" s="25">
        <v>10407</v>
      </c>
      <c r="B408" t="s">
        <v>432</v>
      </c>
      <c r="C408" t="s">
        <v>432</v>
      </c>
      <c r="D408" s="27" t="s">
        <v>468</v>
      </c>
      <c r="E408" s="27">
        <v>7</v>
      </c>
      <c r="F408" s="118">
        <v>6411</v>
      </c>
      <c r="G408" t="s">
        <v>19</v>
      </c>
      <c r="H408" t="s">
        <v>8</v>
      </c>
      <c r="I408">
        <v>1.0699999999999999E-2</v>
      </c>
      <c r="J408">
        <v>1.5389999999999999</v>
      </c>
      <c r="K408">
        <v>-4.0000000000000001E-3</v>
      </c>
      <c r="L408" s="111">
        <v>0.13102791878172587</v>
      </c>
      <c r="M408" s="140">
        <f t="shared" si="53"/>
        <v>0.05</v>
      </c>
      <c r="N408" s="140">
        <f t="shared" si="53"/>
        <v>1.5389999999999999</v>
      </c>
      <c r="O408" s="140">
        <f t="shared" si="53"/>
        <v>0.05</v>
      </c>
      <c r="P408" s="140">
        <f t="shared" si="49"/>
        <v>0.13102791878172587</v>
      </c>
      <c r="Q408" s="161">
        <v>0.45027605693764094</v>
      </c>
      <c r="R408" s="125">
        <v>2.7766666666666668</v>
      </c>
      <c r="S408">
        <v>1.8933333333333333</v>
      </c>
      <c r="T408">
        <v>2.7909656521586359</v>
      </c>
      <c r="U408">
        <v>1.284886349724546</v>
      </c>
      <c r="Y408">
        <f t="shared" si="50"/>
        <v>7</v>
      </c>
      <c r="Z408">
        <f t="shared" si="51"/>
        <v>18</v>
      </c>
      <c r="AA408">
        <f t="shared" si="52"/>
        <v>2024</v>
      </c>
      <c r="AC408" s="19">
        <v>45491</v>
      </c>
      <c r="AD408" s="19"/>
    </row>
    <row r="409" spans="1:30" x14ac:dyDescent="0.25">
      <c r="A409" s="25">
        <v>10408</v>
      </c>
      <c r="B409" t="s">
        <v>433</v>
      </c>
      <c r="C409" t="s">
        <v>433</v>
      </c>
      <c r="D409" s="27" t="s">
        <v>469</v>
      </c>
      <c r="E409" s="27">
        <v>8</v>
      </c>
      <c r="F409" s="118">
        <v>5401</v>
      </c>
      <c r="G409" t="s">
        <v>19</v>
      </c>
      <c r="H409" t="s">
        <v>8</v>
      </c>
      <c r="I409">
        <v>2.2000000000000001E-3</v>
      </c>
      <c r="J409">
        <v>1.536</v>
      </c>
      <c r="K409">
        <v>5.1999999999999998E-2</v>
      </c>
      <c r="L409" s="111">
        <v>5.3299492385786802E-2</v>
      </c>
      <c r="M409" s="140">
        <f t="shared" si="53"/>
        <v>0.05</v>
      </c>
      <c r="N409" s="140">
        <f t="shared" si="53"/>
        <v>1.536</v>
      </c>
      <c r="O409" s="140">
        <f t="shared" si="53"/>
        <v>0.05</v>
      </c>
      <c r="P409" s="140">
        <f t="shared" si="49"/>
        <v>0.05</v>
      </c>
      <c r="Q409" s="161">
        <v>0.44720066481797649</v>
      </c>
      <c r="R409" s="125">
        <v>10.843333333333334</v>
      </c>
      <c r="S409">
        <v>8.9133333333333322</v>
      </c>
      <c r="T409">
        <v>2.7421049283005265</v>
      </c>
      <c r="U409">
        <v>1.2714197102632117</v>
      </c>
      <c r="Y409">
        <f t="shared" si="50"/>
        <v>7</v>
      </c>
      <c r="Z409">
        <f t="shared" si="51"/>
        <v>18</v>
      </c>
      <c r="AA409">
        <f t="shared" si="52"/>
        <v>2024</v>
      </c>
      <c r="AC409" s="19">
        <v>45491</v>
      </c>
      <c r="AD409" s="19"/>
    </row>
    <row r="410" spans="1:30" x14ac:dyDescent="0.25">
      <c r="A410" s="25">
        <v>10409</v>
      </c>
      <c r="B410" t="s">
        <v>434</v>
      </c>
      <c r="C410" t="s">
        <v>434</v>
      </c>
      <c r="D410" s="27" t="s">
        <v>470</v>
      </c>
      <c r="E410" s="27">
        <v>9</v>
      </c>
      <c r="F410" s="118">
        <v>4381</v>
      </c>
      <c r="G410" t="s">
        <v>19</v>
      </c>
      <c r="H410" t="s">
        <v>8</v>
      </c>
      <c r="I410">
        <v>1.0500000000000001E-2</v>
      </c>
      <c r="J410">
        <v>1.522</v>
      </c>
      <c r="K410">
        <v>4.0000000000000001E-3</v>
      </c>
      <c r="L410" s="111">
        <v>3.426395939086295E-2</v>
      </c>
      <c r="M410" s="140">
        <f t="shared" si="53"/>
        <v>0.05</v>
      </c>
      <c r="N410" s="140">
        <f t="shared" si="53"/>
        <v>1.522</v>
      </c>
      <c r="O410" s="140">
        <f t="shared" si="53"/>
        <v>0.05</v>
      </c>
      <c r="P410" s="140">
        <f t="shared" si="49"/>
        <v>0.05</v>
      </c>
      <c r="Q410" s="161">
        <v>0.36806250129913409</v>
      </c>
      <c r="R410" s="125">
        <v>3.09</v>
      </c>
      <c r="S410">
        <v>2.3033333333333332</v>
      </c>
      <c r="T410">
        <v>2.6698534323826841</v>
      </c>
      <c r="U410">
        <v>1.6756229340950828</v>
      </c>
      <c r="Y410">
        <f t="shared" si="50"/>
        <v>7</v>
      </c>
      <c r="Z410">
        <f t="shared" si="51"/>
        <v>18</v>
      </c>
      <c r="AA410">
        <f t="shared" si="52"/>
        <v>2024</v>
      </c>
      <c r="AC410" s="19">
        <v>45491</v>
      </c>
      <c r="AD410" s="19"/>
    </row>
    <row r="411" spans="1:30" x14ac:dyDescent="0.25">
      <c r="A411" s="25">
        <v>10410</v>
      </c>
      <c r="B411" t="s">
        <v>435</v>
      </c>
      <c r="C411" t="s">
        <v>435</v>
      </c>
      <c r="D411" s="27" t="s">
        <v>471</v>
      </c>
      <c r="E411" s="27">
        <v>10</v>
      </c>
      <c r="F411" s="118">
        <v>2851</v>
      </c>
      <c r="G411" t="s">
        <v>19</v>
      </c>
      <c r="H411" t="s">
        <v>8</v>
      </c>
      <c r="I411">
        <v>7.3000000000000001E-3</v>
      </c>
      <c r="J411">
        <v>1.482</v>
      </c>
      <c r="K411">
        <v>5.2999999999999999E-2</v>
      </c>
      <c r="L411" s="111">
        <v>4.0609137055837567E-2</v>
      </c>
      <c r="M411" s="140">
        <f t="shared" si="53"/>
        <v>0.05</v>
      </c>
      <c r="N411" s="140">
        <f t="shared" si="53"/>
        <v>1.482</v>
      </c>
      <c r="O411" s="140">
        <f t="shared" si="53"/>
        <v>0.05</v>
      </c>
      <c r="P411" s="140">
        <f t="shared" si="49"/>
        <v>0.05</v>
      </c>
      <c r="Q411" s="161">
        <v>0.40351668564358045</v>
      </c>
      <c r="R411" s="125">
        <v>11.406666666666666</v>
      </c>
      <c r="S411">
        <v>7.82</v>
      </c>
      <c r="T411">
        <v>2.7613373408829736</v>
      </c>
      <c r="U411">
        <v>1.343853907365844</v>
      </c>
      <c r="Y411">
        <f t="shared" si="50"/>
        <v>7</v>
      </c>
      <c r="Z411">
        <f t="shared" si="51"/>
        <v>18</v>
      </c>
      <c r="AA411">
        <f t="shared" si="52"/>
        <v>2024</v>
      </c>
      <c r="AC411" s="19">
        <v>45491</v>
      </c>
      <c r="AD411" s="19"/>
    </row>
    <row r="412" spans="1:30" x14ac:dyDescent="0.25">
      <c r="A412" s="25">
        <v>10411</v>
      </c>
      <c r="B412" t="s">
        <v>436</v>
      </c>
      <c r="C412" t="s">
        <v>436</v>
      </c>
      <c r="D412" s="27" t="s">
        <v>472</v>
      </c>
      <c r="E412" s="27">
        <v>11</v>
      </c>
      <c r="F412" s="118">
        <v>1731</v>
      </c>
      <c r="G412" t="s">
        <v>19</v>
      </c>
      <c r="H412" t="s">
        <v>8</v>
      </c>
      <c r="I412">
        <v>9.5999999999999992E-3</v>
      </c>
      <c r="J412">
        <v>1.5880000000000001</v>
      </c>
      <c r="K412">
        <v>4.0000000000000001E-3</v>
      </c>
      <c r="L412" s="111">
        <v>-6.9796954314720805E-3</v>
      </c>
      <c r="M412" s="140">
        <f t="shared" si="53"/>
        <v>0.05</v>
      </c>
      <c r="N412" s="140">
        <f t="shared" si="53"/>
        <v>1.5880000000000001</v>
      </c>
      <c r="O412" s="140">
        <f t="shared" si="53"/>
        <v>0.05</v>
      </c>
      <c r="P412" s="140">
        <f t="shared" si="49"/>
        <v>0.05</v>
      </c>
      <c r="Q412" s="161">
        <v>0.43410082494934421</v>
      </c>
      <c r="R412" s="125">
        <v>3.01</v>
      </c>
      <c r="S412">
        <v>2.563333333333333</v>
      </c>
      <c r="T412">
        <v>2.6105968098313599</v>
      </c>
      <c r="U412">
        <v>1.3487508671699653</v>
      </c>
      <c r="Y412">
        <f t="shared" si="50"/>
        <v>7</v>
      </c>
      <c r="Z412">
        <f t="shared" si="51"/>
        <v>18</v>
      </c>
      <c r="AA412">
        <f t="shared" si="52"/>
        <v>2024</v>
      </c>
      <c r="AC412" s="19">
        <v>45491</v>
      </c>
      <c r="AD412" s="19"/>
    </row>
    <row r="413" spans="1:30" x14ac:dyDescent="0.25">
      <c r="A413" s="25">
        <v>10412</v>
      </c>
      <c r="B413" t="s">
        <v>437</v>
      </c>
      <c r="C413" t="s">
        <v>437</v>
      </c>
      <c r="D413" s="27" t="s">
        <v>473</v>
      </c>
      <c r="E413" s="27">
        <v>12</v>
      </c>
      <c r="F413" s="118">
        <v>661</v>
      </c>
      <c r="G413" t="s">
        <v>19</v>
      </c>
      <c r="H413" t="s">
        <v>8</v>
      </c>
      <c r="I413">
        <v>-4.5999999999999999E-3</v>
      </c>
      <c r="J413">
        <v>1.4</v>
      </c>
      <c r="K413">
        <v>1.7999999999999999E-2</v>
      </c>
      <c r="L413" s="111">
        <v>-7.7728426395939094E-3</v>
      </c>
      <c r="M413" s="140">
        <f t="shared" si="53"/>
        <v>0.05</v>
      </c>
      <c r="N413" s="140">
        <f t="shared" si="53"/>
        <v>1.4</v>
      </c>
      <c r="O413" s="140">
        <f t="shared" si="53"/>
        <v>0.05</v>
      </c>
      <c r="P413" s="140">
        <f t="shared" si="49"/>
        <v>0.05</v>
      </c>
      <c r="Q413" s="161">
        <v>0.38824831977577967</v>
      </c>
      <c r="R413" s="125">
        <v>2.5933333333333333</v>
      </c>
      <c r="S413">
        <v>1.6466666666666665</v>
      </c>
      <c r="T413">
        <v>2.0149118147101555</v>
      </c>
      <c r="U413">
        <v>1.0275919200163233</v>
      </c>
      <c r="Y413">
        <f t="shared" si="50"/>
        <v>7</v>
      </c>
      <c r="Z413">
        <f t="shared" si="51"/>
        <v>18</v>
      </c>
      <c r="AA413">
        <f t="shared" si="52"/>
        <v>2024</v>
      </c>
      <c r="AC413" s="19">
        <v>45491</v>
      </c>
      <c r="AD413" s="19"/>
    </row>
    <row r="414" spans="1:30" x14ac:dyDescent="0.25">
      <c r="A414" s="25">
        <v>10413</v>
      </c>
      <c r="B414" t="s">
        <v>438</v>
      </c>
      <c r="C414" t="s">
        <v>438</v>
      </c>
      <c r="D414" s="27" t="s">
        <v>474</v>
      </c>
      <c r="E414" s="27">
        <v>13</v>
      </c>
      <c r="F414" s="118">
        <v>13553</v>
      </c>
      <c r="G414" t="s">
        <v>19</v>
      </c>
      <c r="H414" t="s">
        <v>8</v>
      </c>
      <c r="I414">
        <v>4.4000000000000003E-3</v>
      </c>
      <c r="J414">
        <v>1.5980000000000001</v>
      </c>
      <c r="K414">
        <v>6.0000000000000001E-3</v>
      </c>
      <c r="L414" s="111">
        <v>0.10881979695431472</v>
      </c>
      <c r="M414" s="140">
        <f t="shared" si="53"/>
        <v>0.05</v>
      </c>
      <c r="N414" s="140">
        <f t="shared" si="53"/>
        <v>1.5980000000000001</v>
      </c>
      <c r="O414" s="140">
        <f t="shared" si="53"/>
        <v>0.05</v>
      </c>
      <c r="P414" s="140">
        <f t="shared" si="49"/>
        <v>0.10881979695431472</v>
      </c>
      <c r="Q414" s="161">
        <v>0.35104990542288694</v>
      </c>
      <c r="R414" s="125">
        <v>37.883333333333333</v>
      </c>
      <c r="S414">
        <v>57.126666666666665</v>
      </c>
      <c r="T414">
        <v>2.3891641676658857</v>
      </c>
      <c r="U414">
        <v>1.2952923893083044</v>
      </c>
      <c r="Y414">
        <f t="shared" si="50"/>
        <v>7</v>
      </c>
      <c r="Z414">
        <f t="shared" si="51"/>
        <v>18</v>
      </c>
      <c r="AA414">
        <f t="shared" si="52"/>
        <v>2024</v>
      </c>
      <c r="AC414" s="19">
        <v>45491</v>
      </c>
      <c r="AD414" s="19"/>
    </row>
    <row r="415" spans="1:30" x14ac:dyDescent="0.25">
      <c r="A415" s="25">
        <v>10414</v>
      </c>
      <c r="B415" t="s">
        <v>439</v>
      </c>
      <c r="C415" t="s">
        <v>439</v>
      </c>
      <c r="D415" s="27" t="s">
        <v>503</v>
      </c>
      <c r="E415" s="27">
        <v>1</v>
      </c>
      <c r="F415" s="118">
        <v>6865</v>
      </c>
      <c r="G415" t="s">
        <v>20</v>
      </c>
      <c r="H415" t="s">
        <v>8</v>
      </c>
      <c r="I415">
        <v>6.7999999999999996E-3</v>
      </c>
      <c r="J415">
        <v>3.931</v>
      </c>
      <c r="K415">
        <v>0.222</v>
      </c>
      <c r="M415" s="140">
        <f t="shared" si="53"/>
        <v>0.05</v>
      </c>
      <c r="N415" s="140">
        <f t="shared" si="53"/>
        <v>3.931</v>
      </c>
      <c r="O415" s="140">
        <f t="shared" si="53"/>
        <v>0.222</v>
      </c>
      <c r="P415" s="140">
        <f t="shared" si="49"/>
        <v>0.05</v>
      </c>
      <c r="Q415" s="161">
        <v>0.14893269133829695</v>
      </c>
      <c r="R415" s="125">
        <v>34.623333333333335</v>
      </c>
      <c r="S415">
        <v>39.783333333333339</v>
      </c>
      <c r="T415" s="27">
        <v>3.9052463392929377</v>
      </c>
      <c r="U415" s="27">
        <v>2.9990462716453399</v>
      </c>
      <c r="V415" s="27"/>
      <c r="Y415">
        <f t="shared" si="50"/>
        <v>7</v>
      </c>
      <c r="Z415">
        <f t="shared" si="51"/>
        <v>22</v>
      </c>
      <c r="AA415">
        <f t="shared" si="52"/>
        <v>2024</v>
      </c>
      <c r="AC415" s="19">
        <v>45495</v>
      </c>
      <c r="AD415" s="19"/>
    </row>
    <row r="416" spans="1:30" x14ac:dyDescent="0.25">
      <c r="A416" s="25">
        <v>10415</v>
      </c>
      <c r="B416" t="s">
        <v>440</v>
      </c>
      <c r="C416" t="s">
        <v>440</v>
      </c>
      <c r="D416" s="27" t="s">
        <v>504</v>
      </c>
      <c r="E416" s="27">
        <v>5</v>
      </c>
      <c r="F416" s="118">
        <v>6425</v>
      </c>
      <c r="G416" t="s">
        <v>20</v>
      </c>
      <c r="H416" t="s">
        <v>8</v>
      </c>
      <c r="I416">
        <v>7.7000000000000002E-3</v>
      </c>
      <c r="J416">
        <v>4.1269999999999998</v>
      </c>
      <c r="K416">
        <v>0.22600000000000001</v>
      </c>
      <c r="M416" s="140">
        <f t="shared" si="53"/>
        <v>0.05</v>
      </c>
      <c r="N416" s="140">
        <f t="shared" si="53"/>
        <v>4.1269999999999998</v>
      </c>
      <c r="O416" s="140">
        <f t="shared" si="53"/>
        <v>0.22600000000000001</v>
      </c>
      <c r="P416" s="140">
        <f t="shared" si="49"/>
        <v>0.05</v>
      </c>
      <c r="Q416" s="161">
        <v>9.6605479191300303E-2</v>
      </c>
      <c r="R416" s="125">
        <v>13.910000000000002</v>
      </c>
      <c r="S416">
        <v>15.016666666666666</v>
      </c>
      <c r="T416" s="27">
        <v>4.1646306933096024</v>
      </c>
      <c r="U416" s="27">
        <v>3.0262875817077872</v>
      </c>
      <c r="V416" s="27"/>
      <c r="Y416">
        <f t="shared" si="50"/>
        <v>7</v>
      </c>
      <c r="Z416">
        <f t="shared" si="51"/>
        <v>22</v>
      </c>
      <c r="AA416">
        <f t="shared" si="52"/>
        <v>2024</v>
      </c>
      <c r="AC416" s="19">
        <v>45495</v>
      </c>
      <c r="AD416" s="19"/>
    </row>
    <row r="417" spans="1:30" x14ac:dyDescent="0.25">
      <c r="A417" s="25">
        <v>10416</v>
      </c>
      <c r="B417" t="s">
        <v>441</v>
      </c>
      <c r="C417" t="s">
        <v>441</v>
      </c>
      <c r="D417" s="27" t="s">
        <v>483</v>
      </c>
      <c r="E417" s="27">
        <v>6</v>
      </c>
      <c r="F417" s="118">
        <v>8245</v>
      </c>
      <c r="G417" t="s">
        <v>20</v>
      </c>
      <c r="H417" t="s">
        <v>8</v>
      </c>
      <c r="I417">
        <v>2.06E-2</v>
      </c>
      <c r="J417">
        <v>2.7549999999999999</v>
      </c>
      <c r="K417">
        <v>0.28000000000000003</v>
      </c>
      <c r="M417" s="140">
        <f t="shared" si="53"/>
        <v>0.05</v>
      </c>
      <c r="N417" s="140">
        <f t="shared" si="53"/>
        <v>2.7549999999999999</v>
      </c>
      <c r="O417" s="140">
        <f t="shared" si="53"/>
        <v>0.28000000000000003</v>
      </c>
      <c r="P417" s="140">
        <f t="shared" si="49"/>
        <v>0.05</v>
      </c>
      <c r="Q417" s="161">
        <v>0.34392617927543728</v>
      </c>
      <c r="R417" s="125">
        <v>0.95333333333333325</v>
      </c>
      <c r="S417">
        <v>1.2433333333333334</v>
      </c>
      <c r="T417" s="27">
        <v>5.2948655718253645</v>
      </c>
      <c r="U417" s="27">
        <v>1.9848623873945135</v>
      </c>
      <c r="V417" s="27"/>
      <c r="Y417">
        <f t="shared" si="50"/>
        <v>7</v>
      </c>
      <c r="Z417">
        <f t="shared" si="51"/>
        <v>22</v>
      </c>
      <c r="AA417">
        <f t="shared" si="52"/>
        <v>2024</v>
      </c>
      <c r="AC417" s="19">
        <v>45495</v>
      </c>
      <c r="AD417" s="19"/>
    </row>
    <row r="418" spans="1:30" x14ac:dyDescent="0.25">
      <c r="A418" s="25">
        <v>10417</v>
      </c>
      <c r="B418" t="s">
        <v>442</v>
      </c>
      <c r="C418" t="s">
        <v>442</v>
      </c>
      <c r="D418" s="27" t="s">
        <v>484</v>
      </c>
      <c r="E418" s="27">
        <v>8</v>
      </c>
      <c r="F418" s="118">
        <v>5065</v>
      </c>
      <c r="G418" t="s">
        <v>20</v>
      </c>
      <c r="H418" t="s">
        <v>8</v>
      </c>
      <c r="I418">
        <v>2.35E-2</v>
      </c>
      <c r="J418">
        <v>2.8180000000000001</v>
      </c>
      <c r="K418">
        <v>0.23799999999999999</v>
      </c>
      <c r="M418" s="140">
        <f t="shared" ref="M418:O433" si="54">IF(I418&lt;0.1,0.05,I418)</f>
        <v>0.05</v>
      </c>
      <c r="N418" s="140">
        <f t="shared" si="54"/>
        <v>2.8180000000000001</v>
      </c>
      <c r="O418" s="140">
        <f t="shared" si="54"/>
        <v>0.23799999999999999</v>
      </c>
      <c r="P418" s="140">
        <f t="shared" si="49"/>
        <v>0.05</v>
      </c>
      <c r="Q418" s="161">
        <v>0.12225287361321316</v>
      </c>
      <c r="R418" s="125">
        <v>4.26</v>
      </c>
      <c r="S418">
        <v>3.8433333333333337</v>
      </c>
      <c r="T418" s="27">
        <v>6.0839737885284375</v>
      </c>
      <c r="U418" s="27">
        <v>2.5371547254753954</v>
      </c>
      <c r="V418" s="27"/>
      <c r="Y418">
        <f t="shared" si="50"/>
        <v>7</v>
      </c>
      <c r="Z418">
        <f t="shared" si="51"/>
        <v>22</v>
      </c>
      <c r="AA418">
        <f t="shared" si="52"/>
        <v>2024</v>
      </c>
      <c r="AC418" s="19">
        <v>45495</v>
      </c>
      <c r="AD418" s="19"/>
    </row>
    <row r="419" spans="1:30" x14ac:dyDescent="0.25">
      <c r="A419" s="25">
        <v>10418</v>
      </c>
      <c r="B419" t="s">
        <v>443</v>
      </c>
      <c r="C419" t="s">
        <v>443</v>
      </c>
      <c r="D419" s="27" t="s">
        <v>485</v>
      </c>
      <c r="E419" s="27">
        <v>9</v>
      </c>
      <c r="F419" s="118">
        <v>3385</v>
      </c>
      <c r="G419" t="s">
        <v>20</v>
      </c>
      <c r="H419" t="s">
        <v>8</v>
      </c>
      <c r="I419">
        <v>1.83E-2</v>
      </c>
      <c r="J419">
        <v>3.3580000000000001</v>
      </c>
      <c r="K419">
        <v>0.27100000000000002</v>
      </c>
      <c r="M419" s="140">
        <f t="shared" si="54"/>
        <v>0.05</v>
      </c>
      <c r="N419" s="140">
        <f t="shared" si="54"/>
        <v>3.3580000000000001</v>
      </c>
      <c r="O419" s="140">
        <f t="shared" si="54"/>
        <v>0.27100000000000002</v>
      </c>
      <c r="P419" s="140">
        <f t="shared" si="49"/>
        <v>0.05</v>
      </c>
      <c r="Q419" s="161">
        <v>0.10620028409122534</v>
      </c>
      <c r="R419" s="125">
        <v>6.6633333333333331</v>
      </c>
      <c r="S419">
        <v>5.46</v>
      </c>
      <c r="T419" s="27">
        <v>6.130491060593803</v>
      </c>
      <c r="U419" s="27">
        <v>2.3694693279798846</v>
      </c>
      <c r="V419" s="27"/>
      <c r="Y419">
        <f t="shared" si="50"/>
        <v>7</v>
      </c>
      <c r="Z419">
        <f t="shared" si="51"/>
        <v>22</v>
      </c>
      <c r="AA419">
        <f t="shared" si="52"/>
        <v>2024</v>
      </c>
      <c r="AC419" s="19">
        <v>45495</v>
      </c>
      <c r="AD419" s="19"/>
    </row>
    <row r="420" spans="1:30" x14ac:dyDescent="0.25">
      <c r="A420" s="25">
        <v>10419</v>
      </c>
      <c r="B420" t="s">
        <v>444</v>
      </c>
      <c r="C420" t="s">
        <v>444</v>
      </c>
      <c r="D420" s="27" t="s">
        <v>486</v>
      </c>
      <c r="E420" s="27">
        <v>10</v>
      </c>
      <c r="F420" s="118">
        <v>2205</v>
      </c>
      <c r="G420" t="s">
        <v>20</v>
      </c>
      <c r="H420" t="s">
        <v>8</v>
      </c>
      <c r="I420">
        <v>6.3E-3</v>
      </c>
      <c r="J420">
        <v>2.7370000000000001</v>
      </c>
      <c r="K420">
        <v>0.23699999999999999</v>
      </c>
      <c r="M420" s="140">
        <f t="shared" si="54"/>
        <v>0.05</v>
      </c>
      <c r="N420" s="140">
        <f t="shared" si="54"/>
        <v>2.7370000000000001</v>
      </c>
      <c r="O420" s="140">
        <f t="shared" si="54"/>
        <v>0.23699999999999999</v>
      </c>
      <c r="P420" s="140">
        <f t="shared" si="49"/>
        <v>0.05</v>
      </c>
      <c r="Q420" s="161">
        <v>0.10782122717448141</v>
      </c>
      <c r="R420" s="125">
        <v>8.9099999999999984</v>
      </c>
      <c r="S420">
        <v>7.996666666666667</v>
      </c>
      <c r="T420" s="27">
        <v>5.815488229107677</v>
      </c>
      <c r="U420" s="27">
        <v>2.1705068707830453</v>
      </c>
      <c r="V420" s="27"/>
      <c r="Y420">
        <f t="shared" si="50"/>
        <v>7</v>
      </c>
      <c r="Z420">
        <f t="shared" si="51"/>
        <v>22</v>
      </c>
      <c r="AA420">
        <f t="shared" si="52"/>
        <v>2024</v>
      </c>
      <c r="AC420" s="19">
        <v>45495</v>
      </c>
      <c r="AD420" s="19"/>
    </row>
    <row r="421" spans="1:30" x14ac:dyDescent="0.25">
      <c r="A421" s="25">
        <v>10420</v>
      </c>
      <c r="B421" t="s">
        <v>445</v>
      </c>
      <c r="C421" t="s">
        <v>445</v>
      </c>
      <c r="D421" s="27" t="s">
        <v>487</v>
      </c>
      <c r="E421" s="27">
        <v>11</v>
      </c>
      <c r="F421" s="118">
        <v>1385</v>
      </c>
      <c r="G421" t="s">
        <v>20</v>
      </c>
      <c r="H421" t="s">
        <v>8</v>
      </c>
      <c r="I421">
        <v>9.5999999999999992E-3</v>
      </c>
      <c r="J421">
        <v>3.3069999999999999</v>
      </c>
      <c r="K421">
        <v>0.27100000000000002</v>
      </c>
      <c r="M421" s="140">
        <f t="shared" si="54"/>
        <v>0.05</v>
      </c>
      <c r="N421" s="140">
        <f t="shared" si="54"/>
        <v>3.3069999999999999</v>
      </c>
      <c r="O421" s="140">
        <f t="shared" si="54"/>
        <v>0.27100000000000002</v>
      </c>
      <c r="P421" s="140">
        <f t="shared" si="49"/>
        <v>0.05</v>
      </c>
      <c r="Q421" s="161">
        <v>7.2312840697886044E-2</v>
      </c>
      <c r="R421" s="125">
        <v>13.160000000000002</v>
      </c>
      <c r="S421">
        <v>7.003333333333333</v>
      </c>
      <c r="T421" s="27">
        <v>5.1430102742496562</v>
      </c>
      <c r="U421" s="27">
        <v>2.8953275059260948</v>
      </c>
      <c r="V421" s="27"/>
      <c r="Y421">
        <f t="shared" si="50"/>
        <v>7</v>
      </c>
      <c r="Z421">
        <f t="shared" si="51"/>
        <v>22</v>
      </c>
      <c r="AA421">
        <f t="shared" si="52"/>
        <v>2024</v>
      </c>
      <c r="AC421" s="19">
        <v>45495</v>
      </c>
      <c r="AD421" s="19"/>
    </row>
    <row r="422" spans="1:30" x14ac:dyDescent="0.25">
      <c r="A422" s="25">
        <v>10421</v>
      </c>
      <c r="B422" t="s">
        <v>446</v>
      </c>
      <c r="C422" t="s">
        <v>446</v>
      </c>
      <c r="D422" s="27" t="s">
        <v>488</v>
      </c>
      <c r="E422" s="27">
        <v>12</v>
      </c>
      <c r="F422" s="118">
        <v>275</v>
      </c>
      <c r="G422" t="s">
        <v>20</v>
      </c>
      <c r="H422" t="s">
        <v>8</v>
      </c>
      <c r="I422">
        <v>-5.45E-2</v>
      </c>
      <c r="J422">
        <v>2.8460000000000001</v>
      </c>
      <c r="K422">
        <v>0.214</v>
      </c>
      <c r="M422" s="140">
        <f t="shared" si="54"/>
        <v>0.05</v>
      </c>
      <c r="N422" s="140">
        <f t="shared" si="54"/>
        <v>2.8460000000000001</v>
      </c>
      <c r="O422" s="140">
        <f t="shared" si="54"/>
        <v>0.214</v>
      </c>
      <c r="P422" s="140">
        <f t="shared" si="49"/>
        <v>0.05</v>
      </c>
      <c r="Q422" s="161">
        <v>0.49193282153122631</v>
      </c>
      <c r="R422" s="125">
        <v>4.34</v>
      </c>
      <c r="S422">
        <v>5.8166666666666673</v>
      </c>
      <c r="T422" s="27">
        <v>5.1414934066823079</v>
      </c>
      <c r="U422" s="27">
        <v>2.0764739041971154</v>
      </c>
      <c r="V422" s="27"/>
      <c r="Y422">
        <f t="shared" si="50"/>
        <v>7</v>
      </c>
      <c r="Z422">
        <f t="shared" si="51"/>
        <v>22</v>
      </c>
      <c r="AA422">
        <f t="shared" si="52"/>
        <v>2024</v>
      </c>
      <c r="AC422" s="19">
        <v>45495</v>
      </c>
      <c r="AD422" s="19"/>
    </row>
    <row r="423" spans="1:30" x14ac:dyDescent="0.25">
      <c r="A423" s="25">
        <v>10422</v>
      </c>
      <c r="B423" t="s">
        <v>447</v>
      </c>
      <c r="C423" t="s">
        <v>447</v>
      </c>
      <c r="D423" s="27" t="s">
        <v>489</v>
      </c>
      <c r="E423" s="27">
        <v>14</v>
      </c>
      <c r="F423" s="118">
        <v>4225</v>
      </c>
      <c r="G423" t="s">
        <v>20</v>
      </c>
      <c r="H423" t="s">
        <v>8</v>
      </c>
      <c r="I423">
        <v>1.78E-2</v>
      </c>
      <c r="J423">
        <v>2.58</v>
      </c>
      <c r="K423">
        <v>0.25900000000000001</v>
      </c>
      <c r="M423" s="140">
        <f t="shared" si="54"/>
        <v>0.05</v>
      </c>
      <c r="N423" s="140">
        <f t="shared" si="54"/>
        <v>2.58</v>
      </c>
      <c r="O423" s="140">
        <f t="shared" si="54"/>
        <v>0.25900000000000001</v>
      </c>
      <c r="P423" s="140">
        <f t="shared" si="49"/>
        <v>0.05</v>
      </c>
      <c r="Q423" s="161">
        <v>3.8508132716297092E-2</v>
      </c>
      <c r="R423" s="125">
        <v>5.1099999999999994</v>
      </c>
      <c r="S423">
        <v>4.5166666666666666</v>
      </c>
      <c r="T423" s="27">
        <v>5.2107636922579079</v>
      </c>
      <c r="U423" s="27">
        <v>2.0324842331333111</v>
      </c>
      <c r="V423" s="27"/>
      <c r="Y423">
        <f t="shared" si="50"/>
        <v>7</v>
      </c>
      <c r="Z423">
        <f t="shared" si="51"/>
        <v>22</v>
      </c>
      <c r="AA423">
        <f t="shared" si="52"/>
        <v>2024</v>
      </c>
      <c r="AC423" s="19">
        <v>45495</v>
      </c>
      <c r="AD423" s="19"/>
    </row>
    <row r="424" spans="1:30" x14ac:dyDescent="0.25">
      <c r="A424" s="25">
        <v>10423</v>
      </c>
      <c r="B424" t="s">
        <v>448</v>
      </c>
      <c r="C424" t="s">
        <v>448</v>
      </c>
      <c r="D424" s="27" t="s">
        <v>490</v>
      </c>
      <c r="E424" s="27">
        <v>15</v>
      </c>
      <c r="F424" s="118">
        <v>2905</v>
      </c>
      <c r="G424" t="s">
        <v>20</v>
      </c>
      <c r="H424" t="s">
        <v>8</v>
      </c>
      <c r="I424">
        <v>1.11E-2</v>
      </c>
      <c r="J424">
        <v>2.4369999999999998</v>
      </c>
      <c r="K424">
        <v>0.26300000000000001</v>
      </c>
      <c r="M424" s="140">
        <f t="shared" si="54"/>
        <v>0.05</v>
      </c>
      <c r="N424" s="140">
        <f t="shared" si="54"/>
        <v>2.4369999999999998</v>
      </c>
      <c r="O424" s="140">
        <f t="shared" si="54"/>
        <v>0.26300000000000001</v>
      </c>
      <c r="P424" s="140">
        <f t="shared" si="49"/>
        <v>0.05</v>
      </c>
      <c r="Q424" s="161">
        <v>1.1616613765205942E-2</v>
      </c>
      <c r="R424" s="125">
        <v>5.666666666666667</v>
      </c>
      <c r="S424">
        <v>6.3999999999999995</v>
      </c>
      <c r="T424" s="27">
        <v>5.1162122805598251</v>
      </c>
      <c r="U424" s="27">
        <v>2.0552862185929892</v>
      </c>
      <c r="V424" s="27"/>
      <c r="Y424">
        <f t="shared" si="50"/>
        <v>7</v>
      </c>
      <c r="Z424">
        <f t="shared" si="51"/>
        <v>22</v>
      </c>
      <c r="AA424">
        <f t="shared" si="52"/>
        <v>2024</v>
      </c>
      <c r="AC424" s="19">
        <v>45495</v>
      </c>
      <c r="AD424" s="19"/>
    </row>
    <row r="425" spans="1:30" x14ac:dyDescent="0.25">
      <c r="A425" s="25">
        <v>10424</v>
      </c>
      <c r="B425" t="s">
        <v>449</v>
      </c>
      <c r="C425" t="s">
        <v>449</v>
      </c>
      <c r="D425" s="27" t="s">
        <v>491</v>
      </c>
      <c r="E425" s="27">
        <v>1</v>
      </c>
      <c r="F425" s="118">
        <v>5210</v>
      </c>
      <c r="G425" t="s">
        <v>22</v>
      </c>
      <c r="H425" t="s">
        <v>8</v>
      </c>
      <c r="I425">
        <v>-0.49590000000000001</v>
      </c>
      <c r="J425">
        <v>2.0409999999999999</v>
      </c>
      <c r="K425">
        <v>7.0000000000000001E-3</v>
      </c>
      <c r="M425" s="140">
        <f t="shared" si="54"/>
        <v>0.05</v>
      </c>
      <c r="N425" s="140">
        <f t="shared" si="54"/>
        <v>2.0409999999999999</v>
      </c>
      <c r="O425" s="140">
        <f t="shared" si="54"/>
        <v>0.05</v>
      </c>
      <c r="P425" s="140">
        <f t="shared" si="49"/>
        <v>0.05</v>
      </c>
      <c r="Q425" s="161">
        <v>7.5530942574200344E-2</v>
      </c>
      <c r="R425" s="125">
        <v>3.5533333333333332</v>
      </c>
      <c r="S425">
        <v>3.84</v>
      </c>
      <c r="T425">
        <v>3.6585033981074062</v>
      </c>
      <c r="U425">
        <v>1.5611564986737401</v>
      </c>
      <c r="Y425">
        <f t="shared" si="50"/>
        <v>7</v>
      </c>
      <c r="Z425">
        <f t="shared" si="51"/>
        <v>23</v>
      </c>
      <c r="AA425">
        <f t="shared" si="52"/>
        <v>2024</v>
      </c>
      <c r="AC425" s="19">
        <v>45496</v>
      </c>
      <c r="AD425" s="19"/>
    </row>
    <row r="426" spans="1:30" x14ac:dyDescent="0.25">
      <c r="A426" s="25">
        <v>10425</v>
      </c>
      <c r="B426" t="s">
        <v>450</v>
      </c>
      <c r="C426" t="s">
        <v>450</v>
      </c>
      <c r="D426" s="27" t="s">
        <v>492</v>
      </c>
      <c r="E426" s="27">
        <v>2</v>
      </c>
      <c r="F426" s="118">
        <v>5430</v>
      </c>
      <c r="G426" t="s">
        <v>22</v>
      </c>
      <c r="H426" t="s">
        <v>8</v>
      </c>
      <c r="I426">
        <v>-0.49669999999999997</v>
      </c>
      <c r="J426">
        <v>2.0510000000000002</v>
      </c>
      <c r="K426">
        <v>3.0000000000000001E-3</v>
      </c>
      <c r="M426" s="140">
        <f t="shared" si="54"/>
        <v>0.05</v>
      </c>
      <c r="N426" s="140">
        <f t="shared" si="54"/>
        <v>2.0510000000000002</v>
      </c>
      <c r="O426" s="140">
        <f t="shared" si="54"/>
        <v>0.05</v>
      </c>
      <c r="P426" s="140">
        <f t="shared" si="49"/>
        <v>0.05</v>
      </c>
      <c r="Q426" s="161">
        <v>7.3831099770517356E-2</v>
      </c>
      <c r="R426" s="125">
        <v>12.003333333333332</v>
      </c>
      <c r="S426">
        <v>16.830000000000002</v>
      </c>
      <c r="T426">
        <v>3.641523430241822</v>
      </c>
      <c r="U426">
        <v>1.532998979800041</v>
      </c>
      <c r="Y426">
        <f t="shared" si="50"/>
        <v>7</v>
      </c>
      <c r="Z426">
        <f t="shared" si="51"/>
        <v>23</v>
      </c>
      <c r="AA426">
        <f t="shared" si="52"/>
        <v>2024</v>
      </c>
      <c r="AC426" s="19">
        <v>45496</v>
      </c>
      <c r="AD426" s="19"/>
    </row>
    <row r="427" spans="1:30" x14ac:dyDescent="0.25">
      <c r="A427" s="25">
        <v>10426</v>
      </c>
      <c r="B427" t="s">
        <v>451</v>
      </c>
      <c r="C427" t="s">
        <v>451</v>
      </c>
      <c r="D427" s="27" t="s">
        <v>493</v>
      </c>
      <c r="E427" s="27">
        <v>3</v>
      </c>
      <c r="F427" s="118">
        <v>4180</v>
      </c>
      <c r="G427" t="s">
        <v>22</v>
      </c>
      <c r="H427" t="s">
        <v>8</v>
      </c>
      <c r="I427">
        <v>-0.50760000000000005</v>
      </c>
      <c r="J427">
        <v>2.177</v>
      </c>
      <c r="K427">
        <v>5.0000000000000001E-3</v>
      </c>
      <c r="M427" s="140">
        <f t="shared" si="54"/>
        <v>0.05</v>
      </c>
      <c r="N427" s="140">
        <f t="shared" si="54"/>
        <v>2.177</v>
      </c>
      <c r="O427" s="140">
        <f t="shared" si="54"/>
        <v>0.05</v>
      </c>
      <c r="P427" s="140">
        <f t="shared" si="49"/>
        <v>0.05</v>
      </c>
      <c r="Q427" s="161">
        <v>6.1524858800590734E-2</v>
      </c>
      <c r="R427" s="125">
        <v>10.193333333333333</v>
      </c>
      <c r="S427">
        <v>16.779999999999998</v>
      </c>
      <c r="T427">
        <v>3.537391178331454</v>
      </c>
      <c r="U427">
        <v>1.1169614364415426</v>
      </c>
      <c r="Y427">
        <f t="shared" si="50"/>
        <v>7</v>
      </c>
      <c r="Z427">
        <f t="shared" si="51"/>
        <v>23</v>
      </c>
      <c r="AA427">
        <f t="shared" si="52"/>
        <v>2024</v>
      </c>
      <c r="AC427" s="19">
        <v>45496</v>
      </c>
      <c r="AD427" s="19"/>
    </row>
    <row r="428" spans="1:30" x14ac:dyDescent="0.25">
      <c r="A428" s="25">
        <v>10427</v>
      </c>
      <c r="B428" t="s">
        <v>452</v>
      </c>
      <c r="C428" t="s">
        <v>452</v>
      </c>
      <c r="D428" s="27" t="s">
        <v>494</v>
      </c>
      <c r="E428" s="27">
        <v>4</v>
      </c>
      <c r="F428" s="118">
        <v>4980</v>
      </c>
      <c r="G428" t="s">
        <v>22</v>
      </c>
      <c r="H428" t="s">
        <v>8</v>
      </c>
      <c r="I428">
        <v>-0.50160000000000005</v>
      </c>
      <c r="J428">
        <v>2.387</v>
      </c>
      <c r="K428">
        <v>1E-3</v>
      </c>
      <c r="M428" s="140">
        <f t="shared" si="54"/>
        <v>0.05</v>
      </c>
      <c r="N428" s="140">
        <f t="shared" si="54"/>
        <v>2.387</v>
      </c>
      <c r="O428" s="140">
        <f t="shared" si="54"/>
        <v>0.05</v>
      </c>
      <c r="P428" s="140">
        <f t="shared" si="49"/>
        <v>0.05</v>
      </c>
      <c r="Q428" s="161">
        <v>7.5612177141409762E-2</v>
      </c>
      <c r="R428" s="125">
        <v>3.4533333333333331</v>
      </c>
      <c r="S428">
        <v>3.8000000000000003</v>
      </c>
      <c r="T428">
        <v>3.5737768237577061</v>
      </c>
      <c r="U428">
        <v>1.6560350948785962</v>
      </c>
      <c r="Y428">
        <f t="shared" ref="Y428:Y437" si="55">MONTH(AC428)</f>
        <v>7</v>
      </c>
      <c r="Z428">
        <f t="shared" ref="Z428:Z437" si="56">DAY(AC428)</f>
        <v>23</v>
      </c>
      <c r="AA428">
        <f t="shared" ref="AA428:AA437" si="57">YEAR(AC428)</f>
        <v>2024</v>
      </c>
      <c r="AC428" s="19">
        <v>45496</v>
      </c>
      <c r="AD428" s="19"/>
    </row>
    <row r="429" spans="1:30" x14ac:dyDescent="0.25">
      <c r="A429" s="25">
        <v>10428</v>
      </c>
      <c r="B429" t="s">
        <v>453</v>
      </c>
      <c r="C429" t="s">
        <v>453</v>
      </c>
      <c r="D429" s="27" t="s">
        <v>495</v>
      </c>
      <c r="E429" s="27">
        <v>5</v>
      </c>
      <c r="F429" s="118">
        <v>6340</v>
      </c>
      <c r="G429" t="s">
        <v>22</v>
      </c>
      <c r="H429" t="s">
        <v>8</v>
      </c>
      <c r="I429">
        <v>-0.49759999999999999</v>
      </c>
      <c r="J429">
        <v>2.1389999999999998</v>
      </c>
      <c r="K429">
        <v>1.0999999999999999E-2</v>
      </c>
      <c r="M429" s="140">
        <f t="shared" si="54"/>
        <v>0.05</v>
      </c>
      <c r="N429" s="140">
        <f t="shared" si="54"/>
        <v>2.1389999999999998</v>
      </c>
      <c r="O429" s="140">
        <f t="shared" si="54"/>
        <v>0.05</v>
      </c>
      <c r="P429" s="140">
        <f t="shared" si="49"/>
        <v>0.05</v>
      </c>
      <c r="Q429" s="161">
        <v>0.125599450854286</v>
      </c>
      <c r="R429" s="125">
        <v>12.316666666666665</v>
      </c>
      <c r="S429">
        <v>15.606666666666667</v>
      </c>
      <c r="T429">
        <v>3.3490521470060473</v>
      </c>
      <c r="U429">
        <v>1.5756433380942667</v>
      </c>
      <c r="Y429">
        <f t="shared" si="55"/>
        <v>7</v>
      </c>
      <c r="Z429">
        <f t="shared" si="56"/>
        <v>23</v>
      </c>
      <c r="AA429">
        <f t="shared" si="57"/>
        <v>2024</v>
      </c>
      <c r="AC429" s="19">
        <v>45496</v>
      </c>
      <c r="AD429" s="19"/>
    </row>
    <row r="430" spans="1:30" x14ac:dyDescent="0.25">
      <c r="A430" s="25">
        <v>10429</v>
      </c>
      <c r="B430" t="s">
        <v>454</v>
      </c>
      <c r="C430" t="s">
        <v>454</v>
      </c>
      <c r="D430" s="27" t="s">
        <v>496</v>
      </c>
      <c r="E430" s="27">
        <v>6</v>
      </c>
      <c r="F430" s="118">
        <v>7900</v>
      </c>
      <c r="G430" t="s">
        <v>22</v>
      </c>
      <c r="H430" t="s">
        <v>8</v>
      </c>
      <c r="I430">
        <v>-0.49370000000000003</v>
      </c>
      <c r="J430">
        <v>2.1139999999999999</v>
      </c>
      <c r="K430">
        <v>0</v>
      </c>
      <c r="M430" s="140">
        <f t="shared" si="54"/>
        <v>0.05</v>
      </c>
      <c r="N430" s="140">
        <f t="shared" si="54"/>
        <v>2.1139999999999999</v>
      </c>
      <c r="O430" s="140">
        <f t="shared" si="54"/>
        <v>0.05</v>
      </c>
      <c r="P430" s="140">
        <f t="shared" si="49"/>
        <v>0.05</v>
      </c>
      <c r="Q430" s="161">
        <v>0.13922878276774439</v>
      </c>
      <c r="R430" s="125">
        <v>8.7533333333333321</v>
      </c>
      <c r="S430">
        <v>9.5633333333333326</v>
      </c>
      <c r="T430">
        <v>3.1662575949836902</v>
      </c>
      <c r="U430">
        <v>1.4044537849418486</v>
      </c>
      <c r="Y430">
        <f t="shared" si="55"/>
        <v>7</v>
      </c>
      <c r="Z430">
        <f t="shared" si="56"/>
        <v>23</v>
      </c>
      <c r="AA430">
        <f t="shared" si="57"/>
        <v>2024</v>
      </c>
      <c r="AC430" s="19">
        <v>45496</v>
      </c>
      <c r="AD430" s="19"/>
    </row>
    <row r="431" spans="1:30" x14ac:dyDescent="0.25">
      <c r="A431" s="25">
        <v>10430</v>
      </c>
      <c r="B431" t="s">
        <v>455</v>
      </c>
      <c r="C431" t="s">
        <v>455</v>
      </c>
      <c r="D431" s="27" t="s">
        <v>497</v>
      </c>
      <c r="E431" s="27">
        <v>7</v>
      </c>
      <c r="F431" s="118">
        <v>10610</v>
      </c>
      <c r="G431" t="s">
        <v>22</v>
      </c>
      <c r="H431" t="s">
        <v>8</v>
      </c>
      <c r="I431">
        <v>-0.50560000000000005</v>
      </c>
      <c r="J431">
        <v>1.9330000000000001</v>
      </c>
      <c r="K431">
        <v>1E-3</v>
      </c>
      <c r="M431" s="140">
        <f t="shared" si="54"/>
        <v>0.05</v>
      </c>
      <c r="N431" s="140">
        <f t="shared" si="54"/>
        <v>1.9330000000000001</v>
      </c>
      <c r="O431" s="140">
        <f t="shared" si="54"/>
        <v>0.05</v>
      </c>
      <c r="P431" s="140">
        <f t="shared" si="49"/>
        <v>0.05</v>
      </c>
      <c r="Q431" s="161">
        <v>0.11380197383943823</v>
      </c>
      <c r="R431" s="125">
        <v>26.393333333333334</v>
      </c>
      <c r="S431">
        <v>35.813333333333333</v>
      </c>
      <c r="T431">
        <v>3.593529031274814</v>
      </c>
      <c r="U431">
        <v>1.5423848194246075</v>
      </c>
      <c r="Y431">
        <f t="shared" si="55"/>
        <v>7</v>
      </c>
      <c r="Z431">
        <f t="shared" si="56"/>
        <v>23</v>
      </c>
      <c r="AA431">
        <f t="shared" si="57"/>
        <v>2024</v>
      </c>
      <c r="AC431" s="19">
        <v>45496</v>
      </c>
      <c r="AD431" s="19"/>
    </row>
    <row r="432" spans="1:30" x14ac:dyDescent="0.25">
      <c r="A432" s="25">
        <v>10431</v>
      </c>
      <c r="B432" t="s">
        <v>456</v>
      </c>
      <c r="C432" t="s">
        <v>456</v>
      </c>
      <c r="D432" s="27" t="s">
        <v>498</v>
      </c>
      <c r="E432" s="27">
        <v>8</v>
      </c>
      <c r="F432" s="118">
        <v>9370</v>
      </c>
      <c r="G432" t="s">
        <v>22</v>
      </c>
      <c r="H432" t="s">
        <v>8</v>
      </c>
      <c r="I432">
        <v>-0.49690000000000001</v>
      </c>
      <c r="J432">
        <v>2.2250000000000001</v>
      </c>
      <c r="K432">
        <v>1.4999999999999999E-2</v>
      </c>
      <c r="M432" s="140">
        <f t="shared" si="54"/>
        <v>0.05</v>
      </c>
      <c r="N432" s="140">
        <f t="shared" si="54"/>
        <v>2.2250000000000001</v>
      </c>
      <c r="O432" s="140">
        <f t="shared" si="54"/>
        <v>0.05</v>
      </c>
      <c r="P432" s="140">
        <f t="shared" si="49"/>
        <v>0.05</v>
      </c>
      <c r="Q432" s="161">
        <v>9.2130860894763925E-2</v>
      </c>
      <c r="R432" s="125">
        <v>13.936666666666666</v>
      </c>
      <c r="S432">
        <v>14.756666666666666</v>
      </c>
      <c r="T432">
        <v>3.7056314721833132</v>
      </c>
      <c r="U432">
        <v>1.6762350540705979</v>
      </c>
      <c r="Y432">
        <f t="shared" si="55"/>
        <v>7</v>
      </c>
      <c r="Z432">
        <f t="shared" si="56"/>
        <v>23</v>
      </c>
      <c r="AA432">
        <f t="shared" si="57"/>
        <v>2024</v>
      </c>
      <c r="AC432" s="19">
        <v>45496</v>
      </c>
      <c r="AD432" s="19"/>
    </row>
    <row r="433" spans="1:30" x14ac:dyDescent="0.25">
      <c r="A433" s="25">
        <v>10432</v>
      </c>
      <c r="B433" t="s">
        <v>457</v>
      </c>
      <c r="C433" t="s">
        <v>457</v>
      </c>
      <c r="D433" s="27" t="s">
        <v>499</v>
      </c>
      <c r="E433" s="27">
        <v>9</v>
      </c>
      <c r="F433" s="118">
        <v>10331</v>
      </c>
      <c r="G433" t="s">
        <v>22</v>
      </c>
      <c r="H433" t="s">
        <v>8</v>
      </c>
      <c r="I433">
        <v>-0.50109999999999999</v>
      </c>
      <c r="J433">
        <v>2.2000000000000002</v>
      </c>
      <c r="K433">
        <v>1E-3</v>
      </c>
      <c r="M433" s="140">
        <f t="shared" si="54"/>
        <v>0.05</v>
      </c>
      <c r="N433" s="140">
        <f t="shared" si="54"/>
        <v>2.2000000000000002</v>
      </c>
      <c r="O433" s="140">
        <f t="shared" si="54"/>
        <v>0.05</v>
      </c>
      <c r="P433" s="140">
        <f t="shared" si="49"/>
        <v>0.05</v>
      </c>
      <c r="Q433" s="161">
        <v>0.1276921106239067</v>
      </c>
      <c r="R433" s="125">
        <v>29.343333333333334</v>
      </c>
      <c r="S433">
        <v>43.123333333333335</v>
      </c>
      <c r="T433">
        <v>3.7323142788292309</v>
      </c>
      <c r="U433">
        <v>1.6314142691967628</v>
      </c>
      <c r="Y433">
        <f t="shared" si="55"/>
        <v>7</v>
      </c>
      <c r="Z433">
        <f t="shared" si="56"/>
        <v>23</v>
      </c>
      <c r="AA433">
        <f t="shared" si="57"/>
        <v>2024</v>
      </c>
      <c r="AC433" s="19">
        <v>45496</v>
      </c>
      <c r="AD433" s="19"/>
    </row>
    <row r="434" spans="1:30" x14ac:dyDescent="0.25">
      <c r="A434" s="25">
        <v>10433</v>
      </c>
      <c r="B434" t="s">
        <v>643</v>
      </c>
      <c r="C434" t="s">
        <v>452</v>
      </c>
      <c r="D434" s="27" t="s">
        <v>494</v>
      </c>
      <c r="E434" s="27">
        <v>4</v>
      </c>
      <c r="F434" s="118">
        <v>4980</v>
      </c>
      <c r="G434" t="s">
        <v>22</v>
      </c>
      <c r="H434" t="s">
        <v>8</v>
      </c>
      <c r="I434">
        <v>-0.50239999999999996</v>
      </c>
      <c r="J434">
        <v>2.2280000000000002</v>
      </c>
      <c r="K434">
        <v>8.0000000000000002E-3</v>
      </c>
      <c r="M434" s="140">
        <f t="shared" ref="M434:O449" si="58">IF(I434&lt;0.1,0.05,I434)</f>
        <v>0.05</v>
      </c>
      <c r="N434" s="140">
        <f t="shared" si="58"/>
        <v>2.2280000000000002</v>
      </c>
      <c r="O434" s="140">
        <f t="shared" si="58"/>
        <v>0.05</v>
      </c>
      <c r="P434" s="140">
        <f t="shared" si="49"/>
        <v>0.05</v>
      </c>
      <c r="Q434" s="161">
        <v>7.7336734978462288E-2</v>
      </c>
      <c r="R434" s="125">
        <v>13.106666666666667</v>
      </c>
      <c r="S434">
        <v>15.920000000000002</v>
      </c>
      <c r="T434">
        <v>3.5353119985928112</v>
      </c>
      <c r="U434">
        <v>1.1436226620417604</v>
      </c>
      <c r="AC434" s="19"/>
      <c r="AD434" s="19"/>
    </row>
    <row r="435" spans="1:30" x14ac:dyDescent="0.25">
      <c r="A435" s="25">
        <v>10434</v>
      </c>
      <c r="B435" t="s">
        <v>458</v>
      </c>
      <c r="C435" t="s">
        <v>458</v>
      </c>
      <c r="D435" s="27" t="s">
        <v>500</v>
      </c>
      <c r="E435" s="27">
        <v>10</v>
      </c>
      <c r="F435" s="118">
        <v>11270</v>
      </c>
      <c r="G435" t="s">
        <v>22</v>
      </c>
      <c r="H435" t="s">
        <v>8</v>
      </c>
      <c r="I435">
        <v>-0.50349999999999995</v>
      </c>
      <c r="J435">
        <v>2.218</v>
      </c>
      <c r="K435">
        <v>-1E-3</v>
      </c>
      <c r="M435" s="140">
        <f t="shared" si="58"/>
        <v>0.05</v>
      </c>
      <c r="N435" s="140">
        <f t="shared" si="58"/>
        <v>2.218</v>
      </c>
      <c r="O435" s="140">
        <f t="shared" si="58"/>
        <v>0.05</v>
      </c>
      <c r="P435" s="140">
        <f t="shared" si="49"/>
        <v>0.05</v>
      </c>
      <c r="Q435" s="161">
        <v>5.5681940813887776E-2</v>
      </c>
      <c r="R435" s="125">
        <v>11.546666666666667</v>
      </c>
      <c r="S435">
        <v>13.623333333333333</v>
      </c>
      <c r="T435">
        <v>3.642389755132923</v>
      </c>
      <c r="U435">
        <v>1.6264492960620283</v>
      </c>
      <c r="Y435">
        <f t="shared" si="55"/>
        <v>7</v>
      </c>
      <c r="Z435">
        <f t="shared" si="56"/>
        <v>23</v>
      </c>
      <c r="AA435">
        <f t="shared" si="57"/>
        <v>2024</v>
      </c>
      <c r="AC435" s="19">
        <v>45496</v>
      </c>
      <c r="AD435" s="19"/>
    </row>
    <row r="436" spans="1:30" x14ac:dyDescent="0.25">
      <c r="A436" s="25">
        <v>10435</v>
      </c>
      <c r="B436" t="s">
        <v>459</v>
      </c>
      <c r="C436" t="s">
        <v>459</v>
      </c>
      <c r="D436" s="27" t="s">
        <v>501</v>
      </c>
      <c r="E436" s="27">
        <v>13</v>
      </c>
      <c r="F436" s="118">
        <v>5180</v>
      </c>
      <c r="G436" t="s">
        <v>22</v>
      </c>
      <c r="H436" t="s">
        <v>8</v>
      </c>
      <c r="I436">
        <v>-0.49609999999999999</v>
      </c>
      <c r="J436">
        <v>2.2679999999999998</v>
      </c>
      <c r="K436">
        <v>6.0000000000000001E-3</v>
      </c>
      <c r="M436" s="140">
        <f t="shared" si="58"/>
        <v>0.05</v>
      </c>
      <c r="N436" s="140">
        <f t="shared" si="58"/>
        <v>2.2679999999999998</v>
      </c>
      <c r="O436" s="140">
        <f t="shared" si="58"/>
        <v>0.05</v>
      </c>
      <c r="P436" s="140">
        <f t="shared" si="49"/>
        <v>0.05</v>
      </c>
      <c r="Q436" s="165">
        <v>0.15</v>
      </c>
      <c r="R436" s="125">
        <v>15.276666666666666</v>
      </c>
      <c r="S436">
        <v>19.510000000000002</v>
      </c>
      <c r="T436">
        <v>3.6236771374851369</v>
      </c>
      <c r="U436">
        <v>1.6407320954907163</v>
      </c>
      <c r="Y436">
        <f t="shared" si="55"/>
        <v>7</v>
      </c>
      <c r="Z436">
        <f t="shared" si="56"/>
        <v>23</v>
      </c>
      <c r="AA436">
        <f t="shared" si="57"/>
        <v>2024</v>
      </c>
      <c r="AC436" s="19">
        <v>45496</v>
      </c>
      <c r="AD436" s="19"/>
    </row>
    <row r="437" spans="1:30" x14ac:dyDescent="0.25">
      <c r="A437" s="25">
        <v>10436</v>
      </c>
      <c r="B437" t="s">
        <v>460</v>
      </c>
      <c r="C437" t="s">
        <v>460</v>
      </c>
      <c r="D437" s="27" t="s">
        <v>502</v>
      </c>
      <c r="E437" s="27">
        <v>14</v>
      </c>
      <c r="F437" s="118">
        <v>1040</v>
      </c>
      <c r="G437" t="s">
        <v>22</v>
      </c>
      <c r="H437" t="s">
        <v>8</v>
      </c>
      <c r="I437">
        <v>-0.49930000000000002</v>
      </c>
      <c r="J437">
        <v>2.3820000000000001</v>
      </c>
      <c r="K437">
        <v>0</v>
      </c>
      <c r="M437" s="140">
        <f t="shared" si="58"/>
        <v>0.05</v>
      </c>
      <c r="N437" s="140">
        <f t="shared" si="58"/>
        <v>2.3820000000000001</v>
      </c>
      <c r="O437" s="140">
        <f t="shared" si="58"/>
        <v>0.05</v>
      </c>
      <c r="P437" s="140">
        <f t="shared" si="49"/>
        <v>0.05</v>
      </c>
      <c r="Q437" s="161">
        <v>8.3841822092961163E-2</v>
      </c>
      <c r="R437" s="125">
        <v>3.5166666666666671</v>
      </c>
      <c r="S437">
        <v>4.4033333333333333</v>
      </c>
      <c r="T437">
        <v>3.3937545113868706</v>
      </c>
      <c r="U437">
        <v>1.5545592056042985</v>
      </c>
      <c r="Y437">
        <f t="shared" si="55"/>
        <v>7</v>
      </c>
      <c r="Z437">
        <f t="shared" si="56"/>
        <v>23</v>
      </c>
      <c r="AA437">
        <f t="shared" si="57"/>
        <v>2024</v>
      </c>
      <c r="AC437" s="19">
        <v>45496</v>
      </c>
      <c r="AD437" s="19"/>
    </row>
    <row r="438" spans="1:30" x14ac:dyDescent="0.25">
      <c r="A438" s="25">
        <v>10437</v>
      </c>
      <c r="B438" t="s">
        <v>606</v>
      </c>
      <c r="C438" t="s">
        <v>606</v>
      </c>
      <c r="D438" s="27" t="s">
        <v>503</v>
      </c>
      <c r="E438" s="27">
        <v>1</v>
      </c>
      <c r="F438" s="118">
        <v>6865</v>
      </c>
      <c r="G438" t="s">
        <v>20</v>
      </c>
      <c r="H438" t="s">
        <v>8</v>
      </c>
      <c r="I438">
        <v>2.47E-2</v>
      </c>
      <c r="J438">
        <v>1.327</v>
      </c>
      <c r="K438">
        <v>0.17799999999999999</v>
      </c>
      <c r="L438" s="108">
        <v>1.591804570527975E-2</v>
      </c>
      <c r="M438" s="140">
        <f t="shared" si="58"/>
        <v>0.05</v>
      </c>
      <c r="N438" s="140">
        <f t="shared" si="58"/>
        <v>1.327</v>
      </c>
      <c r="O438" s="140">
        <f t="shared" si="58"/>
        <v>0.17799999999999999</v>
      </c>
      <c r="P438" s="140">
        <f t="shared" si="49"/>
        <v>0.05</v>
      </c>
      <c r="Q438" s="161">
        <v>0.13363497559915768</v>
      </c>
      <c r="R438" s="125">
        <v>19.326666666666668</v>
      </c>
      <c r="S438">
        <v>27.62</v>
      </c>
      <c r="T438" s="27">
        <v>2.7504044980179598</v>
      </c>
      <c r="U438" s="27">
        <v>1.0921545672740094</v>
      </c>
      <c r="V438" s="27"/>
      <c r="Y438">
        <f t="shared" ref="Y438:Y461" si="59">MONTH(AC438)</f>
        <v>7</v>
      </c>
      <c r="Z438">
        <f t="shared" ref="Z438:Z461" si="60">DAY(AC438)</f>
        <v>30</v>
      </c>
      <c r="AA438">
        <f t="shared" ref="AA438:AA461" si="61">YEAR(AC438)</f>
        <v>2024</v>
      </c>
      <c r="AC438" s="19">
        <v>45503</v>
      </c>
      <c r="AD438" s="19"/>
    </row>
    <row r="439" spans="1:30" x14ac:dyDescent="0.25">
      <c r="A439" s="25">
        <v>10438</v>
      </c>
      <c r="B439" t="s">
        <v>607</v>
      </c>
      <c r="C439" t="s">
        <v>607</v>
      </c>
      <c r="D439" s="27" t="s">
        <v>509</v>
      </c>
      <c r="E439" s="27">
        <v>2</v>
      </c>
      <c r="F439" s="118">
        <v>8165</v>
      </c>
      <c r="G439" t="s">
        <v>20</v>
      </c>
      <c r="H439" t="s">
        <v>8</v>
      </c>
      <c r="I439">
        <v>8.0000000000000004E-4</v>
      </c>
      <c r="J439">
        <v>0.92800000000000005</v>
      </c>
      <c r="K439">
        <v>0.14799999999999999</v>
      </c>
      <c r="M439" s="140">
        <f t="shared" si="58"/>
        <v>0.05</v>
      </c>
      <c r="N439" s="140">
        <f t="shared" si="58"/>
        <v>0.92800000000000005</v>
      </c>
      <c r="O439" s="140">
        <f t="shared" si="58"/>
        <v>0.14799999999999999</v>
      </c>
      <c r="P439" s="140">
        <f t="shared" si="49"/>
        <v>0.05</v>
      </c>
      <c r="Q439" s="165">
        <v>0.15</v>
      </c>
      <c r="R439" s="125">
        <v>15.373333333333333</v>
      </c>
      <c r="S439">
        <v>22.466666666666669</v>
      </c>
      <c r="T439" s="27">
        <v>2.4874807863441468</v>
      </c>
      <c r="U439" s="27">
        <v>0.81953967916758952</v>
      </c>
      <c r="V439" s="27"/>
      <c r="Y439">
        <f t="shared" si="59"/>
        <v>7</v>
      </c>
      <c r="Z439">
        <f t="shared" si="60"/>
        <v>30</v>
      </c>
      <c r="AA439">
        <f t="shared" si="61"/>
        <v>2024</v>
      </c>
      <c r="AC439" s="19">
        <v>45503</v>
      </c>
      <c r="AD439" s="19"/>
    </row>
    <row r="440" spans="1:30" x14ac:dyDescent="0.25">
      <c r="A440" s="25">
        <v>10439</v>
      </c>
      <c r="B440" t="s">
        <v>608</v>
      </c>
      <c r="C440" t="s">
        <v>608</v>
      </c>
      <c r="D440" s="27" t="s">
        <v>504</v>
      </c>
      <c r="E440" s="27">
        <v>5</v>
      </c>
      <c r="F440" s="118">
        <v>6425</v>
      </c>
      <c r="G440" t="s">
        <v>20</v>
      </c>
      <c r="H440" t="s">
        <v>8</v>
      </c>
      <c r="I440">
        <v>5.1999999999999998E-3</v>
      </c>
      <c r="J440">
        <v>1.6850000000000001</v>
      </c>
      <c r="K440">
        <v>0.28899999999999998</v>
      </c>
      <c r="M440" s="140">
        <f t="shared" si="58"/>
        <v>0.05</v>
      </c>
      <c r="N440" s="140">
        <f t="shared" si="58"/>
        <v>1.6850000000000001</v>
      </c>
      <c r="O440" s="140">
        <f t="shared" si="58"/>
        <v>0.28899999999999998</v>
      </c>
      <c r="P440" s="140">
        <f t="shared" si="49"/>
        <v>0.05</v>
      </c>
      <c r="Q440" s="161">
        <v>1.7915727951992057E-2</v>
      </c>
      <c r="R440" s="125">
        <v>12.306666666666667</v>
      </c>
      <c r="S440">
        <v>22.8</v>
      </c>
      <c r="T440" s="27">
        <v>3.4107475123371898</v>
      </c>
      <c r="U440" s="27">
        <v>1.406943039106737</v>
      </c>
      <c r="V440" s="27"/>
      <c r="Y440">
        <f t="shared" si="59"/>
        <v>7</v>
      </c>
      <c r="Z440">
        <f t="shared" si="60"/>
        <v>30</v>
      </c>
      <c r="AA440">
        <f t="shared" si="61"/>
        <v>2024</v>
      </c>
      <c r="AC440" s="19">
        <v>45503</v>
      </c>
      <c r="AD440" s="19"/>
    </row>
    <row r="441" spans="1:30" x14ac:dyDescent="0.25">
      <c r="A441" s="25">
        <v>10440</v>
      </c>
      <c r="B441" t="s">
        <v>609</v>
      </c>
      <c r="C441" t="s">
        <v>609</v>
      </c>
      <c r="D441" s="27" t="s">
        <v>483</v>
      </c>
      <c r="E441" s="27">
        <v>6</v>
      </c>
      <c r="F441" s="118">
        <v>8245</v>
      </c>
      <c r="G441" t="s">
        <v>20</v>
      </c>
      <c r="H441" t="s">
        <v>8</v>
      </c>
      <c r="I441">
        <v>1.8599999999999998E-2</v>
      </c>
      <c r="J441">
        <v>1.6919999999999999</v>
      </c>
      <c r="K441">
        <v>0.27400000000000002</v>
      </c>
      <c r="M441" s="140">
        <f t="shared" si="58"/>
        <v>0.05</v>
      </c>
      <c r="N441" s="140">
        <f t="shared" si="58"/>
        <v>1.6919999999999999</v>
      </c>
      <c r="O441" s="140">
        <f t="shared" si="58"/>
        <v>0.27400000000000002</v>
      </c>
      <c r="P441" s="140">
        <f t="shared" si="49"/>
        <v>0.05</v>
      </c>
      <c r="Q441" s="165">
        <v>0.15</v>
      </c>
      <c r="R441" s="125">
        <v>0.79666666666666652</v>
      </c>
      <c r="S441">
        <v>1.2033333333333334</v>
      </c>
      <c r="T441" s="27">
        <v>3.2221503114634737</v>
      </c>
      <c r="U441" s="27">
        <v>1.4263146373733664</v>
      </c>
      <c r="V441" s="27"/>
      <c r="Y441">
        <f t="shared" si="59"/>
        <v>7</v>
      </c>
      <c r="Z441">
        <f t="shared" si="60"/>
        <v>30</v>
      </c>
      <c r="AA441">
        <f t="shared" si="61"/>
        <v>2024</v>
      </c>
      <c r="AC441" s="19">
        <v>45503</v>
      </c>
      <c r="AD441" s="19"/>
    </row>
    <row r="442" spans="1:30" x14ac:dyDescent="0.25">
      <c r="A442" s="25">
        <v>10441</v>
      </c>
      <c r="B442" t="s">
        <v>610</v>
      </c>
      <c r="C442" t="s">
        <v>610</v>
      </c>
      <c r="D442" s="27" t="s">
        <v>484</v>
      </c>
      <c r="E442" s="27">
        <v>8</v>
      </c>
      <c r="F442" s="118">
        <v>5065</v>
      </c>
      <c r="G442" t="s">
        <v>20</v>
      </c>
      <c r="H442" t="s">
        <v>8</v>
      </c>
      <c r="I442">
        <v>2.41E-2</v>
      </c>
      <c r="J442">
        <v>1.637</v>
      </c>
      <c r="K442">
        <v>0.29199999999999998</v>
      </c>
      <c r="L442" s="108">
        <v>1.2765957446808512E-2</v>
      </c>
      <c r="M442" s="140">
        <f t="shared" si="58"/>
        <v>0.05</v>
      </c>
      <c r="N442" s="140">
        <f t="shared" si="58"/>
        <v>1.637</v>
      </c>
      <c r="O442" s="140">
        <f t="shared" si="58"/>
        <v>0.29199999999999998</v>
      </c>
      <c r="P442" s="140">
        <f t="shared" si="49"/>
        <v>0.05</v>
      </c>
      <c r="Q442" s="165">
        <v>0.15</v>
      </c>
      <c r="R442" s="125">
        <v>3.6233333333333335</v>
      </c>
      <c r="S442">
        <v>5.13</v>
      </c>
      <c r="T442" s="27">
        <v>2.7970903109241427</v>
      </c>
      <c r="U442" s="27">
        <v>1.2408046789727976</v>
      </c>
      <c r="V442" s="27"/>
      <c r="Y442">
        <f t="shared" si="59"/>
        <v>7</v>
      </c>
      <c r="Z442">
        <f t="shared" si="60"/>
        <v>30</v>
      </c>
      <c r="AA442">
        <f t="shared" si="61"/>
        <v>2024</v>
      </c>
      <c r="AC442" s="19">
        <v>45503</v>
      </c>
      <c r="AD442" s="19"/>
    </row>
    <row r="443" spans="1:30" x14ac:dyDescent="0.25">
      <c r="A443" s="25">
        <v>10442</v>
      </c>
      <c r="B443" t="s">
        <v>611</v>
      </c>
      <c r="C443" t="s">
        <v>611</v>
      </c>
      <c r="D443" s="27" t="s">
        <v>485</v>
      </c>
      <c r="E443" s="27">
        <v>9</v>
      </c>
      <c r="F443" s="118">
        <v>3385</v>
      </c>
      <c r="G443" t="s">
        <v>20</v>
      </c>
      <c r="H443" t="s">
        <v>8</v>
      </c>
      <c r="I443">
        <v>1.47E-2</v>
      </c>
      <c r="J443">
        <v>1.655</v>
      </c>
      <c r="K443">
        <v>0.35</v>
      </c>
      <c r="M443" s="140">
        <f t="shared" si="58"/>
        <v>0.05</v>
      </c>
      <c r="N443" s="140">
        <f t="shared" si="58"/>
        <v>1.655</v>
      </c>
      <c r="O443" s="140">
        <f t="shared" si="58"/>
        <v>0.35</v>
      </c>
      <c r="P443" s="140">
        <f t="shared" si="49"/>
        <v>0.05</v>
      </c>
      <c r="Q443" s="165">
        <v>0.15</v>
      </c>
      <c r="R443" s="125">
        <v>23.680000000000003</v>
      </c>
      <c r="S443">
        <v>23.616666666666664</v>
      </c>
      <c r="T443" s="27">
        <v>2.8894506916916107</v>
      </c>
      <c r="U443" s="27">
        <v>1.2376433417556738</v>
      </c>
      <c r="V443" s="27"/>
      <c r="Y443">
        <f t="shared" si="59"/>
        <v>7</v>
      </c>
      <c r="Z443">
        <f t="shared" si="60"/>
        <v>30</v>
      </c>
      <c r="AA443">
        <f t="shared" si="61"/>
        <v>2024</v>
      </c>
      <c r="AC443" s="19">
        <v>45503</v>
      </c>
      <c r="AD443" s="19"/>
    </row>
    <row r="444" spans="1:30" x14ac:dyDescent="0.25">
      <c r="A444" s="25">
        <v>10443</v>
      </c>
      <c r="B444" t="s">
        <v>612</v>
      </c>
      <c r="C444" t="s">
        <v>612</v>
      </c>
      <c r="D444" s="27" t="s">
        <v>486</v>
      </c>
      <c r="E444" s="27">
        <v>10</v>
      </c>
      <c r="F444" s="118">
        <v>2205</v>
      </c>
      <c r="G444" t="s">
        <v>20</v>
      </c>
      <c r="H444" t="s">
        <v>8</v>
      </c>
      <c r="I444">
        <v>1.5800000000000002E-2</v>
      </c>
      <c r="J444">
        <v>1.7310000000000001</v>
      </c>
      <c r="K444">
        <v>0.29699999999999999</v>
      </c>
      <c r="L444" s="108">
        <v>1.2765957446808512E-2</v>
      </c>
      <c r="M444" s="140">
        <f t="shared" si="58"/>
        <v>0.05</v>
      </c>
      <c r="N444" s="140">
        <f t="shared" si="58"/>
        <v>1.7310000000000001</v>
      </c>
      <c r="O444" s="140">
        <f t="shared" si="58"/>
        <v>0.29699999999999999</v>
      </c>
      <c r="P444" s="140">
        <f t="shared" si="49"/>
        <v>0.05</v>
      </c>
      <c r="Q444" s="161">
        <v>9.2149737468192661E-2</v>
      </c>
      <c r="R444" s="125">
        <v>17.753333333333334</v>
      </c>
      <c r="S444">
        <v>24.91</v>
      </c>
      <c r="T444" s="27">
        <v>3.2393414772267617</v>
      </c>
      <c r="U444" s="27">
        <v>1.3270351962568907</v>
      </c>
      <c r="V444" s="27"/>
      <c r="Y444">
        <f t="shared" si="59"/>
        <v>7</v>
      </c>
      <c r="Z444">
        <f t="shared" si="60"/>
        <v>30</v>
      </c>
      <c r="AA444">
        <f t="shared" si="61"/>
        <v>2024</v>
      </c>
      <c r="AC444" s="19">
        <v>45503</v>
      </c>
      <c r="AD444" s="19"/>
    </row>
    <row r="445" spans="1:30" x14ac:dyDescent="0.25">
      <c r="A445" s="25">
        <v>10444</v>
      </c>
      <c r="B445" t="s">
        <v>613</v>
      </c>
      <c r="C445" t="s">
        <v>613</v>
      </c>
      <c r="D445" s="27" t="s">
        <v>487</v>
      </c>
      <c r="E445" s="27">
        <v>11</v>
      </c>
      <c r="F445" s="118">
        <v>1385</v>
      </c>
      <c r="G445" t="s">
        <v>20</v>
      </c>
      <c r="H445" t="s">
        <v>8</v>
      </c>
      <c r="I445">
        <v>0.14829999999999999</v>
      </c>
      <c r="J445">
        <v>1.2889999999999999</v>
      </c>
      <c r="K445">
        <v>0.28499999999999998</v>
      </c>
      <c r="M445" s="140">
        <f t="shared" si="58"/>
        <v>0.14829999999999999</v>
      </c>
      <c r="N445" s="140">
        <f t="shared" si="58"/>
        <v>1.2889999999999999</v>
      </c>
      <c r="O445" s="140">
        <f t="shared" si="58"/>
        <v>0.28499999999999998</v>
      </c>
      <c r="P445" s="140">
        <f t="shared" si="49"/>
        <v>0.05</v>
      </c>
      <c r="Q445" s="165">
        <v>0.15</v>
      </c>
      <c r="R445" s="125">
        <v>13.683333333333332</v>
      </c>
      <c r="S445">
        <v>23.403333333333332</v>
      </c>
      <c r="T445" s="27">
        <v>3.0537780114877435</v>
      </c>
      <c r="U445" s="27">
        <v>1.1357406633739253</v>
      </c>
      <c r="V445" s="27"/>
      <c r="Y445">
        <f t="shared" si="59"/>
        <v>7</v>
      </c>
      <c r="Z445">
        <f t="shared" si="60"/>
        <v>30</v>
      </c>
      <c r="AA445">
        <f t="shared" si="61"/>
        <v>2024</v>
      </c>
      <c r="AC445" s="19">
        <v>45503</v>
      </c>
      <c r="AD445" s="19"/>
    </row>
    <row r="446" spans="1:30" x14ac:dyDescent="0.25">
      <c r="A446" s="25">
        <v>10445</v>
      </c>
      <c r="B446" t="s">
        <v>614</v>
      </c>
      <c r="C446" t="s">
        <v>614</v>
      </c>
      <c r="D446" s="27" t="s">
        <v>488</v>
      </c>
      <c r="E446" s="27">
        <v>12</v>
      </c>
      <c r="F446" s="118">
        <v>275</v>
      </c>
      <c r="G446" t="s">
        <v>20</v>
      </c>
      <c r="H446" t="s">
        <v>8</v>
      </c>
      <c r="I446">
        <v>4.4999999999999997E-3</v>
      </c>
      <c r="J446">
        <v>1.6890000000000001</v>
      </c>
      <c r="K446">
        <v>0.218</v>
      </c>
      <c r="M446" s="140">
        <f t="shared" si="58"/>
        <v>0.05</v>
      </c>
      <c r="N446" s="140">
        <f t="shared" si="58"/>
        <v>1.6890000000000001</v>
      </c>
      <c r="O446" s="140">
        <f t="shared" si="58"/>
        <v>0.218</v>
      </c>
      <c r="P446" s="140">
        <f t="shared" si="49"/>
        <v>0.05</v>
      </c>
      <c r="Q446" s="165">
        <v>0.15</v>
      </c>
      <c r="R446" s="125">
        <v>21.243333333333336</v>
      </c>
      <c r="S446">
        <v>26.656666666666666</v>
      </c>
      <c r="T446" s="27">
        <v>3.5654680042067799</v>
      </c>
      <c r="U446" s="27">
        <v>1.3587158309221075</v>
      </c>
      <c r="V446" s="27"/>
      <c r="Y446">
        <f t="shared" si="59"/>
        <v>7</v>
      </c>
      <c r="Z446">
        <f t="shared" si="60"/>
        <v>30</v>
      </c>
      <c r="AA446">
        <f t="shared" si="61"/>
        <v>2024</v>
      </c>
      <c r="AC446" s="19">
        <v>45503</v>
      </c>
      <c r="AD446" s="19"/>
    </row>
    <row r="447" spans="1:30" x14ac:dyDescent="0.25">
      <c r="A447" s="25">
        <v>10446</v>
      </c>
      <c r="B447" t="s">
        <v>615</v>
      </c>
      <c r="C447" t="s">
        <v>615</v>
      </c>
      <c r="D447" s="27" t="s">
        <v>489</v>
      </c>
      <c r="E447" s="27">
        <v>14</v>
      </c>
      <c r="F447" s="118">
        <v>4225</v>
      </c>
      <c r="G447" t="s">
        <v>20</v>
      </c>
      <c r="H447" t="s">
        <v>8</v>
      </c>
      <c r="I447">
        <v>1.1299999999999999E-2</v>
      </c>
      <c r="J447">
        <v>1.7310000000000001</v>
      </c>
      <c r="K447">
        <v>0.32400000000000001</v>
      </c>
      <c r="M447" s="140">
        <f t="shared" si="58"/>
        <v>0.05</v>
      </c>
      <c r="N447" s="140">
        <f t="shared" si="58"/>
        <v>1.7310000000000001</v>
      </c>
      <c r="O447" s="140">
        <f t="shared" si="58"/>
        <v>0.32400000000000001</v>
      </c>
      <c r="P447" s="140">
        <f t="shared" si="49"/>
        <v>0.05</v>
      </c>
      <c r="Q447" s="165">
        <v>0.15</v>
      </c>
      <c r="R447" s="125">
        <v>3.0933333333333333</v>
      </c>
      <c r="S447">
        <v>3.9266666666666663</v>
      </c>
      <c r="T447" s="27">
        <v>2.9445635466386215</v>
      </c>
      <c r="U447" s="27">
        <v>1.3010046110861073</v>
      </c>
      <c r="V447" s="27"/>
      <c r="Y447">
        <f t="shared" si="59"/>
        <v>7</v>
      </c>
      <c r="Z447">
        <f t="shared" si="60"/>
        <v>30</v>
      </c>
      <c r="AA447">
        <f t="shared" si="61"/>
        <v>2024</v>
      </c>
      <c r="AC447" s="19">
        <v>45503</v>
      </c>
      <c r="AD447" s="19"/>
    </row>
    <row r="448" spans="1:30" x14ac:dyDescent="0.25">
      <c r="A448" s="25">
        <v>10447</v>
      </c>
      <c r="B448" t="s">
        <v>616</v>
      </c>
      <c r="C448" t="s">
        <v>616</v>
      </c>
      <c r="D448" s="27" t="s">
        <v>490</v>
      </c>
      <c r="E448" s="27">
        <v>15</v>
      </c>
      <c r="F448" s="118">
        <v>2905</v>
      </c>
      <c r="G448" t="s">
        <v>20</v>
      </c>
      <c r="H448" t="s">
        <v>8</v>
      </c>
      <c r="I448">
        <v>-5.0000000000000001E-4</v>
      </c>
      <c r="J448">
        <v>1.782</v>
      </c>
      <c r="K448">
        <v>0.23100000000000001</v>
      </c>
      <c r="L448" s="108">
        <v>1.2765957446808512E-2</v>
      </c>
      <c r="M448" s="140">
        <f t="shared" si="58"/>
        <v>0.05</v>
      </c>
      <c r="N448" s="140">
        <f t="shared" si="58"/>
        <v>1.782</v>
      </c>
      <c r="O448" s="140">
        <f t="shared" si="58"/>
        <v>0.23100000000000001</v>
      </c>
      <c r="P448" s="140">
        <f t="shared" si="49"/>
        <v>0.05</v>
      </c>
      <c r="Q448" s="165">
        <v>0.15</v>
      </c>
      <c r="R448" s="125">
        <v>5.57</v>
      </c>
      <c r="S448">
        <v>8.8866666666666667</v>
      </c>
      <c r="T448" s="27">
        <v>3.2732181862308876</v>
      </c>
      <c r="U448" s="27">
        <v>1.442861210892779</v>
      </c>
      <c r="V448" s="27"/>
      <c r="Y448">
        <f t="shared" si="59"/>
        <v>7</v>
      </c>
      <c r="Z448">
        <f t="shared" si="60"/>
        <v>30</v>
      </c>
      <c r="AA448">
        <f t="shared" si="61"/>
        <v>2024</v>
      </c>
      <c r="AC448" s="19">
        <v>45503</v>
      </c>
      <c r="AD448" s="19"/>
    </row>
    <row r="449" spans="1:30" x14ac:dyDescent="0.25">
      <c r="A449" s="25">
        <v>10448</v>
      </c>
      <c r="B449" t="s">
        <v>593</v>
      </c>
      <c r="C449" t="s">
        <v>593</v>
      </c>
      <c r="D449" s="27" t="s">
        <v>462</v>
      </c>
      <c r="E449" s="27">
        <v>1</v>
      </c>
      <c r="F449" s="118">
        <v>5999</v>
      </c>
      <c r="G449" t="s">
        <v>19</v>
      </c>
      <c r="H449" t="s">
        <v>8</v>
      </c>
      <c r="I449">
        <v>-2.3999999999999998E-3</v>
      </c>
      <c r="J449">
        <v>1.079</v>
      </c>
      <c r="K449">
        <v>-2E-3</v>
      </c>
      <c r="L449" s="111">
        <v>0.10406091370558378</v>
      </c>
      <c r="M449" s="140">
        <f t="shared" si="58"/>
        <v>0.05</v>
      </c>
      <c r="N449" s="140">
        <f t="shared" si="58"/>
        <v>1.079</v>
      </c>
      <c r="O449" s="140">
        <f t="shared" si="58"/>
        <v>0.05</v>
      </c>
      <c r="P449" s="140">
        <f t="shared" si="49"/>
        <v>0.10406091370558378</v>
      </c>
      <c r="Q449" s="165">
        <v>0.15</v>
      </c>
      <c r="R449" s="125">
        <v>25.853333333333335</v>
      </c>
      <c r="S449">
        <v>39.36</v>
      </c>
      <c r="T449">
        <v>2.5560183416919826</v>
      </c>
      <c r="U449">
        <v>0.93985472352581101</v>
      </c>
      <c r="Y449">
        <f t="shared" si="59"/>
        <v>7</v>
      </c>
      <c r="Z449">
        <f t="shared" si="60"/>
        <v>31</v>
      </c>
      <c r="AA449">
        <f t="shared" si="61"/>
        <v>2024</v>
      </c>
      <c r="AC449" s="19">
        <v>45504</v>
      </c>
      <c r="AD449" s="19"/>
    </row>
    <row r="450" spans="1:30" x14ac:dyDescent="0.25">
      <c r="A450" s="25">
        <v>10449</v>
      </c>
      <c r="B450" t="s">
        <v>594</v>
      </c>
      <c r="C450" t="s">
        <v>594</v>
      </c>
      <c r="D450" s="27" t="s">
        <v>463</v>
      </c>
      <c r="E450" s="27">
        <v>2</v>
      </c>
      <c r="F450" s="118">
        <v>8861</v>
      </c>
      <c r="G450" t="s">
        <v>19</v>
      </c>
      <c r="H450" t="s">
        <v>8</v>
      </c>
      <c r="I450">
        <v>-2.2000000000000001E-3</v>
      </c>
      <c r="J450">
        <v>0.97799999999999998</v>
      </c>
      <c r="K450">
        <v>-3.0000000000000001E-3</v>
      </c>
      <c r="L450" s="111">
        <v>6.2817258883248725E-2</v>
      </c>
      <c r="M450" s="140">
        <f t="shared" ref="M450:O465" si="62">IF(I450&lt;0.1,0.05,I450)</f>
        <v>0.05</v>
      </c>
      <c r="N450" s="140">
        <f t="shared" si="62"/>
        <v>0.97799999999999998</v>
      </c>
      <c r="O450" s="140">
        <f t="shared" si="62"/>
        <v>0.05</v>
      </c>
      <c r="P450" s="140">
        <f t="shared" ref="P450:P513" si="63">IF(L450&lt;0.1,0.05,L450)</f>
        <v>0.05</v>
      </c>
      <c r="Q450" s="165">
        <v>0.15</v>
      </c>
      <c r="R450" s="125">
        <v>7.94</v>
      </c>
      <c r="S450">
        <v>7.4366666666666665</v>
      </c>
      <c r="T450">
        <v>2.666388132818279</v>
      </c>
      <c r="U450">
        <v>0.95454560293817592</v>
      </c>
      <c r="Y450">
        <f t="shared" si="59"/>
        <v>7</v>
      </c>
      <c r="Z450">
        <f t="shared" si="60"/>
        <v>31</v>
      </c>
      <c r="AA450">
        <f t="shared" si="61"/>
        <v>2024</v>
      </c>
      <c r="AC450" s="19">
        <v>45504</v>
      </c>
      <c r="AD450" s="19"/>
    </row>
    <row r="451" spans="1:30" x14ac:dyDescent="0.25">
      <c r="A451" s="25">
        <v>10450</v>
      </c>
      <c r="B451" t="s">
        <v>595</v>
      </c>
      <c r="C451" t="s">
        <v>595</v>
      </c>
      <c r="D451" s="27" t="s">
        <v>464</v>
      </c>
      <c r="E451" s="27">
        <v>3</v>
      </c>
      <c r="F451" s="118">
        <v>9921</v>
      </c>
      <c r="G451" t="s">
        <v>19</v>
      </c>
      <c r="H451" t="s">
        <v>8</v>
      </c>
      <c r="I451">
        <v>-3.7000000000000002E-3</v>
      </c>
      <c r="J451">
        <v>0.94699999999999995</v>
      </c>
      <c r="K451">
        <v>-2E-3</v>
      </c>
      <c r="M451" s="140">
        <f t="shared" si="62"/>
        <v>0.05</v>
      </c>
      <c r="N451" s="140">
        <f t="shared" si="62"/>
        <v>0.94699999999999995</v>
      </c>
      <c r="O451" s="140">
        <f t="shared" si="62"/>
        <v>0.05</v>
      </c>
      <c r="P451" s="140">
        <f t="shared" si="63"/>
        <v>0.05</v>
      </c>
      <c r="Q451" s="165">
        <v>0.15</v>
      </c>
      <c r="R451" s="125">
        <v>5.9633333333333338</v>
      </c>
      <c r="S451">
        <v>8.1933333333333334</v>
      </c>
      <c r="T451">
        <v>2.4463416104785671</v>
      </c>
      <c r="U451">
        <v>0.87007304631707816</v>
      </c>
      <c r="Y451">
        <f t="shared" si="59"/>
        <v>7</v>
      </c>
      <c r="Z451">
        <f t="shared" si="60"/>
        <v>31</v>
      </c>
      <c r="AA451">
        <f t="shared" si="61"/>
        <v>2024</v>
      </c>
      <c r="AC451" s="19">
        <v>45504</v>
      </c>
      <c r="AD451" s="19"/>
    </row>
    <row r="452" spans="1:30" x14ac:dyDescent="0.25">
      <c r="A452" s="25">
        <v>10451</v>
      </c>
      <c r="B452" t="s">
        <v>596</v>
      </c>
      <c r="C452" t="s">
        <v>596</v>
      </c>
      <c r="D452" s="27" t="s">
        <v>465</v>
      </c>
      <c r="E452" s="27">
        <v>4</v>
      </c>
      <c r="F452" s="118">
        <v>10891</v>
      </c>
      <c r="G452" t="s">
        <v>19</v>
      </c>
      <c r="H452" t="s">
        <v>8</v>
      </c>
      <c r="I452">
        <v>0</v>
      </c>
      <c r="J452">
        <v>0.83699999999999997</v>
      </c>
      <c r="K452">
        <v>0</v>
      </c>
      <c r="M452" s="140">
        <f t="shared" si="62"/>
        <v>0.05</v>
      </c>
      <c r="N452" s="140">
        <f t="shared" si="62"/>
        <v>0.83699999999999997</v>
      </c>
      <c r="O452" s="140">
        <f t="shared" si="62"/>
        <v>0.05</v>
      </c>
      <c r="P452" s="140">
        <f t="shared" si="63"/>
        <v>0.05</v>
      </c>
      <c r="Q452" s="165">
        <v>0.15</v>
      </c>
      <c r="R452" s="125">
        <v>5.4933333333333332</v>
      </c>
      <c r="S452">
        <v>7.580000000000001</v>
      </c>
      <c r="T452">
        <v>2.5024794634219298</v>
      </c>
      <c r="U452">
        <v>0.62604121607835139</v>
      </c>
      <c r="Y452">
        <f t="shared" si="59"/>
        <v>7</v>
      </c>
      <c r="Z452">
        <f t="shared" si="60"/>
        <v>31</v>
      </c>
      <c r="AA452">
        <f t="shared" si="61"/>
        <v>2024</v>
      </c>
      <c r="AC452" s="19">
        <v>45504</v>
      </c>
      <c r="AD452" s="19"/>
    </row>
    <row r="453" spans="1:30" x14ac:dyDescent="0.25">
      <c r="A453" s="25">
        <v>10452</v>
      </c>
      <c r="B453" t="s">
        <v>597</v>
      </c>
      <c r="C453" t="s">
        <v>597</v>
      </c>
      <c r="D453" s="27" t="s">
        <v>466</v>
      </c>
      <c r="E453" s="27">
        <v>5</v>
      </c>
      <c r="F453" s="118">
        <v>12821</v>
      </c>
      <c r="G453" t="s">
        <v>19</v>
      </c>
      <c r="H453" t="s">
        <v>8</v>
      </c>
      <c r="I453">
        <v>3.9100000000000003E-2</v>
      </c>
      <c r="J453">
        <v>0.70899999999999996</v>
      </c>
      <c r="K453">
        <v>4.0000000000000001E-3</v>
      </c>
      <c r="L453" s="111">
        <v>6.4403553299492391E-2</v>
      </c>
      <c r="M453" s="140">
        <f t="shared" si="62"/>
        <v>0.05</v>
      </c>
      <c r="N453" s="140">
        <f t="shared" si="62"/>
        <v>0.70899999999999996</v>
      </c>
      <c r="O453" s="140">
        <f t="shared" si="62"/>
        <v>0.05</v>
      </c>
      <c r="P453" s="140">
        <f t="shared" si="63"/>
        <v>0.05</v>
      </c>
      <c r="Q453" s="161">
        <v>8.77959292077857E-2</v>
      </c>
      <c r="R453" s="125">
        <v>13.326666666666668</v>
      </c>
      <c r="S453">
        <v>20.836666666666666</v>
      </c>
      <c r="T453">
        <v>2.585126858032984</v>
      </c>
      <c r="U453">
        <v>0.84109936747602521</v>
      </c>
      <c r="Y453">
        <f t="shared" si="59"/>
        <v>7</v>
      </c>
      <c r="Z453">
        <f t="shared" si="60"/>
        <v>31</v>
      </c>
      <c r="AA453">
        <f t="shared" si="61"/>
        <v>2024</v>
      </c>
      <c r="AC453" s="19">
        <v>45504</v>
      </c>
      <c r="AD453" s="19"/>
    </row>
    <row r="454" spans="1:30" x14ac:dyDescent="0.25">
      <c r="A454" s="25">
        <v>10453</v>
      </c>
      <c r="B454" t="s">
        <v>598</v>
      </c>
      <c r="C454" t="s">
        <v>598</v>
      </c>
      <c r="D454" s="27" t="s">
        <v>467</v>
      </c>
      <c r="E454" s="27">
        <v>6</v>
      </c>
      <c r="F454" s="118">
        <v>14351</v>
      </c>
      <c r="G454" t="s">
        <v>19</v>
      </c>
      <c r="H454" t="s">
        <v>8</v>
      </c>
      <c r="I454">
        <v>9.06E-2</v>
      </c>
      <c r="J454">
        <v>0.69</v>
      </c>
      <c r="K454">
        <v>6.0000000000000001E-3</v>
      </c>
      <c r="L454" s="111">
        <v>2.1573604060913708E-2</v>
      </c>
      <c r="M454" s="140">
        <f t="shared" si="62"/>
        <v>0.05</v>
      </c>
      <c r="N454" s="140">
        <f t="shared" si="62"/>
        <v>0.69</v>
      </c>
      <c r="O454" s="140">
        <f t="shared" si="62"/>
        <v>0.05</v>
      </c>
      <c r="P454" s="140">
        <f t="shared" si="63"/>
        <v>0.05</v>
      </c>
      <c r="Q454" s="161">
        <v>0.34371314295176802</v>
      </c>
      <c r="R454" s="125">
        <v>12.649999999999999</v>
      </c>
      <c r="S454">
        <v>20.07</v>
      </c>
      <c r="T454">
        <v>2.523791055743017</v>
      </c>
      <c r="U454">
        <v>0.75091369108345241</v>
      </c>
      <c r="Y454">
        <f t="shared" si="59"/>
        <v>7</v>
      </c>
      <c r="Z454">
        <f t="shared" si="60"/>
        <v>31</v>
      </c>
      <c r="AA454">
        <f t="shared" si="61"/>
        <v>2024</v>
      </c>
      <c r="AC454" s="19">
        <v>45504</v>
      </c>
      <c r="AD454" s="19"/>
    </row>
    <row r="455" spans="1:30" x14ac:dyDescent="0.25">
      <c r="A455" s="25">
        <v>10454</v>
      </c>
      <c r="B455" t="s">
        <v>599</v>
      </c>
      <c r="C455" t="s">
        <v>599</v>
      </c>
      <c r="D455" s="27" t="s">
        <v>468</v>
      </c>
      <c r="E455" s="27">
        <v>7</v>
      </c>
      <c r="F455" s="118">
        <v>6411</v>
      </c>
      <c r="G455" t="s">
        <v>19</v>
      </c>
      <c r="H455" t="s">
        <v>8</v>
      </c>
      <c r="I455">
        <v>1.6000000000000001E-3</v>
      </c>
      <c r="J455">
        <v>1.04</v>
      </c>
      <c r="K455">
        <v>-4.0000000000000001E-3</v>
      </c>
      <c r="L455" s="111">
        <v>4.8540609137055844E-2</v>
      </c>
      <c r="M455" s="140">
        <f t="shared" si="62"/>
        <v>0.05</v>
      </c>
      <c r="N455" s="140">
        <f t="shared" si="62"/>
        <v>1.04</v>
      </c>
      <c r="O455" s="140">
        <f t="shared" si="62"/>
        <v>0.05</v>
      </c>
      <c r="P455" s="140">
        <f t="shared" si="63"/>
        <v>0.05</v>
      </c>
      <c r="Q455" s="165">
        <v>0.15</v>
      </c>
      <c r="R455" s="125">
        <v>12.0375</v>
      </c>
      <c r="S455">
        <v>17.862499999999997</v>
      </c>
      <c r="T455">
        <v>2.4588166889104244</v>
      </c>
      <c r="U455">
        <v>0.66861756104196424</v>
      </c>
      <c r="Y455">
        <f t="shared" si="59"/>
        <v>7</v>
      </c>
      <c r="Z455">
        <f t="shared" si="60"/>
        <v>31</v>
      </c>
      <c r="AA455">
        <f t="shared" si="61"/>
        <v>2024</v>
      </c>
      <c r="AC455" s="19">
        <v>45504</v>
      </c>
      <c r="AD455" s="19"/>
    </row>
    <row r="456" spans="1:30" x14ac:dyDescent="0.25">
      <c r="A456" s="25">
        <v>10455</v>
      </c>
      <c r="B456" t="s">
        <v>600</v>
      </c>
      <c r="C456" t="s">
        <v>600</v>
      </c>
      <c r="D456" s="27" t="s">
        <v>469</v>
      </c>
      <c r="E456" s="27">
        <v>8</v>
      </c>
      <c r="F456" s="118">
        <v>5401</v>
      </c>
      <c r="G456" t="s">
        <v>19</v>
      </c>
      <c r="H456" t="s">
        <v>8</v>
      </c>
      <c r="I456">
        <v>-2.9999999999999997E-4</v>
      </c>
      <c r="J456">
        <v>1.1379999999999999</v>
      </c>
      <c r="K456">
        <v>-4.0000000000000001E-3</v>
      </c>
      <c r="L456" s="111">
        <v>4.8540609137055844E-2</v>
      </c>
      <c r="M456" s="140">
        <f t="shared" si="62"/>
        <v>0.05</v>
      </c>
      <c r="N456" s="140">
        <f t="shared" si="62"/>
        <v>1.1379999999999999</v>
      </c>
      <c r="O456" s="140">
        <f t="shared" si="62"/>
        <v>0.05</v>
      </c>
      <c r="P456" s="140">
        <f t="shared" si="63"/>
        <v>0.05</v>
      </c>
      <c r="Q456" s="161">
        <v>5.6445123686393921E-2</v>
      </c>
      <c r="R456" s="125">
        <v>2.9299999999999997</v>
      </c>
      <c r="S456">
        <v>4.47</v>
      </c>
      <c r="T456">
        <v>2.4674799378214369</v>
      </c>
      <c r="U456">
        <v>0.98555968169761277</v>
      </c>
      <c r="Y456">
        <f t="shared" si="59"/>
        <v>7</v>
      </c>
      <c r="Z456">
        <f t="shared" si="60"/>
        <v>31</v>
      </c>
      <c r="AA456">
        <f t="shared" si="61"/>
        <v>2024</v>
      </c>
      <c r="AC456" s="19">
        <v>45504</v>
      </c>
      <c r="AD456" s="19"/>
    </row>
    <row r="457" spans="1:30" x14ac:dyDescent="0.25">
      <c r="A457" s="25">
        <v>10456</v>
      </c>
      <c r="B457" t="s">
        <v>601</v>
      </c>
      <c r="C457" t="s">
        <v>601</v>
      </c>
      <c r="D457" s="27" t="s">
        <v>470</v>
      </c>
      <c r="E457" s="27">
        <v>9</v>
      </c>
      <c r="F457" s="118">
        <v>4381</v>
      </c>
      <c r="G457" t="s">
        <v>19</v>
      </c>
      <c r="H457" t="s">
        <v>8</v>
      </c>
      <c r="I457">
        <v>3.3E-3</v>
      </c>
      <c r="J457">
        <v>1.1120000000000001</v>
      </c>
      <c r="K457">
        <v>-4.0000000000000001E-3</v>
      </c>
      <c r="L457" s="111">
        <v>0.33090101522842641</v>
      </c>
      <c r="M457" s="140">
        <f t="shared" si="62"/>
        <v>0.05</v>
      </c>
      <c r="N457" s="140">
        <f t="shared" si="62"/>
        <v>1.1120000000000001</v>
      </c>
      <c r="O457" s="140">
        <f t="shared" si="62"/>
        <v>0.05</v>
      </c>
      <c r="P457" s="140">
        <f t="shared" si="63"/>
        <v>0.33090101522842641</v>
      </c>
      <c r="Q457" s="165">
        <v>0.15</v>
      </c>
      <c r="R457" s="125">
        <v>4.4766666666666666</v>
      </c>
      <c r="S457">
        <v>7.5433333333333339</v>
      </c>
      <c r="T457">
        <v>2.49104397485939</v>
      </c>
      <c r="U457">
        <v>1.0104525607018977</v>
      </c>
      <c r="Y457">
        <f t="shared" si="59"/>
        <v>7</v>
      </c>
      <c r="Z457">
        <f t="shared" si="60"/>
        <v>31</v>
      </c>
      <c r="AA457">
        <f t="shared" si="61"/>
        <v>2024</v>
      </c>
      <c r="AC457" s="19">
        <v>45504</v>
      </c>
      <c r="AD457" s="19"/>
    </row>
    <row r="458" spans="1:30" x14ac:dyDescent="0.25">
      <c r="A458" s="25">
        <v>10457</v>
      </c>
      <c r="B458" t="s">
        <v>602</v>
      </c>
      <c r="C458" t="s">
        <v>602</v>
      </c>
      <c r="D458" s="27" t="s">
        <v>471</v>
      </c>
      <c r="E458" s="27">
        <v>10</v>
      </c>
      <c r="F458" s="118">
        <v>2851</v>
      </c>
      <c r="G458" t="s">
        <v>19</v>
      </c>
      <c r="H458" t="s">
        <v>8</v>
      </c>
      <c r="I458">
        <v>-4.5999999999999999E-3</v>
      </c>
      <c r="J458">
        <v>1.1020000000000001</v>
      </c>
      <c r="K458">
        <v>-3.0000000000000001E-3</v>
      </c>
      <c r="L458" s="111">
        <v>1.0748730964467008</v>
      </c>
      <c r="M458" s="140">
        <f t="shared" si="62"/>
        <v>0.05</v>
      </c>
      <c r="N458" s="140">
        <f t="shared" si="62"/>
        <v>1.1020000000000001</v>
      </c>
      <c r="O458" s="140">
        <f t="shared" si="62"/>
        <v>0.05</v>
      </c>
      <c r="P458" s="140">
        <f t="shared" si="63"/>
        <v>1.0748730964467008</v>
      </c>
      <c r="Q458" s="165">
        <v>0.15</v>
      </c>
      <c r="R458" s="125">
        <v>8.82</v>
      </c>
      <c r="S458">
        <v>14.965</v>
      </c>
      <c r="T458">
        <v>2.638145941368379</v>
      </c>
      <c r="U458">
        <v>1.0020869210365231</v>
      </c>
      <c r="Y458">
        <f t="shared" si="59"/>
        <v>7</v>
      </c>
      <c r="Z458">
        <f t="shared" si="60"/>
        <v>31</v>
      </c>
      <c r="AA458">
        <f t="shared" si="61"/>
        <v>2024</v>
      </c>
      <c r="AC458" s="19">
        <v>45504</v>
      </c>
      <c r="AD458" s="19"/>
    </row>
    <row r="459" spans="1:30" x14ac:dyDescent="0.25">
      <c r="A459" s="25">
        <v>10458</v>
      </c>
      <c r="B459" t="s">
        <v>603</v>
      </c>
      <c r="C459" t="s">
        <v>603</v>
      </c>
      <c r="D459" s="27" t="s">
        <v>472</v>
      </c>
      <c r="E459" s="27">
        <v>11</v>
      </c>
      <c r="F459" s="118">
        <v>1731</v>
      </c>
      <c r="G459" t="s">
        <v>19</v>
      </c>
      <c r="H459" t="s">
        <v>8</v>
      </c>
      <c r="I459">
        <v>-4.1000000000000003E-3</v>
      </c>
      <c r="J459">
        <v>1.167</v>
      </c>
      <c r="K459">
        <v>-2E-3</v>
      </c>
      <c r="L459" s="111">
        <v>5.0126903553299504E-2</v>
      </c>
      <c r="M459" s="140">
        <f t="shared" si="62"/>
        <v>0.05</v>
      </c>
      <c r="N459" s="140">
        <f t="shared" si="62"/>
        <v>1.167</v>
      </c>
      <c r="O459" s="140">
        <f t="shared" si="62"/>
        <v>0.05</v>
      </c>
      <c r="P459" s="140">
        <f t="shared" si="63"/>
        <v>0.05</v>
      </c>
      <c r="Q459" s="165">
        <v>0.15</v>
      </c>
      <c r="R459" s="125">
        <v>8.1433333333333326</v>
      </c>
      <c r="S459">
        <v>11.76</v>
      </c>
      <c r="T459">
        <v>2.4177528890722266</v>
      </c>
      <c r="U459">
        <v>0.95699408284023668</v>
      </c>
      <c r="Y459">
        <f t="shared" si="59"/>
        <v>7</v>
      </c>
      <c r="Z459">
        <f t="shared" si="60"/>
        <v>31</v>
      </c>
      <c r="AA459">
        <f t="shared" si="61"/>
        <v>2024</v>
      </c>
      <c r="AC459" s="19">
        <v>45504</v>
      </c>
      <c r="AD459" s="19"/>
    </row>
    <row r="460" spans="1:30" x14ac:dyDescent="0.25">
      <c r="A460" s="25">
        <v>10459</v>
      </c>
      <c r="B460" t="s">
        <v>604</v>
      </c>
      <c r="C460" t="s">
        <v>604</v>
      </c>
      <c r="D460" s="27" t="s">
        <v>473</v>
      </c>
      <c r="E460" s="27">
        <v>12</v>
      </c>
      <c r="F460" s="118">
        <v>661</v>
      </c>
      <c r="G460" t="s">
        <v>19</v>
      </c>
      <c r="H460" t="s">
        <v>8</v>
      </c>
      <c r="I460">
        <v>4.5999999999999999E-3</v>
      </c>
      <c r="J460">
        <v>1.091</v>
      </c>
      <c r="K460">
        <v>-1E-3</v>
      </c>
      <c r="L460" s="111">
        <v>3.7436548223350255E-2</v>
      </c>
      <c r="M460" s="140">
        <f t="shared" si="62"/>
        <v>0.05</v>
      </c>
      <c r="N460" s="140">
        <f t="shared" si="62"/>
        <v>1.091</v>
      </c>
      <c r="O460" s="140">
        <f t="shared" si="62"/>
        <v>0.05</v>
      </c>
      <c r="P460" s="140">
        <f t="shared" si="63"/>
        <v>0.05</v>
      </c>
      <c r="Q460" s="165">
        <v>0.15</v>
      </c>
      <c r="R460" s="125">
        <v>2.3233333333333337</v>
      </c>
      <c r="S460">
        <v>3.22</v>
      </c>
      <c r="T460">
        <v>2.3798078588419926</v>
      </c>
      <c r="U460">
        <v>0.97168496225260148</v>
      </c>
      <c r="Y460">
        <f t="shared" si="59"/>
        <v>7</v>
      </c>
      <c r="Z460">
        <f t="shared" si="60"/>
        <v>31</v>
      </c>
      <c r="AA460">
        <f t="shared" si="61"/>
        <v>2024</v>
      </c>
      <c r="AC460" s="19">
        <v>45504</v>
      </c>
      <c r="AD460" s="19"/>
    </row>
    <row r="461" spans="1:30" x14ac:dyDescent="0.25">
      <c r="A461" s="25">
        <v>10460</v>
      </c>
      <c r="B461" t="s">
        <v>605</v>
      </c>
      <c r="C461" t="s">
        <v>605</v>
      </c>
      <c r="D461" s="27" t="s">
        <v>474</v>
      </c>
      <c r="E461" s="27">
        <v>13</v>
      </c>
      <c r="F461" s="118">
        <v>13553</v>
      </c>
      <c r="G461" t="s">
        <v>19</v>
      </c>
      <c r="H461" t="s">
        <v>8</v>
      </c>
      <c r="I461">
        <v>1.61E-2</v>
      </c>
      <c r="J461">
        <v>0.72799999999999998</v>
      </c>
      <c r="K461">
        <v>0</v>
      </c>
      <c r="L461" s="111">
        <v>0.19447969543147209</v>
      </c>
      <c r="M461" s="140">
        <f t="shared" si="62"/>
        <v>0.05</v>
      </c>
      <c r="N461" s="140">
        <f t="shared" si="62"/>
        <v>0.72799999999999998</v>
      </c>
      <c r="O461" s="140">
        <f t="shared" si="62"/>
        <v>0.05</v>
      </c>
      <c r="P461" s="140">
        <f t="shared" si="63"/>
        <v>0.19447969543147209</v>
      </c>
      <c r="Q461" s="165">
        <v>0.15</v>
      </c>
      <c r="R461" s="125">
        <v>6.02</v>
      </c>
      <c r="S461">
        <v>8.67</v>
      </c>
      <c r="T461">
        <v>2.5903248073795915</v>
      </c>
      <c r="U461">
        <v>0.56863796504114805</v>
      </c>
      <c r="Y461">
        <f t="shared" si="59"/>
        <v>7</v>
      </c>
      <c r="Z461">
        <f t="shared" si="60"/>
        <v>31</v>
      </c>
      <c r="AA461">
        <f t="shared" si="61"/>
        <v>2024</v>
      </c>
      <c r="AC461" s="19">
        <v>45504</v>
      </c>
      <c r="AD461" s="19"/>
    </row>
    <row r="462" spans="1:30" x14ac:dyDescent="0.25">
      <c r="A462" s="25">
        <v>10461</v>
      </c>
      <c r="B462" t="s">
        <v>617</v>
      </c>
      <c r="C462" t="s">
        <v>617</v>
      </c>
      <c r="D462" s="27" t="s">
        <v>491</v>
      </c>
      <c r="E462" s="27">
        <v>1</v>
      </c>
      <c r="F462" s="118">
        <v>5210</v>
      </c>
      <c r="G462" t="s">
        <v>22</v>
      </c>
      <c r="H462" t="s">
        <v>8</v>
      </c>
      <c r="I462">
        <v>-0.50160000000000005</v>
      </c>
      <c r="J462">
        <v>1.71</v>
      </c>
      <c r="K462">
        <v>1E-3</v>
      </c>
      <c r="L462" s="109">
        <v>-3.27653997378768E-3</v>
      </c>
      <c r="M462" s="140">
        <f t="shared" si="62"/>
        <v>0.05</v>
      </c>
      <c r="N462" s="140">
        <f t="shared" si="62"/>
        <v>1.71</v>
      </c>
      <c r="O462" s="140">
        <f t="shared" si="62"/>
        <v>0.05</v>
      </c>
      <c r="P462" s="140">
        <f t="shared" si="63"/>
        <v>0.05</v>
      </c>
      <c r="Q462" s="166">
        <v>0.10470732159173468</v>
      </c>
      <c r="R462" s="125">
        <v>41.19</v>
      </c>
      <c r="S462">
        <v>25.786666666666665</v>
      </c>
      <c r="T462">
        <v>3.7785760280140366</v>
      </c>
      <c r="U462">
        <v>1.4024133850234646</v>
      </c>
      <c r="Y462">
        <f t="shared" ref="Y462:Y473" si="64">MONTH(AC462)</f>
        <v>8</v>
      </c>
      <c r="Z462">
        <f t="shared" ref="Z462:Z473" si="65">DAY(AC462)</f>
        <v>5</v>
      </c>
      <c r="AA462">
        <f t="shared" ref="AA462:AA473" si="66">YEAR(AC462)</f>
        <v>2024</v>
      </c>
      <c r="AC462" s="19">
        <v>45509</v>
      </c>
      <c r="AD462" s="19"/>
    </row>
    <row r="463" spans="1:30" x14ac:dyDescent="0.25">
      <c r="A463" s="25">
        <v>10462</v>
      </c>
      <c r="B463" t="s">
        <v>618</v>
      </c>
      <c r="C463" t="s">
        <v>618</v>
      </c>
      <c r="D463" s="27" t="s">
        <v>492</v>
      </c>
      <c r="E463" s="27">
        <v>2</v>
      </c>
      <c r="F463" s="118">
        <v>5430</v>
      </c>
      <c r="G463" t="s">
        <v>22</v>
      </c>
      <c r="H463" t="s">
        <v>8</v>
      </c>
      <c r="I463">
        <v>-0.50419999999999998</v>
      </c>
      <c r="J463">
        <v>1.716</v>
      </c>
      <c r="K463">
        <v>2E-3</v>
      </c>
      <c r="L463" s="109">
        <v>6.9078947368421068E-3</v>
      </c>
      <c r="M463" s="140">
        <f t="shared" si="62"/>
        <v>0.05</v>
      </c>
      <c r="N463" s="140">
        <f t="shared" si="62"/>
        <v>1.716</v>
      </c>
      <c r="O463" s="140">
        <f t="shared" si="62"/>
        <v>0.05</v>
      </c>
      <c r="P463" s="140">
        <f t="shared" si="63"/>
        <v>0.05</v>
      </c>
      <c r="Q463" s="166">
        <v>8.1577581933841486E-2</v>
      </c>
      <c r="R463" s="125">
        <v>48.23</v>
      </c>
      <c r="S463">
        <v>32.366666666666667</v>
      </c>
      <c r="T463">
        <v>3.5540246162405982</v>
      </c>
      <c r="U463">
        <v>1.3250822281167109</v>
      </c>
      <c r="Y463">
        <f t="shared" si="64"/>
        <v>8</v>
      </c>
      <c r="Z463">
        <f t="shared" si="65"/>
        <v>5</v>
      </c>
      <c r="AA463">
        <f t="shared" si="66"/>
        <v>2024</v>
      </c>
      <c r="AC463" s="19">
        <v>45509</v>
      </c>
      <c r="AD463" s="19"/>
    </row>
    <row r="464" spans="1:30" x14ac:dyDescent="0.25">
      <c r="A464" s="25">
        <v>10463</v>
      </c>
      <c r="B464" t="s">
        <v>619</v>
      </c>
      <c r="C464" t="s">
        <v>619</v>
      </c>
      <c r="D464" s="27" t="s">
        <v>493</v>
      </c>
      <c r="E464" s="27">
        <v>3</v>
      </c>
      <c r="F464" s="118">
        <v>4180</v>
      </c>
      <c r="G464" t="s">
        <v>22</v>
      </c>
      <c r="H464" t="s">
        <v>8</v>
      </c>
      <c r="I464">
        <v>-0.51149999999999995</v>
      </c>
      <c r="J464">
        <v>1.859</v>
      </c>
      <c r="K464">
        <v>1E-3</v>
      </c>
      <c r="L464" s="109">
        <v>-8.1913499344692005E-3</v>
      </c>
      <c r="M464" s="140">
        <f t="shared" si="62"/>
        <v>0.05</v>
      </c>
      <c r="N464" s="140">
        <f t="shared" si="62"/>
        <v>1.859</v>
      </c>
      <c r="O464" s="140">
        <f t="shared" si="62"/>
        <v>0.05</v>
      </c>
      <c r="P464" s="140">
        <f t="shared" si="63"/>
        <v>0.05</v>
      </c>
      <c r="Q464" s="166">
        <v>7.6129430220654215E-2</v>
      </c>
      <c r="R464" s="125">
        <v>25.256666666666671</v>
      </c>
      <c r="S464">
        <v>21.97</v>
      </c>
      <c r="T464">
        <v>3.43395198633397</v>
      </c>
      <c r="U464">
        <v>1.3907831054886759</v>
      </c>
      <c r="Y464">
        <f t="shared" si="64"/>
        <v>8</v>
      </c>
      <c r="Z464">
        <f t="shared" si="65"/>
        <v>5</v>
      </c>
      <c r="AA464">
        <f t="shared" si="66"/>
        <v>2024</v>
      </c>
      <c r="AC464" s="19">
        <v>45509</v>
      </c>
      <c r="AD464" s="19"/>
    </row>
    <row r="465" spans="1:30" x14ac:dyDescent="0.25">
      <c r="A465" s="25">
        <v>10464</v>
      </c>
      <c r="B465" t="s">
        <v>620</v>
      </c>
      <c r="C465" t="s">
        <v>620</v>
      </c>
      <c r="D465" s="27" t="s">
        <v>494</v>
      </c>
      <c r="E465" s="27">
        <v>4</v>
      </c>
      <c r="F465" s="118">
        <v>4980</v>
      </c>
      <c r="G465" t="s">
        <v>22</v>
      </c>
      <c r="H465" t="s">
        <v>8</v>
      </c>
      <c r="I465">
        <v>-0.49980000000000002</v>
      </c>
      <c r="J465">
        <v>1.766</v>
      </c>
      <c r="K465">
        <v>3.0000000000000001E-3</v>
      </c>
      <c r="L465" s="109">
        <v>-6.55307994757536E-3</v>
      </c>
      <c r="M465" s="140">
        <f t="shared" si="62"/>
        <v>0.05</v>
      </c>
      <c r="N465" s="140">
        <f t="shared" si="62"/>
        <v>1.766</v>
      </c>
      <c r="O465" s="140">
        <f t="shared" si="62"/>
        <v>0.05</v>
      </c>
      <c r="P465" s="140">
        <f t="shared" si="63"/>
        <v>0.05</v>
      </c>
      <c r="Q465" s="166">
        <v>9.3712366947740794E-2</v>
      </c>
      <c r="R465" s="125">
        <v>21.363333333333333</v>
      </c>
      <c r="S465">
        <v>26.193333333333332</v>
      </c>
      <c r="T465">
        <v>3.5888508768628675</v>
      </c>
      <c r="U465">
        <v>1.4319991838400328</v>
      </c>
      <c r="Y465">
        <f t="shared" si="64"/>
        <v>8</v>
      </c>
      <c r="Z465">
        <f t="shared" si="65"/>
        <v>5</v>
      </c>
      <c r="AA465">
        <f t="shared" si="66"/>
        <v>2024</v>
      </c>
      <c r="AC465" s="19">
        <v>45509</v>
      </c>
      <c r="AD465" s="19"/>
    </row>
    <row r="466" spans="1:30" x14ac:dyDescent="0.25">
      <c r="A466" s="25">
        <v>10465</v>
      </c>
      <c r="B466" t="s">
        <v>621</v>
      </c>
      <c r="C466" t="s">
        <v>621</v>
      </c>
      <c r="D466" s="27" t="s">
        <v>495</v>
      </c>
      <c r="E466" s="27">
        <v>5</v>
      </c>
      <c r="F466" s="118">
        <v>6340</v>
      </c>
      <c r="G466" t="s">
        <v>22</v>
      </c>
      <c r="H466" t="s">
        <v>8</v>
      </c>
      <c r="I466">
        <v>-0.50609999999999999</v>
      </c>
      <c r="J466">
        <v>1.673</v>
      </c>
      <c r="K466">
        <v>3.0000000000000001E-3</v>
      </c>
      <c r="L466" s="109">
        <v>-6.55307994757536E-3</v>
      </c>
      <c r="M466" s="140">
        <f t="shared" ref="M466:O481" si="67">IF(I466&lt;0.1,0.05,I466)</f>
        <v>0.05</v>
      </c>
      <c r="N466" s="140">
        <f t="shared" si="67"/>
        <v>1.673</v>
      </c>
      <c r="O466" s="140">
        <f t="shared" si="67"/>
        <v>0.05</v>
      </c>
      <c r="P466" s="140">
        <f t="shared" si="63"/>
        <v>0.05</v>
      </c>
      <c r="Q466" s="166">
        <v>0.1414688469776979</v>
      </c>
      <c r="R466" s="125">
        <v>46.716666666666669</v>
      </c>
      <c r="S466">
        <v>4.1433333333333335</v>
      </c>
      <c r="T466">
        <v>3.4537041938510757</v>
      </c>
      <c r="U466">
        <v>1.3834376657824936</v>
      </c>
      <c r="Y466">
        <f t="shared" si="64"/>
        <v>8</v>
      </c>
      <c r="Z466">
        <f t="shared" si="65"/>
        <v>5</v>
      </c>
      <c r="AA466">
        <f t="shared" si="66"/>
        <v>2024</v>
      </c>
      <c r="AC466" s="19">
        <v>45509</v>
      </c>
      <c r="AD466" s="19"/>
    </row>
    <row r="467" spans="1:30" x14ac:dyDescent="0.25">
      <c r="A467" s="25">
        <v>10466</v>
      </c>
      <c r="B467" t="s">
        <v>622</v>
      </c>
      <c r="C467" t="s">
        <v>622</v>
      </c>
      <c r="D467" s="27" t="s">
        <v>496</v>
      </c>
      <c r="E467" s="27">
        <v>6</v>
      </c>
      <c r="F467" s="118">
        <v>7900</v>
      </c>
      <c r="G467" t="s">
        <v>22</v>
      </c>
      <c r="H467" t="s">
        <v>8</v>
      </c>
      <c r="I467">
        <v>-0.50800000000000001</v>
      </c>
      <c r="J467">
        <v>1.7909999999999999</v>
      </c>
      <c r="K467">
        <v>3.0000000000000001E-3</v>
      </c>
      <c r="L467" s="109">
        <v>3.6184210526315794E-3</v>
      </c>
      <c r="M467" s="140">
        <f t="shared" si="67"/>
        <v>0.05</v>
      </c>
      <c r="N467" s="140">
        <f t="shared" si="67"/>
        <v>1.7909999999999999</v>
      </c>
      <c r="O467" s="140">
        <f t="shared" si="67"/>
        <v>0.05</v>
      </c>
      <c r="P467" s="140">
        <f t="shared" si="63"/>
        <v>0.05</v>
      </c>
      <c r="Q467" s="165">
        <v>0.15</v>
      </c>
      <c r="R467" s="125">
        <v>44.1</v>
      </c>
      <c r="S467">
        <v>1.5133333333333334</v>
      </c>
      <c r="T467">
        <v>3.5155597910757033</v>
      </c>
      <c r="U467">
        <v>1.4177163844113447</v>
      </c>
      <c r="Y467">
        <f t="shared" si="64"/>
        <v>8</v>
      </c>
      <c r="Z467">
        <f t="shared" si="65"/>
        <v>5</v>
      </c>
      <c r="AA467">
        <f t="shared" si="66"/>
        <v>2024</v>
      </c>
      <c r="AC467" s="19">
        <v>45509</v>
      </c>
      <c r="AD467" s="19"/>
    </row>
    <row r="468" spans="1:30" x14ac:dyDescent="0.25">
      <c r="A468" s="25">
        <v>10467</v>
      </c>
      <c r="B468" t="s">
        <v>623</v>
      </c>
      <c r="C468" t="s">
        <v>623</v>
      </c>
      <c r="D468" s="27" t="s">
        <v>497</v>
      </c>
      <c r="E468" s="27">
        <v>7</v>
      </c>
      <c r="F468" s="118">
        <v>10610</v>
      </c>
      <c r="G468" t="s">
        <v>22</v>
      </c>
      <c r="H468" t="s">
        <v>8</v>
      </c>
      <c r="I468">
        <v>-0.50409999999999999</v>
      </c>
      <c r="J468">
        <v>1.5940000000000001</v>
      </c>
      <c r="K468">
        <v>-1E-3</v>
      </c>
      <c r="L468" s="109">
        <v>1.5131578947368421E-2</v>
      </c>
      <c r="M468" s="140">
        <f t="shared" si="67"/>
        <v>0.05</v>
      </c>
      <c r="N468" s="140">
        <f t="shared" si="67"/>
        <v>1.5940000000000001</v>
      </c>
      <c r="O468" s="140">
        <f t="shared" si="67"/>
        <v>0.05</v>
      </c>
      <c r="P468" s="140">
        <f t="shared" si="63"/>
        <v>0.05</v>
      </c>
      <c r="Q468" s="165">
        <v>0.15</v>
      </c>
      <c r="R468" s="125">
        <v>57.353333333333332</v>
      </c>
      <c r="S468">
        <v>6.1466666666666656</v>
      </c>
      <c r="T468">
        <v>3.5311536391155252</v>
      </c>
      <c r="U468">
        <v>1.3195731483370743</v>
      </c>
      <c r="Y468">
        <f t="shared" si="64"/>
        <v>8</v>
      </c>
      <c r="Z468">
        <f t="shared" si="65"/>
        <v>5</v>
      </c>
      <c r="AA468">
        <f t="shared" si="66"/>
        <v>2024</v>
      </c>
      <c r="AC468" s="19">
        <v>45509</v>
      </c>
      <c r="AD468" s="19"/>
    </row>
    <row r="469" spans="1:30" x14ac:dyDescent="0.25">
      <c r="A469" s="25">
        <v>10468</v>
      </c>
      <c r="B469" t="s">
        <v>624</v>
      </c>
      <c r="C469" t="s">
        <v>624</v>
      </c>
      <c r="D469" s="27" t="s">
        <v>498</v>
      </c>
      <c r="E469" s="27">
        <v>8</v>
      </c>
      <c r="F469" s="118">
        <v>9370</v>
      </c>
      <c r="G469" t="s">
        <v>22</v>
      </c>
      <c r="H469" t="s">
        <v>8</v>
      </c>
      <c r="I469">
        <v>-0.50360000000000005</v>
      </c>
      <c r="J469">
        <v>1.8220000000000001</v>
      </c>
      <c r="K469">
        <v>0</v>
      </c>
      <c r="L469" s="109">
        <v>8.552631578947369E-3</v>
      </c>
      <c r="M469" s="140">
        <f t="shared" si="67"/>
        <v>0.05</v>
      </c>
      <c r="N469" s="140">
        <f t="shared" si="67"/>
        <v>1.8220000000000001</v>
      </c>
      <c r="O469" s="140">
        <f t="shared" si="67"/>
        <v>0.05</v>
      </c>
      <c r="P469" s="140">
        <f t="shared" si="63"/>
        <v>0.05</v>
      </c>
      <c r="Q469" s="166">
        <v>1.9501758935540237E-2</v>
      </c>
      <c r="R469" s="125">
        <v>63.080000000000005</v>
      </c>
      <c r="S469">
        <v>7.8733333333333322</v>
      </c>
      <c r="T469">
        <v>3.7021661726189077</v>
      </c>
      <c r="U469">
        <v>1.3748679861252806</v>
      </c>
      <c r="Y469">
        <f t="shared" si="64"/>
        <v>8</v>
      </c>
      <c r="Z469">
        <f t="shared" si="65"/>
        <v>5</v>
      </c>
      <c r="AA469">
        <f t="shared" si="66"/>
        <v>2024</v>
      </c>
      <c r="AC469" s="19">
        <v>45509</v>
      </c>
      <c r="AD469" s="19"/>
    </row>
    <row r="470" spans="1:30" x14ac:dyDescent="0.25">
      <c r="A470" s="25">
        <v>10469</v>
      </c>
      <c r="B470" t="s">
        <v>625</v>
      </c>
      <c r="C470" t="s">
        <v>625</v>
      </c>
      <c r="D470" s="27" t="s">
        <v>499</v>
      </c>
      <c r="E470" s="46">
        <v>9</v>
      </c>
      <c r="F470" s="118">
        <v>10331</v>
      </c>
      <c r="G470" t="s">
        <v>22</v>
      </c>
      <c r="H470" t="s">
        <v>8</v>
      </c>
      <c r="I470">
        <v>-0.50560000000000005</v>
      </c>
      <c r="J470">
        <v>1.7969999999999999</v>
      </c>
      <c r="K470">
        <v>3.0000000000000001E-3</v>
      </c>
      <c r="L470" s="109">
        <v>1.5131578947368421E-2</v>
      </c>
      <c r="M470" s="140">
        <f t="shared" si="67"/>
        <v>0.05</v>
      </c>
      <c r="N470" s="140">
        <f t="shared" si="67"/>
        <v>1.7969999999999999</v>
      </c>
      <c r="O470" s="140">
        <f t="shared" si="67"/>
        <v>0.05</v>
      </c>
      <c r="P470" s="140">
        <f t="shared" si="63"/>
        <v>0.05</v>
      </c>
      <c r="Q470" s="166">
        <v>5.6293224409747253E-2</v>
      </c>
      <c r="R470" s="125">
        <v>65.913333333333341</v>
      </c>
      <c r="S470">
        <v>18.533333333333335</v>
      </c>
      <c r="T470">
        <v>3.7401112028491417</v>
      </c>
      <c r="U470">
        <v>1.3224297082228116</v>
      </c>
      <c r="Y470">
        <f t="shared" si="64"/>
        <v>8</v>
      </c>
      <c r="Z470">
        <f t="shared" si="65"/>
        <v>5</v>
      </c>
      <c r="AA470">
        <f t="shared" si="66"/>
        <v>2024</v>
      </c>
      <c r="AC470" s="19">
        <v>45509</v>
      </c>
      <c r="AD470" s="19"/>
    </row>
    <row r="471" spans="1:30" x14ac:dyDescent="0.25">
      <c r="A471" s="25">
        <v>10470</v>
      </c>
      <c r="B471" t="s">
        <v>626</v>
      </c>
      <c r="C471" t="s">
        <v>626</v>
      </c>
      <c r="D471" s="27" t="s">
        <v>500</v>
      </c>
      <c r="E471" s="46">
        <v>10</v>
      </c>
      <c r="F471" s="118">
        <v>11270</v>
      </c>
      <c r="G471" t="s">
        <v>22</v>
      </c>
      <c r="H471" t="s">
        <v>8</v>
      </c>
      <c r="I471">
        <v>-0.49280000000000002</v>
      </c>
      <c r="J471">
        <v>1.7</v>
      </c>
      <c r="K471">
        <v>1E-3</v>
      </c>
      <c r="L471" s="109">
        <v>8.552631578947369E-3</v>
      </c>
      <c r="M471" s="140">
        <f t="shared" si="67"/>
        <v>0.05</v>
      </c>
      <c r="N471" s="140">
        <f t="shared" si="67"/>
        <v>1.7</v>
      </c>
      <c r="O471" s="140">
        <f t="shared" si="67"/>
        <v>0.05</v>
      </c>
      <c r="P471" s="140">
        <f t="shared" si="63"/>
        <v>0.05</v>
      </c>
      <c r="Q471" s="166">
        <v>0.27599359118572286</v>
      </c>
      <c r="R471" s="125">
        <v>69.023333333333326</v>
      </c>
      <c r="S471">
        <v>15.673333333333334</v>
      </c>
      <c r="T471">
        <v>3.6065239046413327</v>
      </c>
      <c r="U471">
        <v>1.2922317894307285</v>
      </c>
      <c r="Y471">
        <f t="shared" si="64"/>
        <v>8</v>
      </c>
      <c r="Z471">
        <f t="shared" si="65"/>
        <v>5</v>
      </c>
      <c r="AA471">
        <f t="shared" si="66"/>
        <v>2024</v>
      </c>
      <c r="AC471" s="19">
        <v>45509</v>
      </c>
      <c r="AD471" s="19"/>
    </row>
    <row r="472" spans="1:30" x14ac:dyDescent="0.25">
      <c r="A472" s="25">
        <v>10471</v>
      </c>
      <c r="B472" t="s">
        <v>627</v>
      </c>
      <c r="C472" t="s">
        <v>627</v>
      </c>
      <c r="D472" s="27" t="s">
        <v>501</v>
      </c>
      <c r="E472" s="46">
        <v>13</v>
      </c>
      <c r="F472" s="118">
        <v>5180</v>
      </c>
      <c r="G472" t="s">
        <v>22</v>
      </c>
      <c r="H472" t="s">
        <v>8</v>
      </c>
      <c r="I472">
        <v>-0.51319999999999999</v>
      </c>
      <c r="J472">
        <v>1.92</v>
      </c>
      <c r="K472">
        <v>1E-3</v>
      </c>
      <c r="L472" s="109">
        <v>3.6184210526315794E-3</v>
      </c>
      <c r="M472" s="140">
        <f t="shared" si="67"/>
        <v>0.05</v>
      </c>
      <c r="N472" s="140">
        <f t="shared" si="67"/>
        <v>1.92</v>
      </c>
      <c r="O472" s="140">
        <f t="shared" si="67"/>
        <v>0.05</v>
      </c>
      <c r="P472" s="140">
        <f t="shared" si="63"/>
        <v>0.05</v>
      </c>
      <c r="Q472" s="166">
        <v>0.17822941768395634</v>
      </c>
      <c r="R472" s="125">
        <v>28.903333333333336</v>
      </c>
      <c r="S472">
        <v>18.153333333333332</v>
      </c>
      <c r="T472">
        <v>3.7281559193519449</v>
      </c>
      <c r="U472">
        <v>1.3918033054478678</v>
      </c>
      <c r="Y472">
        <f t="shared" si="64"/>
        <v>8</v>
      </c>
      <c r="Z472">
        <f t="shared" si="65"/>
        <v>5</v>
      </c>
      <c r="AA472">
        <f t="shared" si="66"/>
        <v>2024</v>
      </c>
      <c r="AC472" s="19">
        <v>45509</v>
      </c>
      <c r="AD472" s="19"/>
    </row>
    <row r="473" spans="1:30" x14ac:dyDescent="0.25">
      <c r="A473" s="25">
        <v>10472</v>
      </c>
      <c r="B473" t="s">
        <v>628</v>
      </c>
      <c r="C473" t="s">
        <v>628</v>
      </c>
      <c r="D473" s="27" t="s">
        <v>502</v>
      </c>
      <c r="E473" s="46">
        <v>14</v>
      </c>
      <c r="F473" s="118">
        <v>1040</v>
      </c>
      <c r="G473" t="s">
        <v>22</v>
      </c>
      <c r="H473" t="s">
        <v>8</v>
      </c>
      <c r="I473">
        <v>-0.51659999999999995</v>
      </c>
      <c r="J473">
        <v>1.917</v>
      </c>
      <c r="K473">
        <v>4.0000000000000001E-3</v>
      </c>
      <c r="L473" s="109">
        <v>-8.1913499344692005E-3</v>
      </c>
      <c r="M473" s="140">
        <f t="shared" si="67"/>
        <v>0.05</v>
      </c>
      <c r="N473" s="140">
        <f t="shared" si="67"/>
        <v>1.917</v>
      </c>
      <c r="O473" s="140">
        <f t="shared" si="67"/>
        <v>0.05</v>
      </c>
      <c r="P473" s="140">
        <f t="shared" si="63"/>
        <v>0.05</v>
      </c>
      <c r="Q473" s="166">
        <v>0.22917145333723327</v>
      </c>
      <c r="R473" s="125">
        <v>22.623333333333335</v>
      </c>
      <c r="S473">
        <v>20.239999999999998</v>
      </c>
      <c r="T473">
        <v>3.3313791192275821</v>
      </c>
      <c r="U473">
        <v>1.3136559885737606</v>
      </c>
      <c r="Y473">
        <f t="shared" si="64"/>
        <v>8</v>
      </c>
      <c r="Z473">
        <f t="shared" si="65"/>
        <v>5</v>
      </c>
      <c r="AA473">
        <f t="shared" si="66"/>
        <v>2024</v>
      </c>
      <c r="AC473" s="19">
        <v>45509</v>
      </c>
      <c r="AD473" s="19"/>
    </row>
    <row r="474" spans="1:30" x14ac:dyDescent="0.25">
      <c r="A474" s="25">
        <v>10473</v>
      </c>
      <c r="B474" t="s">
        <v>632</v>
      </c>
      <c r="C474" t="s">
        <v>632</v>
      </c>
      <c r="D474" s="27" t="s">
        <v>503</v>
      </c>
      <c r="E474" s="46">
        <v>1</v>
      </c>
      <c r="F474" s="118">
        <v>6865</v>
      </c>
      <c r="G474" t="s">
        <v>20</v>
      </c>
      <c r="H474" t="s">
        <v>8</v>
      </c>
      <c r="I474">
        <v>8.3000000000000001E-3</v>
      </c>
      <c r="J474">
        <v>3.3000000000000002E-2</v>
      </c>
      <c r="K474">
        <v>0.26200000000000001</v>
      </c>
      <c r="L474" s="63">
        <v>2.6950354609929082E-2</v>
      </c>
      <c r="M474" s="140">
        <f t="shared" si="67"/>
        <v>0.05</v>
      </c>
      <c r="N474" s="140">
        <f t="shared" si="67"/>
        <v>0.05</v>
      </c>
      <c r="O474" s="140">
        <f t="shared" si="67"/>
        <v>0.26200000000000001</v>
      </c>
      <c r="P474" s="140">
        <f t="shared" si="63"/>
        <v>0.05</v>
      </c>
      <c r="Q474" s="161">
        <v>0.17222774566793209</v>
      </c>
      <c r="R474" s="125">
        <v>86.5833333333333</v>
      </c>
      <c r="S474">
        <v>10.456666666666667</v>
      </c>
      <c r="T474" s="27">
        <v>3.3955788366637005</v>
      </c>
      <c r="U474" s="27">
        <v>0.46267851734952625</v>
      </c>
      <c r="V474" s="27"/>
      <c r="Y474">
        <f t="shared" ref="Y474:Y484" si="68">MONTH(AC474)</f>
        <v>8</v>
      </c>
      <c r="Z474">
        <f t="shared" ref="Z474:Z484" si="69">DAY(AC474)</f>
        <v>14</v>
      </c>
      <c r="AA474">
        <f t="shared" ref="AA474:AA484" si="70">YEAR(AC474)</f>
        <v>2024</v>
      </c>
      <c r="AC474" s="19">
        <v>45518</v>
      </c>
      <c r="AD474" s="19"/>
    </row>
    <row r="475" spans="1:30" x14ac:dyDescent="0.25">
      <c r="A475" s="25">
        <v>10474</v>
      </c>
      <c r="B475" t="s">
        <v>633</v>
      </c>
      <c r="C475" t="s">
        <v>633</v>
      </c>
      <c r="D475" s="27" t="s">
        <v>504</v>
      </c>
      <c r="E475" s="46">
        <v>5</v>
      </c>
      <c r="F475" s="118">
        <v>6425</v>
      </c>
      <c r="G475" t="s">
        <v>20</v>
      </c>
      <c r="H475" t="s">
        <v>8</v>
      </c>
      <c r="I475">
        <v>1.6799999999999999E-2</v>
      </c>
      <c r="J475">
        <v>0.24199999999999999</v>
      </c>
      <c r="K475">
        <v>0.28199999999999997</v>
      </c>
      <c r="L475" s="63">
        <v>8.037825059101656E-3</v>
      </c>
      <c r="M475" s="140">
        <f t="shared" si="67"/>
        <v>0.05</v>
      </c>
      <c r="N475" s="140">
        <f t="shared" si="67"/>
        <v>0.24199999999999999</v>
      </c>
      <c r="O475" s="140">
        <f t="shared" si="67"/>
        <v>0.28199999999999997</v>
      </c>
      <c r="P475" s="140">
        <f t="shared" si="63"/>
        <v>0.05</v>
      </c>
      <c r="Q475" s="161">
        <v>0.19689401323955968</v>
      </c>
      <c r="R475" s="125">
        <v>61.546666666666674</v>
      </c>
      <c r="S475">
        <v>12.199999999999998</v>
      </c>
      <c r="T475" s="27">
        <v>3.2110266159695815</v>
      </c>
      <c r="U475" s="27">
        <v>0.53816721434479775</v>
      </c>
      <c r="V475" s="27"/>
      <c r="Y475">
        <f t="shared" si="68"/>
        <v>8</v>
      </c>
      <c r="Z475">
        <f t="shared" si="69"/>
        <v>14</v>
      </c>
      <c r="AA475">
        <f t="shared" si="70"/>
        <v>2024</v>
      </c>
      <c r="AC475" s="19">
        <v>45518</v>
      </c>
      <c r="AD475" s="19"/>
    </row>
    <row r="476" spans="1:30" x14ac:dyDescent="0.25">
      <c r="A476" s="25">
        <v>10475</v>
      </c>
      <c r="B476" t="s">
        <v>634</v>
      </c>
      <c r="C476" t="s">
        <v>634</v>
      </c>
      <c r="D476" s="27" t="s">
        <v>483</v>
      </c>
      <c r="E476" s="46">
        <v>6</v>
      </c>
      <c r="F476" s="118">
        <v>8245</v>
      </c>
      <c r="G476" t="s">
        <v>20</v>
      </c>
      <c r="H476" t="s">
        <v>8</v>
      </c>
      <c r="I476">
        <v>1.6E-2</v>
      </c>
      <c r="J476">
        <v>1.43</v>
      </c>
      <c r="K476">
        <v>0.30199999999999999</v>
      </c>
      <c r="L476" s="63">
        <v>6.4617809298660369E-3</v>
      </c>
      <c r="M476" s="140">
        <f t="shared" si="67"/>
        <v>0.05</v>
      </c>
      <c r="N476" s="140">
        <f t="shared" si="67"/>
        <v>1.43</v>
      </c>
      <c r="O476" s="140">
        <f t="shared" si="67"/>
        <v>0.30199999999999999</v>
      </c>
      <c r="P476" s="140">
        <f t="shared" si="63"/>
        <v>0.05</v>
      </c>
      <c r="Q476" s="161">
        <v>0.12339582928472528</v>
      </c>
      <c r="R476" s="125">
        <v>1.47</v>
      </c>
      <c r="S476">
        <v>0.66333333333333333</v>
      </c>
      <c r="T476" s="27">
        <v>2.5759647277728339</v>
      </c>
      <c r="U476" s="27">
        <v>0.77230122964448589</v>
      </c>
      <c r="V476" s="27"/>
      <c r="Y476">
        <f t="shared" si="68"/>
        <v>8</v>
      </c>
      <c r="Z476">
        <f t="shared" si="69"/>
        <v>14</v>
      </c>
      <c r="AA476">
        <f t="shared" si="70"/>
        <v>2024</v>
      </c>
      <c r="AC476" s="19">
        <v>45518</v>
      </c>
      <c r="AD476" s="19"/>
    </row>
    <row r="477" spans="1:30" x14ac:dyDescent="0.25">
      <c r="A477" s="25">
        <v>10476</v>
      </c>
      <c r="B477" t="s">
        <v>635</v>
      </c>
      <c r="C477" t="s">
        <v>635</v>
      </c>
      <c r="D477" s="27" t="s">
        <v>484</v>
      </c>
      <c r="E477" s="46">
        <v>8</v>
      </c>
      <c r="F477" s="118">
        <v>5065</v>
      </c>
      <c r="G477" t="s">
        <v>20</v>
      </c>
      <c r="H477" t="s">
        <v>8</v>
      </c>
      <c r="I477">
        <v>1.09E-2</v>
      </c>
      <c r="J477">
        <v>1.3149999999999999</v>
      </c>
      <c r="K477">
        <v>0.29399999999999998</v>
      </c>
      <c r="L477" s="63">
        <v>8.037825059101656E-3</v>
      </c>
      <c r="M477" s="140">
        <f t="shared" si="67"/>
        <v>0.05</v>
      </c>
      <c r="N477" s="140">
        <f t="shared" si="67"/>
        <v>1.3149999999999999</v>
      </c>
      <c r="O477" s="140">
        <f t="shared" si="67"/>
        <v>0.29399999999999998</v>
      </c>
      <c r="P477" s="140">
        <f t="shared" si="63"/>
        <v>0.05</v>
      </c>
      <c r="Q477" s="161">
        <v>0.1166413793181294</v>
      </c>
      <c r="R477" s="125">
        <v>20.299999999999997</v>
      </c>
      <c r="S477">
        <v>3.06</v>
      </c>
      <c r="T477" s="27">
        <v>2.6902354178464525</v>
      </c>
      <c r="U477" s="27">
        <v>0.71871320068954281</v>
      </c>
      <c r="V477" s="27"/>
      <c r="Y477">
        <f t="shared" si="68"/>
        <v>8</v>
      </c>
      <c r="Z477">
        <f t="shared" si="69"/>
        <v>14</v>
      </c>
      <c r="AA477">
        <f t="shared" si="70"/>
        <v>2024</v>
      </c>
      <c r="AC477" s="19">
        <v>45518</v>
      </c>
      <c r="AD477" s="19"/>
    </row>
    <row r="478" spans="1:30" x14ac:dyDescent="0.25">
      <c r="A478" s="25">
        <v>10477</v>
      </c>
      <c r="B478" t="s">
        <v>636</v>
      </c>
      <c r="C478" t="s">
        <v>636</v>
      </c>
      <c r="D478" s="27" t="s">
        <v>485</v>
      </c>
      <c r="E478" s="46">
        <v>9</v>
      </c>
      <c r="F478" s="118">
        <v>3385</v>
      </c>
      <c r="G478" t="s">
        <v>20</v>
      </c>
      <c r="H478" t="s">
        <v>8</v>
      </c>
      <c r="I478">
        <v>1.4800000000000001E-2</v>
      </c>
      <c r="J478">
        <v>0.88400000000000001</v>
      </c>
      <c r="K478">
        <v>0.251</v>
      </c>
      <c r="L478" s="63">
        <v>9.6138691883372752E-3</v>
      </c>
      <c r="M478" s="140">
        <f t="shared" si="67"/>
        <v>0.05</v>
      </c>
      <c r="N478" s="140">
        <f t="shared" si="67"/>
        <v>0.88400000000000001</v>
      </c>
      <c r="O478" s="140">
        <f t="shared" si="67"/>
        <v>0.251</v>
      </c>
      <c r="P478" s="140">
        <f t="shared" si="63"/>
        <v>0.05</v>
      </c>
      <c r="Q478" s="161">
        <v>0.12233010762680738</v>
      </c>
      <c r="R478" s="125">
        <v>68.373333333333335</v>
      </c>
      <c r="S478">
        <v>3.5100000000000002</v>
      </c>
      <c r="T478" s="27">
        <v>2.961754712401909</v>
      </c>
      <c r="U478" s="27">
        <v>0.83184871556617701</v>
      </c>
      <c r="V478" s="27"/>
      <c r="Y478">
        <f t="shared" si="68"/>
        <v>8</v>
      </c>
      <c r="Z478">
        <f t="shared" si="69"/>
        <v>14</v>
      </c>
      <c r="AA478">
        <f t="shared" si="70"/>
        <v>2024</v>
      </c>
      <c r="AC478" s="19">
        <v>45518</v>
      </c>
      <c r="AD478" s="19"/>
    </row>
    <row r="479" spans="1:30" x14ac:dyDescent="0.25">
      <c r="A479" s="25">
        <v>10478</v>
      </c>
      <c r="B479" t="s">
        <v>637</v>
      </c>
      <c r="C479" t="s">
        <v>637</v>
      </c>
      <c r="D479" s="27" t="s">
        <v>486</v>
      </c>
      <c r="E479" s="46">
        <v>10</v>
      </c>
      <c r="F479" s="118">
        <v>2205</v>
      </c>
      <c r="G479" t="s">
        <v>20</v>
      </c>
      <c r="H479" t="s">
        <v>8</v>
      </c>
      <c r="I479">
        <v>1.67E-2</v>
      </c>
      <c r="J479">
        <v>1.0169999999999999</v>
      </c>
      <c r="K479">
        <v>0.26700000000000002</v>
      </c>
      <c r="L479" s="63">
        <v>1.2765957446808512E-2</v>
      </c>
      <c r="M479" s="140">
        <f t="shared" si="67"/>
        <v>0.05</v>
      </c>
      <c r="N479" s="140">
        <f t="shared" si="67"/>
        <v>1.0169999999999999</v>
      </c>
      <c r="O479" s="140">
        <f t="shared" si="67"/>
        <v>0.26700000000000002</v>
      </c>
      <c r="P479" s="140">
        <f t="shared" si="63"/>
        <v>0.05</v>
      </c>
      <c r="Q479" s="161">
        <v>0.11774901030700957</v>
      </c>
      <c r="R479" s="125">
        <v>48.636666666666663</v>
      </c>
      <c r="S479">
        <v>7.8466666666666667</v>
      </c>
      <c r="T479" s="27">
        <v>2.051222932340965</v>
      </c>
      <c r="U479" s="27">
        <v>0.62710168388694143</v>
      </c>
      <c r="V479" s="27"/>
      <c r="Y479">
        <f t="shared" si="68"/>
        <v>8</v>
      </c>
      <c r="Z479">
        <f t="shared" si="69"/>
        <v>14</v>
      </c>
      <c r="AA479">
        <f t="shared" si="70"/>
        <v>2024</v>
      </c>
      <c r="AC479" s="19">
        <v>45518</v>
      </c>
      <c r="AD479" s="19"/>
    </row>
    <row r="480" spans="1:30" x14ac:dyDescent="0.25">
      <c r="A480" s="25">
        <v>10479</v>
      </c>
      <c r="B480" t="s">
        <v>638</v>
      </c>
      <c r="C480" t="s">
        <v>638</v>
      </c>
      <c r="D480" s="27" t="s">
        <v>487</v>
      </c>
      <c r="E480" s="46">
        <v>11</v>
      </c>
      <c r="F480" s="118">
        <v>1385</v>
      </c>
      <c r="G480" t="s">
        <v>20</v>
      </c>
      <c r="H480" t="s">
        <v>8</v>
      </c>
      <c r="I480">
        <v>2.2100000000000002E-2</v>
      </c>
      <c r="J480">
        <v>0.79800000000000004</v>
      </c>
      <c r="K480">
        <v>0.3</v>
      </c>
      <c r="L480" s="63">
        <v>1.4342001576044129E-2</v>
      </c>
      <c r="M480" s="140">
        <f t="shared" si="67"/>
        <v>0.05</v>
      </c>
      <c r="N480" s="140">
        <f t="shared" si="67"/>
        <v>0.79800000000000004</v>
      </c>
      <c r="O480" s="140">
        <f t="shared" si="67"/>
        <v>0.3</v>
      </c>
      <c r="P480" s="140">
        <f t="shared" si="63"/>
        <v>0.05</v>
      </c>
      <c r="Q480" s="161">
        <v>9.9389825610324806E-2</v>
      </c>
      <c r="R480" s="125">
        <v>43</v>
      </c>
      <c r="S480">
        <v>7.83</v>
      </c>
      <c r="T480" s="27">
        <v>2.7145052989240361</v>
      </c>
      <c r="U480" s="27">
        <v>0.67230207984240986</v>
      </c>
      <c r="V480" s="27"/>
      <c r="Y480">
        <f t="shared" si="68"/>
        <v>8</v>
      </c>
      <c r="Z480">
        <f t="shared" si="69"/>
        <v>14</v>
      </c>
      <c r="AA480">
        <f t="shared" si="70"/>
        <v>2024</v>
      </c>
      <c r="AC480" s="19">
        <v>45518</v>
      </c>
      <c r="AD480" s="19"/>
    </row>
    <row r="481" spans="1:30" x14ac:dyDescent="0.25">
      <c r="A481" s="25">
        <v>10480</v>
      </c>
      <c r="B481" t="s">
        <v>639</v>
      </c>
      <c r="C481" t="s">
        <v>639</v>
      </c>
      <c r="D481" s="27" t="s">
        <v>488</v>
      </c>
      <c r="E481" s="46">
        <v>12</v>
      </c>
      <c r="F481" s="118">
        <v>275</v>
      </c>
      <c r="G481" t="s">
        <v>20</v>
      </c>
      <c r="H481" t="s">
        <v>8</v>
      </c>
      <c r="I481">
        <v>1.2999999999999999E-2</v>
      </c>
      <c r="J481">
        <v>1.0469999999999999</v>
      </c>
      <c r="K481">
        <v>0.27600000000000002</v>
      </c>
      <c r="L481" s="63">
        <v>8.037825059101656E-3</v>
      </c>
      <c r="M481" s="140">
        <f t="shared" si="67"/>
        <v>0.05</v>
      </c>
      <c r="N481" s="140">
        <f t="shared" si="67"/>
        <v>1.0469999999999999</v>
      </c>
      <c r="O481" s="140">
        <f t="shared" si="67"/>
        <v>0.27600000000000002</v>
      </c>
      <c r="P481" s="140">
        <f t="shared" si="63"/>
        <v>0.05</v>
      </c>
      <c r="Q481" s="161">
        <v>7.0473545801244611E-2</v>
      </c>
      <c r="R481" s="125">
        <v>38.050000000000004</v>
      </c>
      <c r="S481">
        <v>7.4766666666666666</v>
      </c>
      <c r="T481" s="27">
        <v>3.4092306447698411</v>
      </c>
      <c r="U481" s="27">
        <v>0.9153887330910162</v>
      </c>
      <c r="V481" s="27"/>
      <c r="Y481">
        <f t="shared" si="68"/>
        <v>8</v>
      </c>
      <c r="Z481">
        <f t="shared" si="69"/>
        <v>14</v>
      </c>
      <c r="AA481">
        <f t="shared" si="70"/>
        <v>2024</v>
      </c>
      <c r="AC481" s="19">
        <v>45518</v>
      </c>
      <c r="AD481" s="19"/>
    </row>
    <row r="482" spans="1:30" x14ac:dyDescent="0.25">
      <c r="A482" s="25">
        <v>10481</v>
      </c>
      <c r="B482" t="s">
        <v>640</v>
      </c>
      <c r="C482" t="s">
        <v>640</v>
      </c>
      <c r="D482" s="27" t="s">
        <v>489</v>
      </c>
      <c r="E482" s="46">
        <v>14</v>
      </c>
      <c r="F482" s="118">
        <v>4225</v>
      </c>
      <c r="G482" t="s">
        <v>20</v>
      </c>
      <c r="H482" t="s">
        <v>8</v>
      </c>
      <c r="I482">
        <v>8.2000000000000007E-3</v>
      </c>
      <c r="J482">
        <v>1.2090000000000001</v>
      </c>
      <c r="K482">
        <v>0.311</v>
      </c>
      <c r="L482" s="63">
        <v>1.1189913317572893E-2</v>
      </c>
      <c r="M482" s="140">
        <f t="shared" ref="M482:O497" si="71">IF(I482&lt;0.1,0.05,I482)</f>
        <v>0.05</v>
      </c>
      <c r="N482" s="140">
        <f t="shared" si="71"/>
        <v>1.2090000000000001</v>
      </c>
      <c r="O482" s="140">
        <f t="shared" si="71"/>
        <v>0.311</v>
      </c>
      <c r="P482" s="140">
        <f t="shared" si="63"/>
        <v>0.05</v>
      </c>
      <c r="Q482" s="165">
        <v>0.15</v>
      </c>
      <c r="R482" s="125">
        <v>37.333333333333336</v>
      </c>
      <c r="S482">
        <v>4.54</v>
      </c>
      <c r="T482" s="27">
        <v>2.8999002238222364</v>
      </c>
      <c r="U482" s="27">
        <v>0.96502845364925405</v>
      </c>
      <c r="V482" s="27"/>
      <c r="Y482">
        <f t="shared" si="68"/>
        <v>8</v>
      </c>
      <c r="Z482">
        <f t="shared" si="69"/>
        <v>14</v>
      </c>
      <c r="AA482">
        <f t="shared" si="70"/>
        <v>2024</v>
      </c>
      <c r="AC482" s="19">
        <v>45518</v>
      </c>
      <c r="AD482" s="19"/>
    </row>
    <row r="483" spans="1:30" x14ac:dyDescent="0.25">
      <c r="A483" s="25">
        <v>10482</v>
      </c>
      <c r="B483" t="s">
        <v>641</v>
      </c>
      <c r="C483" t="s">
        <v>641</v>
      </c>
      <c r="D483" s="27">
        <v>4115</v>
      </c>
      <c r="E483" s="46">
        <v>15</v>
      </c>
      <c r="F483" s="118">
        <v>2905</v>
      </c>
      <c r="G483" t="s">
        <v>20</v>
      </c>
      <c r="H483" t="s">
        <v>8</v>
      </c>
      <c r="I483">
        <v>1.7299999999999999E-2</v>
      </c>
      <c r="J483">
        <v>1.0029999999999999</v>
      </c>
      <c r="K483">
        <v>0.29299999999999998</v>
      </c>
      <c r="L483" s="63">
        <v>1.7494089834515367E-2</v>
      </c>
      <c r="M483" s="140">
        <f t="shared" si="71"/>
        <v>0.05</v>
      </c>
      <c r="N483" s="140">
        <f t="shared" si="71"/>
        <v>1.0029999999999999</v>
      </c>
      <c r="O483" s="140">
        <f t="shared" si="71"/>
        <v>0.29299999999999998</v>
      </c>
      <c r="P483" s="140">
        <f t="shared" si="63"/>
        <v>0.05</v>
      </c>
      <c r="Q483" s="161">
        <v>0.16389833669166579</v>
      </c>
      <c r="R483" s="125">
        <v>69.086666666666659</v>
      </c>
      <c r="S483">
        <v>8.1766666666666676</v>
      </c>
      <c r="T483" s="27">
        <v>3.3188927540921718</v>
      </c>
      <c r="U483" s="27">
        <v>0.88996351036606525</v>
      </c>
      <c r="V483" s="27"/>
      <c r="Y483">
        <f t="shared" si="68"/>
        <v>8</v>
      </c>
      <c r="Z483">
        <f t="shared" si="69"/>
        <v>14</v>
      </c>
      <c r="AA483">
        <f t="shared" si="70"/>
        <v>2024</v>
      </c>
      <c r="AC483" s="19">
        <v>45518</v>
      </c>
      <c r="AD483" s="19"/>
    </row>
    <row r="484" spans="1:30" x14ac:dyDescent="0.25">
      <c r="A484" s="25">
        <v>10483</v>
      </c>
      <c r="B484" t="s">
        <v>672</v>
      </c>
      <c r="C484" t="s">
        <v>672</v>
      </c>
      <c r="D484" s="27" t="s">
        <v>462</v>
      </c>
      <c r="E484" s="46">
        <v>1</v>
      </c>
      <c r="F484" s="118">
        <v>5999</v>
      </c>
      <c r="G484" t="s">
        <v>19</v>
      </c>
      <c r="H484" t="s">
        <v>8</v>
      </c>
      <c r="I484">
        <v>3.3999999999999998E-3</v>
      </c>
      <c r="J484">
        <v>8.3000000000000004E-2</v>
      </c>
      <c r="K484">
        <v>4.3999999999999997E-2</v>
      </c>
      <c r="M484" s="140">
        <f t="shared" si="71"/>
        <v>0.05</v>
      </c>
      <c r="N484" s="140">
        <f t="shared" si="71"/>
        <v>0.05</v>
      </c>
      <c r="O484" s="140">
        <f t="shared" si="71"/>
        <v>0.05</v>
      </c>
      <c r="P484" s="140">
        <f t="shared" si="63"/>
        <v>0.05</v>
      </c>
      <c r="Q484" s="161">
        <v>0.3584226784785568</v>
      </c>
      <c r="R484" s="125">
        <v>34.326666666666668</v>
      </c>
      <c r="S484">
        <v>21.113333333333333</v>
      </c>
      <c r="T484">
        <v>2.3569368817169205</v>
      </c>
      <c r="U484">
        <v>0.38243786982248518</v>
      </c>
      <c r="Y484">
        <f t="shared" si="68"/>
        <v>9</v>
      </c>
      <c r="Z484">
        <f t="shared" si="69"/>
        <v>12</v>
      </c>
      <c r="AA484">
        <f t="shared" si="70"/>
        <v>2024</v>
      </c>
      <c r="AC484" s="19">
        <v>45547</v>
      </c>
      <c r="AD484" s="19"/>
    </row>
    <row r="485" spans="1:30" x14ac:dyDescent="0.25">
      <c r="A485" s="25">
        <v>10484</v>
      </c>
      <c r="B485" s="28" t="s">
        <v>674</v>
      </c>
      <c r="C485" s="23" t="s">
        <v>674</v>
      </c>
      <c r="D485" s="56" t="s">
        <v>463</v>
      </c>
      <c r="E485" s="70">
        <v>2</v>
      </c>
      <c r="F485" s="118">
        <v>8861</v>
      </c>
      <c r="G485" s="23" t="s">
        <v>19</v>
      </c>
      <c r="H485" s="23" t="s">
        <v>8</v>
      </c>
      <c r="I485">
        <v>-5.7999999999999996E-3</v>
      </c>
      <c r="J485">
        <v>5.5E-2</v>
      </c>
      <c r="K485">
        <v>-3.2000000000000001E-2</v>
      </c>
      <c r="M485" s="140">
        <f t="shared" si="71"/>
        <v>0.05</v>
      </c>
      <c r="N485" s="140">
        <f t="shared" si="71"/>
        <v>0.05</v>
      </c>
      <c r="O485" s="140">
        <f t="shared" si="71"/>
        <v>0.05</v>
      </c>
      <c r="P485" s="140">
        <f t="shared" si="63"/>
        <v>0.05</v>
      </c>
      <c r="Q485" s="161">
        <v>0.42306217627462239</v>
      </c>
      <c r="R485" s="125">
        <v>32.99</v>
      </c>
      <c r="S485">
        <v>13.160000000000002</v>
      </c>
      <c r="T485">
        <v>2.5305483898936068</v>
      </c>
      <c r="U485">
        <v>0.28957926953682928</v>
      </c>
      <c r="Y485">
        <f t="shared" ref="Y485:Y497" si="72">MONTH(AC485)</f>
        <v>9</v>
      </c>
      <c r="Z485">
        <f t="shared" ref="Z485:Z497" si="73">DAY(AC485)</f>
        <v>12</v>
      </c>
      <c r="AA485">
        <f t="shared" ref="AA485:AA497" si="74">YEAR(AC485)</f>
        <v>2024</v>
      </c>
      <c r="AC485" s="19">
        <v>45547</v>
      </c>
      <c r="AD485" s="19"/>
    </row>
    <row r="486" spans="1:30" x14ac:dyDescent="0.25">
      <c r="A486" s="25">
        <v>10485</v>
      </c>
      <c r="B486" t="s">
        <v>662</v>
      </c>
      <c r="C486" t="s">
        <v>662</v>
      </c>
      <c r="D486" s="27" t="s">
        <v>464</v>
      </c>
      <c r="E486" s="46">
        <v>3</v>
      </c>
      <c r="F486" s="118">
        <v>9921</v>
      </c>
      <c r="G486" t="s">
        <v>19</v>
      </c>
      <c r="H486" t="s">
        <v>8</v>
      </c>
      <c r="I486">
        <v>-4.0000000000000001E-3</v>
      </c>
      <c r="J486">
        <v>7.2999999999999995E-2</v>
      </c>
      <c r="K486">
        <v>0.04</v>
      </c>
      <c r="M486" s="140">
        <f t="shared" si="71"/>
        <v>0.05</v>
      </c>
      <c r="N486" s="140">
        <f t="shared" si="71"/>
        <v>0.05</v>
      </c>
      <c r="O486" s="140">
        <f t="shared" si="71"/>
        <v>0.05</v>
      </c>
      <c r="P486" s="140">
        <f t="shared" si="63"/>
        <v>0.05</v>
      </c>
      <c r="Q486" s="161">
        <v>0.38920281579978688</v>
      </c>
      <c r="R486" s="125">
        <v>10.976666666666667</v>
      </c>
      <c r="S486">
        <v>0.97666666666666668</v>
      </c>
      <c r="T486">
        <v>2.5113159773111602</v>
      </c>
      <c r="U486">
        <v>0.36282962660681495</v>
      </c>
      <c r="Y486">
        <f t="shared" si="72"/>
        <v>9</v>
      </c>
      <c r="Z486">
        <f t="shared" si="73"/>
        <v>12</v>
      </c>
      <c r="AA486">
        <f t="shared" si="74"/>
        <v>2024</v>
      </c>
      <c r="AC486" s="19">
        <v>45547</v>
      </c>
      <c r="AD486" s="19"/>
    </row>
    <row r="487" spans="1:30" x14ac:dyDescent="0.25">
      <c r="A487" s="25">
        <v>10486</v>
      </c>
      <c r="B487" t="s">
        <v>669</v>
      </c>
      <c r="C487" t="s">
        <v>669</v>
      </c>
      <c r="D487" s="27" t="s">
        <v>465</v>
      </c>
      <c r="E487" s="46">
        <v>4</v>
      </c>
      <c r="F487" s="118">
        <v>10891</v>
      </c>
      <c r="G487" t="s">
        <v>19</v>
      </c>
      <c r="H487" t="s">
        <v>8</v>
      </c>
      <c r="I487">
        <v>-3.2000000000000002E-3</v>
      </c>
      <c r="J487">
        <v>6.3E-2</v>
      </c>
      <c r="K487">
        <v>0.04</v>
      </c>
      <c r="M487" s="140">
        <f t="shared" si="71"/>
        <v>0.05</v>
      </c>
      <c r="N487" s="140">
        <f t="shared" si="71"/>
        <v>0.05</v>
      </c>
      <c r="O487" s="140">
        <f t="shared" si="71"/>
        <v>0.05</v>
      </c>
      <c r="P487" s="140">
        <f t="shared" si="63"/>
        <v>0.05</v>
      </c>
      <c r="Q487" s="161">
        <v>0.41280759413621682</v>
      </c>
      <c r="R487" s="125">
        <v>16.91</v>
      </c>
      <c r="S487">
        <v>22.753333333333334</v>
      </c>
      <c r="T487">
        <v>2.5695330099931617</v>
      </c>
      <c r="U487">
        <v>0.38025464190981439</v>
      </c>
      <c r="Y487">
        <f t="shared" si="72"/>
        <v>9</v>
      </c>
      <c r="Z487">
        <f t="shared" si="73"/>
        <v>12</v>
      </c>
      <c r="AA487">
        <f t="shared" si="74"/>
        <v>2024</v>
      </c>
      <c r="AC487" s="19">
        <v>45547</v>
      </c>
      <c r="AD487" s="19"/>
    </row>
    <row r="488" spans="1:30" x14ac:dyDescent="0.25">
      <c r="A488" s="25">
        <v>10487</v>
      </c>
      <c r="B488" t="s">
        <v>666</v>
      </c>
      <c r="C488" t="s">
        <v>666</v>
      </c>
      <c r="D488" s="27" t="s">
        <v>466</v>
      </c>
      <c r="E488" s="46">
        <v>5</v>
      </c>
      <c r="F488" s="118">
        <v>12821</v>
      </c>
      <c r="G488" t="s">
        <v>19</v>
      </c>
      <c r="H488" t="s">
        <v>8</v>
      </c>
      <c r="I488">
        <v>-1.17E-2</v>
      </c>
      <c r="J488">
        <v>7.3999999999999996E-2</v>
      </c>
      <c r="K488">
        <v>6.2E-2</v>
      </c>
      <c r="M488" s="140">
        <f t="shared" si="71"/>
        <v>0.05</v>
      </c>
      <c r="N488" s="140">
        <f t="shared" si="71"/>
        <v>0.05</v>
      </c>
      <c r="O488" s="140">
        <f t="shared" si="71"/>
        <v>0.05</v>
      </c>
      <c r="P488" s="140">
        <f t="shared" si="63"/>
        <v>0.05</v>
      </c>
      <c r="Q488" s="161">
        <v>0.29435794096450085</v>
      </c>
      <c r="R488" s="125">
        <v>16.239999999999998</v>
      </c>
      <c r="S488">
        <v>1.3566666666666667</v>
      </c>
      <c r="T488">
        <v>2.5144347469191235</v>
      </c>
      <c r="U488">
        <v>0.38294796980208123</v>
      </c>
      <c r="Y488">
        <f t="shared" si="72"/>
        <v>9</v>
      </c>
      <c r="Z488">
        <f t="shared" si="73"/>
        <v>12</v>
      </c>
      <c r="AA488">
        <f t="shared" si="74"/>
        <v>2024</v>
      </c>
      <c r="AC488" s="19">
        <v>45547</v>
      </c>
      <c r="AD488" s="19"/>
    </row>
    <row r="489" spans="1:30" x14ac:dyDescent="0.25">
      <c r="A489" s="25">
        <v>10488</v>
      </c>
      <c r="B489" t="s">
        <v>668</v>
      </c>
      <c r="C489" t="s">
        <v>668</v>
      </c>
      <c r="D489" s="27" t="s">
        <v>467</v>
      </c>
      <c r="E489" s="46">
        <v>6</v>
      </c>
      <c r="F489" s="118">
        <v>14351</v>
      </c>
      <c r="G489" t="s">
        <v>19</v>
      </c>
      <c r="H489" t="s">
        <v>8</v>
      </c>
      <c r="I489">
        <v>-8.6999999999999994E-3</v>
      </c>
      <c r="J489">
        <v>6.7000000000000004E-2</v>
      </c>
      <c r="K489">
        <v>5.1999999999999998E-2</v>
      </c>
      <c r="M489" s="140">
        <f t="shared" si="71"/>
        <v>0.05</v>
      </c>
      <c r="N489" s="140">
        <f t="shared" si="71"/>
        <v>0.05</v>
      </c>
      <c r="O489" s="140">
        <f t="shared" si="71"/>
        <v>0.05</v>
      </c>
      <c r="P489" s="140">
        <f t="shared" si="63"/>
        <v>0.05</v>
      </c>
      <c r="Q489" s="161">
        <v>0.35390388181158788</v>
      </c>
      <c r="R489" s="125">
        <v>7.3766666666666678</v>
      </c>
      <c r="S489">
        <v>2.2033333333333331</v>
      </c>
      <c r="T489">
        <v>2.4946825394020156</v>
      </c>
      <c r="U489">
        <v>0.36348255458069784</v>
      </c>
      <c r="Y489">
        <f t="shared" si="72"/>
        <v>9</v>
      </c>
      <c r="Z489">
        <f t="shared" si="73"/>
        <v>12</v>
      </c>
      <c r="AA489">
        <f t="shared" si="74"/>
        <v>2024</v>
      </c>
      <c r="AC489" s="19">
        <v>45547</v>
      </c>
      <c r="AD489" s="19"/>
    </row>
    <row r="490" spans="1:30" x14ac:dyDescent="0.25">
      <c r="A490" s="25">
        <v>10489</v>
      </c>
      <c r="B490" t="s">
        <v>665</v>
      </c>
      <c r="C490" t="s">
        <v>665</v>
      </c>
      <c r="D490" s="27" t="s">
        <v>468</v>
      </c>
      <c r="E490" s="46">
        <v>7</v>
      </c>
      <c r="F490" s="118">
        <v>6411</v>
      </c>
      <c r="G490" t="s">
        <v>19</v>
      </c>
      <c r="H490" t="s">
        <v>8</v>
      </c>
      <c r="I490">
        <v>0.30199999999999999</v>
      </c>
      <c r="J490">
        <v>0.10100000000000001</v>
      </c>
      <c r="K490">
        <v>0.108</v>
      </c>
      <c r="M490" s="140">
        <f t="shared" si="71"/>
        <v>0.30199999999999999</v>
      </c>
      <c r="N490" s="140">
        <f t="shared" si="71"/>
        <v>0.10100000000000001</v>
      </c>
      <c r="O490" s="140">
        <f t="shared" si="71"/>
        <v>0.108</v>
      </c>
      <c r="P490" s="140">
        <f t="shared" si="63"/>
        <v>0.05</v>
      </c>
      <c r="Q490" s="161">
        <v>0.3582605412040839</v>
      </c>
      <c r="R490" s="125">
        <v>26.813333333333333</v>
      </c>
      <c r="S490">
        <v>3.7933333333333334</v>
      </c>
      <c r="T490">
        <v>2.7530206219284019</v>
      </c>
      <c r="U490">
        <v>0.66011589471536425</v>
      </c>
      <c r="Y490">
        <f t="shared" si="72"/>
        <v>9</v>
      </c>
      <c r="Z490">
        <f t="shared" si="73"/>
        <v>12</v>
      </c>
      <c r="AA490">
        <f t="shared" si="74"/>
        <v>2024</v>
      </c>
      <c r="AC490" s="19">
        <v>45547</v>
      </c>
      <c r="AD490" s="19"/>
    </row>
    <row r="491" spans="1:30" x14ac:dyDescent="0.25">
      <c r="A491" s="25">
        <v>10490</v>
      </c>
      <c r="B491" t="s">
        <v>670</v>
      </c>
      <c r="C491" t="s">
        <v>670</v>
      </c>
      <c r="D491" s="27" t="s">
        <v>469</v>
      </c>
      <c r="E491" s="46">
        <v>8</v>
      </c>
      <c r="F491" s="118">
        <v>5401</v>
      </c>
      <c r="G491" t="s">
        <v>19</v>
      </c>
      <c r="H491" t="s">
        <v>8</v>
      </c>
      <c r="I491">
        <v>6.7999999999999996E-3</v>
      </c>
      <c r="J491">
        <v>7.8E-2</v>
      </c>
      <c r="K491">
        <v>7.0000000000000007E-2</v>
      </c>
      <c r="M491" s="140">
        <f t="shared" si="71"/>
        <v>0.05</v>
      </c>
      <c r="N491" s="140">
        <f t="shared" si="71"/>
        <v>0.05</v>
      </c>
      <c r="O491" s="140">
        <f t="shared" si="71"/>
        <v>0.05</v>
      </c>
      <c r="P491" s="140">
        <f t="shared" si="63"/>
        <v>0.05</v>
      </c>
      <c r="Q491" s="161">
        <v>0.4191289565477625</v>
      </c>
      <c r="R491" s="125">
        <v>36.923333333333332</v>
      </c>
      <c r="S491">
        <v>6.6333333333333329</v>
      </c>
      <c r="T491">
        <v>2.5799289086863766</v>
      </c>
      <c r="U491">
        <v>0.30080146908794125</v>
      </c>
      <c r="Y491">
        <f t="shared" si="72"/>
        <v>9</v>
      </c>
      <c r="Z491">
        <f t="shared" si="73"/>
        <v>12</v>
      </c>
      <c r="AA491">
        <f t="shared" si="74"/>
        <v>2024</v>
      </c>
      <c r="AC491" s="19">
        <v>45547</v>
      </c>
      <c r="AD491" s="19"/>
    </row>
    <row r="492" spans="1:30" x14ac:dyDescent="0.25">
      <c r="A492" s="25">
        <v>10491</v>
      </c>
      <c r="B492" t="s">
        <v>663</v>
      </c>
      <c r="C492" t="s">
        <v>663</v>
      </c>
      <c r="D492" s="27" t="s">
        <v>470</v>
      </c>
      <c r="E492" s="46">
        <v>9</v>
      </c>
      <c r="F492" s="118">
        <v>4381</v>
      </c>
      <c r="G492" t="s">
        <v>19</v>
      </c>
      <c r="H492" t="s">
        <v>8</v>
      </c>
      <c r="I492">
        <v>-7.6E-3</v>
      </c>
      <c r="J492">
        <v>7.0999999999999994E-2</v>
      </c>
      <c r="K492">
        <v>4.2000000000000003E-2</v>
      </c>
      <c r="M492" s="140">
        <f t="shared" si="71"/>
        <v>0.05</v>
      </c>
      <c r="N492" s="140">
        <f t="shared" si="71"/>
        <v>0.05</v>
      </c>
      <c r="O492" s="140">
        <f t="shared" si="71"/>
        <v>0.05</v>
      </c>
      <c r="P492" s="140">
        <f t="shared" si="63"/>
        <v>0.05</v>
      </c>
      <c r="Q492" s="161">
        <v>0.44788959654047</v>
      </c>
      <c r="R492" s="125">
        <v>34.120000000000005</v>
      </c>
      <c r="S492">
        <v>20.063333333333333</v>
      </c>
      <c r="T492">
        <v>2.4650542281263537</v>
      </c>
      <c r="U492">
        <v>0.29685669591239883</v>
      </c>
      <c r="Y492">
        <f t="shared" si="72"/>
        <v>9</v>
      </c>
      <c r="Z492">
        <f t="shared" si="73"/>
        <v>12</v>
      </c>
      <c r="AA492">
        <f t="shared" si="74"/>
        <v>2024</v>
      </c>
      <c r="AC492" s="19">
        <v>45547</v>
      </c>
      <c r="AD492" s="19"/>
    </row>
    <row r="493" spans="1:30" x14ac:dyDescent="0.25">
      <c r="A493" s="25">
        <v>10492</v>
      </c>
      <c r="B493" t="s">
        <v>667</v>
      </c>
      <c r="C493" t="s">
        <v>667</v>
      </c>
      <c r="D493" s="27" t="s">
        <v>471</v>
      </c>
      <c r="E493" s="46">
        <v>10</v>
      </c>
      <c r="F493" s="118">
        <v>2851</v>
      </c>
      <c r="G493" t="s">
        <v>19</v>
      </c>
      <c r="H493" t="s">
        <v>8</v>
      </c>
      <c r="I493">
        <v>-5.3E-3</v>
      </c>
      <c r="J493">
        <v>6.4000000000000001E-2</v>
      </c>
      <c r="K493">
        <v>4.1000000000000002E-2</v>
      </c>
      <c r="M493" s="140">
        <f t="shared" si="71"/>
        <v>0.05</v>
      </c>
      <c r="N493" s="140">
        <f t="shared" si="71"/>
        <v>0.05</v>
      </c>
      <c r="O493" s="140">
        <f t="shared" si="71"/>
        <v>0.05</v>
      </c>
      <c r="P493" s="140">
        <f t="shared" si="63"/>
        <v>0.05</v>
      </c>
      <c r="Q493" s="161">
        <v>0.36853153225184276</v>
      </c>
      <c r="R493" s="125">
        <v>26.900000000000002</v>
      </c>
      <c r="S493">
        <v>3.9866666666666668</v>
      </c>
      <c r="T493">
        <v>2.3169126717480433</v>
      </c>
      <c r="U493">
        <v>0.28222022716452427</v>
      </c>
      <c r="Y493">
        <f t="shared" si="72"/>
        <v>9</v>
      </c>
      <c r="Z493">
        <f t="shared" si="73"/>
        <v>12</v>
      </c>
      <c r="AA493">
        <f t="shared" si="74"/>
        <v>2024</v>
      </c>
      <c r="AC493" s="19">
        <v>45547</v>
      </c>
      <c r="AD493" s="19"/>
    </row>
    <row r="494" spans="1:30" x14ac:dyDescent="0.25">
      <c r="A494" s="25">
        <v>10493</v>
      </c>
      <c r="B494" t="s">
        <v>661</v>
      </c>
      <c r="C494" t="s">
        <v>661</v>
      </c>
      <c r="D494" s="27" t="s">
        <v>472</v>
      </c>
      <c r="E494" s="46">
        <v>11</v>
      </c>
      <c r="F494" s="118">
        <v>1731</v>
      </c>
      <c r="G494" t="s">
        <v>19</v>
      </c>
      <c r="H494" t="s">
        <v>8</v>
      </c>
      <c r="I494">
        <v>-1.6000000000000001E-3</v>
      </c>
      <c r="J494">
        <v>7.2999999999999995E-2</v>
      </c>
      <c r="K494">
        <v>4.4999999999999998E-2</v>
      </c>
      <c r="M494" s="140">
        <f t="shared" si="71"/>
        <v>0.05</v>
      </c>
      <c r="N494" s="140">
        <f t="shared" si="71"/>
        <v>0.05</v>
      </c>
      <c r="O494" s="140">
        <f t="shared" si="71"/>
        <v>0.05</v>
      </c>
      <c r="P494" s="140">
        <f t="shared" si="63"/>
        <v>0.05</v>
      </c>
      <c r="Q494" s="161">
        <v>0.38725942788022782</v>
      </c>
      <c r="R494" s="125">
        <v>20.326666666666664</v>
      </c>
      <c r="S494">
        <v>1.2433333333333334</v>
      </c>
      <c r="T494">
        <v>2.4073569903790117</v>
      </c>
      <c r="U494">
        <v>0.35607590287696389</v>
      </c>
      <c r="Y494">
        <f t="shared" si="72"/>
        <v>9</v>
      </c>
      <c r="Z494">
        <f t="shared" si="73"/>
        <v>12</v>
      </c>
      <c r="AA494">
        <f t="shared" si="74"/>
        <v>2024</v>
      </c>
      <c r="AC494" s="19">
        <v>45547</v>
      </c>
      <c r="AD494" s="19"/>
    </row>
    <row r="495" spans="1:30" x14ac:dyDescent="0.25">
      <c r="A495" s="25">
        <v>10494</v>
      </c>
      <c r="B495" t="s">
        <v>671</v>
      </c>
      <c r="C495" t="s">
        <v>671</v>
      </c>
      <c r="D495" s="27" t="s">
        <v>473</v>
      </c>
      <c r="E495" s="46">
        <v>12</v>
      </c>
      <c r="F495" s="118">
        <v>661</v>
      </c>
      <c r="G495" t="s">
        <v>19</v>
      </c>
      <c r="H495" t="s">
        <v>8</v>
      </c>
      <c r="I495">
        <v>4.3E-3</v>
      </c>
      <c r="J495">
        <v>0.14399999999999999</v>
      </c>
      <c r="K495">
        <v>6.3E-2</v>
      </c>
      <c r="M495" s="140">
        <f t="shared" si="71"/>
        <v>0.05</v>
      </c>
      <c r="N495" s="140">
        <f t="shared" si="71"/>
        <v>0.14399999999999999</v>
      </c>
      <c r="O495" s="140">
        <f t="shared" si="71"/>
        <v>0.05</v>
      </c>
      <c r="P495" s="140">
        <f t="shared" si="63"/>
        <v>0.05</v>
      </c>
      <c r="Q495" s="161">
        <v>0.26707086336659086</v>
      </c>
      <c r="R495" s="125">
        <v>18.626666666666669</v>
      </c>
      <c r="S495">
        <v>1.41</v>
      </c>
      <c r="T495">
        <v>2.4536187395638178</v>
      </c>
      <c r="U495">
        <v>0.36397225056111004</v>
      </c>
      <c r="Y495">
        <f t="shared" si="72"/>
        <v>9</v>
      </c>
      <c r="Z495">
        <f t="shared" si="73"/>
        <v>12</v>
      </c>
      <c r="AA495">
        <f t="shared" si="74"/>
        <v>2024</v>
      </c>
      <c r="AC495" s="19">
        <v>45547</v>
      </c>
      <c r="AD495" s="19"/>
    </row>
    <row r="496" spans="1:30" x14ac:dyDescent="0.25">
      <c r="A496" s="47">
        <v>10495</v>
      </c>
      <c r="B496" s="51" t="s">
        <v>664</v>
      </c>
      <c r="C496" s="51" t="s">
        <v>664</v>
      </c>
      <c r="D496" s="132" t="s">
        <v>474</v>
      </c>
      <c r="E496" s="133">
        <v>13</v>
      </c>
      <c r="F496" s="118">
        <v>13553</v>
      </c>
      <c r="G496" s="51" t="s">
        <v>19</v>
      </c>
      <c r="H496" s="51" t="s">
        <v>8</v>
      </c>
      <c r="I496" s="51">
        <v>-3.8E-3</v>
      </c>
      <c r="J496" s="51">
        <v>7.0000000000000007E-2</v>
      </c>
      <c r="K496" s="51">
        <v>4.1000000000000002E-2</v>
      </c>
      <c r="L496" s="51"/>
      <c r="M496" s="141">
        <f t="shared" si="71"/>
        <v>0.05</v>
      </c>
      <c r="N496" s="141">
        <f t="shared" si="71"/>
        <v>0.05</v>
      </c>
      <c r="O496" s="141">
        <f t="shared" si="71"/>
        <v>0.05</v>
      </c>
      <c r="P496" s="141">
        <f t="shared" si="63"/>
        <v>0.05</v>
      </c>
      <c r="Q496" s="164">
        <v>0.33612507180850809</v>
      </c>
      <c r="R496" s="130">
        <v>22.26</v>
      </c>
      <c r="S496" s="51">
        <v>6.12</v>
      </c>
      <c r="T496" s="51">
        <v>2.5201524912003901</v>
      </c>
      <c r="U496" s="51">
        <v>0.37522165544446712</v>
      </c>
      <c r="V496" s="51"/>
      <c r="W496" s="51"/>
      <c r="X496" s="51"/>
      <c r="Y496" s="51">
        <f t="shared" si="72"/>
        <v>9</v>
      </c>
      <c r="Z496" s="51">
        <f t="shared" si="73"/>
        <v>12</v>
      </c>
      <c r="AA496" s="51">
        <f t="shared" si="74"/>
        <v>2024</v>
      </c>
      <c r="AB496" s="51"/>
      <c r="AC496" s="52">
        <v>45547</v>
      </c>
      <c r="AD496" s="189"/>
    </row>
    <row r="497" spans="1:33" x14ac:dyDescent="0.25">
      <c r="A497" s="25">
        <v>10496</v>
      </c>
      <c r="B497" s="131" t="s">
        <v>685</v>
      </c>
      <c r="C497" s="131" t="s">
        <v>685</v>
      </c>
      <c r="D497" s="27" t="s">
        <v>462</v>
      </c>
      <c r="E497" s="46">
        <v>1</v>
      </c>
      <c r="F497" s="118">
        <v>5999</v>
      </c>
      <c r="G497" t="s">
        <v>19</v>
      </c>
      <c r="H497" s="118" t="s">
        <v>8</v>
      </c>
      <c r="I497">
        <v>1.24E-2</v>
      </c>
      <c r="J497">
        <v>3.266</v>
      </c>
      <c r="K497">
        <v>2.9000000000000001E-2</v>
      </c>
      <c r="L497" s="63">
        <v>0.105</v>
      </c>
      <c r="M497" s="140">
        <f t="shared" si="71"/>
        <v>0.05</v>
      </c>
      <c r="N497" s="140">
        <f t="shared" si="71"/>
        <v>3.266</v>
      </c>
      <c r="O497" s="140">
        <f t="shared" si="71"/>
        <v>0.05</v>
      </c>
      <c r="P497" s="140">
        <f t="shared" si="63"/>
        <v>0.105</v>
      </c>
      <c r="Q497" s="161" t="s">
        <v>676</v>
      </c>
      <c r="R497" s="125">
        <v>11.033333333333333</v>
      </c>
      <c r="S497" s="125">
        <v>1.1299999999999999</v>
      </c>
      <c r="V497" s="161" t="s">
        <v>676</v>
      </c>
      <c r="Y497" s="140">
        <f t="shared" si="72"/>
        <v>5</v>
      </c>
      <c r="Z497" s="140">
        <f t="shared" si="73"/>
        <v>10</v>
      </c>
      <c r="AA497" s="140">
        <f t="shared" si="74"/>
        <v>2025</v>
      </c>
      <c r="AC497" s="19">
        <v>45787</v>
      </c>
      <c r="AD497" s="19"/>
    </row>
    <row r="498" spans="1:33" x14ac:dyDescent="0.25">
      <c r="A498" s="25">
        <v>10497</v>
      </c>
      <c r="B498" s="113" t="s">
        <v>686</v>
      </c>
      <c r="C498" s="119" t="s">
        <v>686</v>
      </c>
      <c r="D498" s="56" t="s">
        <v>463</v>
      </c>
      <c r="E498" s="46">
        <v>2</v>
      </c>
      <c r="F498" s="118">
        <v>8861</v>
      </c>
      <c r="G498" t="s">
        <v>19</v>
      </c>
      <c r="H498" s="118" t="s">
        <v>8</v>
      </c>
      <c r="I498">
        <v>-6.1999999999999998E-3</v>
      </c>
      <c r="J498">
        <v>3.028</v>
      </c>
      <c r="K498">
        <v>3.0000000000000001E-3</v>
      </c>
      <c r="L498" s="63">
        <v>4.7E-2</v>
      </c>
      <c r="M498" s="140">
        <f t="shared" ref="M498:O513" si="75">IF(I498&lt;0.1,0.05,I498)</f>
        <v>0.05</v>
      </c>
      <c r="N498" s="140">
        <f t="shared" si="75"/>
        <v>3.028</v>
      </c>
      <c r="O498" s="140">
        <f t="shared" si="75"/>
        <v>0.05</v>
      </c>
      <c r="P498" s="140">
        <f t="shared" si="63"/>
        <v>0.05</v>
      </c>
      <c r="Q498" s="161" t="s">
        <v>676</v>
      </c>
      <c r="R498" s="125">
        <v>15.965</v>
      </c>
      <c r="S498" s="125">
        <v>1.7349999999999999</v>
      </c>
      <c r="V498" s="161" t="s">
        <v>676</v>
      </c>
      <c r="Y498" s="140">
        <f t="shared" ref="Y498:Y561" si="76">MONTH(AC498)</f>
        <v>5</v>
      </c>
      <c r="Z498" s="140">
        <f t="shared" ref="Z498:Z561" si="77">DAY(AC498)</f>
        <v>10</v>
      </c>
      <c r="AA498" s="140">
        <f t="shared" ref="AA498:AA561" si="78">YEAR(AC498)</f>
        <v>2025</v>
      </c>
      <c r="AC498" s="19">
        <v>45787</v>
      </c>
      <c r="AD498" s="19"/>
    </row>
    <row r="499" spans="1:33" ht="15" customHeight="1" x14ac:dyDescent="0.25">
      <c r="A499" s="25">
        <v>10498</v>
      </c>
      <c r="B499" s="113" t="s">
        <v>687</v>
      </c>
      <c r="C499" s="119" t="s">
        <v>687</v>
      </c>
      <c r="D499" s="27" t="s">
        <v>464</v>
      </c>
      <c r="E499" s="46">
        <v>3</v>
      </c>
      <c r="F499" s="118">
        <v>9921</v>
      </c>
      <c r="G499" t="s">
        <v>19</v>
      </c>
      <c r="H499" s="118" t="s">
        <v>8</v>
      </c>
      <c r="I499">
        <v>-1.29E-2</v>
      </c>
      <c r="J499">
        <v>3.258</v>
      </c>
      <c r="K499">
        <v>2E-3</v>
      </c>
      <c r="L499" s="63">
        <v>4.4999999999999998E-2</v>
      </c>
      <c r="M499" s="140">
        <f t="shared" si="75"/>
        <v>0.05</v>
      </c>
      <c r="N499" s="140">
        <f t="shared" si="75"/>
        <v>3.258</v>
      </c>
      <c r="O499" s="140">
        <f t="shared" si="75"/>
        <v>0.05</v>
      </c>
      <c r="P499" s="140">
        <f t="shared" si="63"/>
        <v>0.05</v>
      </c>
      <c r="Q499" s="161" t="s">
        <v>676</v>
      </c>
      <c r="R499" s="125">
        <v>7.7633333333333328</v>
      </c>
      <c r="S499" s="125">
        <v>1.5266666666666666</v>
      </c>
      <c r="V499" s="161" t="s">
        <v>676</v>
      </c>
      <c r="Y499" s="140">
        <f t="shared" si="76"/>
        <v>5</v>
      </c>
      <c r="Z499" s="140">
        <f t="shared" si="77"/>
        <v>10</v>
      </c>
      <c r="AA499" s="140">
        <f t="shared" si="78"/>
        <v>2025</v>
      </c>
      <c r="AC499" s="19">
        <v>45787</v>
      </c>
      <c r="AD499" s="19"/>
    </row>
    <row r="500" spans="1:33" x14ac:dyDescent="0.25">
      <c r="A500" s="25">
        <v>10499</v>
      </c>
      <c r="B500" s="113" t="s">
        <v>688</v>
      </c>
      <c r="C500" s="119" t="s">
        <v>688</v>
      </c>
      <c r="D500" s="27" t="s">
        <v>465</v>
      </c>
      <c r="E500" s="46">
        <v>4</v>
      </c>
      <c r="F500" s="118">
        <v>10891</v>
      </c>
      <c r="G500" t="s">
        <v>19</v>
      </c>
      <c r="H500" s="118" t="s">
        <v>8</v>
      </c>
      <c r="I500">
        <v>-4.1000000000000003E-3</v>
      </c>
      <c r="J500">
        <v>3.2730000000000001</v>
      </c>
      <c r="K500">
        <v>4.0000000000000001E-3</v>
      </c>
      <c r="L500" s="63">
        <v>5.8000000000000003E-2</v>
      </c>
      <c r="M500" s="140">
        <f t="shared" si="75"/>
        <v>0.05</v>
      </c>
      <c r="N500" s="140">
        <f t="shared" si="75"/>
        <v>3.2730000000000001</v>
      </c>
      <c r="O500" s="140">
        <f t="shared" si="75"/>
        <v>0.05</v>
      </c>
      <c r="P500" s="140">
        <f t="shared" si="63"/>
        <v>0.05</v>
      </c>
      <c r="Q500" s="161" t="s">
        <v>676</v>
      </c>
      <c r="R500" s="125">
        <v>11.64</v>
      </c>
      <c r="S500" s="125">
        <v>2</v>
      </c>
      <c r="V500" s="161" t="s">
        <v>676</v>
      </c>
      <c r="Y500" s="140">
        <f t="shared" si="76"/>
        <v>5</v>
      </c>
      <c r="Z500" s="140">
        <f t="shared" si="77"/>
        <v>10</v>
      </c>
      <c r="AA500" s="140">
        <f t="shared" si="78"/>
        <v>2025</v>
      </c>
      <c r="AC500" s="19">
        <v>45787</v>
      </c>
      <c r="AD500" s="19"/>
    </row>
    <row r="501" spans="1:33" x14ac:dyDescent="0.25">
      <c r="A501" s="25">
        <v>10500</v>
      </c>
      <c r="B501" s="113" t="s">
        <v>689</v>
      </c>
      <c r="C501" s="119" t="s">
        <v>689</v>
      </c>
      <c r="D501" s="27" t="s">
        <v>466</v>
      </c>
      <c r="E501" s="46">
        <v>5</v>
      </c>
      <c r="F501" s="118">
        <v>12821</v>
      </c>
      <c r="G501" t="s">
        <v>19</v>
      </c>
      <c r="H501" s="118" t="s">
        <v>8</v>
      </c>
      <c r="I501">
        <v>1.24E-2</v>
      </c>
      <c r="J501">
        <v>3.7919999999999998</v>
      </c>
      <c r="K501">
        <v>8.0000000000000002E-3</v>
      </c>
      <c r="L501" s="63">
        <v>9.8000000000000004E-2</v>
      </c>
      <c r="M501" s="140">
        <f t="shared" si="75"/>
        <v>0.05</v>
      </c>
      <c r="N501" s="140">
        <f t="shared" si="75"/>
        <v>3.7919999999999998</v>
      </c>
      <c r="O501" s="140">
        <f t="shared" si="75"/>
        <v>0.05</v>
      </c>
      <c r="P501" s="140">
        <f t="shared" si="63"/>
        <v>0.05</v>
      </c>
      <c r="Q501" s="161" t="s">
        <v>676</v>
      </c>
      <c r="R501" s="125">
        <v>22.285</v>
      </c>
      <c r="S501" s="125">
        <v>2.0949999999999998</v>
      </c>
      <c r="V501" s="161" t="s">
        <v>676</v>
      </c>
      <c r="Y501" s="140">
        <f t="shared" si="76"/>
        <v>5</v>
      </c>
      <c r="Z501" s="140">
        <f t="shared" si="77"/>
        <v>10</v>
      </c>
      <c r="AA501" s="140">
        <f t="shared" si="78"/>
        <v>2025</v>
      </c>
      <c r="AC501" s="19">
        <v>45787</v>
      </c>
      <c r="AD501" s="19"/>
    </row>
    <row r="502" spans="1:33" x14ac:dyDescent="0.25">
      <c r="A502" s="25">
        <v>10501</v>
      </c>
      <c r="B502" s="113" t="s">
        <v>690</v>
      </c>
      <c r="C502" s="119" t="s">
        <v>690</v>
      </c>
      <c r="D502" s="27" t="s">
        <v>467</v>
      </c>
      <c r="E502" s="46">
        <v>6</v>
      </c>
      <c r="F502" s="118">
        <v>14351</v>
      </c>
      <c r="G502" t="s">
        <v>19</v>
      </c>
      <c r="H502" s="118" t="s">
        <v>8</v>
      </c>
      <c r="I502">
        <v>-4.1999999999999997E-3</v>
      </c>
      <c r="J502">
        <v>4.2949999999999999</v>
      </c>
      <c r="K502">
        <v>2.5000000000000001E-2</v>
      </c>
      <c r="L502" s="63">
        <v>0.08</v>
      </c>
      <c r="M502" s="140">
        <f t="shared" si="75"/>
        <v>0.05</v>
      </c>
      <c r="N502" s="140">
        <f t="shared" si="75"/>
        <v>4.2949999999999999</v>
      </c>
      <c r="O502" s="140">
        <f t="shared" si="75"/>
        <v>0.05</v>
      </c>
      <c r="P502" s="140">
        <f t="shared" si="63"/>
        <v>0.05</v>
      </c>
      <c r="Q502" s="161" t="s">
        <v>676</v>
      </c>
      <c r="R502" s="125">
        <v>6.5466666666666669</v>
      </c>
      <c r="S502" s="125">
        <v>1.6966666666666665</v>
      </c>
      <c r="V502" s="161" t="s">
        <v>676</v>
      </c>
      <c r="Y502" s="140">
        <f t="shared" si="76"/>
        <v>5</v>
      </c>
      <c r="Z502" s="140">
        <f t="shared" si="77"/>
        <v>10</v>
      </c>
      <c r="AA502" s="140">
        <f t="shared" si="78"/>
        <v>2025</v>
      </c>
      <c r="AC502" s="19">
        <v>45787</v>
      </c>
      <c r="AD502" s="19"/>
    </row>
    <row r="503" spans="1:33" x14ac:dyDescent="0.25">
      <c r="A503" s="25">
        <v>10502</v>
      </c>
      <c r="B503" s="113" t="s">
        <v>691</v>
      </c>
      <c r="C503" s="119" t="s">
        <v>691</v>
      </c>
      <c r="D503" s="27" t="s">
        <v>468</v>
      </c>
      <c r="E503" s="46">
        <v>7</v>
      </c>
      <c r="F503" s="118">
        <v>6411</v>
      </c>
      <c r="G503" t="s">
        <v>19</v>
      </c>
      <c r="H503" s="118" t="s">
        <v>8</v>
      </c>
      <c r="I503">
        <v>4.1799999999999997E-2</v>
      </c>
      <c r="J503">
        <v>3.1080000000000001</v>
      </c>
      <c r="K503">
        <v>5.1999999999999998E-2</v>
      </c>
      <c r="L503" s="63">
        <v>0.13200000000000001</v>
      </c>
      <c r="M503" s="140">
        <f t="shared" si="75"/>
        <v>0.05</v>
      </c>
      <c r="N503" s="140">
        <f t="shared" si="75"/>
        <v>3.1080000000000001</v>
      </c>
      <c r="O503" s="140">
        <f t="shared" si="75"/>
        <v>0.05</v>
      </c>
      <c r="P503" s="140">
        <f t="shared" si="63"/>
        <v>0.13200000000000001</v>
      </c>
      <c r="Q503" s="161" t="s">
        <v>676</v>
      </c>
      <c r="R503" s="125">
        <v>8.82</v>
      </c>
      <c r="S503" s="125">
        <v>1.6233333333333333</v>
      </c>
      <c r="V503" s="161" t="s">
        <v>676</v>
      </c>
      <c r="Y503" s="140">
        <f t="shared" si="76"/>
        <v>5</v>
      </c>
      <c r="Z503" s="140">
        <f t="shared" si="77"/>
        <v>10</v>
      </c>
      <c r="AA503" s="140">
        <f t="shared" si="78"/>
        <v>2025</v>
      </c>
      <c r="AC503" s="19">
        <v>45787</v>
      </c>
      <c r="AD503" s="19"/>
    </row>
    <row r="504" spans="1:33" x14ac:dyDescent="0.25">
      <c r="A504" s="25">
        <v>10503</v>
      </c>
      <c r="B504" s="113" t="s">
        <v>692</v>
      </c>
      <c r="C504" s="119" t="s">
        <v>692</v>
      </c>
      <c r="D504" s="27" t="s">
        <v>469</v>
      </c>
      <c r="E504" s="46">
        <v>8</v>
      </c>
      <c r="F504" s="118">
        <v>5401</v>
      </c>
      <c r="G504" t="s">
        <v>19</v>
      </c>
      <c r="H504" s="118" t="s">
        <v>8</v>
      </c>
      <c r="I504">
        <v>5.2699999999999997E-2</v>
      </c>
      <c r="J504">
        <v>3.0720000000000001</v>
      </c>
      <c r="K504">
        <v>8.2000000000000003E-2</v>
      </c>
      <c r="L504" s="63">
        <v>0.151</v>
      </c>
      <c r="M504" s="140">
        <f t="shared" si="75"/>
        <v>0.05</v>
      </c>
      <c r="N504" s="140">
        <f t="shared" si="75"/>
        <v>3.0720000000000001</v>
      </c>
      <c r="O504" s="140">
        <f t="shared" si="75"/>
        <v>0.05</v>
      </c>
      <c r="P504" s="140">
        <f t="shared" si="63"/>
        <v>0.151</v>
      </c>
      <c r="Q504" s="161" t="s">
        <v>676</v>
      </c>
      <c r="R504" s="125">
        <v>5.54</v>
      </c>
      <c r="S504" s="125">
        <v>0.88</v>
      </c>
      <c r="V504" s="161" t="s">
        <v>676</v>
      </c>
      <c r="Y504" s="140">
        <f t="shared" si="76"/>
        <v>5</v>
      </c>
      <c r="Z504" s="140">
        <f t="shared" si="77"/>
        <v>10</v>
      </c>
      <c r="AA504" s="140">
        <f t="shared" si="78"/>
        <v>2025</v>
      </c>
      <c r="AC504" s="19">
        <v>45787</v>
      </c>
      <c r="AD504" s="19"/>
    </row>
    <row r="505" spans="1:33" x14ac:dyDescent="0.25">
      <c r="A505" s="25">
        <v>10504</v>
      </c>
      <c r="B505" s="113" t="s">
        <v>693</v>
      </c>
      <c r="C505" s="119" t="s">
        <v>693</v>
      </c>
      <c r="D505" s="27" t="s">
        <v>470</v>
      </c>
      <c r="E505" s="46">
        <v>9</v>
      </c>
      <c r="F505" s="118">
        <v>4381</v>
      </c>
      <c r="G505" t="s">
        <v>19</v>
      </c>
      <c r="H505" s="118" t="s">
        <v>8</v>
      </c>
      <c r="I505">
        <v>4.7100000000000003E-2</v>
      </c>
      <c r="J505">
        <v>3.3119999999999998</v>
      </c>
      <c r="K505">
        <v>0.11799999999999999</v>
      </c>
      <c r="L505" s="63">
        <v>0.186</v>
      </c>
      <c r="M505" s="140">
        <f t="shared" si="75"/>
        <v>0.05</v>
      </c>
      <c r="N505" s="140">
        <f t="shared" si="75"/>
        <v>3.3119999999999998</v>
      </c>
      <c r="O505" s="140">
        <f t="shared" si="75"/>
        <v>0.11799999999999999</v>
      </c>
      <c r="P505" s="140">
        <f t="shared" si="63"/>
        <v>0.186</v>
      </c>
      <c r="Q505" s="161" t="s">
        <v>676</v>
      </c>
      <c r="R505" s="125">
        <v>2.77</v>
      </c>
      <c r="S505" s="125">
        <v>0.67500000000000004</v>
      </c>
      <c r="V505" s="161" t="s">
        <v>676</v>
      </c>
      <c r="Y505" s="140">
        <f t="shared" si="76"/>
        <v>5</v>
      </c>
      <c r="Z505" s="140">
        <f t="shared" si="77"/>
        <v>10</v>
      </c>
      <c r="AA505" s="140">
        <f t="shared" si="78"/>
        <v>2025</v>
      </c>
      <c r="AC505" s="19">
        <v>45787</v>
      </c>
      <c r="AD505" s="19"/>
    </row>
    <row r="506" spans="1:33" x14ac:dyDescent="0.25">
      <c r="A506" s="25">
        <v>10505</v>
      </c>
      <c r="B506" s="113" t="s">
        <v>694</v>
      </c>
      <c r="C506" s="119" t="s">
        <v>694</v>
      </c>
      <c r="D506" s="27" t="s">
        <v>471</v>
      </c>
      <c r="E506" s="46">
        <v>10</v>
      </c>
      <c r="F506" s="118">
        <v>2851</v>
      </c>
      <c r="G506" t="s">
        <v>19</v>
      </c>
      <c r="H506" s="118" t="s">
        <v>8</v>
      </c>
      <c r="I506">
        <v>5.45E-2</v>
      </c>
      <c r="J506">
        <v>3.2850000000000001</v>
      </c>
      <c r="K506">
        <v>0.125</v>
      </c>
      <c r="L506" s="63">
        <v>0.16600000000000001</v>
      </c>
      <c r="M506" s="140">
        <f t="shared" si="75"/>
        <v>0.05</v>
      </c>
      <c r="N506" s="140">
        <f t="shared" si="75"/>
        <v>3.2850000000000001</v>
      </c>
      <c r="O506" s="140">
        <f t="shared" si="75"/>
        <v>0.125</v>
      </c>
      <c r="P506" s="140">
        <f t="shared" si="63"/>
        <v>0.16600000000000001</v>
      </c>
      <c r="Q506" s="161" t="s">
        <v>676</v>
      </c>
      <c r="R506" s="125">
        <v>5.503333333333333</v>
      </c>
      <c r="S506" s="125">
        <v>1.01</v>
      </c>
      <c r="V506" s="161" t="s">
        <v>676</v>
      </c>
      <c r="Y506" s="140">
        <f t="shared" si="76"/>
        <v>5</v>
      </c>
      <c r="Z506" s="140">
        <f t="shared" si="77"/>
        <v>10</v>
      </c>
      <c r="AA506" s="140">
        <f t="shared" si="78"/>
        <v>2025</v>
      </c>
      <c r="AC506" s="19">
        <v>45787</v>
      </c>
      <c r="AD506" s="19"/>
    </row>
    <row r="507" spans="1:33" x14ac:dyDescent="0.25">
      <c r="A507" s="25">
        <v>10506</v>
      </c>
      <c r="B507" s="113" t="s">
        <v>695</v>
      </c>
      <c r="C507" s="119" t="s">
        <v>695</v>
      </c>
      <c r="D507" s="27" t="s">
        <v>472</v>
      </c>
      <c r="E507" s="46">
        <v>11</v>
      </c>
      <c r="F507" s="118">
        <v>1731</v>
      </c>
      <c r="G507" t="s">
        <v>19</v>
      </c>
      <c r="H507" s="118" t="s">
        <v>8</v>
      </c>
      <c r="I507">
        <v>5.4600000000000003E-2</v>
      </c>
      <c r="J507">
        <v>3.4449999999999998</v>
      </c>
      <c r="K507">
        <v>0.127</v>
      </c>
      <c r="L507" s="63">
        <v>0.20200000000000001</v>
      </c>
      <c r="M507" s="140">
        <f t="shared" si="75"/>
        <v>0.05</v>
      </c>
      <c r="N507" s="140">
        <f t="shared" si="75"/>
        <v>3.4449999999999998</v>
      </c>
      <c r="O507" s="140">
        <f t="shared" si="75"/>
        <v>0.127</v>
      </c>
      <c r="P507" s="140">
        <f t="shared" si="63"/>
        <v>0.20200000000000001</v>
      </c>
      <c r="Q507" s="161" t="s">
        <v>676</v>
      </c>
      <c r="R507" s="125">
        <v>1.46</v>
      </c>
      <c r="S507" s="125">
        <v>0.71499999999999997</v>
      </c>
      <c r="V507" s="161" t="s">
        <v>676</v>
      </c>
      <c r="Y507" s="140">
        <f t="shared" si="76"/>
        <v>5</v>
      </c>
      <c r="Z507" s="140">
        <f t="shared" si="77"/>
        <v>10</v>
      </c>
      <c r="AA507" s="140">
        <f t="shared" si="78"/>
        <v>2025</v>
      </c>
      <c r="AC507" s="19">
        <v>45787</v>
      </c>
      <c r="AD507" s="19"/>
    </row>
    <row r="508" spans="1:33" ht="15" customHeight="1" x14ac:dyDescent="0.25">
      <c r="A508" s="25">
        <v>10507</v>
      </c>
      <c r="B508" s="113" t="s">
        <v>696</v>
      </c>
      <c r="C508" s="119" t="s">
        <v>696</v>
      </c>
      <c r="D508" s="27" t="s">
        <v>473</v>
      </c>
      <c r="E508" s="46">
        <v>12</v>
      </c>
      <c r="F508" s="118">
        <v>661</v>
      </c>
      <c r="G508" t="s">
        <v>19</v>
      </c>
      <c r="H508" s="118" t="s">
        <v>8</v>
      </c>
      <c r="I508">
        <v>4.5699999999999998E-2</v>
      </c>
      <c r="J508">
        <v>3.262</v>
      </c>
      <c r="K508">
        <v>0.126</v>
      </c>
      <c r="L508" s="63">
        <v>0.20799999999999999</v>
      </c>
      <c r="M508" s="140">
        <f t="shared" si="75"/>
        <v>0.05</v>
      </c>
      <c r="N508" s="140">
        <f t="shared" si="75"/>
        <v>3.262</v>
      </c>
      <c r="O508" s="140">
        <f t="shared" si="75"/>
        <v>0.126</v>
      </c>
      <c r="P508" s="140">
        <f t="shared" si="63"/>
        <v>0.20799999999999999</v>
      </c>
      <c r="Q508" s="161" t="s">
        <v>676</v>
      </c>
      <c r="R508" s="125">
        <v>1.7066666666666668</v>
      </c>
      <c r="S508" s="125">
        <v>0.62333333333333341</v>
      </c>
      <c r="V508" s="161" t="s">
        <v>676</v>
      </c>
      <c r="Y508" s="140">
        <f t="shared" si="76"/>
        <v>5</v>
      </c>
      <c r="Z508" s="140">
        <f t="shared" si="77"/>
        <v>10</v>
      </c>
      <c r="AA508" s="140">
        <f t="shared" si="78"/>
        <v>2025</v>
      </c>
      <c r="AC508" s="19">
        <v>45787</v>
      </c>
      <c r="AD508" s="19"/>
    </row>
    <row r="509" spans="1:33" x14ac:dyDescent="0.25">
      <c r="A509" s="25">
        <v>10508</v>
      </c>
      <c r="B509" s="113" t="s">
        <v>697</v>
      </c>
      <c r="C509" s="119" t="s">
        <v>697</v>
      </c>
      <c r="D509" s="27" t="s">
        <v>474</v>
      </c>
      <c r="E509" s="46">
        <v>13</v>
      </c>
      <c r="F509" s="118">
        <v>13553</v>
      </c>
      <c r="G509" t="s">
        <v>19</v>
      </c>
      <c r="H509" s="118" t="s">
        <v>8</v>
      </c>
      <c r="I509">
        <v>-9.1000000000000004E-3</v>
      </c>
      <c r="J509">
        <v>4.0570000000000004</v>
      </c>
      <c r="K509">
        <v>0.01</v>
      </c>
      <c r="L509" s="63">
        <v>8.2000000000000003E-2</v>
      </c>
      <c r="M509" s="140">
        <f t="shared" si="75"/>
        <v>0.05</v>
      </c>
      <c r="N509" s="140">
        <f t="shared" si="75"/>
        <v>4.0570000000000004</v>
      </c>
      <c r="O509" s="140">
        <f t="shared" si="75"/>
        <v>0.05</v>
      </c>
      <c r="P509" s="140">
        <f t="shared" si="63"/>
        <v>0.05</v>
      </c>
      <c r="Q509" s="161" t="s">
        <v>676</v>
      </c>
      <c r="R509" s="125">
        <v>15.88</v>
      </c>
      <c r="S509" s="125">
        <v>3.0066666666666664</v>
      </c>
      <c r="V509" s="161" t="s">
        <v>676</v>
      </c>
      <c r="Y509" s="140">
        <f t="shared" si="76"/>
        <v>5</v>
      </c>
      <c r="Z509" s="140">
        <f t="shared" si="77"/>
        <v>10</v>
      </c>
      <c r="AA509" s="140">
        <f t="shared" si="78"/>
        <v>2025</v>
      </c>
      <c r="AC509" s="19">
        <v>45787</v>
      </c>
      <c r="AD509" s="19"/>
    </row>
    <row r="510" spans="1:33" x14ac:dyDescent="0.25">
      <c r="A510" s="25">
        <v>10509</v>
      </c>
      <c r="B510" s="114" t="s">
        <v>698</v>
      </c>
      <c r="C510" s="120" t="s">
        <v>698</v>
      </c>
      <c r="D510" s="27">
        <v>5101</v>
      </c>
      <c r="E510" s="46">
        <v>1</v>
      </c>
      <c r="F510" s="118"/>
      <c r="G510" t="s">
        <v>684</v>
      </c>
      <c r="H510" s="118" t="s">
        <v>8</v>
      </c>
      <c r="I510">
        <v>3.1800000000000002E-2</v>
      </c>
      <c r="J510">
        <v>2.5710000000000002</v>
      </c>
      <c r="K510">
        <v>-1E-3</v>
      </c>
      <c r="L510" s="118">
        <v>1.9E-2</v>
      </c>
      <c r="M510" s="140">
        <f t="shared" si="75"/>
        <v>0.05</v>
      </c>
      <c r="N510" s="140">
        <f t="shared" si="75"/>
        <v>2.5710000000000002</v>
      </c>
      <c r="O510" s="140">
        <f t="shared" si="75"/>
        <v>0.05</v>
      </c>
      <c r="P510" s="140">
        <f t="shared" si="63"/>
        <v>0.05</v>
      </c>
      <c r="Q510" s="157">
        <v>0.22402208413351465</v>
      </c>
      <c r="R510" s="125">
        <v>8.56</v>
      </c>
      <c r="S510" s="125">
        <v>2.3933333333333331</v>
      </c>
      <c r="V510" s="146">
        <v>0.9</v>
      </c>
      <c r="W510" s="118">
        <v>39.748964044951101</v>
      </c>
      <c r="X510" s="118">
        <v>-87.073747451137294</v>
      </c>
      <c r="Y510" s="140">
        <f t="shared" si="76"/>
        <v>7</v>
      </c>
      <c r="Z510" s="140">
        <f t="shared" si="77"/>
        <v>8</v>
      </c>
      <c r="AA510" s="140">
        <f t="shared" si="78"/>
        <v>2025</v>
      </c>
      <c r="AC510" s="19">
        <v>45846</v>
      </c>
      <c r="AD510" s="181" t="s">
        <v>1587</v>
      </c>
      <c r="AF510" s="118"/>
      <c r="AG510" s="118"/>
    </row>
    <row r="511" spans="1:33" x14ac:dyDescent="0.25">
      <c r="A511" s="25">
        <v>10510</v>
      </c>
      <c r="B511" s="114" t="s">
        <v>699</v>
      </c>
      <c r="C511" s="120" t="s">
        <v>699</v>
      </c>
      <c r="D511" s="27">
        <v>5102</v>
      </c>
      <c r="E511" s="46">
        <v>2</v>
      </c>
      <c r="F511" s="118"/>
      <c r="G511" t="s">
        <v>684</v>
      </c>
      <c r="H511" s="118" t="s">
        <v>8</v>
      </c>
      <c r="I511">
        <v>0.1193</v>
      </c>
      <c r="J511">
        <v>2.2709999999999999</v>
      </c>
      <c r="K511">
        <v>1E-3</v>
      </c>
      <c r="L511" s="118">
        <v>2.8000000000000001E-2</v>
      </c>
      <c r="M511" s="140">
        <f t="shared" si="75"/>
        <v>0.1193</v>
      </c>
      <c r="N511" s="140">
        <f t="shared" si="75"/>
        <v>2.2709999999999999</v>
      </c>
      <c r="O511" s="140">
        <f t="shared" si="75"/>
        <v>0.05</v>
      </c>
      <c r="P511" s="140">
        <f t="shared" si="63"/>
        <v>0.05</v>
      </c>
      <c r="Q511" s="157">
        <v>0.21002272021687676</v>
      </c>
      <c r="R511" s="125">
        <v>8.25</v>
      </c>
      <c r="S511" s="125">
        <v>2.8200000000000003</v>
      </c>
      <c r="V511" s="118">
        <v>0.75</v>
      </c>
      <c r="W511" s="118">
        <v>39.755295243048103</v>
      </c>
      <c r="X511" s="118">
        <v>-87.056769790645305</v>
      </c>
      <c r="Y511" s="140">
        <f t="shared" si="76"/>
        <v>7</v>
      </c>
      <c r="Z511" s="140">
        <f t="shared" si="77"/>
        <v>8</v>
      </c>
      <c r="AA511" s="140">
        <f t="shared" si="78"/>
        <v>2025</v>
      </c>
      <c r="AC511" s="19">
        <v>45846</v>
      </c>
      <c r="AD511" s="181" t="s">
        <v>1588</v>
      </c>
      <c r="AF511" s="118"/>
      <c r="AG511" s="118"/>
    </row>
    <row r="512" spans="1:33" x14ac:dyDescent="0.25">
      <c r="A512" s="25">
        <v>10511</v>
      </c>
      <c r="B512" s="114" t="s">
        <v>700</v>
      </c>
      <c r="C512" s="120" t="s">
        <v>700</v>
      </c>
      <c r="D512" s="27">
        <v>5103</v>
      </c>
      <c r="E512" s="46">
        <v>3</v>
      </c>
      <c r="F512" s="118"/>
      <c r="G512" t="s">
        <v>684</v>
      </c>
      <c r="H512" s="118" t="s">
        <v>8</v>
      </c>
      <c r="I512">
        <v>-2.4400000000000002E-2</v>
      </c>
      <c r="J512">
        <v>1.92</v>
      </c>
      <c r="K512">
        <v>-1E-3</v>
      </c>
      <c r="L512" s="118">
        <v>1.2E-2</v>
      </c>
      <c r="M512" s="140">
        <f t="shared" si="75"/>
        <v>0.05</v>
      </c>
      <c r="N512" s="140">
        <f t="shared" si="75"/>
        <v>1.92</v>
      </c>
      <c r="O512" s="140">
        <f t="shared" si="75"/>
        <v>0.05</v>
      </c>
      <c r="P512" s="140">
        <f t="shared" si="63"/>
        <v>0.05</v>
      </c>
      <c r="Q512" s="157">
        <v>0.23801925111522509</v>
      </c>
      <c r="R512" s="125">
        <v>11.83</v>
      </c>
      <c r="S512" s="125">
        <v>2.6166666666666667</v>
      </c>
      <c r="V512" s="146">
        <v>0.75</v>
      </c>
      <c r="W512" s="118">
        <v>39.720774291742501</v>
      </c>
      <c r="X512" s="118">
        <v>-87.070605276533499</v>
      </c>
      <c r="Y512" s="140">
        <f t="shared" si="76"/>
        <v>7</v>
      </c>
      <c r="Z512" s="140">
        <f t="shared" si="77"/>
        <v>8</v>
      </c>
      <c r="AA512" s="140">
        <f t="shared" si="78"/>
        <v>2025</v>
      </c>
      <c r="AC512" s="19">
        <v>45846</v>
      </c>
      <c r="AD512" s="181" t="s">
        <v>1589</v>
      </c>
      <c r="AF512" s="118"/>
      <c r="AG512" s="118"/>
    </row>
    <row r="513" spans="1:33" x14ac:dyDescent="0.25">
      <c r="A513" s="25">
        <v>10512</v>
      </c>
      <c r="B513" s="114" t="s">
        <v>701</v>
      </c>
      <c r="C513" s="120" t="s">
        <v>701</v>
      </c>
      <c r="D513" s="27">
        <v>5104</v>
      </c>
      <c r="E513" s="46">
        <v>4</v>
      </c>
      <c r="F513" s="118"/>
      <c r="G513" t="s">
        <v>684</v>
      </c>
      <c r="H513" s="118" t="s">
        <v>8</v>
      </c>
      <c r="I513">
        <v>-1.0200000000000001E-2</v>
      </c>
      <c r="J513">
        <v>1.8029999999999999</v>
      </c>
      <c r="K513">
        <v>-1E-3</v>
      </c>
      <c r="L513" s="118">
        <v>1.4E-2</v>
      </c>
      <c r="M513" s="140">
        <f t="shared" si="75"/>
        <v>0.05</v>
      </c>
      <c r="N513" s="140">
        <f t="shared" si="75"/>
        <v>1.8029999999999999</v>
      </c>
      <c r="O513" s="140">
        <f t="shared" si="75"/>
        <v>0.05</v>
      </c>
      <c r="P513" s="140">
        <f t="shared" si="63"/>
        <v>0.05</v>
      </c>
      <c r="Q513" s="157">
        <v>0.22812475283512729</v>
      </c>
      <c r="R513" s="125" t="s">
        <v>660</v>
      </c>
      <c r="S513" s="125">
        <v>2.11</v>
      </c>
      <c r="V513" s="146">
        <v>0.75</v>
      </c>
      <c r="W513" s="118">
        <v>39.737724990630802</v>
      </c>
      <c r="X513" s="118">
        <v>-87.083459599274306</v>
      </c>
      <c r="Y513" s="140">
        <f t="shared" si="76"/>
        <v>7</v>
      </c>
      <c r="Z513" s="140">
        <f t="shared" si="77"/>
        <v>8</v>
      </c>
      <c r="AA513" s="140">
        <f t="shared" si="78"/>
        <v>2025</v>
      </c>
      <c r="AC513" s="19">
        <v>45846</v>
      </c>
      <c r="AD513" s="181" t="s">
        <v>1590</v>
      </c>
      <c r="AF513" s="118"/>
      <c r="AG513" s="118"/>
    </row>
    <row r="514" spans="1:33" x14ac:dyDescent="0.25">
      <c r="A514" s="25">
        <v>10513</v>
      </c>
      <c r="B514" s="114" t="s">
        <v>702</v>
      </c>
      <c r="C514" s="120" t="s">
        <v>702</v>
      </c>
      <c r="D514" s="27">
        <v>5105</v>
      </c>
      <c r="E514" s="46">
        <v>5</v>
      </c>
      <c r="F514" s="118"/>
      <c r="G514" t="s">
        <v>684</v>
      </c>
      <c r="H514" s="118" t="s">
        <v>8</v>
      </c>
      <c r="I514">
        <v>-1.9699999999999999E-2</v>
      </c>
      <c r="J514">
        <v>2.2029999999999998</v>
      </c>
      <c r="K514">
        <v>-1E-3</v>
      </c>
      <c r="L514" s="118">
        <v>0.01</v>
      </c>
      <c r="M514" s="140">
        <f t="shared" ref="M514:O529" si="79">IF(I514&lt;0.1,0.05,I514)</f>
        <v>0.05</v>
      </c>
      <c r="N514" s="140">
        <f t="shared" si="79"/>
        <v>2.2029999999999998</v>
      </c>
      <c r="O514" s="140">
        <f t="shared" si="79"/>
        <v>0.05</v>
      </c>
      <c r="P514" s="140">
        <f t="shared" ref="P514:P577" si="80">IF(L514&lt;0.1,0.05,L514)</f>
        <v>0.05</v>
      </c>
      <c r="Q514" s="157">
        <v>0.22542531461380969</v>
      </c>
      <c r="R514" s="125">
        <v>15.183333333333332</v>
      </c>
      <c r="S514" s="125">
        <v>2.9033333333333329</v>
      </c>
      <c r="V514" s="146">
        <v>0.6</v>
      </c>
      <c r="W514" s="118">
        <v>39.732573472263702</v>
      </c>
      <c r="X514" s="118">
        <v>-87.065876971214905</v>
      </c>
      <c r="Y514" s="140">
        <f t="shared" si="76"/>
        <v>7</v>
      </c>
      <c r="Z514" s="140">
        <f t="shared" si="77"/>
        <v>8</v>
      </c>
      <c r="AA514" s="140">
        <f t="shared" si="78"/>
        <v>2025</v>
      </c>
      <c r="AC514" s="19">
        <v>45846</v>
      </c>
      <c r="AD514" s="181" t="s">
        <v>1591</v>
      </c>
      <c r="AF514" s="118"/>
      <c r="AG514" s="118"/>
    </row>
    <row r="515" spans="1:33" x14ac:dyDescent="0.25">
      <c r="A515" s="25">
        <v>10514</v>
      </c>
      <c r="B515" s="114" t="s">
        <v>703</v>
      </c>
      <c r="C515" s="120" t="s">
        <v>703</v>
      </c>
      <c r="D515" s="27">
        <v>5106</v>
      </c>
      <c r="E515" s="46">
        <v>6</v>
      </c>
      <c r="F515" s="118"/>
      <c r="G515" t="s">
        <v>684</v>
      </c>
      <c r="H515" s="118" t="s">
        <v>8</v>
      </c>
      <c r="I515">
        <v>-2.7000000000000001E-3</v>
      </c>
      <c r="J515">
        <v>2.5750000000000002</v>
      </c>
      <c r="K515">
        <v>-1E-3</v>
      </c>
      <c r="L515" s="118">
        <v>2.4E-2</v>
      </c>
      <c r="M515" s="140">
        <f t="shared" si="79"/>
        <v>0.05</v>
      </c>
      <c r="N515" s="140">
        <f t="shared" si="79"/>
        <v>2.5750000000000002</v>
      </c>
      <c r="O515" s="140">
        <f t="shared" si="79"/>
        <v>0.05</v>
      </c>
      <c r="P515" s="140">
        <f t="shared" si="80"/>
        <v>0.05</v>
      </c>
      <c r="Q515" s="157">
        <v>0.2236629464686449</v>
      </c>
      <c r="R515" s="125">
        <v>28.24666666666667</v>
      </c>
      <c r="S515" s="125">
        <v>3.8066666666666662</v>
      </c>
      <c r="V515" s="146">
        <v>0.7</v>
      </c>
      <c r="W515" s="118">
        <v>39.7455718413526</v>
      </c>
      <c r="X515" s="118">
        <v>-87.0670318179004</v>
      </c>
      <c r="Y515" s="140">
        <f t="shared" si="76"/>
        <v>7</v>
      </c>
      <c r="Z515" s="140">
        <f t="shared" si="77"/>
        <v>8</v>
      </c>
      <c r="AA515" s="140">
        <f t="shared" si="78"/>
        <v>2025</v>
      </c>
      <c r="AC515" s="19">
        <v>45846</v>
      </c>
      <c r="AD515" s="181" t="s">
        <v>1592</v>
      </c>
      <c r="AF515" s="118"/>
      <c r="AG515" s="118"/>
    </row>
    <row r="516" spans="1:33" x14ac:dyDescent="0.25">
      <c r="A516" s="25">
        <v>10515</v>
      </c>
      <c r="B516" s="115" t="s">
        <v>704</v>
      </c>
      <c r="C516" s="121" t="s">
        <v>704</v>
      </c>
      <c r="D516" s="27">
        <v>4105</v>
      </c>
      <c r="E516" s="27">
        <v>5</v>
      </c>
      <c r="F516" s="118">
        <v>6425</v>
      </c>
      <c r="G516" t="s">
        <v>20</v>
      </c>
      <c r="H516" s="118" t="s">
        <v>8</v>
      </c>
      <c r="I516">
        <v>8.3099999999999993E-2</v>
      </c>
      <c r="J516">
        <v>-0.13200000000000001</v>
      </c>
      <c r="K516">
        <v>3.4000000000000002E-2</v>
      </c>
      <c r="L516" s="118">
        <v>0.153</v>
      </c>
      <c r="M516" s="140">
        <f t="shared" si="79"/>
        <v>0.05</v>
      </c>
      <c r="N516" s="140">
        <f t="shared" si="79"/>
        <v>0.05</v>
      </c>
      <c r="O516" s="140">
        <f t="shared" si="79"/>
        <v>0.05</v>
      </c>
      <c r="P516" s="140">
        <f t="shared" si="80"/>
        <v>0.153</v>
      </c>
      <c r="Q516" s="157">
        <v>0.18701800870362817</v>
      </c>
      <c r="R516" s="125">
        <v>40.263333333333328</v>
      </c>
      <c r="S516" s="125">
        <v>12.233333333333334</v>
      </c>
      <c r="V516" s="146">
        <v>0.6</v>
      </c>
      <c r="W516" s="118">
        <v>40.8238714359764</v>
      </c>
      <c r="X516" s="118">
        <v>-86.795928657788707</v>
      </c>
      <c r="Y516" s="140">
        <f t="shared" si="76"/>
        <v>7</v>
      </c>
      <c r="Z516" s="140">
        <f t="shared" si="77"/>
        <v>14</v>
      </c>
      <c r="AA516" s="140">
        <f t="shared" si="78"/>
        <v>2025</v>
      </c>
      <c r="AC516" s="19">
        <v>45852</v>
      </c>
      <c r="AD516" s="181" t="s">
        <v>1598</v>
      </c>
      <c r="AF516" s="118"/>
      <c r="AG516" s="118"/>
    </row>
    <row r="517" spans="1:33" x14ac:dyDescent="0.25">
      <c r="A517" s="25">
        <v>10516</v>
      </c>
      <c r="B517" s="115" t="s">
        <v>705</v>
      </c>
      <c r="C517" s="121" t="s">
        <v>705</v>
      </c>
      <c r="D517" s="27">
        <v>4106</v>
      </c>
      <c r="E517" s="27">
        <v>6</v>
      </c>
      <c r="F517" s="118">
        <v>8245</v>
      </c>
      <c r="G517" t="s">
        <v>20</v>
      </c>
      <c r="H517" s="118" t="s">
        <v>8</v>
      </c>
      <c r="I517">
        <v>0.1138</v>
      </c>
      <c r="J517">
        <v>-0.24</v>
      </c>
      <c r="K517">
        <v>1E-3</v>
      </c>
      <c r="L517" s="118">
        <v>0.13400000000000001</v>
      </c>
      <c r="M517" s="140">
        <f t="shared" si="79"/>
        <v>0.1138</v>
      </c>
      <c r="N517" s="140">
        <f t="shared" si="79"/>
        <v>0.05</v>
      </c>
      <c r="O517" s="140">
        <f t="shared" si="79"/>
        <v>0.05</v>
      </c>
      <c r="P517" s="140">
        <f t="shared" si="80"/>
        <v>0.13400000000000001</v>
      </c>
      <c r="Q517" s="157">
        <v>0.20009214555477556</v>
      </c>
      <c r="R517" s="125">
        <v>154.30333333333331</v>
      </c>
      <c r="S517" s="125">
        <v>-9.1750000000000007</v>
      </c>
      <c r="V517" s="146">
        <v>0.2</v>
      </c>
      <c r="W517" s="118">
        <v>40.835002728246103</v>
      </c>
      <c r="X517" s="118">
        <v>-86.781824032977497</v>
      </c>
      <c r="Y517" s="140">
        <f t="shared" si="76"/>
        <v>7</v>
      </c>
      <c r="Z517" s="140">
        <f t="shared" si="77"/>
        <v>14</v>
      </c>
      <c r="AA517" s="140">
        <f t="shared" si="78"/>
        <v>2025</v>
      </c>
      <c r="AC517" s="19">
        <v>45852</v>
      </c>
      <c r="AD517" s="181" t="s">
        <v>1595</v>
      </c>
      <c r="AF517" s="118"/>
      <c r="AG517" s="118"/>
    </row>
    <row r="518" spans="1:33" x14ac:dyDescent="0.25">
      <c r="A518" s="25">
        <v>10517</v>
      </c>
      <c r="B518" s="115" t="s">
        <v>706</v>
      </c>
      <c r="C518" s="121" t="s">
        <v>706</v>
      </c>
      <c r="D518" s="27">
        <v>4108</v>
      </c>
      <c r="E518" s="27">
        <v>8</v>
      </c>
      <c r="F518" s="118">
        <v>5065</v>
      </c>
      <c r="G518" t="s">
        <v>20</v>
      </c>
      <c r="H518" s="118" t="s">
        <v>8</v>
      </c>
      <c r="I518">
        <v>-2.0299999999999999E-2</v>
      </c>
      <c r="J518">
        <v>-0.224</v>
      </c>
      <c r="K518">
        <v>1E-3</v>
      </c>
      <c r="L518" s="118">
        <v>0.16900000000000001</v>
      </c>
      <c r="M518" s="140">
        <f t="shared" si="79"/>
        <v>0.05</v>
      </c>
      <c r="N518" s="140">
        <f t="shared" si="79"/>
        <v>0.05</v>
      </c>
      <c r="O518" s="140">
        <f t="shared" si="79"/>
        <v>0.05</v>
      </c>
      <c r="P518" s="140">
        <f t="shared" si="80"/>
        <v>0.16900000000000001</v>
      </c>
      <c r="Q518" s="157">
        <v>0.19869153359422648</v>
      </c>
      <c r="R518" s="125">
        <v>77.296666666666681</v>
      </c>
      <c r="S518" s="125">
        <v>8.1733333333333338</v>
      </c>
      <c r="V518" s="146">
        <v>0.3</v>
      </c>
      <c r="W518" s="118">
        <v>40.811155293176199</v>
      </c>
      <c r="X518" s="118">
        <v>-86.794320949388805</v>
      </c>
      <c r="Y518" s="140">
        <f t="shared" si="76"/>
        <v>7</v>
      </c>
      <c r="Z518" s="140">
        <f t="shared" si="77"/>
        <v>14</v>
      </c>
      <c r="AA518" s="140">
        <f t="shared" si="78"/>
        <v>2025</v>
      </c>
      <c r="AC518" s="19">
        <v>45852</v>
      </c>
      <c r="AD518" s="181" t="s">
        <v>1594</v>
      </c>
      <c r="AF518" s="118"/>
      <c r="AG518" s="118"/>
    </row>
    <row r="519" spans="1:33" x14ac:dyDescent="0.25">
      <c r="A519" s="25">
        <v>10518</v>
      </c>
      <c r="B519" s="115" t="s">
        <v>707</v>
      </c>
      <c r="C519" s="121" t="s">
        <v>707</v>
      </c>
      <c r="D519" s="27">
        <v>4109</v>
      </c>
      <c r="E519" s="27">
        <v>9</v>
      </c>
      <c r="F519" s="118">
        <v>3385</v>
      </c>
      <c r="G519" t="s">
        <v>20</v>
      </c>
      <c r="H519" s="118" t="s">
        <v>8</v>
      </c>
      <c r="I519">
        <v>8.7499999999999994E-2</v>
      </c>
      <c r="J519">
        <v>-0.13400000000000001</v>
      </c>
      <c r="K519">
        <v>2E-3</v>
      </c>
      <c r="L519" s="118">
        <v>0.109</v>
      </c>
      <c r="M519" s="140">
        <f t="shared" si="79"/>
        <v>0.05</v>
      </c>
      <c r="N519" s="140">
        <f t="shared" si="79"/>
        <v>0.05</v>
      </c>
      <c r="O519" s="140">
        <f t="shared" si="79"/>
        <v>0.05</v>
      </c>
      <c r="P519" s="140">
        <f t="shared" si="80"/>
        <v>0.109</v>
      </c>
      <c r="Q519" s="157">
        <v>0.23145600201519695</v>
      </c>
      <c r="R519" s="125">
        <v>57.136666666666677</v>
      </c>
      <c r="S519" s="125">
        <v>11.593333333333334</v>
      </c>
      <c r="V519" s="146">
        <v>0.6</v>
      </c>
      <c r="W519" s="118">
        <v>40.804210980481102</v>
      </c>
      <c r="X519" s="118">
        <v>-86.774823876043101</v>
      </c>
      <c r="Y519" s="140">
        <f t="shared" si="76"/>
        <v>7</v>
      </c>
      <c r="Z519" s="140">
        <f t="shared" si="77"/>
        <v>14</v>
      </c>
      <c r="AA519" s="140">
        <f t="shared" si="78"/>
        <v>2025</v>
      </c>
      <c r="AC519" s="19">
        <v>45852</v>
      </c>
      <c r="AD519" s="181" t="s">
        <v>1597</v>
      </c>
      <c r="AF519" s="118"/>
      <c r="AG519" s="118"/>
    </row>
    <row r="520" spans="1:33" x14ac:dyDescent="0.25">
      <c r="A520" s="25">
        <v>10519</v>
      </c>
      <c r="B520" s="115" t="s">
        <v>708</v>
      </c>
      <c r="C520" s="121" t="s">
        <v>708</v>
      </c>
      <c r="D520" s="27">
        <v>4110</v>
      </c>
      <c r="E520" s="27">
        <v>10</v>
      </c>
      <c r="F520" s="118">
        <v>2205</v>
      </c>
      <c r="G520" t="s">
        <v>20</v>
      </c>
      <c r="H520" s="118" t="s">
        <v>8</v>
      </c>
      <c r="I520">
        <v>0.14699999999999999</v>
      </c>
      <c r="J520">
        <v>-0.122</v>
      </c>
      <c r="K520">
        <v>4.0000000000000001E-3</v>
      </c>
      <c r="L520" s="118">
        <v>0.158</v>
      </c>
      <c r="M520" s="140">
        <f t="shared" si="79"/>
        <v>0.14699999999999999</v>
      </c>
      <c r="N520" s="140">
        <f t="shared" si="79"/>
        <v>0.05</v>
      </c>
      <c r="O520" s="140">
        <f t="shared" si="79"/>
        <v>0.05</v>
      </c>
      <c r="P520" s="140">
        <f t="shared" si="80"/>
        <v>0.158</v>
      </c>
      <c r="Q520" s="157">
        <v>0.20369248900200457</v>
      </c>
      <c r="R520" s="125">
        <v>41.803333333333335</v>
      </c>
      <c r="S520" s="125">
        <v>10.853333333333333</v>
      </c>
      <c r="V520" s="146">
        <v>0.35</v>
      </c>
      <c r="W520" s="118">
        <v>40.794696088480897</v>
      </c>
      <c r="X520" s="118">
        <v>-86.774487164151097</v>
      </c>
      <c r="Y520" s="140">
        <f t="shared" si="76"/>
        <v>7</v>
      </c>
      <c r="Z520" s="140">
        <f t="shared" si="77"/>
        <v>14</v>
      </c>
      <c r="AA520" s="140">
        <f t="shared" si="78"/>
        <v>2025</v>
      </c>
      <c r="AC520" s="19">
        <v>45852</v>
      </c>
      <c r="AD520" s="181" t="s">
        <v>1595</v>
      </c>
      <c r="AF520" s="118"/>
      <c r="AG520" s="118"/>
    </row>
    <row r="521" spans="1:33" x14ac:dyDescent="0.25">
      <c r="A521" s="25">
        <v>10520</v>
      </c>
      <c r="B521" s="115" t="s">
        <v>709</v>
      </c>
      <c r="C521" s="121" t="s">
        <v>709</v>
      </c>
      <c r="D521" s="27">
        <v>4111</v>
      </c>
      <c r="E521" s="27">
        <v>11</v>
      </c>
      <c r="F521" s="118">
        <v>1385</v>
      </c>
      <c r="G521" t="s">
        <v>20</v>
      </c>
      <c r="H521" s="118" t="s">
        <v>8</v>
      </c>
      <c r="I521">
        <v>1.2E-2</v>
      </c>
      <c r="J521">
        <v>-8.8999999999999996E-2</v>
      </c>
      <c r="K521">
        <v>0.01</v>
      </c>
      <c r="L521" s="118">
        <v>0.11600000000000001</v>
      </c>
      <c r="M521" s="140">
        <f t="shared" si="79"/>
        <v>0.05</v>
      </c>
      <c r="N521" s="140">
        <f t="shared" si="79"/>
        <v>0.05</v>
      </c>
      <c r="O521" s="140">
        <f t="shared" si="79"/>
        <v>0.05</v>
      </c>
      <c r="P521" s="140">
        <f t="shared" si="80"/>
        <v>0.11600000000000001</v>
      </c>
      <c r="Q521" s="157">
        <v>0.19175098466259977</v>
      </c>
      <c r="R521" s="125">
        <v>46.963333333333338</v>
      </c>
      <c r="S521" s="125">
        <v>9.7866666666666671</v>
      </c>
      <c r="V521" s="146">
        <v>0.6</v>
      </c>
      <c r="W521" s="118">
        <v>40.788720926107999</v>
      </c>
      <c r="X521" s="118">
        <v>-86.772164345616005</v>
      </c>
      <c r="Y521" s="140">
        <f t="shared" si="76"/>
        <v>7</v>
      </c>
      <c r="Z521" s="140">
        <f t="shared" si="77"/>
        <v>14</v>
      </c>
      <c r="AA521" s="140">
        <f t="shared" si="78"/>
        <v>2025</v>
      </c>
      <c r="AC521" s="19">
        <v>45852</v>
      </c>
      <c r="AD521" s="181" t="s">
        <v>1593</v>
      </c>
      <c r="AF521" s="118"/>
      <c r="AG521" s="118"/>
    </row>
    <row r="522" spans="1:33" x14ac:dyDescent="0.25">
      <c r="A522" s="25">
        <v>10521</v>
      </c>
      <c r="B522" s="115" t="s">
        <v>710</v>
      </c>
      <c r="C522" s="121" t="s">
        <v>710</v>
      </c>
      <c r="D522" s="27">
        <v>4112</v>
      </c>
      <c r="E522" s="27">
        <v>12</v>
      </c>
      <c r="F522" s="118">
        <v>275</v>
      </c>
      <c r="G522" t="s">
        <v>20</v>
      </c>
      <c r="H522" s="118" t="s">
        <v>8</v>
      </c>
      <c r="I522">
        <v>0.05</v>
      </c>
      <c r="J522">
        <v>3.6999999999999998E-2</v>
      </c>
      <c r="K522">
        <v>1E-3</v>
      </c>
      <c r="L522" s="118">
        <v>7.6999999999999999E-2</v>
      </c>
      <c r="M522" s="140">
        <f t="shared" si="79"/>
        <v>0.05</v>
      </c>
      <c r="N522" s="140">
        <f t="shared" si="79"/>
        <v>0.05</v>
      </c>
      <c r="O522" s="140">
        <f t="shared" si="79"/>
        <v>0.05</v>
      </c>
      <c r="P522" s="140">
        <f t="shared" si="80"/>
        <v>0.05</v>
      </c>
      <c r="Q522" s="157">
        <v>0.20814581515688318</v>
      </c>
      <c r="R522" s="125">
        <v>38.81</v>
      </c>
      <c r="S522" s="125">
        <v>7.0933333333333337</v>
      </c>
      <c r="V522" s="146">
        <v>0.85</v>
      </c>
      <c r="W522" s="118">
        <v>40.782462602448099</v>
      </c>
      <c r="X522" s="118">
        <v>-86.762184549150206</v>
      </c>
      <c r="Y522" s="140">
        <f t="shared" si="76"/>
        <v>7</v>
      </c>
      <c r="Z522" s="140">
        <f t="shared" si="77"/>
        <v>14</v>
      </c>
      <c r="AA522" s="140">
        <f t="shared" si="78"/>
        <v>2025</v>
      </c>
      <c r="AC522" s="19">
        <v>45852</v>
      </c>
      <c r="AD522" s="181" t="s">
        <v>1594</v>
      </c>
      <c r="AF522" s="118"/>
      <c r="AG522" s="118"/>
    </row>
    <row r="523" spans="1:33" x14ac:dyDescent="0.25">
      <c r="A523" s="25">
        <v>10522</v>
      </c>
      <c r="B523" s="115" t="s">
        <v>711</v>
      </c>
      <c r="C523" s="121" t="s">
        <v>711</v>
      </c>
      <c r="D523" s="27">
        <v>4114</v>
      </c>
      <c r="E523" s="27">
        <v>14</v>
      </c>
      <c r="F523" s="118">
        <v>4225</v>
      </c>
      <c r="G523" t="s">
        <v>20</v>
      </c>
      <c r="H523" s="118" t="s">
        <v>8</v>
      </c>
      <c r="I523">
        <v>1.84E-2</v>
      </c>
      <c r="J523">
        <v>-0.14299999999999999</v>
      </c>
      <c r="K523">
        <v>1E-3</v>
      </c>
      <c r="L523" s="118">
        <v>0.17799999999999999</v>
      </c>
      <c r="M523" s="140">
        <f t="shared" si="79"/>
        <v>0.05</v>
      </c>
      <c r="N523" s="140">
        <f t="shared" si="79"/>
        <v>0.05</v>
      </c>
      <c r="O523" s="140">
        <f t="shared" si="79"/>
        <v>0.05</v>
      </c>
      <c r="P523" s="140">
        <f t="shared" si="80"/>
        <v>0.17799999999999999</v>
      </c>
      <c r="Q523" s="157">
        <v>0.2122328005489108</v>
      </c>
      <c r="R523" s="125">
        <v>76.156666666666652</v>
      </c>
      <c r="S523" s="125">
        <v>9.4966666666666679</v>
      </c>
      <c r="V523" s="146">
        <v>0.35</v>
      </c>
      <c r="W523" s="118">
        <v>40.807391854277199</v>
      </c>
      <c r="X523" s="118">
        <v>-86.785222646214706</v>
      </c>
      <c r="Y523" s="140">
        <f t="shared" si="76"/>
        <v>7</v>
      </c>
      <c r="Z523" s="140">
        <f t="shared" si="77"/>
        <v>14</v>
      </c>
      <c r="AA523" s="140">
        <f t="shared" si="78"/>
        <v>2025</v>
      </c>
      <c r="AC523" s="19">
        <v>45852</v>
      </c>
      <c r="AD523" s="181" t="s">
        <v>1595</v>
      </c>
      <c r="AF523" s="118"/>
      <c r="AG523" s="118"/>
    </row>
    <row r="524" spans="1:33" x14ac:dyDescent="0.25">
      <c r="A524" s="25">
        <v>10523</v>
      </c>
      <c r="B524" s="115" t="s">
        <v>712</v>
      </c>
      <c r="C524" s="121" t="s">
        <v>712</v>
      </c>
      <c r="D524" s="27">
        <v>4115</v>
      </c>
      <c r="E524" s="27">
        <v>15</v>
      </c>
      <c r="F524" s="118">
        <v>2905</v>
      </c>
      <c r="G524" t="s">
        <v>20</v>
      </c>
      <c r="H524" s="118" t="s">
        <v>8</v>
      </c>
      <c r="I524">
        <v>0.13650000000000001</v>
      </c>
      <c r="J524">
        <v>-0.14899999999999999</v>
      </c>
      <c r="K524">
        <v>8.0000000000000002E-3</v>
      </c>
      <c r="L524" s="118">
        <v>0.14599999999999999</v>
      </c>
      <c r="M524" s="140">
        <f t="shared" si="79"/>
        <v>0.13650000000000001</v>
      </c>
      <c r="N524" s="140">
        <f t="shared" si="79"/>
        <v>0.05</v>
      </c>
      <c r="O524" s="140">
        <f t="shared" si="79"/>
        <v>0.05</v>
      </c>
      <c r="P524" s="140">
        <f t="shared" si="80"/>
        <v>0.14599999999999999</v>
      </c>
      <c r="Q524" s="157">
        <v>0.19863449005674516</v>
      </c>
      <c r="R524" s="125">
        <v>51.126666666666665</v>
      </c>
      <c r="S524" s="125">
        <v>12.219999999999999</v>
      </c>
      <c r="V524" s="146">
        <v>0.4</v>
      </c>
      <c r="W524" s="118">
        <v>40.799228284449498</v>
      </c>
      <c r="X524" s="118">
        <v>-86.777772490616897</v>
      </c>
      <c r="Y524" s="140">
        <f t="shared" si="76"/>
        <v>7</v>
      </c>
      <c r="Z524" s="140">
        <f t="shared" si="77"/>
        <v>14</v>
      </c>
      <c r="AA524" s="140">
        <f t="shared" si="78"/>
        <v>2025</v>
      </c>
      <c r="AC524" s="19">
        <v>45852</v>
      </c>
      <c r="AD524" s="181" t="s">
        <v>1596</v>
      </c>
      <c r="AF524" s="118"/>
      <c r="AG524" s="118"/>
    </row>
    <row r="525" spans="1:33" x14ac:dyDescent="0.25">
      <c r="A525" s="25">
        <v>10524</v>
      </c>
      <c r="B525" s="113" t="s">
        <v>713</v>
      </c>
      <c r="C525" s="119" t="s">
        <v>713</v>
      </c>
      <c r="D525" s="27" t="s">
        <v>462</v>
      </c>
      <c r="E525" s="46">
        <v>1</v>
      </c>
      <c r="F525" s="118">
        <v>5999</v>
      </c>
      <c r="G525" t="s">
        <v>19</v>
      </c>
      <c r="H525" s="118" t="s">
        <v>8</v>
      </c>
      <c r="I525">
        <v>-3.56E-2</v>
      </c>
      <c r="J525">
        <v>3.9740000000000002</v>
      </c>
      <c r="K525">
        <v>-5.0000000000000001E-3</v>
      </c>
      <c r="L525" s="118">
        <v>4.5999999999999999E-2</v>
      </c>
      <c r="M525" s="140">
        <f t="shared" si="79"/>
        <v>0.05</v>
      </c>
      <c r="N525" s="140">
        <f t="shared" si="79"/>
        <v>3.9740000000000002</v>
      </c>
      <c r="O525" s="140">
        <f t="shared" si="79"/>
        <v>0.05</v>
      </c>
      <c r="P525" s="140">
        <f t="shared" si="80"/>
        <v>0.05</v>
      </c>
      <c r="Q525" s="179">
        <v>6.13</v>
      </c>
      <c r="R525" s="125">
        <v>33.446666666666665</v>
      </c>
      <c r="S525" s="125">
        <v>3.72</v>
      </c>
      <c r="V525" s="146">
        <v>0.3</v>
      </c>
      <c r="W525" s="118">
        <v>40.681715443684197</v>
      </c>
      <c r="X525" s="118">
        <v>-85.888915352108796</v>
      </c>
      <c r="Y525" s="140">
        <f t="shared" si="76"/>
        <v>7</v>
      </c>
      <c r="Z525" s="140">
        <f t="shared" si="77"/>
        <v>29</v>
      </c>
      <c r="AA525" s="140">
        <f t="shared" si="78"/>
        <v>2025</v>
      </c>
      <c r="AC525" s="19">
        <v>45867</v>
      </c>
      <c r="AD525" s="181" t="s">
        <v>1603</v>
      </c>
      <c r="AF525" s="118"/>
      <c r="AG525" s="118"/>
    </row>
    <row r="526" spans="1:33" x14ac:dyDescent="0.25">
      <c r="A526" s="25">
        <v>10525</v>
      </c>
      <c r="B526" s="113" t="s">
        <v>714</v>
      </c>
      <c r="C526" s="119" t="s">
        <v>714</v>
      </c>
      <c r="D526" s="56" t="s">
        <v>463</v>
      </c>
      <c r="E526" s="46">
        <v>2</v>
      </c>
      <c r="F526" s="118">
        <v>8861</v>
      </c>
      <c r="G526" t="s">
        <v>19</v>
      </c>
      <c r="H526" s="118" t="s">
        <v>8</v>
      </c>
      <c r="I526">
        <v>-3.4099999999999998E-2</v>
      </c>
      <c r="J526">
        <v>3.0569999999999999</v>
      </c>
      <c r="K526">
        <v>-4.0000000000000001E-3</v>
      </c>
      <c r="L526" s="118">
        <v>7.8E-2</v>
      </c>
      <c r="M526" s="140">
        <f t="shared" si="79"/>
        <v>0.05</v>
      </c>
      <c r="N526" s="140">
        <f t="shared" si="79"/>
        <v>3.0569999999999999</v>
      </c>
      <c r="O526" s="140">
        <f t="shared" si="79"/>
        <v>0.05</v>
      </c>
      <c r="P526" s="140">
        <f t="shared" si="80"/>
        <v>0.05</v>
      </c>
      <c r="Q526" s="179">
        <v>4.3140000000000001</v>
      </c>
      <c r="R526" s="125">
        <v>33.85</v>
      </c>
      <c r="S526" s="125">
        <v>3.1799999999999997</v>
      </c>
      <c r="V526" s="146">
        <v>0.3</v>
      </c>
      <c r="W526" s="118">
        <v>40.676774653178398</v>
      </c>
      <c r="X526" s="118">
        <v>-85.877066673718403</v>
      </c>
      <c r="Y526" s="140">
        <f t="shared" si="76"/>
        <v>7</v>
      </c>
      <c r="Z526" s="140">
        <f t="shared" si="77"/>
        <v>29</v>
      </c>
      <c r="AA526" s="140">
        <f t="shared" si="78"/>
        <v>2025</v>
      </c>
      <c r="AC526" s="19">
        <v>45867</v>
      </c>
      <c r="AD526" s="181" t="s">
        <v>1604</v>
      </c>
      <c r="AF526" s="118"/>
      <c r="AG526" s="118"/>
    </row>
    <row r="527" spans="1:33" x14ac:dyDescent="0.25">
      <c r="A527" s="25">
        <v>10526</v>
      </c>
      <c r="B527" s="113" t="s">
        <v>715</v>
      </c>
      <c r="C527" s="119" t="s">
        <v>715</v>
      </c>
      <c r="D527" s="27" t="s">
        <v>464</v>
      </c>
      <c r="E527" s="46">
        <v>3</v>
      </c>
      <c r="F527" s="118">
        <v>9921</v>
      </c>
      <c r="G527" t="s">
        <v>19</v>
      </c>
      <c r="H527" s="118" t="s">
        <v>8</v>
      </c>
      <c r="I527">
        <v>-3.4099999999999998E-2</v>
      </c>
      <c r="J527">
        <v>2.113</v>
      </c>
      <c r="K527">
        <v>0</v>
      </c>
      <c r="L527" s="118">
        <v>9.1999999999999998E-2</v>
      </c>
      <c r="M527" s="140">
        <f t="shared" si="79"/>
        <v>0.05</v>
      </c>
      <c r="N527" s="140">
        <f t="shared" si="79"/>
        <v>2.113</v>
      </c>
      <c r="O527" s="140">
        <f t="shared" si="79"/>
        <v>0.05</v>
      </c>
      <c r="P527" s="140">
        <f t="shared" si="80"/>
        <v>0.05</v>
      </c>
      <c r="Q527" s="179">
        <v>3.7069999999999999</v>
      </c>
      <c r="R527" s="125">
        <v>43.266666666666659</v>
      </c>
      <c r="S527" s="125">
        <v>3.5733333333333328</v>
      </c>
      <c r="V527" s="146">
        <v>0.3</v>
      </c>
      <c r="W527" s="118">
        <v>40.670702906704399</v>
      </c>
      <c r="X527" s="118">
        <v>-85.870287047360407</v>
      </c>
      <c r="Y527" s="140">
        <f t="shared" si="76"/>
        <v>7</v>
      </c>
      <c r="Z527" s="140">
        <f t="shared" si="77"/>
        <v>29</v>
      </c>
      <c r="AA527" s="140">
        <f t="shared" si="78"/>
        <v>2025</v>
      </c>
      <c r="AC527" s="19">
        <v>45867</v>
      </c>
      <c r="AD527" s="181" t="s">
        <v>1605</v>
      </c>
      <c r="AF527" s="118"/>
      <c r="AG527" s="118"/>
    </row>
    <row r="528" spans="1:33" x14ac:dyDescent="0.25">
      <c r="A528" s="25">
        <v>10527</v>
      </c>
      <c r="B528" s="113" t="s">
        <v>716</v>
      </c>
      <c r="C528" s="119" t="s">
        <v>716</v>
      </c>
      <c r="D528" s="27" t="s">
        <v>465</v>
      </c>
      <c r="E528" s="46">
        <v>4</v>
      </c>
      <c r="F528" s="118">
        <v>10891</v>
      </c>
      <c r="G528" t="s">
        <v>19</v>
      </c>
      <c r="H528" s="118" t="s">
        <v>8</v>
      </c>
      <c r="I528">
        <v>-3.8600000000000002E-2</v>
      </c>
      <c r="J528">
        <v>1.4079999999999999</v>
      </c>
      <c r="K528">
        <v>-3.0000000000000001E-3</v>
      </c>
      <c r="L528" s="118">
        <v>0.14699999999999999</v>
      </c>
      <c r="M528" s="140">
        <f t="shared" si="79"/>
        <v>0.05</v>
      </c>
      <c r="N528" s="140">
        <f t="shared" si="79"/>
        <v>1.4079999999999999</v>
      </c>
      <c r="O528" s="140">
        <f t="shared" si="79"/>
        <v>0.05</v>
      </c>
      <c r="P528" s="140">
        <f t="shared" si="80"/>
        <v>0.14699999999999999</v>
      </c>
      <c r="Q528" s="179">
        <v>4.0039999999999996</v>
      </c>
      <c r="R528" s="125">
        <v>62.243333333333339</v>
      </c>
      <c r="S528" s="125">
        <v>3.793333333333333</v>
      </c>
      <c r="V528" s="146">
        <v>0.33</v>
      </c>
      <c r="W528" s="118">
        <v>40.663126048620001</v>
      </c>
      <c r="X528" s="118">
        <v>-85.866510261553501</v>
      </c>
      <c r="Y528" s="140">
        <f t="shared" si="76"/>
        <v>7</v>
      </c>
      <c r="Z528" s="140">
        <f t="shared" si="77"/>
        <v>29</v>
      </c>
      <c r="AA528" s="140">
        <f t="shared" si="78"/>
        <v>2025</v>
      </c>
      <c r="AC528" s="19">
        <v>45867</v>
      </c>
      <c r="AD528" s="181">
        <v>33</v>
      </c>
      <c r="AF528" s="118"/>
      <c r="AG528" s="118"/>
    </row>
    <row r="529" spans="1:33" x14ac:dyDescent="0.25">
      <c r="A529" s="25">
        <v>10528</v>
      </c>
      <c r="B529" s="113" t="s">
        <v>717</v>
      </c>
      <c r="C529" s="119" t="s">
        <v>717</v>
      </c>
      <c r="D529" s="27" t="s">
        <v>466</v>
      </c>
      <c r="E529" s="46">
        <v>5</v>
      </c>
      <c r="F529" s="118">
        <v>12821</v>
      </c>
      <c r="G529" t="s">
        <v>19</v>
      </c>
      <c r="H529" s="118" t="s">
        <v>8</v>
      </c>
      <c r="I529">
        <v>-3.4700000000000002E-2</v>
      </c>
      <c r="J529">
        <v>0.80700000000000005</v>
      </c>
      <c r="K529">
        <v>3.0000000000000001E-3</v>
      </c>
      <c r="L529" s="118">
        <v>0.246</v>
      </c>
      <c r="M529" s="140">
        <f t="shared" si="79"/>
        <v>0.05</v>
      </c>
      <c r="N529" s="140">
        <f t="shared" si="79"/>
        <v>0.80700000000000005</v>
      </c>
      <c r="O529" s="140">
        <f t="shared" si="79"/>
        <v>0.05</v>
      </c>
      <c r="P529" s="140">
        <f t="shared" si="80"/>
        <v>0.246</v>
      </c>
      <c r="Q529" s="179">
        <v>7.4809999999999999</v>
      </c>
      <c r="R529" s="125">
        <v>86.89</v>
      </c>
      <c r="S529" s="125">
        <v>5.003333333333333</v>
      </c>
      <c r="V529" s="146">
        <v>0.1</v>
      </c>
      <c r="W529" s="118">
        <v>40.668584132438902</v>
      </c>
      <c r="X529" s="118">
        <v>-85.847961188463302</v>
      </c>
      <c r="Y529" s="140">
        <f t="shared" si="76"/>
        <v>7</v>
      </c>
      <c r="Z529" s="140">
        <f t="shared" si="77"/>
        <v>29</v>
      </c>
      <c r="AA529" s="140">
        <f t="shared" si="78"/>
        <v>2025</v>
      </c>
      <c r="AC529" s="19">
        <v>45867</v>
      </c>
      <c r="AD529" s="181" t="s">
        <v>1607</v>
      </c>
      <c r="AF529" s="118"/>
      <c r="AG529" s="118"/>
    </row>
    <row r="530" spans="1:33" x14ac:dyDescent="0.25">
      <c r="A530" s="25">
        <v>10529</v>
      </c>
      <c r="B530" s="113" t="s">
        <v>718</v>
      </c>
      <c r="C530" s="119" t="s">
        <v>718</v>
      </c>
      <c r="D530" s="27" t="s">
        <v>467</v>
      </c>
      <c r="E530" s="46">
        <v>6</v>
      </c>
      <c r="F530" s="118">
        <v>14351</v>
      </c>
      <c r="G530" t="s">
        <v>19</v>
      </c>
      <c r="H530" s="118" t="s">
        <v>8</v>
      </c>
      <c r="I530">
        <v>-3.6200000000000003E-2</v>
      </c>
      <c r="J530">
        <v>0.436</v>
      </c>
      <c r="K530">
        <v>2E-3</v>
      </c>
      <c r="L530" s="118">
        <v>0.21199999999999999</v>
      </c>
      <c r="M530" s="140">
        <f t="shared" ref="M530:O545" si="81">IF(I530&lt;0.1,0.05,I530)</f>
        <v>0.05</v>
      </c>
      <c r="N530" s="140">
        <f t="shared" si="81"/>
        <v>0.436</v>
      </c>
      <c r="O530" s="140">
        <f t="shared" si="81"/>
        <v>0.05</v>
      </c>
      <c r="P530" s="140">
        <f t="shared" si="80"/>
        <v>0.21199999999999999</v>
      </c>
      <c r="Q530" s="179">
        <v>6.5270000000000001</v>
      </c>
      <c r="R530" s="125">
        <v>41.793333333333329</v>
      </c>
      <c r="S530" s="125">
        <v>6</v>
      </c>
      <c r="V530" s="146">
        <v>0.15</v>
      </c>
      <c r="W530" s="118">
        <v>40.673703578553898</v>
      </c>
      <c r="X530" s="118">
        <v>-85.831961049337806</v>
      </c>
      <c r="Y530" s="140">
        <f t="shared" si="76"/>
        <v>7</v>
      </c>
      <c r="Z530" s="140">
        <f t="shared" si="77"/>
        <v>29</v>
      </c>
      <c r="AA530" s="140">
        <f t="shared" si="78"/>
        <v>2025</v>
      </c>
      <c r="AC530" s="19">
        <v>45867</v>
      </c>
      <c r="AD530" s="181">
        <v>33</v>
      </c>
      <c r="AF530" s="118"/>
      <c r="AG530" s="118"/>
    </row>
    <row r="531" spans="1:33" x14ac:dyDescent="0.25">
      <c r="A531" s="25">
        <v>10530</v>
      </c>
      <c r="B531" s="113" t="s">
        <v>719</v>
      </c>
      <c r="C531" s="119" t="s">
        <v>719</v>
      </c>
      <c r="D531" s="27" t="s">
        <v>468</v>
      </c>
      <c r="E531" s="46">
        <v>7</v>
      </c>
      <c r="F531" s="118">
        <v>6411</v>
      </c>
      <c r="G531" t="s">
        <v>19</v>
      </c>
      <c r="H531" s="118" t="s">
        <v>8</v>
      </c>
      <c r="I531">
        <v>-2.35E-2</v>
      </c>
      <c r="J531">
        <v>4.1449999999999996</v>
      </c>
      <c r="K531">
        <v>-4.0000000000000001E-3</v>
      </c>
      <c r="L531" s="118">
        <v>4.8000000000000001E-2</v>
      </c>
      <c r="M531" s="140">
        <f t="shared" si="81"/>
        <v>0.05</v>
      </c>
      <c r="N531" s="140">
        <f t="shared" si="81"/>
        <v>4.1449999999999996</v>
      </c>
      <c r="O531" s="140">
        <f t="shared" si="81"/>
        <v>0.05</v>
      </c>
      <c r="P531" s="140">
        <f t="shared" si="80"/>
        <v>0.05</v>
      </c>
      <c r="Q531" s="179">
        <v>6.39</v>
      </c>
      <c r="R531" s="125">
        <v>27.013333333333335</v>
      </c>
      <c r="S531" s="125">
        <v>3.9933333333333336</v>
      </c>
      <c r="V531" s="146">
        <v>0.35</v>
      </c>
      <c r="W531" s="118">
        <v>40.6877869571668</v>
      </c>
      <c r="X531" s="118">
        <v>-85.8965468123384</v>
      </c>
      <c r="Y531" s="140">
        <f t="shared" si="76"/>
        <v>7</v>
      </c>
      <c r="Z531" s="140">
        <f t="shared" si="77"/>
        <v>29</v>
      </c>
      <c r="AA531" s="140">
        <f t="shared" si="78"/>
        <v>2025</v>
      </c>
      <c r="AC531" s="19">
        <v>45867</v>
      </c>
      <c r="AD531" s="181" t="s">
        <v>1599</v>
      </c>
      <c r="AF531" s="118"/>
      <c r="AG531" s="118"/>
    </row>
    <row r="532" spans="1:33" x14ac:dyDescent="0.25">
      <c r="A532" s="25">
        <v>10531</v>
      </c>
      <c r="B532" s="113" t="s">
        <v>720</v>
      </c>
      <c r="C532" s="119" t="s">
        <v>720</v>
      </c>
      <c r="D532" s="27" t="s">
        <v>469</v>
      </c>
      <c r="E532" s="46">
        <v>8</v>
      </c>
      <c r="F532" s="118">
        <v>5401</v>
      </c>
      <c r="G532" t="s">
        <v>19</v>
      </c>
      <c r="H532" s="118" t="s">
        <v>8</v>
      </c>
      <c r="I532">
        <v>-2.9600000000000001E-2</v>
      </c>
      <c r="J532">
        <v>4.5599999999999996</v>
      </c>
      <c r="K532">
        <v>-5.0000000000000001E-3</v>
      </c>
      <c r="L532" s="118">
        <v>3.9E-2</v>
      </c>
      <c r="M532" s="140">
        <f t="shared" si="81"/>
        <v>0.05</v>
      </c>
      <c r="N532" s="140">
        <f t="shared" si="81"/>
        <v>4.5599999999999996</v>
      </c>
      <c r="O532" s="140">
        <f t="shared" si="81"/>
        <v>0.05</v>
      </c>
      <c r="P532" s="140">
        <f t="shared" si="80"/>
        <v>0.05</v>
      </c>
      <c r="Q532" s="179">
        <v>2.3370000000000002</v>
      </c>
      <c r="R532" s="125">
        <v>21.05</v>
      </c>
      <c r="S532" s="125">
        <v>3.33</v>
      </c>
      <c r="V532" s="146">
        <v>0.45</v>
      </c>
      <c r="W532" s="118">
        <v>40.691692164625003</v>
      </c>
      <c r="X532" s="118">
        <v>-85.908302779903494</v>
      </c>
      <c r="Y532" s="140">
        <f t="shared" si="76"/>
        <v>7</v>
      </c>
      <c r="Z532" s="140">
        <f t="shared" si="77"/>
        <v>29</v>
      </c>
      <c r="AA532" s="140">
        <f t="shared" si="78"/>
        <v>2025</v>
      </c>
      <c r="AC532" s="19">
        <v>45867</v>
      </c>
      <c r="AD532" s="181">
        <v>30</v>
      </c>
      <c r="AF532" s="118"/>
      <c r="AG532" s="118"/>
    </row>
    <row r="533" spans="1:33" x14ac:dyDescent="0.25">
      <c r="A533" s="25">
        <v>10532</v>
      </c>
      <c r="B533" s="113" t="s">
        <v>721</v>
      </c>
      <c r="C533" s="119" t="s">
        <v>721</v>
      </c>
      <c r="D533" s="27" t="s">
        <v>470</v>
      </c>
      <c r="E533" s="46">
        <v>9</v>
      </c>
      <c r="F533" s="118">
        <v>4381</v>
      </c>
      <c r="G533" t="s">
        <v>19</v>
      </c>
      <c r="H533" s="118" t="s">
        <v>8</v>
      </c>
      <c r="I533">
        <v>-3.4299999999999997E-2</v>
      </c>
      <c r="J533">
        <v>4.7859999999999996</v>
      </c>
      <c r="K533">
        <v>1E-3</v>
      </c>
      <c r="L533" s="118">
        <v>2.7E-2</v>
      </c>
      <c r="M533" s="140">
        <f t="shared" si="81"/>
        <v>0.05</v>
      </c>
      <c r="N533" s="140">
        <f t="shared" si="81"/>
        <v>4.7859999999999996</v>
      </c>
      <c r="O533" s="140">
        <f t="shared" si="81"/>
        <v>0.05</v>
      </c>
      <c r="P533" s="140">
        <f t="shared" si="80"/>
        <v>0.05</v>
      </c>
      <c r="Q533" s="179">
        <v>2.794</v>
      </c>
      <c r="R533" s="125">
        <v>14.136666666666668</v>
      </c>
      <c r="S533" s="125">
        <v>2.4266666666666663</v>
      </c>
      <c r="V533" s="146">
        <v>0.5</v>
      </c>
      <c r="W533" s="118">
        <v>40.704102311316397</v>
      </c>
      <c r="X533" s="118">
        <v>-85.929918426060894</v>
      </c>
      <c r="Y533" s="140">
        <f t="shared" si="76"/>
        <v>7</v>
      </c>
      <c r="Z533" s="140">
        <f t="shared" si="77"/>
        <v>29</v>
      </c>
      <c r="AA533" s="140">
        <f t="shared" si="78"/>
        <v>2025</v>
      </c>
      <c r="AC533" s="19">
        <v>45867</v>
      </c>
      <c r="AD533" s="181" t="s">
        <v>1601</v>
      </c>
      <c r="AF533" s="118"/>
      <c r="AG533" s="118"/>
    </row>
    <row r="534" spans="1:33" x14ac:dyDescent="0.25">
      <c r="A534" s="25">
        <v>10533</v>
      </c>
      <c r="B534" s="113" t="s">
        <v>722</v>
      </c>
      <c r="C534" s="119" t="s">
        <v>722</v>
      </c>
      <c r="D534" s="27" t="s">
        <v>471</v>
      </c>
      <c r="E534" s="46">
        <v>10</v>
      </c>
      <c r="F534" s="118">
        <v>2851</v>
      </c>
      <c r="G534" t="s">
        <v>19</v>
      </c>
      <c r="H534" s="118" t="s">
        <v>8</v>
      </c>
      <c r="I534">
        <v>-3.6499999999999998E-2</v>
      </c>
      <c r="J534">
        <v>4.5819999999999999</v>
      </c>
      <c r="K534">
        <v>-5.0000000000000001E-3</v>
      </c>
      <c r="L534" s="118">
        <v>0.03</v>
      </c>
      <c r="M534" s="140">
        <f t="shared" si="81"/>
        <v>0.05</v>
      </c>
      <c r="N534" s="140">
        <f t="shared" si="81"/>
        <v>4.5819999999999999</v>
      </c>
      <c r="O534" s="140">
        <f t="shared" si="81"/>
        <v>0.05</v>
      </c>
      <c r="P534" s="140">
        <f t="shared" si="80"/>
        <v>0.05</v>
      </c>
      <c r="Q534" s="179">
        <v>2.2690000000000001</v>
      </c>
      <c r="R534" s="125">
        <v>17.236666666666668</v>
      </c>
      <c r="S534" s="125">
        <v>2.9299999999999997</v>
      </c>
      <c r="V534" s="146">
        <v>0.45</v>
      </c>
      <c r="W534" s="118">
        <v>40.693372474722203</v>
      </c>
      <c r="X534" s="118">
        <v>-85.920155590694904</v>
      </c>
      <c r="Y534" s="140">
        <f t="shared" si="76"/>
        <v>7</v>
      </c>
      <c r="Z534" s="140">
        <f t="shared" si="77"/>
        <v>29</v>
      </c>
      <c r="AA534" s="140">
        <f t="shared" si="78"/>
        <v>2025</v>
      </c>
      <c r="AC534" s="19">
        <v>45867</v>
      </c>
      <c r="AD534" s="181" t="s">
        <v>1591</v>
      </c>
      <c r="AF534" s="118"/>
      <c r="AG534" s="118"/>
    </row>
    <row r="535" spans="1:33" x14ac:dyDescent="0.25">
      <c r="A535" s="25">
        <v>10534</v>
      </c>
      <c r="B535" s="113" t="s">
        <v>723</v>
      </c>
      <c r="C535" s="119" t="s">
        <v>723</v>
      </c>
      <c r="D535" s="27" t="s">
        <v>472</v>
      </c>
      <c r="E535" s="46">
        <v>11</v>
      </c>
      <c r="F535" s="118">
        <v>1731</v>
      </c>
      <c r="G535" t="s">
        <v>19</v>
      </c>
      <c r="H535" s="118" t="s">
        <v>8</v>
      </c>
      <c r="I535">
        <v>-2.2800000000000001E-2</v>
      </c>
      <c r="J535">
        <v>4.3689999999999998</v>
      </c>
      <c r="K535">
        <v>0</v>
      </c>
      <c r="L535" s="118">
        <v>2.9000000000000001E-2</v>
      </c>
      <c r="M535" s="140">
        <f t="shared" si="81"/>
        <v>0.05</v>
      </c>
      <c r="N535" s="140">
        <f t="shared" si="81"/>
        <v>4.3689999999999998</v>
      </c>
      <c r="O535" s="140">
        <f t="shared" si="81"/>
        <v>0.05</v>
      </c>
      <c r="P535" s="140">
        <f t="shared" si="80"/>
        <v>0.05</v>
      </c>
      <c r="Q535" s="179">
        <v>2.9740000000000002</v>
      </c>
      <c r="R535" s="125">
        <v>17.38</v>
      </c>
      <c r="S535" s="125">
        <v>1.7400000000000002</v>
      </c>
      <c r="V535" s="146">
        <v>0.45</v>
      </c>
      <c r="W535" s="118">
        <v>40.710955375621602</v>
      </c>
      <c r="X535" s="118">
        <v>-85.938327919424395</v>
      </c>
      <c r="Y535" s="140">
        <f t="shared" si="76"/>
        <v>7</v>
      </c>
      <c r="Z535" s="140">
        <f t="shared" si="77"/>
        <v>29</v>
      </c>
      <c r="AA535" s="140">
        <f t="shared" si="78"/>
        <v>2025</v>
      </c>
      <c r="AC535" s="19">
        <v>45867</v>
      </c>
      <c r="AD535" s="181" t="s">
        <v>1598</v>
      </c>
      <c r="AF535" s="118"/>
      <c r="AG535" s="118"/>
    </row>
    <row r="536" spans="1:33" x14ac:dyDescent="0.25">
      <c r="A536" s="25">
        <v>10535</v>
      </c>
      <c r="B536" s="113" t="s">
        <v>724</v>
      </c>
      <c r="C536" s="119" t="s">
        <v>724</v>
      </c>
      <c r="D536" s="27" t="s">
        <v>473</v>
      </c>
      <c r="E536" s="46">
        <v>12</v>
      </c>
      <c r="F536" s="118">
        <v>661</v>
      </c>
      <c r="G536" t="s">
        <v>19</v>
      </c>
      <c r="H536" s="118" t="s">
        <v>8</v>
      </c>
      <c r="I536">
        <v>-3.7499999999999999E-2</v>
      </c>
      <c r="J536">
        <v>4.952</v>
      </c>
      <c r="K536">
        <v>0</v>
      </c>
      <c r="L536" s="118">
        <v>2.1000000000000001E-2</v>
      </c>
      <c r="M536" s="140">
        <f t="shared" si="81"/>
        <v>0.05</v>
      </c>
      <c r="N536" s="140">
        <f t="shared" si="81"/>
        <v>4.952</v>
      </c>
      <c r="O536" s="140">
        <f t="shared" si="81"/>
        <v>0.05</v>
      </c>
      <c r="P536" s="140">
        <f t="shared" si="80"/>
        <v>0.05</v>
      </c>
      <c r="Q536" s="179">
        <v>3.5369999999999999</v>
      </c>
      <c r="R536" s="125">
        <v>11.606666666666667</v>
      </c>
      <c r="S536" s="125">
        <v>1.2666666666666666</v>
      </c>
      <c r="V536" s="146">
        <v>0.6</v>
      </c>
      <c r="W536" s="118">
        <v>40.711643982103404</v>
      </c>
      <c r="X536" s="118">
        <v>-85.9510161998043</v>
      </c>
      <c r="Y536" s="140">
        <f t="shared" si="76"/>
        <v>7</v>
      </c>
      <c r="Z536" s="140">
        <f t="shared" si="77"/>
        <v>29</v>
      </c>
      <c r="AA536" s="140">
        <f t="shared" si="78"/>
        <v>2025</v>
      </c>
      <c r="AC536" s="19">
        <v>45867</v>
      </c>
      <c r="AD536" s="181" t="s">
        <v>1602</v>
      </c>
      <c r="AF536" s="118"/>
      <c r="AG536" s="118"/>
    </row>
    <row r="537" spans="1:33" x14ac:dyDescent="0.25">
      <c r="A537" s="25">
        <v>10536</v>
      </c>
      <c r="B537" s="113" t="s">
        <v>725</v>
      </c>
      <c r="C537" s="119" t="s">
        <v>725</v>
      </c>
      <c r="D537" s="27" t="s">
        <v>474</v>
      </c>
      <c r="E537" s="46">
        <v>13</v>
      </c>
      <c r="F537" s="118">
        <v>13553</v>
      </c>
      <c r="G537" t="s">
        <v>19</v>
      </c>
      <c r="H537" s="118" t="s">
        <v>8</v>
      </c>
      <c r="I537">
        <v>-3.6600000000000001E-2</v>
      </c>
      <c r="J537">
        <v>0.32700000000000001</v>
      </c>
      <c r="K537">
        <v>-4.0000000000000001E-3</v>
      </c>
      <c r="L537" s="118">
        <v>0.16500000000000001</v>
      </c>
      <c r="M537" s="140">
        <f t="shared" si="81"/>
        <v>0.05</v>
      </c>
      <c r="N537" s="140">
        <f t="shared" si="81"/>
        <v>0.32700000000000001</v>
      </c>
      <c r="O537" s="140">
        <f t="shared" si="81"/>
        <v>0.05</v>
      </c>
      <c r="P537" s="140">
        <f t="shared" si="80"/>
        <v>0.16500000000000001</v>
      </c>
      <c r="Q537" s="179">
        <v>3.6819999999999999</v>
      </c>
      <c r="R537" s="125">
        <v>45.443333333333328</v>
      </c>
      <c r="S537" s="125">
        <v>4.1000000000000005</v>
      </c>
      <c r="V537" s="146">
        <v>0.12</v>
      </c>
      <c r="W537" s="118">
        <v>40.672481254051903</v>
      </c>
      <c r="X537" s="118">
        <v>-85.841489649811095</v>
      </c>
      <c r="Y537" s="140">
        <f t="shared" si="76"/>
        <v>7</v>
      </c>
      <c r="Z537" s="140">
        <f t="shared" si="77"/>
        <v>29</v>
      </c>
      <c r="AA537" s="140">
        <f t="shared" si="78"/>
        <v>2025</v>
      </c>
      <c r="AC537" s="19">
        <v>45867</v>
      </c>
      <c r="AD537" s="181">
        <v>33</v>
      </c>
      <c r="AF537" s="118"/>
      <c r="AG537" s="118"/>
    </row>
    <row r="538" spans="1:33" x14ac:dyDescent="0.25">
      <c r="A538" s="25">
        <v>10537</v>
      </c>
      <c r="B538" s="116" t="s">
        <v>726</v>
      </c>
      <c r="C538" s="122" t="s">
        <v>726</v>
      </c>
      <c r="D538" s="27">
        <v>4105</v>
      </c>
      <c r="E538" s="27">
        <v>5</v>
      </c>
      <c r="F538" s="118">
        <v>6425</v>
      </c>
      <c r="G538" t="s">
        <v>20</v>
      </c>
      <c r="H538" s="118" t="s">
        <v>8</v>
      </c>
      <c r="I538">
        <v>-3.5799999999999998E-2</v>
      </c>
      <c r="J538">
        <v>-0.219</v>
      </c>
      <c r="K538">
        <v>4.0000000000000001E-3</v>
      </c>
      <c r="L538" s="118">
        <v>0.13</v>
      </c>
      <c r="M538" s="140">
        <f t="shared" si="81"/>
        <v>0.05</v>
      </c>
      <c r="N538" s="140">
        <f t="shared" si="81"/>
        <v>0.05</v>
      </c>
      <c r="O538" s="140">
        <f t="shared" si="81"/>
        <v>0.05</v>
      </c>
      <c r="P538" s="140">
        <f t="shared" si="80"/>
        <v>0.13</v>
      </c>
      <c r="Q538" s="157">
        <v>8.6565158546017013E-2</v>
      </c>
      <c r="R538" s="125">
        <v>46.359999999999992</v>
      </c>
      <c r="S538" s="125">
        <v>10.463333333333333</v>
      </c>
      <c r="V538" s="146">
        <v>0.45</v>
      </c>
      <c r="W538" s="118">
        <v>40.823949102802104</v>
      </c>
      <c r="X538" s="118">
        <v>-86.7959033458676</v>
      </c>
      <c r="Y538" s="140">
        <f t="shared" si="76"/>
        <v>8</v>
      </c>
      <c r="Z538" s="140">
        <f t="shared" si="77"/>
        <v>5</v>
      </c>
      <c r="AA538" s="140">
        <f t="shared" si="78"/>
        <v>2025</v>
      </c>
      <c r="AC538" s="19">
        <v>45874</v>
      </c>
      <c r="AD538" s="181" t="s">
        <v>1615</v>
      </c>
      <c r="AF538" s="118"/>
      <c r="AG538" s="118"/>
    </row>
    <row r="539" spans="1:33" x14ac:dyDescent="0.25">
      <c r="A539" s="25">
        <v>10538</v>
      </c>
      <c r="B539" s="116" t="s">
        <v>727</v>
      </c>
      <c r="C539" s="122" t="s">
        <v>727</v>
      </c>
      <c r="D539" s="27">
        <v>4106</v>
      </c>
      <c r="E539" s="27">
        <v>6</v>
      </c>
      <c r="F539" s="118">
        <v>8245</v>
      </c>
      <c r="G539" t="s">
        <v>20</v>
      </c>
      <c r="H539" s="118" t="s">
        <v>8</v>
      </c>
      <c r="I539">
        <v>-1.6400000000000001E-2</v>
      </c>
      <c r="J539">
        <v>1.171</v>
      </c>
      <c r="K539">
        <v>1.2999999999999999E-2</v>
      </c>
      <c r="L539" s="118">
        <v>5.1999999999999998E-2</v>
      </c>
      <c r="M539" s="140">
        <f t="shared" si="81"/>
        <v>0.05</v>
      </c>
      <c r="N539" s="140">
        <f t="shared" si="81"/>
        <v>1.171</v>
      </c>
      <c r="O539" s="140">
        <f t="shared" si="81"/>
        <v>0.05</v>
      </c>
      <c r="P539" s="140">
        <f t="shared" si="80"/>
        <v>0.05</v>
      </c>
      <c r="Q539" s="157">
        <v>0.10600338135726661</v>
      </c>
      <c r="R539" s="125">
        <v>2.94</v>
      </c>
      <c r="S539" s="125">
        <v>1.18</v>
      </c>
      <c r="V539" s="146">
        <v>1</v>
      </c>
      <c r="W539" s="118">
        <v>40.834960960529898</v>
      </c>
      <c r="X539" s="118">
        <v>-86.781875828450396</v>
      </c>
      <c r="Y539" s="140">
        <f t="shared" si="76"/>
        <v>8</v>
      </c>
      <c r="Z539" s="140">
        <f t="shared" si="77"/>
        <v>5</v>
      </c>
      <c r="AA539" s="140">
        <f t="shared" si="78"/>
        <v>2025</v>
      </c>
      <c r="AC539" s="19">
        <v>45874</v>
      </c>
      <c r="AD539" s="181" t="s">
        <v>1608</v>
      </c>
      <c r="AF539" s="118"/>
      <c r="AG539" s="118"/>
    </row>
    <row r="540" spans="1:33" x14ac:dyDescent="0.25">
      <c r="A540" s="25">
        <v>10539</v>
      </c>
      <c r="B540" s="116" t="s">
        <v>728</v>
      </c>
      <c r="C540" s="122" t="s">
        <v>728</v>
      </c>
      <c r="D540" s="27">
        <v>4108</v>
      </c>
      <c r="E540" s="27">
        <v>8</v>
      </c>
      <c r="F540" s="118">
        <v>5065</v>
      </c>
      <c r="G540" t="s">
        <v>20</v>
      </c>
      <c r="H540" s="118" t="s">
        <v>8</v>
      </c>
      <c r="I540">
        <v>-7.0000000000000001E-3</v>
      </c>
      <c r="J540">
        <v>1.1859999999999999</v>
      </c>
      <c r="K540">
        <v>3.4000000000000002E-2</v>
      </c>
      <c r="L540" s="118">
        <v>0.106</v>
      </c>
      <c r="M540" s="140">
        <f t="shared" si="81"/>
        <v>0.05</v>
      </c>
      <c r="N540" s="140">
        <f t="shared" si="81"/>
        <v>1.1859999999999999</v>
      </c>
      <c r="O540" s="140">
        <f t="shared" si="81"/>
        <v>0.05</v>
      </c>
      <c r="P540" s="140">
        <f t="shared" si="80"/>
        <v>0.106</v>
      </c>
      <c r="Q540" s="157">
        <v>0.12459179569057922</v>
      </c>
      <c r="R540" s="125">
        <v>12.72</v>
      </c>
      <c r="S540" s="125">
        <v>4.6399999999999997</v>
      </c>
      <c r="V540" s="146">
        <v>0.6</v>
      </c>
      <c r="W540" s="118">
        <v>40.811186474031999</v>
      </c>
      <c r="X540" s="118">
        <v>-86.794330203868697</v>
      </c>
      <c r="Y540" s="140">
        <f t="shared" si="76"/>
        <v>8</v>
      </c>
      <c r="Z540" s="140">
        <f t="shared" si="77"/>
        <v>5</v>
      </c>
      <c r="AA540" s="140">
        <f t="shared" si="78"/>
        <v>2025</v>
      </c>
      <c r="AC540" s="19">
        <v>45874</v>
      </c>
      <c r="AD540" s="181" t="s">
        <v>1614</v>
      </c>
      <c r="AF540" s="118"/>
      <c r="AG540" s="118"/>
    </row>
    <row r="541" spans="1:33" x14ac:dyDescent="0.25">
      <c r="A541" s="25">
        <v>10540</v>
      </c>
      <c r="B541" s="116" t="s">
        <v>729</v>
      </c>
      <c r="C541" s="122" t="s">
        <v>729</v>
      </c>
      <c r="D541" s="27">
        <v>4109</v>
      </c>
      <c r="E541" s="27">
        <v>9</v>
      </c>
      <c r="F541" s="118">
        <v>3385</v>
      </c>
      <c r="G541" t="s">
        <v>20</v>
      </c>
      <c r="H541" s="118" t="s">
        <v>8</v>
      </c>
      <c r="I541">
        <v>-3.3500000000000002E-2</v>
      </c>
      <c r="J541">
        <v>0.755</v>
      </c>
      <c r="K541">
        <v>6.0000000000000001E-3</v>
      </c>
      <c r="L541" s="118">
        <v>0.106</v>
      </c>
      <c r="M541" s="140">
        <f t="shared" si="81"/>
        <v>0.05</v>
      </c>
      <c r="N541" s="140">
        <f t="shared" si="81"/>
        <v>0.755</v>
      </c>
      <c r="O541" s="140">
        <f t="shared" si="81"/>
        <v>0.05</v>
      </c>
      <c r="P541" s="140">
        <f t="shared" si="80"/>
        <v>0.106</v>
      </c>
      <c r="Q541" s="157">
        <v>9.9759047696412945E-2</v>
      </c>
      <c r="R541" s="125">
        <v>28.939999999999998</v>
      </c>
      <c r="S541" s="125">
        <v>9.4933333333333341</v>
      </c>
      <c r="V541" s="146">
        <v>0.6</v>
      </c>
      <c r="W541" s="118">
        <v>40.804292107400101</v>
      </c>
      <c r="X541" s="118">
        <v>-86.774821942976104</v>
      </c>
      <c r="Y541" s="140">
        <f t="shared" si="76"/>
        <v>8</v>
      </c>
      <c r="Z541" s="140">
        <f t="shared" si="77"/>
        <v>5</v>
      </c>
      <c r="AA541" s="140">
        <f t="shared" si="78"/>
        <v>2025</v>
      </c>
      <c r="AC541" s="19">
        <v>45874</v>
      </c>
      <c r="AD541" s="181" t="s">
        <v>1612</v>
      </c>
      <c r="AF541" s="118"/>
      <c r="AG541" s="118"/>
    </row>
    <row r="542" spans="1:33" x14ac:dyDescent="0.25">
      <c r="A542" s="25">
        <v>10541</v>
      </c>
      <c r="B542" s="116" t="s">
        <v>730</v>
      </c>
      <c r="C542" s="122" t="s">
        <v>730</v>
      </c>
      <c r="D542" s="27">
        <v>4110</v>
      </c>
      <c r="E542" s="27">
        <v>10</v>
      </c>
      <c r="F542" s="118">
        <v>2205</v>
      </c>
      <c r="G542" t="s">
        <v>20</v>
      </c>
      <c r="H542" s="118" t="s">
        <v>8</v>
      </c>
      <c r="I542">
        <v>-2.8799999999999999E-2</v>
      </c>
      <c r="J542">
        <v>0.78800000000000003</v>
      </c>
      <c r="K542">
        <v>1.2E-2</v>
      </c>
      <c r="L542" s="118">
        <v>0.10299999999999999</v>
      </c>
      <c r="M542" s="140">
        <f t="shared" si="81"/>
        <v>0.05</v>
      </c>
      <c r="N542" s="140">
        <f t="shared" si="81"/>
        <v>0.78800000000000003</v>
      </c>
      <c r="O542" s="140">
        <f t="shared" si="81"/>
        <v>0.05</v>
      </c>
      <c r="P542" s="140">
        <f t="shared" si="80"/>
        <v>0.10299999999999999</v>
      </c>
      <c r="Q542" s="157">
        <v>0.05</v>
      </c>
      <c r="R542" s="125">
        <v>27.58666666666667</v>
      </c>
      <c r="S542" s="125">
        <v>11.576666666666668</v>
      </c>
      <c r="V542" s="146">
        <v>0.6</v>
      </c>
      <c r="W542" s="118">
        <v>40.794741681526801</v>
      </c>
      <c r="X542" s="118">
        <v>-86.774699849441205</v>
      </c>
      <c r="Y542" s="140">
        <f t="shared" si="76"/>
        <v>8</v>
      </c>
      <c r="Z542" s="140">
        <f t="shared" si="77"/>
        <v>5</v>
      </c>
      <c r="AA542" s="140">
        <f t="shared" si="78"/>
        <v>2025</v>
      </c>
      <c r="AC542" s="19">
        <v>45874</v>
      </c>
      <c r="AD542" s="181" t="s">
        <v>1610</v>
      </c>
      <c r="AF542" s="118"/>
      <c r="AG542" s="118"/>
    </row>
    <row r="543" spans="1:33" x14ac:dyDescent="0.25">
      <c r="A543" s="25">
        <v>10542</v>
      </c>
      <c r="B543" s="116" t="s">
        <v>731</v>
      </c>
      <c r="C543" s="122" t="s">
        <v>731</v>
      </c>
      <c r="D543" s="27">
        <v>4111</v>
      </c>
      <c r="E543" s="27">
        <v>11</v>
      </c>
      <c r="F543" s="118">
        <v>1385</v>
      </c>
      <c r="G543" t="s">
        <v>20</v>
      </c>
      <c r="H543" s="118" t="s">
        <v>8</v>
      </c>
      <c r="I543">
        <v>2.3300000000000001E-2</v>
      </c>
      <c r="J543">
        <v>0.76300000000000001</v>
      </c>
      <c r="K543">
        <v>2.9000000000000001E-2</v>
      </c>
      <c r="L543" s="118">
        <v>0.12</v>
      </c>
      <c r="M543" s="140">
        <f t="shared" si="81"/>
        <v>0.05</v>
      </c>
      <c r="N543" s="140">
        <f t="shared" si="81"/>
        <v>0.76300000000000001</v>
      </c>
      <c r="O543" s="140">
        <f t="shared" si="81"/>
        <v>0.05</v>
      </c>
      <c r="P543" s="140">
        <f t="shared" si="80"/>
        <v>0.12</v>
      </c>
      <c r="Q543" s="157">
        <v>0.05</v>
      </c>
      <c r="R543" s="125">
        <v>22.053333333333331</v>
      </c>
      <c r="S543" s="125">
        <v>12.160000000000002</v>
      </c>
      <c r="V543" s="146">
        <v>0.6</v>
      </c>
      <c r="W543" s="118">
        <v>40.788612939137003</v>
      </c>
      <c r="X543" s="118">
        <v>-86.772086740762006</v>
      </c>
      <c r="Y543" s="140">
        <f t="shared" si="76"/>
        <v>8</v>
      </c>
      <c r="Z543" s="140">
        <f t="shared" si="77"/>
        <v>5</v>
      </c>
      <c r="AA543" s="140">
        <f t="shared" si="78"/>
        <v>2025</v>
      </c>
      <c r="AC543" s="19">
        <v>45874</v>
      </c>
      <c r="AD543" s="181" t="s">
        <v>1608</v>
      </c>
      <c r="AF543" s="118"/>
      <c r="AG543" s="118"/>
    </row>
    <row r="544" spans="1:33" x14ac:dyDescent="0.25">
      <c r="A544" s="25">
        <v>10543</v>
      </c>
      <c r="B544" s="116" t="s">
        <v>732</v>
      </c>
      <c r="C544" s="122" t="s">
        <v>732</v>
      </c>
      <c r="D544" s="27">
        <v>4112</v>
      </c>
      <c r="E544" s="27">
        <v>12</v>
      </c>
      <c r="F544" s="118">
        <v>275</v>
      </c>
      <c r="G544" t="s">
        <v>20</v>
      </c>
      <c r="H544" s="118" t="s">
        <v>8</v>
      </c>
      <c r="I544">
        <v>-1.7500000000000002E-2</v>
      </c>
      <c r="J544">
        <v>0.75800000000000001</v>
      </c>
      <c r="K544">
        <v>1.7999999999999999E-2</v>
      </c>
      <c r="L544" s="118">
        <v>9.4E-2</v>
      </c>
      <c r="M544" s="140">
        <f t="shared" si="81"/>
        <v>0.05</v>
      </c>
      <c r="N544" s="140">
        <f t="shared" si="81"/>
        <v>0.75800000000000001</v>
      </c>
      <c r="O544" s="140">
        <f t="shared" si="81"/>
        <v>0.05</v>
      </c>
      <c r="P544" s="140">
        <f t="shared" si="80"/>
        <v>0.05</v>
      </c>
      <c r="Q544" s="157">
        <v>0.05</v>
      </c>
      <c r="R544" s="125">
        <v>17.346666666666664</v>
      </c>
      <c r="S544" s="125">
        <v>9.706666666666667</v>
      </c>
      <c r="V544" s="146">
        <v>0.7</v>
      </c>
      <c r="W544" s="118">
        <v>40.782407876290399</v>
      </c>
      <c r="X544" s="118">
        <v>-86.762338858064993</v>
      </c>
      <c r="Y544" s="140">
        <f t="shared" si="76"/>
        <v>8</v>
      </c>
      <c r="Z544" s="140">
        <f t="shared" si="77"/>
        <v>5</v>
      </c>
      <c r="AA544" s="140">
        <f t="shared" si="78"/>
        <v>2025</v>
      </c>
      <c r="AC544" s="19">
        <v>45874</v>
      </c>
      <c r="AD544" s="181" t="s">
        <v>1609</v>
      </c>
      <c r="AF544" s="118"/>
      <c r="AG544" s="118"/>
    </row>
    <row r="545" spans="1:33" x14ac:dyDescent="0.25">
      <c r="A545" s="25">
        <v>10544</v>
      </c>
      <c r="B545" s="116" t="s">
        <v>733</v>
      </c>
      <c r="C545" s="122" t="s">
        <v>733</v>
      </c>
      <c r="D545" s="27">
        <v>4114</v>
      </c>
      <c r="E545" s="27">
        <v>14</v>
      </c>
      <c r="F545" s="118">
        <v>4225</v>
      </c>
      <c r="G545" t="s">
        <v>20</v>
      </c>
      <c r="H545" s="118" t="s">
        <v>8</v>
      </c>
      <c r="I545">
        <v>-2.8899999999999999E-2</v>
      </c>
      <c r="J545">
        <v>0.88400000000000001</v>
      </c>
      <c r="K545">
        <v>2.4E-2</v>
      </c>
      <c r="L545" s="118">
        <v>0.11</v>
      </c>
      <c r="M545" s="140">
        <f t="shared" si="81"/>
        <v>0.05</v>
      </c>
      <c r="N545" s="140">
        <f t="shared" si="81"/>
        <v>0.88400000000000001</v>
      </c>
      <c r="O545" s="140">
        <f t="shared" si="81"/>
        <v>0.05</v>
      </c>
      <c r="P545" s="140">
        <f t="shared" si="80"/>
        <v>0.11</v>
      </c>
      <c r="Q545" s="157">
        <v>0.05</v>
      </c>
      <c r="R545" s="125">
        <v>27.223333333333333</v>
      </c>
      <c r="S545" s="125">
        <v>8.0133333333333336</v>
      </c>
      <c r="V545" s="146">
        <v>0.6</v>
      </c>
      <c r="W545" s="118">
        <v>40.807363505644901</v>
      </c>
      <c r="X545" s="118">
        <v>-86.785416838958895</v>
      </c>
      <c r="Y545" s="140">
        <f t="shared" si="76"/>
        <v>8</v>
      </c>
      <c r="Z545" s="140">
        <f t="shared" si="77"/>
        <v>5</v>
      </c>
      <c r="AA545" s="140">
        <f t="shared" si="78"/>
        <v>2025</v>
      </c>
      <c r="AC545" s="19">
        <v>45874</v>
      </c>
      <c r="AD545" s="181" t="s">
        <v>1613</v>
      </c>
      <c r="AF545" s="118"/>
      <c r="AG545" s="118"/>
    </row>
    <row r="546" spans="1:33" x14ac:dyDescent="0.25">
      <c r="A546" s="25">
        <v>10545</v>
      </c>
      <c r="B546" s="116" t="s">
        <v>734</v>
      </c>
      <c r="C546" s="122" t="s">
        <v>734</v>
      </c>
      <c r="D546" s="27">
        <v>4115</v>
      </c>
      <c r="E546" s="27">
        <v>15</v>
      </c>
      <c r="F546" s="118">
        <v>2905</v>
      </c>
      <c r="G546" t="s">
        <v>20</v>
      </c>
      <c r="H546" s="118" t="s">
        <v>8</v>
      </c>
      <c r="I546">
        <v>-2.4799999999999999E-2</v>
      </c>
      <c r="J546">
        <v>0.78400000000000003</v>
      </c>
      <c r="K546">
        <v>1.0999999999999999E-2</v>
      </c>
      <c r="L546" s="118">
        <v>0.108</v>
      </c>
      <c r="M546" s="140">
        <f t="shared" ref="M546:O561" si="82">IF(I546&lt;0.1,0.05,I546)</f>
        <v>0.05</v>
      </c>
      <c r="N546" s="140">
        <f t="shared" si="82"/>
        <v>0.78400000000000003</v>
      </c>
      <c r="O546" s="140">
        <f t="shared" si="82"/>
        <v>0.05</v>
      </c>
      <c r="P546" s="140">
        <f t="shared" si="80"/>
        <v>0.108</v>
      </c>
      <c r="Q546" s="157">
        <v>0.05</v>
      </c>
      <c r="R546" s="125">
        <v>30.203333333333333</v>
      </c>
      <c r="S546" s="125">
        <v>11.39</v>
      </c>
      <c r="V546" s="146">
        <v>0.6</v>
      </c>
      <c r="W546" s="118">
        <v>40.799284862032501</v>
      </c>
      <c r="X546" s="118">
        <v>-86.777852356195098</v>
      </c>
      <c r="Y546" s="140">
        <f t="shared" si="76"/>
        <v>8</v>
      </c>
      <c r="Z546" s="140">
        <f t="shared" si="77"/>
        <v>5</v>
      </c>
      <c r="AA546" s="140">
        <f t="shared" si="78"/>
        <v>2025</v>
      </c>
      <c r="AC546" s="19">
        <v>45874</v>
      </c>
      <c r="AD546" s="181" t="s">
        <v>1611</v>
      </c>
      <c r="AF546" s="118"/>
      <c r="AG546" s="118"/>
    </row>
    <row r="547" spans="1:33" x14ac:dyDescent="0.25">
      <c r="A547" s="25">
        <v>10546</v>
      </c>
      <c r="B547" s="116" t="s">
        <v>735</v>
      </c>
      <c r="C547" s="122" t="s">
        <v>735</v>
      </c>
      <c r="D547" s="27">
        <v>4116</v>
      </c>
      <c r="E547" s="27">
        <v>16</v>
      </c>
      <c r="F547" s="118">
        <v>5604</v>
      </c>
      <c r="G547" t="s">
        <v>20</v>
      </c>
      <c r="H547" s="118" t="s">
        <v>8</v>
      </c>
      <c r="I547">
        <v>-3.1899999999999998E-2</v>
      </c>
      <c r="J547">
        <v>1.1120000000000001</v>
      </c>
      <c r="K547">
        <v>1.4999999999999999E-2</v>
      </c>
      <c r="L547" s="118">
        <v>9.0999999999999998E-2</v>
      </c>
      <c r="M547" s="140">
        <f t="shared" si="82"/>
        <v>0.05</v>
      </c>
      <c r="N547" s="140">
        <f t="shared" si="82"/>
        <v>1.1120000000000001</v>
      </c>
      <c r="O547" s="140">
        <f t="shared" si="82"/>
        <v>0.05</v>
      </c>
      <c r="P547" s="140">
        <f t="shared" si="80"/>
        <v>0.05</v>
      </c>
      <c r="Q547" s="157">
        <v>0.05</v>
      </c>
      <c r="R547" s="125">
        <v>6.1433333333333335</v>
      </c>
      <c r="S547" s="125">
        <v>1.84</v>
      </c>
      <c r="V547" s="146">
        <v>0.75</v>
      </c>
      <c r="W547" s="118">
        <v>40.818374468400101</v>
      </c>
      <c r="X547" s="118">
        <v>-86.790997799464705</v>
      </c>
      <c r="Y547" s="140">
        <f t="shared" si="76"/>
        <v>8</v>
      </c>
      <c r="Z547" s="140">
        <f t="shared" si="77"/>
        <v>5</v>
      </c>
      <c r="AA547" s="140">
        <f t="shared" si="78"/>
        <v>2025</v>
      </c>
      <c r="AC547" s="19">
        <v>45874</v>
      </c>
      <c r="AD547" s="181" t="s">
        <v>1616</v>
      </c>
      <c r="AF547" s="118"/>
      <c r="AG547" s="118"/>
    </row>
    <row r="548" spans="1:33" x14ac:dyDescent="0.25">
      <c r="A548" s="25">
        <v>10547</v>
      </c>
      <c r="B548" s="113" t="s">
        <v>736</v>
      </c>
      <c r="C548" s="119" t="s">
        <v>736</v>
      </c>
      <c r="D548" s="27" t="s">
        <v>462</v>
      </c>
      <c r="E548" s="46">
        <v>1</v>
      </c>
      <c r="F548" s="118">
        <v>5999</v>
      </c>
      <c r="G548" t="s">
        <v>19</v>
      </c>
      <c r="H548" s="118" t="s">
        <v>8</v>
      </c>
      <c r="I548">
        <v>-4.0099999999999997E-2</v>
      </c>
      <c r="J548">
        <v>2.9489999999999998</v>
      </c>
      <c r="K548">
        <v>-1E-3</v>
      </c>
      <c r="L548" s="118">
        <v>5.2999999999999999E-2</v>
      </c>
      <c r="M548" s="140">
        <f t="shared" si="82"/>
        <v>0.05</v>
      </c>
      <c r="N548" s="140">
        <f t="shared" si="82"/>
        <v>2.9489999999999998</v>
      </c>
      <c r="O548" s="140">
        <f t="shared" si="82"/>
        <v>0.05</v>
      </c>
      <c r="P548" s="140">
        <f t="shared" si="80"/>
        <v>0.05</v>
      </c>
      <c r="Q548" s="179">
        <v>0.86033688276884446</v>
      </c>
      <c r="R548" s="125">
        <v>9.9333333333333336</v>
      </c>
      <c r="S548" s="125">
        <v>2.68</v>
      </c>
      <c r="V548" s="146">
        <v>0.6</v>
      </c>
      <c r="W548" s="118">
        <v>40.681699086124503</v>
      </c>
      <c r="X548" s="118">
        <v>-85.888865343207399</v>
      </c>
      <c r="Y548" s="140">
        <f t="shared" si="76"/>
        <v>8</v>
      </c>
      <c r="Z548" s="140">
        <f t="shared" si="77"/>
        <v>6</v>
      </c>
      <c r="AA548" s="140">
        <f t="shared" si="78"/>
        <v>2025</v>
      </c>
      <c r="AC548" s="19">
        <v>45875</v>
      </c>
      <c r="AD548" s="181" t="s">
        <v>1617</v>
      </c>
      <c r="AF548" s="118"/>
      <c r="AG548" s="118"/>
    </row>
    <row r="549" spans="1:33" x14ac:dyDescent="0.25">
      <c r="A549" s="25">
        <v>10548</v>
      </c>
      <c r="B549" s="113" t="s">
        <v>737</v>
      </c>
      <c r="C549" s="119" t="s">
        <v>737</v>
      </c>
      <c r="D549" s="56" t="s">
        <v>463</v>
      </c>
      <c r="E549" s="46">
        <v>2</v>
      </c>
      <c r="F549" s="118">
        <v>8861</v>
      </c>
      <c r="G549" s="118" t="s">
        <v>19</v>
      </c>
      <c r="H549" s="118" t="s">
        <v>8</v>
      </c>
      <c r="I549">
        <v>-4.2000000000000003E-2</v>
      </c>
      <c r="J549">
        <v>2.0310000000000001</v>
      </c>
      <c r="K549">
        <v>4.0000000000000001E-3</v>
      </c>
      <c r="L549" s="118">
        <v>0.09</v>
      </c>
      <c r="M549" s="140">
        <f t="shared" si="82"/>
        <v>0.05</v>
      </c>
      <c r="N549" s="140">
        <f t="shared" si="82"/>
        <v>2.0310000000000001</v>
      </c>
      <c r="O549" s="140">
        <f t="shared" si="82"/>
        <v>0.05</v>
      </c>
      <c r="P549" s="140">
        <f t="shared" si="80"/>
        <v>0.05</v>
      </c>
      <c r="Q549" s="179">
        <v>1.7680698419797252</v>
      </c>
      <c r="R549" s="125">
        <v>39.330000000000005</v>
      </c>
      <c r="S549" s="125">
        <v>6.2</v>
      </c>
      <c r="V549" s="146">
        <v>0.5</v>
      </c>
      <c r="W549" s="118">
        <v>40.676850337058198</v>
      </c>
      <c r="X549" s="118">
        <v>-85.877077932975695</v>
      </c>
      <c r="Y549" s="140">
        <f t="shared" si="76"/>
        <v>8</v>
      </c>
      <c r="Z549" s="140">
        <f t="shared" si="77"/>
        <v>6</v>
      </c>
      <c r="AA549" s="140">
        <f t="shared" si="78"/>
        <v>2025</v>
      </c>
      <c r="AC549" s="19">
        <v>45875</v>
      </c>
      <c r="AD549" s="181" t="s">
        <v>1597</v>
      </c>
      <c r="AF549" s="118"/>
      <c r="AG549" s="118"/>
    </row>
    <row r="550" spans="1:33" x14ac:dyDescent="0.25">
      <c r="A550" s="25">
        <v>10549</v>
      </c>
      <c r="B550" s="113" t="s">
        <v>738</v>
      </c>
      <c r="C550" s="119" t="s">
        <v>738</v>
      </c>
      <c r="D550" s="27" t="s">
        <v>464</v>
      </c>
      <c r="E550" s="46">
        <v>3</v>
      </c>
      <c r="F550" s="118">
        <v>9921</v>
      </c>
      <c r="G550" s="118" t="s">
        <v>19</v>
      </c>
      <c r="H550" s="118" t="s">
        <v>8</v>
      </c>
      <c r="I550">
        <v>-3.6999999999999998E-2</v>
      </c>
      <c r="J550">
        <v>2.036</v>
      </c>
      <c r="K550">
        <v>-1E-3</v>
      </c>
      <c r="L550" s="118">
        <v>0.11</v>
      </c>
      <c r="M550" s="140">
        <f t="shared" si="82"/>
        <v>0.05</v>
      </c>
      <c r="N550" s="140">
        <f t="shared" si="82"/>
        <v>2.036</v>
      </c>
      <c r="O550" s="140">
        <f t="shared" si="82"/>
        <v>0.05</v>
      </c>
      <c r="P550" s="140">
        <f t="shared" si="80"/>
        <v>0.11</v>
      </c>
      <c r="Q550" s="179">
        <v>4.2411015815085129</v>
      </c>
      <c r="R550" s="125">
        <v>53.24</v>
      </c>
      <c r="S550" s="125">
        <v>5.875</v>
      </c>
      <c r="V550" s="146">
        <v>0.35</v>
      </c>
      <c r="W550" s="118">
        <v>40.6707760913608</v>
      </c>
      <c r="X550" s="118">
        <v>-85.870347039790502</v>
      </c>
      <c r="Y550" s="140">
        <f t="shared" si="76"/>
        <v>8</v>
      </c>
      <c r="Z550" s="140">
        <f t="shared" si="77"/>
        <v>6</v>
      </c>
      <c r="AA550" s="140">
        <f t="shared" si="78"/>
        <v>2025</v>
      </c>
      <c r="AC550" s="19">
        <v>45875</v>
      </c>
      <c r="AD550" s="181" t="s">
        <v>1593</v>
      </c>
      <c r="AF550" s="118"/>
      <c r="AG550" s="118"/>
    </row>
    <row r="551" spans="1:33" x14ac:dyDescent="0.25">
      <c r="A551" s="25">
        <v>10550</v>
      </c>
      <c r="B551" s="113" t="s">
        <v>739</v>
      </c>
      <c r="C551" s="119" t="s">
        <v>739</v>
      </c>
      <c r="D551" s="27" t="s">
        <v>465</v>
      </c>
      <c r="E551" s="46">
        <v>4</v>
      </c>
      <c r="F551" s="118">
        <v>10891</v>
      </c>
      <c r="G551" s="118" t="s">
        <v>19</v>
      </c>
      <c r="H551" s="118" t="s">
        <v>8</v>
      </c>
      <c r="I551">
        <v>-2.92E-2</v>
      </c>
      <c r="J551">
        <v>1.4870000000000001</v>
      </c>
      <c r="K551">
        <v>6.0000000000000001E-3</v>
      </c>
      <c r="L551" s="118">
        <v>0.24199999999999999</v>
      </c>
      <c r="M551" s="140">
        <f t="shared" si="82"/>
        <v>0.05</v>
      </c>
      <c r="N551" s="140">
        <f t="shared" si="82"/>
        <v>1.4870000000000001</v>
      </c>
      <c r="O551" s="140">
        <f t="shared" si="82"/>
        <v>0.05</v>
      </c>
      <c r="P551" s="140">
        <f t="shared" si="80"/>
        <v>0.24199999999999999</v>
      </c>
      <c r="Q551" s="179">
        <v>5.5714740490006394</v>
      </c>
      <c r="R551" s="125">
        <v>65.946666666666658</v>
      </c>
      <c r="S551" s="125">
        <v>4.5166666666666666</v>
      </c>
      <c r="V551" s="146">
        <v>0.15</v>
      </c>
      <c r="W551" s="118">
        <v>40.668582365894899</v>
      </c>
      <c r="X551" s="118">
        <v>-85.847787148494703</v>
      </c>
      <c r="Y551" s="140">
        <f t="shared" si="76"/>
        <v>8</v>
      </c>
      <c r="Z551" s="140">
        <f t="shared" si="77"/>
        <v>6</v>
      </c>
      <c r="AA551" s="140">
        <f t="shared" si="78"/>
        <v>2025</v>
      </c>
      <c r="AC551" s="19">
        <v>45875</v>
      </c>
      <c r="AD551" s="181" t="s">
        <v>1625</v>
      </c>
      <c r="AF551" s="118"/>
      <c r="AG551" s="118"/>
    </row>
    <row r="552" spans="1:33" x14ac:dyDescent="0.25">
      <c r="A552" s="25">
        <v>10551</v>
      </c>
      <c r="B552" s="113" t="s">
        <v>740</v>
      </c>
      <c r="C552" s="119" t="s">
        <v>740</v>
      </c>
      <c r="D552" s="27" t="s">
        <v>466</v>
      </c>
      <c r="E552" s="46">
        <v>5</v>
      </c>
      <c r="F552" s="118">
        <v>12821</v>
      </c>
      <c r="G552" s="118" t="s">
        <v>19</v>
      </c>
      <c r="H552" s="118" t="s">
        <v>8</v>
      </c>
      <c r="I552">
        <v>-4.3900000000000002E-2</v>
      </c>
      <c r="J552">
        <v>1.528</v>
      </c>
      <c r="K552">
        <v>6.0000000000000001E-3</v>
      </c>
      <c r="L552" s="118">
        <v>0.17699999999999999</v>
      </c>
      <c r="M552" s="140">
        <f t="shared" si="82"/>
        <v>0.05</v>
      </c>
      <c r="N552" s="140">
        <f t="shared" si="82"/>
        <v>1.528</v>
      </c>
      <c r="O552" s="140">
        <f t="shared" si="82"/>
        <v>0.05</v>
      </c>
      <c r="P552" s="140">
        <f t="shared" si="80"/>
        <v>0.17699999999999999</v>
      </c>
      <c r="Q552" s="179">
        <v>17.208245614035068</v>
      </c>
      <c r="R552" s="125">
        <v>51.666666666666664</v>
      </c>
      <c r="S552" s="125">
        <v>5.0533333333333337</v>
      </c>
      <c r="V552" s="146">
        <v>0.3</v>
      </c>
      <c r="W552" s="118">
        <v>40.663214093793798</v>
      </c>
      <c r="X552" s="118">
        <v>-85.866445610354404</v>
      </c>
      <c r="Y552" s="140">
        <f t="shared" si="76"/>
        <v>8</v>
      </c>
      <c r="Z552" s="140">
        <f t="shared" si="77"/>
        <v>6</v>
      </c>
      <c r="AA552" s="140">
        <f t="shared" si="78"/>
        <v>2025</v>
      </c>
      <c r="AC552" s="19">
        <v>45875</v>
      </c>
      <c r="AD552" s="181" t="s">
        <v>1623</v>
      </c>
      <c r="AF552" s="118"/>
      <c r="AG552" s="118"/>
    </row>
    <row r="553" spans="1:33" x14ac:dyDescent="0.25">
      <c r="A553" s="25">
        <v>10552</v>
      </c>
      <c r="B553" s="113" t="s">
        <v>741</v>
      </c>
      <c r="C553" s="119" t="s">
        <v>741</v>
      </c>
      <c r="D553" s="27" t="s">
        <v>467</v>
      </c>
      <c r="E553" s="46">
        <v>6</v>
      </c>
      <c r="F553" s="118">
        <v>14351</v>
      </c>
      <c r="G553" s="118" t="s">
        <v>19</v>
      </c>
      <c r="H553" s="118" t="s">
        <v>8</v>
      </c>
      <c r="I553">
        <v>-3.4799999999999998E-2</v>
      </c>
      <c r="J553">
        <v>1.7609999999999999</v>
      </c>
      <c r="K553">
        <v>8.9999999999999993E-3</v>
      </c>
      <c r="L553" s="118">
        <v>0.29299999999999998</v>
      </c>
      <c r="M553" s="140">
        <f t="shared" si="82"/>
        <v>0.05</v>
      </c>
      <c r="N553" s="140">
        <f t="shared" si="82"/>
        <v>1.7609999999999999</v>
      </c>
      <c r="O553" s="140">
        <f t="shared" si="82"/>
        <v>0.05</v>
      </c>
      <c r="P553" s="140">
        <f t="shared" si="80"/>
        <v>0.29299999999999998</v>
      </c>
      <c r="Q553" s="179">
        <v>2.7970289455246098</v>
      </c>
      <c r="R553" s="125">
        <v>68.760000000000005</v>
      </c>
      <c r="S553" s="125">
        <v>4.665</v>
      </c>
      <c r="V553" s="146">
        <v>0.1</v>
      </c>
      <c r="W553" s="118">
        <v>40.673670773428299</v>
      </c>
      <c r="X553" s="118">
        <v>-85.831866478386004</v>
      </c>
      <c r="Y553" s="140">
        <f t="shared" si="76"/>
        <v>8</v>
      </c>
      <c r="Z553" s="140">
        <f t="shared" si="77"/>
        <v>6</v>
      </c>
      <c r="AA553" s="140">
        <f t="shared" si="78"/>
        <v>2025</v>
      </c>
      <c r="AC553" s="19">
        <v>45875</v>
      </c>
      <c r="AD553" s="181" t="s">
        <v>1587</v>
      </c>
      <c r="AF553" s="118"/>
      <c r="AG553" s="118"/>
    </row>
    <row r="554" spans="1:33" x14ac:dyDescent="0.25">
      <c r="A554" s="25">
        <v>10553</v>
      </c>
      <c r="B554" s="113" t="s">
        <v>742</v>
      </c>
      <c r="C554" s="119" t="s">
        <v>742</v>
      </c>
      <c r="D554" s="27" t="s">
        <v>468</v>
      </c>
      <c r="E554" s="46">
        <v>7</v>
      </c>
      <c r="F554" s="118">
        <v>6411</v>
      </c>
      <c r="G554" s="118" t="s">
        <v>19</v>
      </c>
      <c r="H554" s="118" t="s">
        <v>8</v>
      </c>
      <c r="I554">
        <v>-3.8300000000000001E-2</v>
      </c>
      <c r="J554">
        <v>2.9569999999999999</v>
      </c>
      <c r="K554">
        <v>-3.0000000000000001E-3</v>
      </c>
      <c r="L554" s="118">
        <v>5.2999999999999999E-2</v>
      </c>
      <c r="M554" s="140">
        <f t="shared" si="82"/>
        <v>0.05</v>
      </c>
      <c r="N554" s="140">
        <f t="shared" si="82"/>
        <v>2.9569999999999999</v>
      </c>
      <c r="O554" s="140">
        <f t="shared" si="82"/>
        <v>0.05</v>
      </c>
      <c r="P554" s="140">
        <f t="shared" si="80"/>
        <v>0.05</v>
      </c>
      <c r="Q554" s="179">
        <v>1.3693918010752686</v>
      </c>
      <c r="R554" s="125">
        <v>13.996666666666668</v>
      </c>
      <c r="S554" s="125">
        <v>3.6</v>
      </c>
      <c r="V554" s="146">
        <v>0.6</v>
      </c>
      <c r="W554" s="118">
        <v>40.6878624052029</v>
      </c>
      <c r="X554" s="118">
        <v>-85.896527487712504</v>
      </c>
      <c r="Y554" s="140">
        <f t="shared" si="76"/>
        <v>8</v>
      </c>
      <c r="Z554" s="140">
        <f t="shared" si="77"/>
        <v>6</v>
      </c>
      <c r="AA554" s="140">
        <f t="shared" si="78"/>
        <v>2025</v>
      </c>
      <c r="AC554" s="19">
        <v>45875</v>
      </c>
      <c r="AD554" s="181" t="s">
        <v>1617</v>
      </c>
      <c r="AF554" s="118"/>
      <c r="AG554" s="118"/>
    </row>
    <row r="555" spans="1:33" x14ac:dyDescent="0.25">
      <c r="A555" s="25">
        <v>10554</v>
      </c>
      <c r="B555" s="113" t="s">
        <v>743</v>
      </c>
      <c r="C555" s="119" t="s">
        <v>743</v>
      </c>
      <c r="D555" s="27" t="s">
        <v>469</v>
      </c>
      <c r="E555" s="46">
        <v>8</v>
      </c>
      <c r="F555" s="118">
        <v>5401</v>
      </c>
      <c r="G555" s="118" t="s">
        <v>19</v>
      </c>
      <c r="H555" s="118" t="s">
        <v>8</v>
      </c>
      <c r="I555">
        <v>-3.7600000000000001E-2</v>
      </c>
      <c r="J555">
        <v>2.8109999999999999</v>
      </c>
      <c r="K555">
        <v>-4.0000000000000001E-3</v>
      </c>
      <c r="L555" s="118">
        <v>6.8000000000000005E-2</v>
      </c>
      <c r="M555" s="140">
        <f t="shared" si="82"/>
        <v>0.05</v>
      </c>
      <c r="N555" s="140">
        <f t="shared" si="82"/>
        <v>2.8109999999999999</v>
      </c>
      <c r="O555" s="140">
        <f t="shared" si="82"/>
        <v>0.05</v>
      </c>
      <c r="P555" s="140">
        <f t="shared" si="80"/>
        <v>0.05</v>
      </c>
      <c r="Q555" s="179">
        <v>2.896629635598944</v>
      </c>
      <c r="R555" s="125">
        <v>22.643333333333334</v>
      </c>
      <c r="S555" s="125">
        <v>4.1166666666666663</v>
      </c>
      <c r="V555" s="146">
        <v>0.7</v>
      </c>
      <c r="W555" s="118">
        <v>40.6916741148748</v>
      </c>
      <c r="X555" s="118">
        <v>-85.908289933336107</v>
      </c>
      <c r="Y555" s="140">
        <f t="shared" si="76"/>
        <v>8</v>
      </c>
      <c r="Z555" s="140">
        <f t="shared" si="77"/>
        <v>6</v>
      </c>
      <c r="AA555" s="140">
        <f t="shared" si="78"/>
        <v>2025</v>
      </c>
      <c r="AC555" s="19">
        <v>45875</v>
      </c>
      <c r="AD555" s="181" t="s">
        <v>1618</v>
      </c>
      <c r="AF555" s="118"/>
      <c r="AG555" s="118"/>
    </row>
    <row r="556" spans="1:33" x14ac:dyDescent="0.25">
      <c r="A556" s="25">
        <v>10555</v>
      </c>
      <c r="B556" s="113" t="s">
        <v>744</v>
      </c>
      <c r="C556" s="119" t="s">
        <v>744</v>
      </c>
      <c r="D556" s="27" t="s">
        <v>470</v>
      </c>
      <c r="E556" s="46">
        <v>9</v>
      </c>
      <c r="F556" s="118">
        <v>4381</v>
      </c>
      <c r="G556" s="118" t="s">
        <v>19</v>
      </c>
      <c r="H556" s="118" t="s">
        <v>8</v>
      </c>
      <c r="I556">
        <v>-3.6999999999999998E-2</v>
      </c>
      <c r="J556">
        <v>3.8530000000000002</v>
      </c>
      <c r="K556">
        <v>-4.0000000000000001E-3</v>
      </c>
      <c r="L556" s="118">
        <v>3.2000000000000001E-2</v>
      </c>
      <c r="M556" s="140">
        <f t="shared" si="82"/>
        <v>0.05</v>
      </c>
      <c r="N556" s="140">
        <f t="shared" si="82"/>
        <v>3.8530000000000002</v>
      </c>
      <c r="O556" s="140">
        <f t="shared" si="82"/>
        <v>0.05</v>
      </c>
      <c r="P556" s="140">
        <f t="shared" si="80"/>
        <v>0.05</v>
      </c>
      <c r="Q556" s="179">
        <v>0.94858271687434892</v>
      </c>
      <c r="R556" s="125">
        <v>10.676666666666668</v>
      </c>
      <c r="S556" s="125">
        <v>1.57</v>
      </c>
      <c r="V556" s="146">
        <v>0.7</v>
      </c>
      <c r="W556" s="118">
        <v>40.704167782880198</v>
      </c>
      <c r="X556" s="118">
        <v>-85.929923192181406</v>
      </c>
      <c r="Y556" s="140">
        <f t="shared" si="76"/>
        <v>8</v>
      </c>
      <c r="Z556" s="140">
        <f t="shared" si="77"/>
        <v>6</v>
      </c>
      <c r="AA556" s="140">
        <f t="shared" si="78"/>
        <v>2025</v>
      </c>
      <c r="AC556" s="19">
        <v>45875</v>
      </c>
      <c r="AD556" s="181" t="s">
        <v>1619</v>
      </c>
      <c r="AF556" s="118"/>
      <c r="AG556" s="118"/>
    </row>
    <row r="557" spans="1:33" x14ac:dyDescent="0.25">
      <c r="A557" s="25">
        <v>10556</v>
      </c>
      <c r="B557" s="113" t="s">
        <v>745</v>
      </c>
      <c r="C557" s="119" t="s">
        <v>745</v>
      </c>
      <c r="D557" s="27" t="s">
        <v>471</v>
      </c>
      <c r="E557" s="46">
        <v>10</v>
      </c>
      <c r="F557" s="118">
        <v>2851</v>
      </c>
      <c r="G557" s="118" t="s">
        <v>19</v>
      </c>
      <c r="H557" s="118" t="s">
        <v>8</v>
      </c>
      <c r="I557">
        <v>-3.49E-2</v>
      </c>
      <c r="J557">
        <v>3.15</v>
      </c>
      <c r="K557">
        <v>-4.0000000000000001E-3</v>
      </c>
      <c r="L557" s="118">
        <v>0.05</v>
      </c>
      <c r="M557" s="140">
        <f t="shared" si="82"/>
        <v>0.05</v>
      </c>
      <c r="N557" s="140">
        <f t="shared" si="82"/>
        <v>3.15</v>
      </c>
      <c r="O557" s="140">
        <f t="shared" si="82"/>
        <v>0.05</v>
      </c>
      <c r="P557" s="140">
        <f t="shared" si="80"/>
        <v>0.05</v>
      </c>
      <c r="Q557" s="179">
        <v>0.88943773946360127</v>
      </c>
      <c r="R557" s="125">
        <v>20.329999999999998</v>
      </c>
      <c r="S557" s="125">
        <v>3.4766666666666666</v>
      </c>
      <c r="V557" s="146">
        <v>0.7</v>
      </c>
      <c r="W557" s="118">
        <v>40.693328949160403</v>
      </c>
      <c r="X557" s="118">
        <v>-85.920210239478394</v>
      </c>
      <c r="Y557" s="140">
        <f t="shared" si="76"/>
        <v>8</v>
      </c>
      <c r="Z557" s="140">
        <f t="shared" si="77"/>
        <v>6</v>
      </c>
      <c r="AA557" s="140">
        <f t="shared" si="78"/>
        <v>2025</v>
      </c>
      <c r="AC557" s="19">
        <v>45875</v>
      </c>
      <c r="AD557" s="181" t="s">
        <v>1619</v>
      </c>
      <c r="AF557" s="118"/>
      <c r="AG557" s="118"/>
    </row>
    <row r="558" spans="1:33" x14ac:dyDescent="0.25">
      <c r="A558" s="25">
        <v>10557</v>
      </c>
      <c r="B558" s="113" t="s">
        <v>746</v>
      </c>
      <c r="C558" s="119" t="s">
        <v>746</v>
      </c>
      <c r="D558" s="27" t="s">
        <v>472</v>
      </c>
      <c r="E558" s="46">
        <v>11</v>
      </c>
      <c r="F558" s="118">
        <v>1731</v>
      </c>
      <c r="G558" s="118" t="s">
        <v>19</v>
      </c>
      <c r="H558" s="118" t="s">
        <v>8</v>
      </c>
      <c r="I558">
        <v>-1.9800000000000002E-2</v>
      </c>
      <c r="J558">
        <v>3.867</v>
      </c>
      <c r="K558">
        <v>-5.0000000000000001E-3</v>
      </c>
      <c r="L558" s="118">
        <v>3.5000000000000003E-2</v>
      </c>
      <c r="M558" s="140">
        <f t="shared" si="82"/>
        <v>0.05</v>
      </c>
      <c r="N558" s="140">
        <f t="shared" si="82"/>
        <v>3.867</v>
      </c>
      <c r="O558" s="140">
        <f t="shared" si="82"/>
        <v>0.05</v>
      </c>
      <c r="P558" s="140">
        <f t="shared" si="80"/>
        <v>0.05</v>
      </c>
      <c r="Q558" s="179">
        <v>3.0986287053841499</v>
      </c>
      <c r="R558" s="125">
        <v>15.420000000000002</v>
      </c>
      <c r="S558" s="125">
        <v>2.0433333333333334</v>
      </c>
      <c r="V558" s="146">
        <v>0.6</v>
      </c>
      <c r="W558" s="118">
        <v>40.710977573480697</v>
      </c>
      <c r="X558" s="118">
        <v>-85.938609998636096</v>
      </c>
      <c r="Y558" s="140">
        <f t="shared" si="76"/>
        <v>8</v>
      </c>
      <c r="Z558" s="140">
        <f t="shared" si="77"/>
        <v>6</v>
      </c>
      <c r="AA558" s="140">
        <f t="shared" si="78"/>
        <v>2025</v>
      </c>
      <c r="AC558" s="19">
        <v>45875</v>
      </c>
      <c r="AD558" s="181" t="s">
        <v>1620</v>
      </c>
      <c r="AF558" s="118"/>
      <c r="AG558" s="118"/>
    </row>
    <row r="559" spans="1:33" x14ac:dyDescent="0.25">
      <c r="A559" s="25">
        <v>10558</v>
      </c>
      <c r="B559" s="113" t="s">
        <v>747</v>
      </c>
      <c r="C559" s="119" t="s">
        <v>747</v>
      </c>
      <c r="D559" s="27" t="s">
        <v>473</v>
      </c>
      <c r="E559" s="46">
        <v>12</v>
      </c>
      <c r="F559" s="118">
        <v>661</v>
      </c>
      <c r="G559" s="118" t="s">
        <v>19</v>
      </c>
      <c r="H559" s="118" t="s">
        <v>8</v>
      </c>
      <c r="I559">
        <v>-3.4700000000000002E-2</v>
      </c>
      <c r="J559">
        <v>4.0540000000000003</v>
      </c>
      <c r="K559">
        <v>-4.0000000000000001E-3</v>
      </c>
      <c r="L559" s="118">
        <v>3.2000000000000001E-2</v>
      </c>
      <c r="M559" s="140">
        <f t="shared" si="82"/>
        <v>0.05</v>
      </c>
      <c r="N559" s="140">
        <f t="shared" si="82"/>
        <v>4.0540000000000003</v>
      </c>
      <c r="O559" s="140">
        <f t="shared" si="82"/>
        <v>0.05</v>
      </c>
      <c r="P559" s="140">
        <f t="shared" si="80"/>
        <v>0.05</v>
      </c>
      <c r="Q559" s="179">
        <v>5.7449378444763912</v>
      </c>
      <c r="R559" s="125">
        <v>12.85</v>
      </c>
      <c r="S559" s="125">
        <v>1.0333333333333334</v>
      </c>
      <c r="V559" s="146">
        <v>0.85</v>
      </c>
      <c r="W559" s="118">
        <v>40.711642507143999</v>
      </c>
      <c r="X559" s="118">
        <v>-85.950957297963896</v>
      </c>
      <c r="Y559" s="140">
        <f t="shared" si="76"/>
        <v>8</v>
      </c>
      <c r="Z559" s="140">
        <f t="shared" si="77"/>
        <v>6</v>
      </c>
      <c r="AA559" s="140">
        <f t="shared" si="78"/>
        <v>2025</v>
      </c>
      <c r="AC559" s="19">
        <v>45875</v>
      </c>
      <c r="AD559" s="181" t="s">
        <v>1622</v>
      </c>
      <c r="AF559" s="118"/>
      <c r="AG559" s="118"/>
    </row>
    <row r="560" spans="1:33" x14ac:dyDescent="0.25">
      <c r="A560" s="25">
        <v>10559</v>
      </c>
      <c r="B560" s="113" t="s">
        <v>748</v>
      </c>
      <c r="C560" s="119" t="s">
        <v>748</v>
      </c>
      <c r="D560" s="27" t="s">
        <v>474</v>
      </c>
      <c r="E560" s="46">
        <v>13</v>
      </c>
      <c r="F560" s="118">
        <v>13553</v>
      </c>
      <c r="G560" s="118" t="s">
        <v>19</v>
      </c>
      <c r="H560" s="118" t="s">
        <v>8</v>
      </c>
      <c r="I560">
        <v>-3.2800000000000003E-2</v>
      </c>
      <c r="J560">
        <v>1.593</v>
      </c>
      <c r="K560">
        <v>1.2999999999999999E-2</v>
      </c>
      <c r="L560" s="118">
        <v>0.39600000000000002</v>
      </c>
      <c r="M560" s="140">
        <f t="shared" si="82"/>
        <v>0.05</v>
      </c>
      <c r="N560" s="140">
        <f t="shared" si="82"/>
        <v>1.593</v>
      </c>
      <c r="O560" s="140">
        <f t="shared" si="82"/>
        <v>0.05</v>
      </c>
      <c r="P560" s="140">
        <f t="shared" si="80"/>
        <v>0.39600000000000002</v>
      </c>
      <c r="Q560" s="179">
        <v>0.05</v>
      </c>
      <c r="R560" s="125">
        <v>133.755</v>
      </c>
      <c r="S560" s="125">
        <v>-0.81</v>
      </c>
      <c r="V560" s="146">
        <v>0.1</v>
      </c>
      <c r="W560" s="118">
        <v>40.672639173060297</v>
      </c>
      <c r="X560" s="118">
        <v>-85.841428341580198</v>
      </c>
      <c r="Y560" s="140">
        <f t="shared" si="76"/>
        <v>8</v>
      </c>
      <c r="Z560" s="140">
        <f t="shared" si="77"/>
        <v>6</v>
      </c>
      <c r="AA560" s="140">
        <f t="shared" si="78"/>
        <v>2025</v>
      </c>
      <c r="AC560" s="19">
        <v>45875</v>
      </c>
      <c r="AD560" s="181" t="s">
        <v>1591</v>
      </c>
      <c r="AF560" s="118"/>
      <c r="AG560" s="118"/>
    </row>
    <row r="561" spans="1:33" x14ac:dyDescent="0.25">
      <c r="A561" s="25">
        <v>10560</v>
      </c>
      <c r="B561" s="113" t="s">
        <v>749</v>
      </c>
      <c r="C561" s="119" t="s">
        <v>749</v>
      </c>
      <c r="D561" s="27" t="s">
        <v>779</v>
      </c>
      <c r="E561" s="46">
        <v>14</v>
      </c>
      <c r="F561" s="118">
        <v>475</v>
      </c>
      <c r="G561" s="118" t="s">
        <v>19</v>
      </c>
      <c r="H561" s="118" t="s">
        <v>8</v>
      </c>
      <c r="I561">
        <v>-0.04</v>
      </c>
      <c r="J561">
        <v>4.173</v>
      </c>
      <c r="K561">
        <v>-3.0000000000000001E-3</v>
      </c>
      <c r="L561" s="118">
        <v>3.5000000000000003E-2</v>
      </c>
      <c r="M561" s="140">
        <f t="shared" si="82"/>
        <v>0.05</v>
      </c>
      <c r="N561" s="140">
        <f t="shared" si="82"/>
        <v>4.173</v>
      </c>
      <c r="O561" s="140">
        <f t="shared" si="82"/>
        <v>0.05</v>
      </c>
      <c r="P561" s="140">
        <f t="shared" si="80"/>
        <v>0.05</v>
      </c>
      <c r="Q561" s="179">
        <v>0.05</v>
      </c>
      <c r="R561" s="125">
        <v>18.573333333333334</v>
      </c>
      <c r="S561" s="125">
        <v>2.36</v>
      </c>
      <c r="V561" s="146">
        <v>0.6</v>
      </c>
      <c r="W561" s="118">
        <v>40.715589359992002</v>
      </c>
      <c r="X561" s="118">
        <v>-85.950773635567103</v>
      </c>
      <c r="Y561" s="140">
        <f t="shared" si="76"/>
        <v>8</v>
      </c>
      <c r="Z561" s="140">
        <f t="shared" si="77"/>
        <v>6</v>
      </c>
      <c r="AA561" s="140">
        <f t="shared" si="78"/>
        <v>2025</v>
      </c>
      <c r="AC561" s="19">
        <v>45875</v>
      </c>
      <c r="AD561" s="181" t="s">
        <v>1621</v>
      </c>
      <c r="AF561" s="118"/>
      <c r="AG561" s="118"/>
    </row>
    <row r="562" spans="1:33" x14ac:dyDescent="0.25">
      <c r="A562" s="25">
        <v>10561</v>
      </c>
      <c r="B562" s="113" t="s">
        <v>750</v>
      </c>
      <c r="C562" s="119" t="s">
        <v>750</v>
      </c>
      <c r="D562" s="27" t="s">
        <v>780</v>
      </c>
      <c r="E562" s="46">
        <v>15</v>
      </c>
      <c r="F562" s="118">
        <v>11905</v>
      </c>
      <c r="G562" s="118" t="s">
        <v>19</v>
      </c>
      <c r="H562" s="118" t="s">
        <v>8</v>
      </c>
      <c r="I562">
        <v>-3.3599999999999998E-2</v>
      </c>
      <c r="J562">
        <v>1.833</v>
      </c>
      <c r="K562">
        <v>3.0000000000000001E-3</v>
      </c>
      <c r="L562" s="118">
        <v>0.114</v>
      </c>
      <c r="M562" s="140">
        <f t="shared" ref="M562:O577" si="83">IF(I562&lt;0.1,0.05,I562)</f>
        <v>0.05</v>
      </c>
      <c r="N562" s="140">
        <f t="shared" si="83"/>
        <v>1.833</v>
      </c>
      <c r="O562" s="140">
        <f t="shared" si="83"/>
        <v>0.05</v>
      </c>
      <c r="P562" s="140">
        <f t="shared" si="80"/>
        <v>0.114</v>
      </c>
      <c r="Q562" s="179">
        <v>1.9071859310656059</v>
      </c>
      <c r="R562" s="125">
        <v>39.403333333333336</v>
      </c>
      <c r="S562" s="125">
        <v>5.166666666666667</v>
      </c>
      <c r="V562" s="146">
        <v>0.3</v>
      </c>
      <c r="W562" s="118">
        <v>40.663695204342503</v>
      </c>
      <c r="X562" s="118">
        <v>-85.855203228642097</v>
      </c>
      <c r="Y562" s="140">
        <f t="shared" ref="Y562:Y604" si="84">MONTH(AC562)</f>
        <v>8</v>
      </c>
      <c r="Z562" s="140">
        <f t="shared" ref="Z562:Z604" si="85">DAY(AC562)</f>
        <v>6</v>
      </c>
      <c r="AA562" s="140">
        <f t="shared" ref="AA562:AA604" si="86">YEAR(AC562)</f>
        <v>2025</v>
      </c>
      <c r="AC562" s="19">
        <v>45875</v>
      </c>
      <c r="AD562" s="181" t="s">
        <v>1596</v>
      </c>
      <c r="AF562" s="118"/>
      <c r="AG562" s="118"/>
    </row>
    <row r="563" spans="1:33" x14ac:dyDescent="0.25">
      <c r="A563" s="25">
        <v>10562</v>
      </c>
      <c r="B563" s="113" t="s">
        <v>751</v>
      </c>
      <c r="C563" s="119" t="s">
        <v>751</v>
      </c>
      <c r="D563" s="27" t="s">
        <v>781</v>
      </c>
      <c r="E563" s="46">
        <v>16</v>
      </c>
      <c r="F563" s="118">
        <v>14068</v>
      </c>
      <c r="G563" s="118" t="s">
        <v>19</v>
      </c>
      <c r="H563" s="118" t="s">
        <v>8</v>
      </c>
      <c r="I563">
        <v>-4.0800000000000003E-2</v>
      </c>
      <c r="J563">
        <v>1.464</v>
      </c>
      <c r="K563">
        <v>1.7999999999999999E-2</v>
      </c>
      <c r="L563" s="118">
        <v>0.314</v>
      </c>
      <c r="M563" s="140">
        <f t="shared" si="83"/>
        <v>0.05</v>
      </c>
      <c r="N563" s="140">
        <f t="shared" si="83"/>
        <v>1.464</v>
      </c>
      <c r="O563" s="140">
        <f t="shared" si="83"/>
        <v>0.05</v>
      </c>
      <c r="P563" s="140">
        <f t="shared" si="80"/>
        <v>0.314</v>
      </c>
      <c r="Q563" s="179">
        <v>12.49546071953009</v>
      </c>
      <c r="R563" s="125">
        <v>76.926666666666662</v>
      </c>
      <c r="S563" s="125">
        <v>4.1099999999999994</v>
      </c>
      <c r="V563" s="146">
        <v>0.15</v>
      </c>
      <c r="W563" s="118">
        <v>40.672891429388898</v>
      </c>
      <c r="X563" s="118">
        <v>-85.836302394486395</v>
      </c>
      <c r="Y563" s="140">
        <f t="shared" si="84"/>
        <v>8</v>
      </c>
      <c r="Z563" s="140">
        <f t="shared" si="85"/>
        <v>6</v>
      </c>
      <c r="AA563" s="140">
        <f t="shared" si="86"/>
        <v>2025</v>
      </c>
      <c r="AC563" s="19">
        <v>45875</v>
      </c>
      <c r="AD563" s="181" t="s">
        <v>1598</v>
      </c>
      <c r="AF563" s="118"/>
      <c r="AG563" s="118"/>
    </row>
    <row r="564" spans="1:33" x14ac:dyDescent="0.25">
      <c r="A564" s="25">
        <v>10563</v>
      </c>
      <c r="B564" s="124" t="s">
        <v>782</v>
      </c>
      <c r="C564" s="124" t="s">
        <v>782</v>
      </c>
      <c r="D564" s="27" t="s">
        <v>462</v>
      </c>
      <c r="E564" s="46">
        <v>1</v>
      </c>
      <c r="F564" s="118">
        <v>5999</v>
      </c>
      <c r="G564" s="118" t="s">
        <v>19</v>
      </c>
      <c r="H564" s="118" t="s">
        <v>8</v>
      </c>
      <c r="I564" s="118">
        <v>-5.7000000000000002E-2</v>
      </c>
      <c r="J564" s="118">
        <v>2.9279999999999999</v>
      </c>
      <c r="K564" s="118">
        <v>3.0000000000000001E-3</v>
      </c>
      <c r="L564" s="118">
        <v>6.3E-2</v>
      </c>
      <c r="M564" s="140">
        <f t="shared" si="83"/>
        <v>0.05</v>
      </c>
      <c r="N564" s="140">
        <f t="shared" si="83"/>
        <v>2.9279999999999999</v>
      </c>
      <c r="O564" s="140">
        <f t="shared" si="83"/>
        <v>0.05</v>
      </c>
      <c r="P564" s="140">
        <f t="shared" si="80"/>
        <v>0.05</v>
      </c>
      <c r="Q564" s="179">
        <v>10.626481042654</v>
      </c>
      <c r="R564" s="125">
        <v>46.633333333333326</v>
      </c>
      <c r="S564" s="125">
        <v>3.0533333333333332</v>
      </c>
      <c r="T564" s="118"/>
      <c r="U564" s="118"/>
      <c r="W564" s="118">
        <v>40.681715106607101</v>
      </c>
      <c r="X564" s="118">
        <v>-85.888788149456502</v>
      </c>
      <c r="Y564" s="140">
        <f t="shared" si="84"/>
        <v>8</v>
      </c>
      <c r="Z564" s="140">
        <f t="shared" si="85"/>
        <v>13</v>
      </c>
      <c r="AA564" s="140">
        <f t="shared" si="86"/>
        <v>2025</v>
      </c>
      <c r="AB564" s="118"/>
      <c r="AC564" s="19">
        <v>45882</v>
      </c>
      <c r="AD564" s="181" t="s">
        <v>115</v>
      </c>
      <c r="AE564" s="118"/>
      <c r="AF564" s="118"/>
      <c r="AG564" s="118"/>
    </row>
    <row r="565" spans="1:33" x14ac:dyDescent="0.25">
      <c r="A565" s="25">
        <v>10564</v>
      </c>
      <c r="B565" s="124" t="s">
        <v>783</v>
      </c>
      <c r="C565" s="124" t="s">
        <v>783</v>
      </c>
      <c r="D565" s="56" t="s">
        <v>463</v>
      </c>
      <c r="E565" s="46">
        <v>2</v>
      </c>
      <c r="F565" s="118">
        <v>8861</v>
      </c>
      <c r="G565" s="118" t="s">
        <v>19</v>
      </c>
      <c r="H565" s="118" t="s">
        <v>8</v>
      </c>
      <c r="I565" s="118">
        <v>-5.8799999999999998E-2</v>
      </c>
      <c r="J565" s="118">
        <v>2.2400000000000002</v>
      </c>
      <c r="K565" s="118">
        <v>1.4E-2</v>
      </c>
      <c r="L565" s="118">
        <v>0.06</v>
      </c>
      <c r="M565" s="140">
        <f t="shared" si="83"/>
        <v>0.05</v>
      </c>
      <c r="N565" s="140">
        <f t="shared" si="83"/>
        <v>2.2400000000000002</v>
      </c>
      <c r="O565" s="140">
        <f t="shared" si="83"/>
        <v>0.05</v>
      </c>
      <c r="P565" s="140">
        <f t="shared" si="80"/>
        <v>0.05</v>
      </c>
      <c r="Q565" s="179">
        <v>7.6487853822717575</v>
      </c>
      <c r="R565" s="125">
        <v>50.15</v>
      </c>
      <c r="S565" s="125">
        <v>5.9933333333333332</v>
      </c>
      <c r="T565" s="118"/>
      <c r="U565" s="118"/>
      <c r="W565" s="118">
        <v>40.677154294966101</v>
      </c>
      <c r="X565" s="118">
        <v>-85.877201243577403</v>
      </c>
      <c r="Y565" s="140">
        <f t="shared" si="84"/>
        <v>8</v>
      </c>
      <c r="Z565" s="140">
        <f t="shared" si="85"/>
        <v>13</v>
      </c>
      <c r="AA565" s="140">
        <f t="shared" si="86"/>
        <v>2025</v>
      </c>
      <c r="AB565" s="118"/>
      <c r="AC565" s="19">
        <v>45882</v>
      </c>
      <c r="AD565" s="181" t="s">
        <v>115</v>
      </c>
      <c r="AE565" s="118"/>
      <c r="AF565" s="118"/>
      <c r="AG565" s="118"/>
    </row>
    <row r="566" spans="1:33" x14ac:dyDescent="0.25">
      <c r="A566" s="25">
        <v>10565</v>
      </c>
      <c r="B566" s="124" t="s">
        <v>784</v>
      </c>
      <c r="C566" s="124" t="s">
        <v>784</v>
      </c>
      <c r="D566" s="27" t="s">
        <v>464</v>
      </c>
      <c r="E566" s="46">
        <v>3</v>
      </c>
      <c r="F566" s="118">
        <v>9921</v>
      </c>
      <c r="G566" s="118" t="s">
        <v>19</v>
      </c>
      <c r="H566" s="118" t="s">
        <v>8</v>
      </c>
      <c r="I566" s="118">
        <v>-6.4299999999999996E-2</v>
      </c>
      <c r="J566" s="118">
        <v>2.2080000000000002</v>
      </c>
      <c r="K566" s="118">
        <v>3.0000000000000001E-3</v>
      </c>
      <c r="L566" s="118">
        <v>6.3E-2</v>
      </c>
      <c r="M566" s="140">
        <f t="shared" si="83"/>
        <v>0.05</v>
      </c>
      <c r="N566" s="140">
        <f t="shared" si="83"/>
        <v>2.2080000000000002</v>
      </c>
      <c r="O566" s="140">
        <f t="shared" si="83"/>
        <v>0.05</v>
      </c>
      <c r="P566" s="140">
        <f t="shared" si="80"/>
        <v>0.05</v>
      </c>
      <c r="Q566" s="179">
        <v>7.600441786987032</v>
      </c>
      <c r="R566" s="125">
        <v>44.466666666666669</v>
      </c>
      <c r="S566" s="125">
        <v>3.6833333333333331</v>
      </c>
      <c r="T566" s="118"/>
      <c r="U566" s="118"/>
      <c r="W566" s="118">
        <v>40.670718619801697</v>
      </c>
      <c r="X566" s="118">
        <v>-85.870287405498303</v>
      </c>
      <c r="Y566" s="140">
        <f t="shared" si="84"/>
        <v>8</v>
      </c>
      <c r="Z566" s="140">
        <f t="shared" si="85"/>
        <v>13</v>
      </c>
      <c r="AA566" s="140">
        <f t="shared" si="86"/>
        <v>2025</v>
      </c>
      <c r="AB566" s="118"/>
      <c r="AC566" s="19">
        <v>45882</v>
      </c>
      <c r="AD566" s="181" t="s">
        <v>115</v>
      </c>
      <c r="AE566" s="118"/>
      <c r="AF566" s="118"/>
      <c r="AG566" s="118"/>
    </row>
    <row r="567" spans="1:33" x14ac:dyDescent="0.25">
      <c r="A567" s="25">
        <v>10566</v>
      </c>
      <c r="B567" s="124" t="s">
        <v>785</v>
      </c>
      <c r="C567" s="124" t="s">
        <v>785</v>
      </c>
      <c r="D567" s="27" t="s">
        <v>465</v>
      </c>
      <c r="E567" s="46">
        <v>4</v>
      </c>
      <c r="F567" s="118">
        <v>10891</v>
      </c>
      <c r="G567" s="118" t="s">
        <v>19</v>
      </c>
      <c r="H567" s="118" t="s">
        <v>8</v>
      </c>
      <c r="I567" s="118">
        <v>-4.3700000000000003E-2</v>
      </c>
      <c r="J567" s="118">
        <v>1.9319999999999999</v>
      </c>
      <c r="K567" s="118">
        <v>4.0000000000000001E-3</v>
      </c>
      <c r="L567" s="118">
        <v>5.7000000000000002E-2</v>
      </c>
      <c r="M567" s="140">
        <f t="shared" si="83"/>
        <v>0.05</v>
      </c>
      <c r="N567" s="140">
        <f t="shared" si="83"/>
        <v>1.9319999999999999</v>
      </c>
      <c r="O567" s="140">
        <f t="shared" si="83"/>
        <v>0.05</v>
      </c>
      <c r="P567" s="140">
        <f t="shared" si="80"/>
        <v>0.05</v>
      </c>
      <c r="Q567" s="179">
        <v>14.861617542809336</v>
      </c>
      <c r="R567" s="125">
        <v>53.20000000000001</v>
      </c>
      <c r="S567" s="125">
        <v>4.0266666666666664</v>
      </c>
      <c r="T567" s="118"/>
      <c r="U567" s="118"/>
      <c r="W567" s="118">
        <v>40.663286919955198</v>
      </c>
      <c r="X567" s="118">
        <v>-85.866485864267801</v>
      </c>
      <c r="Y567" s="140">
        <f t="shared" si="84"/>
        <v>8</v>
      </c>
      <c r="Z567" s="140">
        <f t="shared" si="85"/>
        <v>13</v>
      </c>
      <c r="AA567" s="140">
        <f t="shared" si="86"/>
        <v>2025</v>
      </c>
      <c r="AB567" s="118"/>
      <c r="AC567" s="19">
        <v>45882</v>
      </c>
      <c r="AD567" s="181" t="s">
        <v>115</v>
      </c>
      <c r="AE567" s="118"/>
      <c r="AF567" s="118"/>
      <c r="AG567" s="118"/>
    </row>
    <row r="568" spans="1:33" x14ac:dyDescent="0.25">
      <c r="A568" s="25">
        <v>10567</v>
      </c>
      <c r="B568" s="124" t="s">
        <v>786</v>
      </c>
      <c r="C568" s="124" t="s">
        <v>786</v>
      </c>
      <c r="D568" s="27" t="s">
        <v>466</v>
      </c>
      <c r="E568" s="46">
        <v>5</v>
      </c>
      <c r="F568" s="118">
        <v>12821</v>
      </c>
      <c r="G568" s="118" t="s">
        <v>19</v>
      </c>
      <c r="H568" s="118" t="s">
        <v>8</v>
      </c>
      <c r="I568" s="118">
        <v>-6.4000000000000001E-2</v>
      </c>
      <c r="J568" s="118">
        <v>1.5820000000000001</v>
      </c>
      <c r="K568" s="118">
        <v>3.0000000000000001E-3</v>
      </c>
      <c r="L568" s="118">
        <v>7.0000000000000007E-2</v>
      </c>
      <c r="M568" s="140">
        <f t="shared" si="83"/>
        <v>0.05</v>
      </c>
      <c r="N568" s="140">
        <f t="shared" si="83"/>
        <v>1.5820000000000001</v>
      </c>
      <c r="O568" s="140">
        <f t="shared" si="83"/>
        <v>0.05</v>
      </c>
      <c r="P568" s="140">
        <f t="shared" si="80"/>
        <v>0.05</v>
      </c>
      <c r="Q568" s="179">
        <v>34.663553271373146</v>
      </c>
      <c r="R568" s="125">
        <v>43.626666666666665</v>
      </c>
      <c r="S568" s="125">
        <v>3.3800000000000003</v>
      </c>
      <c r="T568" s="118"/>
      <c r="U568" s="118"/>
      <c r="W568" s="118">
        <v>40.668572255115002</v>
      </c>
      <c r="X568" s="118">
        <v>-85.847962574216595</v>
      </c>
      <c r="Y568" s="140">
        <f t="shared" si="84"/>
        <v>8</v>
      </c>
      <c r="Z568" s="140">
        <f t="shared" si="85"/>
        <v>13</v>
      </c>
      <c r="AA568" s="140">
        <f t="shared" si="86"/>
        <v>2025</v>
      </c>
      <c r="AB568" s="118"/>
      <c r="AC568" s="19">
        <v>45882</v>
      </c>
      <c r="AD568" s="181" t="s">
        <v>115</v>
      </c>
      <c r="AE568" s="118"/>
      <c r="AF568" s="118"/>
      <c r="AG568" s="118"/>
    </row>
    <row r="569" spans="1:33" x14ac:dyDescent="0.25">
      <c r="A569" s="25">
        <v>10568</v>
      </c>
      <c r="B569" s="124" t="s">
        <v>787</v>
      </c>
      <c r="C569" s="124" t="s">
        <v>787</v>
      </c>
      <c r="D569" s="27" t="s">
        <v>467</v>
      </c>
      <c r="E569" s="46">
        <v>6</v>
      </c>
      <c r="F569" s="118">
        <v>14351</v>
      </c>
      <c r="G569" s="118" t="s">
        <v>19</v>
      </c>
      <c r="H569" s="118" t="s">
        <v>8</v>
      </c>
      <c r="I569" s="118">
        <v>-6.6600000000000006E-2</v>
      </c>
      <c r="J569" s="118">
        <v>1.5069999999999999</v>
      </c>
      <c r="K569" s="118">
        <v>6.0000000000000001E-3</v>
      </c>
      <c r="L569" s="118">
        <v>0.17</v>
      </c>
      <c r="M569" s="140">
        <f t="shared" si="83"/>
        <v>0.05</v>
      </c>
      <c r="N569" s="140">
        <f t="shared" si="83"/>
        <v>1.5069999999999999</v>
      </c>
      <c r="O569" s="140">
        <f t="shared" si="83"/>
        <v>0.05</v>
      </c>
      <c r="P569" s="140">
        <f t="shared" si="80"/>
        <v>0.17</v>
      </c>
      <c r="Q569" s="179">
        <v>5.3597756888687318</v>
      </c>
      <c r="R569" s="125">
        <v>83.583333333333329</v>
      </c>
      <c r="S569" s="125">
        <v>3.7233333333333327</v>
      </c>
      <c r="T569" s="118"/>
      <c r="U569" s="118"/>
      <c r="W569" s="118">
        <v>40.673722143501401</v>
      </c>
      <c r="X569" s="118">
        <v>-85.831860726015293</v>
      </c>
      <c r="Y569" s="140">
        <f t="shared" si="84"/>
        <v>8</v>
      </c>
      <c r="Z569" s="140">
        <f t="shared" si="85"/>
        <v>13</v>
      </c>
      <c r="AA569" s="140">
        <f t="shared" si="86"/>
        <v>2025</v>
      </c>
      <c r="AB569" s="118"/>
      <c r="AC569" s="19">
        <v>45882</v>
      </c>
      <c r="AD569" s="181" t="s">
        <v>115</v>
      </c>
      <c r="AE569" s="118"/>
      <c r="AF569" s="118"/>
      <c r="AG569" s="118"/>
    </row>
    <row r="570" spans="1:33" x14ac:dyDescent="0.25">
      <c r="A570" s="25">
        <v>10569</v>
      </c>
      <c r="B570" s="124" t="s">
        <v>788</v>
      </c>
      <c r="C570" s="124" t="s">
        <v>788</v>
      </c>
      <c r="D570" s="27" t="s">
        <v>468</v>
      </c>
      <c r="E570" s="46">
        <v>7</v>
      </c>
      <c r="F570" s="118">
        <v>6411</v>
      </c>
      <c r="G570" s="118" t="s">
        <v>19</v>
      </c>
      <c r="H570" s="118" t="s">
        <v>8</v>
      </c>
      <c r="I570" s="118">
        <v>-5.9400000000000001E-2</v>
      </c>
      <c r="J570" s="118">
        <v>2.964</v>
      </c>
      <c r="K570" s="118">
        <v>4.0000000000000001E-3</v>
      </c>
      <c r="L570" s="118">
        <v>6.8000000000000005E-2</v>
      </c>
      <c r="M570" s="140">
        <f t="shared" si="83"/>
        <v>0.05</v>
      </c>
      <c r="N570" s="140">
        <f t="shared" si="83"/>
        <v>2.964</v>
      </c>
      <c r="O570" s="140">
        <f t="shared" si="83"/>
        <v>0.05</v>
      </c>
      <c r="P570" s="140">
        <f t="shared" si="80"/>
        <v>0.05</v>
      </c>
      <c r="Q570" s="179">
        <v>6.2652703411983524</v>
      </c>
      <c r="R570" s="125">
        <v>54.4</v>
      </c>
      <c r="S570" s="125">
        <v>3.1633333333333336</v>
      </c>
      <c r="T570" s="118"/>
      <c r="U570" s="118"/>
      <c r="W570" s="118">
        <v>40.687837744978602</v>
      </c>
      <c r="X570" s="118">
        <v>-85.896392727391799</v>
      </c>
      <c r="Y570" s="140">
        <f t="shared" si="84"/>
        <v>8</v>
      </c>
      <c r="Z570" s="140">
        <f t="shared" si="85"/>
        <v>13</v>
      </c>
      <c r="AA570" s="140">
        <f t="shared" si="86"/>
        <v>2025</v>
      </c>
      <c r="AB570" s="118"/>
      <c r="AC570" s="19">
        <v>45882</v>
      </c>
      <c r="AD570" s="181" t="s">
        <v>115</v>
      </c>
      <c r="AE570" s="118"/>
      <c r="AF570" s="118"/>
      <c r="AG570" s="118"/>
    </row>
    <row r="571" spans="1:33" x14ac:dyDescent="0.25">
      <c r="A571" s="25">
        <v>10570</v>
      </c>
      <c r="B571" s="124" t="s">
        <v>789</v>
      </c>
      <c r="C571" s="124" t="s">
        <v>789</v>
      </c>
      <c r="D571" s="27" t="s">
        <v>469</v>
      </c>
      <c r="E571" s="46">
        <v>8</v>
      </c>
      <c r="F571" s="118">
        <v>5401</v>
      </c>
      <c r="G571" s="118" t="s">
        <v>19</v>
      </c>
      <c r="H571" s="118" t="s">
        <v>8</v>
      </c>
      <c r="I571" s="118">
        <v>-6.54E-2</v>
      </c>
      <c r="J571" s="118">
        <v>2.8679999999999999</v>
      </c>
      <c r="K571" s="118">
        <v>4.0000000000000001E-3</v>
      </c>
      <c r="L571" s="118">
        <v>4.9000000000000002E-2</v>
      </c>
      <c r="M571" s="140">
        <f t="shared" si="83"/>
        <v>0.05</v>
      </c>
      <c r="N571" s="140">
        <f t="shared" si="83"/>
        <v>2.8679999999999999</v>
      </c>
      <c r="O571" s="140">
        <f t="shared" si="83"/>
        <v>0.05</v>
      </c>
      <c r="P571" s="140">
        <f t="shared" si="80"/>
        <v>0.05</v>
      </c>
      <c r="Q571" s="179">
        <v>6.447831562244204</v>
      </c>
      <c r="R571" s="125">
        <v>55.216666666666661</v>
      </c>
      <c r="S571" s="125">
        <v>1.07</v>
      </c>
      <c r="T571" s="118"/>
      <c r="U571" s="118"/>
      <c r="W571" s="118">
        <v>40.691436921490698</v>
      </c>
      <c r="X571" s="118">
        <v>-85.907788549587707</v>
      </c>
      <c r="Y571" s="140">
        <f t="shared" si="84"/>
        <v>8</v>
      </c>
      <c r="Z571" s="140">
        <f t="shared" si="85"/>
        <v>13</v>
      </c>
      <c r="AA571" s="140">
        <f t="shared" si="86"/>
        <v>2025</v>
      </c>
      <c r="AB571" s="118"/>
      <c r="AC571" s="19">
        <v>45882</v>
      </c>
      <c r="AD571" s="181" t="s">
        <v>115</v>
      </c>
      <c r="AE571" s="118"/>
      <c r="AF571" s="118"/>
      <c r="AG571" s="118"/>
    </row>
    <row r="572" spans="1:33" x14ac:dyDescent="0.25">
      <c r="A572" s="25">
        <v>10571</v>
      </c>
      <c r="B572" s="124" t="s">
        <v>790</v>
      </c>
      <c r="C572" s="124" t="s">
        <v>790</v>
      </c>
      <c r="D572" s="27" t="s">
        <v>470</v>
      </c>
      <c r="E572" s="46">
        <v>9</v>
      </c>
      <c r="F572" s="118">
        <v>4381</v>
      </c>
      <c r="G572" s="118" t="s">
        <v>19</v>
      </c>
      <c r="H572" s="118" t="s">
        <v>8</v>
      </c>
      <c r="I572" s="118">
        <v>-5.4100000000000002E-2</v>
      </c>
      <c r="J572" s="118">
        <v>3.6619999999999999</v>
      </c>
      <c r="K572" s="118">
        <v>3.0000000000000001E-3</v>
      </c>
      <c r="L572" s="118">
        <v>3.2000000000000001E-2</v>
      </c>
      <c r="M572" s="140">
        <f t="shared" si="83"/>
        <v>0.05</v>
      </c>
      <c r="N572" s="140">
        <f t="shared" si="83"/>
        <v>3.6619999999999999</v>
      </c>
      <c r="O572" s="140">
        <f t="shared" si="83"/>
        <v>0.05</v>
      </c>
      <c r="P572" s="140">
        <f t="shared" si="80"/>
        <v>0.05</v>
      </c>
      <c r="Q572" s="179">
        <v>21.856923684530333</v>
      </c>
      <c r="R572" s="125">
        <v>57.473333333333336</v>
      </c>
      <c r="S572" s="125">
        <v>1.9566666666666668</v>
      </c>
      <c r="T572" s="118"/>
      <c r="U572" s="118"/>
      <c r="W572" s="118">
        <v>40.7042358795022</v>
      </c>
      <c r="X572" s="118">
        <v>-85.930099513462096</v>
      </c>
      <c r="Y572" s="140">
        <f t="shared" si="84"/>
        <v>8</v>
      </c>
      <c r="Z572" s="140">
        <f t="shared" si="85"/>
        <v>13</v>
      </c>
      <c r="AA572" s="140">
        <f t="shared" si="86"/>
        <v>2025</v>
      </c>
      <c r="AB572" s="118"/>
      <c r="AC572" s="19">
        <v>45882</v>
      </c>
      <c r="AD572" s="181" t="s">
        <v>115</v>
      </c>
      <c r="AE572" s="118"/>
      <c r="AF572" s="118"/>
      <c r="AG572" s="118"/>
    </row>
    <row r="573" spans="1:33" x14ac:dyDescent="0.25">
      <c r="A573" s="25">
        <v>10572</v>
      </c>
      <c r="B573" s="124" t="s">
        <v>791</v>
      </c>
      <c r="C573" s="124" t="s">
        <v>791</v>
      </c>
      <c r="D573" s="27" t="s">
        <v>471</v>
      </c>
      <c r="E573" s="46">
        <v>10</v>
      </c>
      <c r="F573" s="118">
        <v>2851</v>
      </c>
      <c r="G573" s="118" t="s">
        <v>19</v>
      </c>
      <c r="H573" s="118" t="s">
        <v>8</v>
      </c>
      <c r="I573" s="118">
        <v>-6.1499999999999999E-2</v>
      </c>
      <c r="J573" s="118">
        <v>3.2549999999999999</v>
      </c>
      <c r="K573" s="118">
        <v>3.0000000000000001E-3</v>
      </c>
      <c r="L573" s="118">
        <v>5.8000000000000003E-2</v>
      </c>
      <c r="M573" s="140">
        <f t="shared" si="83"/>
        <v>0.05</v>
      </c>
      <c r="N573" s="140">
        <f t="shared" si="83"/>
        <v>3.2549999999999999</v>
      </c>
      <c r="O573" s="140">
        <f t="shared" si="83"/>
        <v>0.05</v>
      </c>
      <c r="P573" s="140">
        <f t="shared" si="80"/>
        <v>0.05</v>
      </c>
      <c r="Q573" s="179">
        <v>7.1267007025449516</v>
      </c>
      <c r="R573" s="125">
        <v>40.656666666666666</v>
      </c>
      <c r="S573" s="125">
        <v>2.8200000000000003</v>
      </c>
      <c r="T573" s="118"/>
      <c r="U573" s="118"/>
      <c r="W573" s="118">
        <v>40.693064987555303</v>
      </c>
      <c r="X573" s="118">
        <v>-85.919984527129003</v>
      </c>
      <c r="Y573" s="140">
        <f t="shared" si="84"/>
        <v>8</v>
      </c>
      <c r="Z573" s="140">
        <f t="shared" si="85"/>
        <v>13</v>
      </c>
      <c r="AA573" s="140">
        <f t="shared" si="86"/>
        <v>2025</v>
      </c>
      <c r="AB573" s="118"/>
      <c r="AC573" s="19">
        <v>45882</v>
      </c>
      <c r="AD573" s="181" t="s">
        <v>115</v>
      </c>
      <c r="AE573" s="118"/>
      <c r="AF573" s="118"/>
      <c r="AG573" s="118"/>
    </row>
    <row r="574" spans="1:33" x14ac:dyDescent="0.25">
      <c r="A574" s="25">
        <v>10573</v>
      </c>
      <c r="B574" s="124" t="s">
        <v>792</v>
      </c>
      <c r="C574" s="124" t="s">
        <v>792</v>
      </c>
      <c r="D574" s="27" t="s">
        <v>472</v>
      </c>
      <c r="E574" s="46">
        <v>11</v>
      </c>
      <c r="F574" s="118">
        <v>1731</v>
      </c>
      <c r="G574" s="118" t="s">
        <v>19</v>
      </c>
      <c r="H574" s="118" t="s">
        <v>8</v>
      </c>
      <c r="I574" s="118">
        <v>-6.2E-2</v>
      </c>
      <c r="J574" s="118">
        <v>3.3149999999999999</v>
      </c>
      <c r="K574" s="118">
        <v>2.5000000000000001E-2</v>
      </c>
      <c r="L574" s="118">
        <v>2.4E-2</v>
      </c>
      <c r="M574" s="140">
        <f t="shared" si="83"/>
        <v>0.05</v>
      </c>
      <c r="N574" s="140">
        <f t="shared" si="83"/>
        <v>3.3149999999999999</v>
      </c>
      <c r="O574" s="140">
        <f t="shared" si="83"/>
        <v>0.05</v>
      </c>
      <c r="P574" s="140">
        <f t="shared" si="80"/>
        <v>0.05</v>
      </c>
      <c r="Q574" s="179">
        <v>6.1885851167172001</v>
      </c>
      <c r="R574" s="125">
        <v>44.836666666666666</v>
      </c>
      <c r="S574" s="125">
        <v>1.5200000000000002</v>
      </c>
      <c r="T574" s="118"/>
      <c r="U574" s="118"/>
      <c r="W574" s="118">
        <v>40.7109787493496</v>
      </c>
      <c r="X574" s="118">
        <v>-85.938684960607205</v>
      </c>
      <c r="Y574" s="140">
        <f t="shared" si="84"/>
        <v>8</v>
      </c>
      <c r="Z574" s="140">
        <f t="shared" si="85"/>
        <v>13</v>
      </c>
      <c r="AA574" s="140">
        <f t="shared" si="86"/>
        <v>2025</v>
      </c>
      <c r="AB574" s="118"/>
      <c r="AC574" s="19">
        <v>45882</v>
      </c>
      <c r="AD574" s="181" t="s">
        <v>115</v>
      </c>
      <c r="AE574" s="118"/>
      <c r="AF574" s="118"/>
      <c r="AG574" s="118"/>
    </row>
    <row r="575" spans="1:33" x14ac:dyDescent="0.25">
      <c r="A575" s="25">
        <v>10574</v>
      </c>
      <c r="B575" s="124" t="s">
        <v>793</v>
      </c>
      <c r="C575" s="124" t="s">
        <v>793</v>
      </c>
      <c r="D575" s="27" t="s">
        <v>473</v>
      </c>
      <c r="E575" s="46">
        <v>12</v>
      </c>
      <c r="F575" s="118">
        <v>661</v>
      </c>
      <c r="G575" s="118" t="s">
        <v>19</v>
      </c>
      <c r="H575" s="118" t="s">
        <v>8</v>
      </c>
      <c r="I575" s="118">
        <v>-6.4500000000000002E-2</v>
      </c>
      <c r="J575" s="118">
        <v>3.5489999999999999</v>
      </c>
      <c r="K575" s="118">
        <v>4.0000000000000001E-3</v>
      </c>
      <c r="L575" s="118">
        <v>2.3E-2</v>
      </c>
      <c r="M575" s="140">
        <f t="shared" si="83"/>
        <v>0.05</v>
      </c>
      <c r="N575" s="140">
        <f t="shared" si="83"/>
        <v>3.5489999999999999</v>
      </c>
      <c r="O575" s="140">
        <f t="shared" si="83"/>
        <v>0.05</v>
      </c>
      <c r="P575" s="140">
        <f t="shared" si="80"/>
        <v>0.05</v>
      </c>
      <c r="Q575" s="179">
        <v>5.9302892575756285</v>
      </c>
      <c r="R575" s="125">
        <v>35.743333333333332</v>
      </c>
      <c r="S575" s="125">
        <v>1.7066666666666668</v>
      </c>
      <c r="T575" s="118"/>
      <c r="U575" s="118"/>
      <c r="W575" s="118">
        <v>40.711693336855703</v>
      </c>
      <c r="X575" s="118">
        <v>-85.950778318148494</v>
      </c>
      <c r="Y575" s="140">
        <f t="shared" si="84"/>
        <v>8</v>
      </c>
      <c r="Z575" s="140">
        <f t="shared" si="85"/>
        <v>13</v>
      </c>
      <c r="AA575" s="140">
        <f t="shared" si="86"/>
        <v>2025</v>
      </c>
      <c r="AB575" s="118"/>
      <c r="AC575" s="19">
        <v>45882</v>
      </c>
      <c r="AD575" s="181" t="s">
        <v>115</v>
      </c>
      <c r="AE575" s="118"/>
      <c r="AF575" s="118"/>
      <c r="AG575" s="118"/>
    </row>
    <row r="576" spans="1:33" x14ac:dyDescent="0.25">
      <c r="A576" s="25">
        <v>10575</v>
      </c>
      <c r="B576" s="124" t="s">
        <v>794</v>
      </c>
      <c r="C576" s="124" t="s">
        <v>794</v>
      </c>
      <c r="D576" s="27" t="s">
        <v>474</v>
      </c>
      <c r="E576" s="46">
        <v>13</v>
      </c>
      <c r="F576" s="118">
        <v>13553</v>
      </c>
      <c r="G576" s="118" t="s">
        <v>19</v>
      </c>
      <c r="H576" s="118" t="s">
        <v>8</v>
      </c>
      <c r="I576" s="118">
        <v>-5.8599999999999999E-2</v>
      </c>
      <c r="J576" s="118">
        <v>1.516</v>
      </c>
      <c r="K576" s="118">
        <v>2.1000000000000001E-2</v>
      </c>
      <c r="L576" s="118">
        <v>0.11600000000000001</v>
      </c>
      <c r="M576" s="140">
        <f t="shared" si="83"/>
        <v>0.05</v>
      </c>
      <c r="N576" s="140">
        <f t="shared" si="83"/>
        <v>1.516</v>
      </c>
      <c r="O576" s="140">
        <f t="shared" si="83"/>
        <v>0.05</v>
      </c>
      <c r="P576" s="140">
        <f t="shared" si="80"/>
        <v>0.11600000000000001</v>
      </c>
      <c r="Q576" s="179">
        <v>8.6605883516711515</v>
      </c>
      <c r="R576" s="125">
        <v>78.603333333333325</v>
      </c>
      <c r="S576" s="125">
        <v>1.01</v>
      </c>
      <c r="T576" s="118"/>
      <c r="U576" s="118"/>
      <c r="W576" s="118">
        <v>40.672573608924402</v>
      </c>
      <c r="X576" s="118">
        <v>-85.841450190894093</v>
      </c>
      <c r="Y576" s="140">
        <f t="shared" si="84"/>
        <v>8</v>
      </c>
      <c r="Z576" s="140">
        <f t="shared" si="85"/>
        <v>13</v>
      </c>
      <c r="AA576" s="140">
        <f t="shared" si="86"/>
        <v>2025</v>
      </c>
      <c r="AB576" s="118"/>
      <c r="AC576" s="19">
        <v>45882</v>
      </c>
      <c r="AD576" s="181" t="s">
        <v>115</v>
      </c>
      <c r="AE576" s="118"/>
      <c r="AF576" s="118"/>
      <c r="AG576" s="118"/>
    </row>
    <row r="577" spans="1:33" x14ac:dyDescent="0.25">
      <c r="A577" s="25">
        <v>10576</v>
      </c>
      <c r="B577" s="124" t="s">
        <v>795</v>
      </c>
      <c r="C577" s="124" t="s">
        <v>795</v>
      </c>
      <c r="D577" s="27" t="s">
        <v>780</v>
      </c>
      <c r="E577" s="46">
        <v>15</v>
      </c>
      <c r="F577" s="118">
        <v>11905</v>
      </c>
      <c r="G577" s="118" t="s">
        <v>19</v>
      </c>
      <c r="H577" s="118" t="s">
        <v>8</v>
      </c>
      <c r="I577" s="118">
        <v>-5.67E-2</v>
      </c>
      <c r="J577" s="118">
        <v>1.7789999999999999</v>
      </c>
      <c r="K577" s="118">
        <v>4.0000000000000001E-3</v>
      </c>
      <c r="L577" s="118">
        <v>6.7000000000000004E-2</v>
      </c>
      <c r="M577" s="140">
        <f t="shared" si="83"/>
        <v>0.05</v>
      </c>
      <c r="N577" s="140">
        <f t="shared" si="83"/>
        <v>1.7789999999999999</v>
      </c>
      <c r="O577" s="140">
        <f t="shared" si="83"/>
        <v>0.05</v>
      </c>
      <c r="P577" s="140">
        <f t="shared" si="80"/>
        <v>0.05</v>
      </c>
      <c r="Q577" s="179">
        <v>10.92005277324521</v>
      </c>
      <c r="R577" s="125">
        <v>57.109999999999992</v>
      </c>
      <c r="S577" s="125">
        <v>2.1566666666666667</v>
      </c>
      <c r="T577" s="118"/>
      <c r="U577" s="118"/>
      <c r="W577" s="118">
        <v>40.663149028751498</v>
      </c>
      <c r="X577" s="118">
        <v>-85.855344082132305</v>
      </c>
      <c r="Y577" s="140">
        <f t="shared" si="84"/>
        <v>8</v>
      </c>
      <c r="Z577" s="140">
        <f t="shared" si="85"/>
        <v>13</v>
      </c>
      <c r="AA577" s="140">
        <f t="shared" si="86"/>
        <v>2025</v>
      </c>
      <c r="AB577" s="118"/>
      <c r="AC577" s="19">
        <v>45882</v>
      </c>
      <c r="AD577" s="181" t="s">
        <v>115</v>
      </c>
      <c r="AE577" s="118"/>
      <c r="AF577" s="118"/>
      <c r="AG577" s="118"/>
    </row>
    <row r="578" spans="1:33" x14ac:dyDescent="0.25">
      <c r="A578" s="25">
        <v>10577</v>
      </c>
      <c r="B578" s="124" t="s">
        <v>796</v>
      </c>
      <c r="C578" s="124" t="s">
        <v>796</v>
      </c>
      <c r="D578" s="27">
        <v>2117</v>
      </c>
      <c r="E578" s="27">
        <v>17</v>
      </c>
      <c r="F578" s="118">
        <v>8796</v>
      </c>
      <c r="G578" s="118" t="s">
        <v>19</v>
      </c>
      <c r="H578" s="118" t="s">
        <v>8</v>
      </c>
      <c r="I578" s="118">
        <v>-5.5500000000000001E-2</v>
      </c>
      <c r="J578" s="118">
        <v>2.3290000000000002</v>
      </c>
      <c r="K578" s="118">
        <v>4.0000000000000001E-3</v>
      </c>
      <c r="L578" s="118">
        <v>0.128</v>
      </c>
      <c r="M578" s="140">
        <f t="shared" ref="M578:O593" si="87">IF(I578&lt;0.1,0.05,I578)</f>
        <v>0.05</v>
      </c>
      <c r="N578" s="140">
        <f t="shared" si="87"/>
        <v>2.3290000000000002</v>
      </c>
      <c r="O578" s="140">
        <f t="shared" si="87"/>
        <v>0.05</v>
      </c>
      <c r="P578" s="140">
        <f t="shared" ref="P578:P604" si="88">IF(L578&lt;0.1,0.05,L578)</f>
        <v>0.128</v>
      </c>
      <c r="Q578" s="179">
        <v>5.9364592000499457</v>
      </c>
      <c r="R578" s="125">
        <v>71.25</v>
      </c>
      <c r="S578" s="125">
        <v>1.1333333333333333</v>
      </c>
      <c r="T578" s="118"/>
      <c r="U578" s="118"/>
      <c r="W578" s="118">
        <v>40.677226157739803</v>
      </c>
      <c r="X578" s="118">
        <v>-85.876428639400501</v>
      </c>
      <c r="Y578" s="140">
        <f t="shared" si="84"/>
        <v>8</v>
      </c>
      <c r="Z578" s="140">
        <f t="shared" si="85"/>
        <v>13</v>
      </c>
      <c r="AA578" s="140">
        <f t="shared" si="86"/>
        <v>2025</v>
      </c>
      <c r="AB578" s="118"/>
      <c r="AC578" s="19">
        <v>45882</v>
      </c>
      <c r="AD578" s="181" t="s">
        <v>115</v>
      </c>
      <c r="AE578" s="118"/>
      <c r="AF578" s="118"/>
      <c r="AG578" s="118"/>
    </row>
    <row r="579" spans="1:33" x14ac:dyDescent="0.25">
      <c r="A579" s="25">
        <v>10578</v>
      </c>
      <c r="B579" s="117" t="s">
        <v>752</v>
      </c>
      <c r="C579" s="123" t="s">
        <v>752</v>
      </c>
      <c r="D579" s="27" t="s">
        <v>462</v>
      </c>
      <c r="E579" s="46">
        <v>1</v>
      </c>
      <c r="F579" s="118">
        <v>5999</v>
      </c>
      <c r="G579" s="118" t="s">
        <v>19</v>
      </c>
      <c r="H579" s="118" t="s">
        <v>8</v>
      </c>
      <c r="I579">
        <v>-1.34E-2</v>
      </c>
      <c r="J579">
        <v>2.3940000000000001</v>
      </c>
      <c r="K579">
        <v>0</v>
      </c>
      <c r="L579" s="118">
        <v>5.8999999999999997E-2</v>
      </c>
      <c r="M579" s="140">
        <f t="shared" si="87"/>
        <v>0.05</v>
      </c>
      <c r="N579" s="140">
        <f t="shared" si="87"/>
        <v>2.3940000000000001</v>
      </c>
      <c r="O579" s="140">
        <f t="shared" si="87"/>
        <v>0.05</v>
      </c>
      <c r="P579" s="140">
        <f t="shared" si="88"/>
        <v>0.05</v>
      </c>
      <c r="Q579" s="179">
        <v>8.0011879444832292</v>
      </c>
      <c r="R579" s="125">
        <v>20.03</v>
      </c>
      <c r="S579" s="125">
        <v>2.48</v>
      </c>
      <c r="V579" s="146">
        <v>0.45</v>
      </c>
      <c r="W579" s="118">
        <v>40.6816536638119</v>
      </c>
      <c r="X579" s="118">
        <v>-85.888918001550294</v>
      </c>
      <c r="Y579" s="140">
        <f t="shared" si="84"/>
        <v>8</v>
      </c>
      <c r="Z579" s="140">
        <f t="shared" si="85"/>
        <v>22</v>
      </c>
      <c r="AA579" s="140">
        <f t="shared" si="86"/>
        <v>2025</v>
      </c>
      <c r="AC579" s="19">
        <v>45891</v>
      </c>
      <c r="AD579" s="181" t="s">
        <v>1616</v>
      </c>
      <c r="AF579" s="118"/>
      <c r="AG579" s="118"/>
    </row>
    <row r="580" spans="1:33" x14ac:dyDescent="0.25">
      <c r="A580" s="25">
        <v>10579</v>
      </c>
      <c r="B580" s="117" t="s">
        <v>753</v>
      </c>
      <c r="C580" s="123" t="s">
        <v>753</v>
      </c>
      <c r="D580" s="56" t="s">
        <v>463</v>
      </c>
      <c r="E580" s="46">
        <v>2</v>
      </c>
      <c r="F580" s="118">
        <v>8861</v>
      </c>
      <c r="G580" s="118" t="s">
        <v>19</v>
      </c>
      <c r="H580" s="118" t="s">
        <v>8</v>
      </c>
      <c r="I580">
        <v>-1.1900000000000001E-2</v>
      </c>
      <c r="J580">
        <v>2.2719999999999998</v>
      </c>
      <c r="K580">
        <v>-5.0000000000000001E-3</v>
      </c>
      <c r="L580" s="118">
        <v>6.7000000000000004E-2</v>
      </c>
      <c r="M580" s="140">
        <f t="shared" si="87"/>
        <v>0.05</v>
      </c>
      <c r="N580" s="140">
        <f t="shared" si="87"/>
        <v>2.2719999999999998</v>
      </c>
      <c r="O580" s="140">
        <f t="shared" si="87"/>
        <v>0.05</v>
      </c>
      <c r="P580" s="140">
        <f t="shared" si="88"/>
        <v>0.05</v>
      </c>
      <c r="Q580" s="179">
        <v>2.2134573069111489</v>
      </c>
      <c r="R580" s="125">
        <v>30.58666666666667</v>
      </c>
      <c r="S580" s="125">
        <v>3.1866666666666661</v>
      </c>
      <c r="V580" s="146">
        <v>0.45</v>
      </c>
      <c r="W580" s="118">
        <v>40.676853874249602</v>
      </c>
      <c r="X580" s="118">
        <v>-85.877035047001101</v>
      </c>
      <c r="Y580" s="140">
        <f t="shared" si="84"/>
        <v>8</v>
      </c>
      <c r="Z580" s="140">
        <f t="shared" si="85"/>
        <v>22</v>
      </c>
      <c r="AA580" s="140">
        <f t="shared" si="86"/>
        <v>2025</v>
      </c>
      <c r="AC580" s="19">
        <v>45891</v>
      </c>
      <c r="AD580" s="181" t="s">
        <v>1627</v>
      </c>
      <c r="AF580" s="118"/>
      <c r="AG580" s="118"/>
    </row>
    <row r="581" spans="1:33" x14ac:dyDescent="0.25">
      <c r="A581" s="25">
        <v>10580</v>
      </c>
      <c r="B581" s="117" t="s">
        <v>754</v>
      </c>
      <c r="C581" s="123" t="s">
        <v>754</v>
      </c>
      <c r="D581" s="27" t="s">
        <v>464</v>
      </c>
      <c r="E581" s="46">
        <v>3</v>
      </c>
      <c r="F581" s="118">
        <v>9921</v>
      </c>
      <c r="G581" s="118" t="s">
        <v>19</v>
      </c>
      <c r="H581" s="118" t="s">
        <v>8</v>
      </c>
      <c r="I581">
        <v>-2.4199999999999999E-2</v>
      </c>
      <c r="J581">
        <v>2.044</v>
      </c>
      <c r="K581">
        <v>-5.0000000000000001E-3</v>
      </c>
      <c r="L581" s="118">
        <v>5.8999999999999997E-2</v>
      </c>
      <c r="M581" s="140">
        <f t="shared" si="87"/>
        <v>0.05</v>
      </c>
      <c r="N581" s="140">
        <f t="shared" si="87"/>
        <v>2.044</v>
      </c>
      <c r="O581" s="140">
        <f t="shared" si="87"/>
        <v>0.05</v>
      </c>
      <c r="P581" s="140">
        <f t="shared" si="88"/>
        <v>0.05</v>
      </c>
      <c r="Q581" s="179">
        <v>9.0868404622847763</v>
      </c>
      <c r="R581" s="125">
        <v>28.13</v>
      </c>
      <c r="S581" s="125">
        <v>2.9433333333333334</v>
      </c>
      <c r="V581" s="146">
        <v>0.3</v>
      </c>
      <c r="W581" s="118">
        <v>40.670779334595501</v>
      </c>
      <c r="X581" s="118">
        <v>-85.8703953115144</v>
      </c>
      <c r="Y581" s="140">
        <f t="shared" si="84"/>
        <v>8</v>
      </c>
      <c r="Z581" s="140">
        <f t="shared" si="85"/>
        <v>22</v>
      </c>
      <c r="AA581" s="140">
        <f t="shared" si="86"/>
        <v>2025</v>
      </c>
      <c r="AC581" s="19">
        <v>45891</v>
      </c>
      <c r="AD581" s="181" t="s">
        <v>1627</v>
      </c>
      <c r="AF581" s="118"/>
      <c r="AG581" s="118"/>
    </row>
    <row r="582" spans="1:33" x14ac:dyDescent="0.25">
      <c r="A582" s="25">
        <v>10581</v>
      </c>
      <c r="B582" s="117" t="s">
        <v>755</v>
      </c>
      <c r="C582" s="123" t="s">
        <v>755</v>
      </c>
      <c r="D582" s="27" t="s">
        <v>465</v>
      </c>
      <c r="E582" s="46">
        <v>4</v>
      </c>
      <c r="F582" s="118">
        <v>10891</v>
      </c>
      <c r="G582" s="118" t="s">
        <v>19</v>
      </c>
      <c r="H582" s="118" t="s">
        <v>8</v>
      </c>
      <c r="I582">
        <v>-2.0299999999999999E-2</v>
      </c>
      <c r="J582">
        <v>1.829</v>
      </c>
      <c r="K582">
        <v>-4.0000000000000001E-3</v>
      </c>
      <c r="L582" s="118">
        <v>7.8E-2</v>
      </c>
      <c r="M582" s="140">
        <f t="shared" si="87"/>
        <v>0.05</v>
      </c>
      <c r="N582" s="140">
        <f t="shared" si="87"/>
        <v>1.829</v>
      </c>
      <c r="O582" s="140">
        <f t="shared" si="87"/>
        <v>0.05</v>
      </c>
      <c r="P582" s="140">
        <f t="shared" si="88"/>
        <v>0.05</v>
      </c>
      <c r="Q582" s="179">
        <v>12.642950430707868</v>
      </c>
      <c r="R582" s="125">
        <v>68.38666666666667</v>
      </c>
      <c r="S582" s="125">
        <v>4.0533333333333337</v>
      </c>
      <c r="V582" s="146">
        <v>0.3</v>
      </c>
      <c r="W582" s="118">
        <v>40.663123189579501</v>
      </c>
      <c r="X582" s="118">
        <v>-85.8665417810126</v>
      </c>
      <c r="Y582" s="140">
        <f t="shared" si="84"/>
        <v>8</v>
      </c>
      <c r="Z582" s="140">
        <f t="shared" si="85"/>
        <v>22</v>
      </c>
      <c r="AA582" s="140">
        <f t="shared" si="86"/>
        <v>2025</v>
      </c>
      <c r="AC582" s="19">
        <v>45891</v>
      </c>
      <c r="AD582" s="181" t="s">
        <v>1626</v>
      </c>
      <c r="AF582" s="118"/>
      <c r="AG582" s="118"/>
    </row>
    <row r="583" spans="1:33" x14ac:dyDescent="0.25">
      <c r="A583" s="25">
        <v>10582</v>
      </c>
      <c r="B583" s="117" t="s">
        <v>756</v>
      </c>
      <c r="C583" s="123" t="s">
        <v>756</v>
      </c>
      <c r="D583" s="27" t="s">
        <v>466</v>
      </c>
      <c r="E583" s="46">
        <v>5</v>
      </c>
      <c r="F583" s="118">
        <v>12821</v>
      </c>
      <c r="G583" s="118" t="s">
        <v>19</v>
      </c>
      <c r="H583" s="118" t="s">
        <v>8</v>
      </c>
      <c r="I583">
        <v>-5.8999999999999999E-3</v>
      </c>
      <c r="J583">
        <v>1.4910000000000001</v>
      </c>
      <c r="K583">
        <v>-4.0000000000000001E-3</v>
      </c>
      <c r="L583" s="118">
        <v>9.5000000000000001E-2</v>
      </c>
      <c r="M583" s="140">
        <f t="shared" si="87"/>
        <v>0.05</v>
      </c>
      <c r="N583" s="140">
        <f t="shared" si="87"/>
        <v>1.4910000000000001</v>
      </c>
      <c r="O583" s="140">
        <f t="shared" si="87"/>
        <v>0.05</v>
      </c>
      <c r="P583" s="140">
        <f t="shared" si="88"/>
        <v>0.05</v>
      </c>
      <c r="Q583" s="179">
        <v>77.599999999999994</v>
      </c>
      <c r="R583" s="125">
        <v>42.386666666666663</v>
      </c>
      <c r="S583" s="125">
        <v>5.0166666666666666</v>
      </c>
      <c r="V583" s="146">
        <v>0.3</v>
      </c>
      <c r="W583" s="118">
        <v>40.668469884505001</v>
      </c>
      <c r="X583" s="118">
        <v>-85.847887886158901</v>
      </c>
      <c r="Y583" s="140">
        <f t="shared" si="84"/>
        <v>8</v>
      </c>
      <c r="Z583" s="140">
        <f t="shared" si="85"/>
        <v>22</v>
      </c>
      <c r="AA583" s="140">
        <f t="shared" si="86"/>
        <v>2025</v>
      </c>
      <c r="AC583" s="19">
        <v>45891</v>
      </c>
      <c r="AD583" s="181" t="s">
        <v>1616</v>
      </c>
      <c r="AF583" s="118"/>
      <c r="AG583" s="118"/>
    </row>
    <row r="584" spans="1:33" x14ac:dyDescent="0.25">
      <c r="A584" s="25">
        <v>10583</v>
      </c>
      <c r="B584" s="117" t="s">
        <v>757</v>
      </c>
      <c r="C584" s="123" t="s">
        <v>757</v>
      </c>
      <c r="D584" s="27" t="s">
        <v>467</v>
      </c>
      <c r="E584" s="46">
        <v>6</v>
      </c>
      <c r="F584" s="118">
        <v>14351</v>
      </c>
      <c r="G584" s="118" t="s">
        <v>19</v>
      </c>
      <c r="H584" s="118" t="s">
        <v>8</v>
      </c>
      <c r="I584">
        <v>3.2800000000000003E-2</v>
      </c>
      <c r="J584">
        <v>1.409</v>
      </c>
      <c r="K584">
        <v>3.0000000000000001E-3</v>
      </c>
      <c r="L584" s="118">
        <v>0.129</v>
      </c>
      <c r="M584" s="140">
        <f t="shared" si="87"/>
        <v>0.05</v>
      </c>
      <c r="N584" s="140">
        <f t="shared" si="87"/>
        <v>1.409</v>
      </c>
      <c r="O584" s="140">
        <f t="shared" si="87"/>
        <v>0.05</v>
      </c>
      <c r="P584" s="140">
        <f t="shared" si="88"/>
        <v>0.129</v>
      </c>
      <c r="Q584" s="179">
        <v>8.91</v>
      </c>
      <c r="R584" s="125">
        <v>22.636666666666667</v>
      </c>
      <c r="S584" s="125">
        <v>4.8966666666666674</v>
      </c>
      <c r="V584" s="146">
        <v>0.55000000000000004</v>
      </c>
      <c r="W584" s="118">
        <v>40.687768519894099</v>
      </c>
      <c r="X584" s="118">
        <v>-85.896579288026203</v>
      </c>
      <c r="Y584" s="140">
        <f t="shared" si="84"/>
        <v>8</v>
      </c>
      <c r="Z584" s="140">
        <f t="shared" si="85"/>
        <v>22</v>
      </c>
      <c r="AA584" s="140">
        <f t="shared" si="86"/>
        <v>2025</v>
      </c>
      <c r="AC584" s="19">
        <v>45891</v>
      </c>
      <c r="AD584" s="181" t="s">
        <v>1618</v>
      </c>
      <c r="AF584" s="118"/>
      <c r="AG584" s="118"/>
    </row>
    <row r="585" spans="1:33" x14ac:dyDescent="0.25">
      <c r="A585" s="25">
        <v>10584</v>
      </c>
      <c r="B585" s="117" t="s">
        <v>758</v>
      </c>
      <c r="C585" s="123" t="s">
        <v>758</v>
      </c>
      <c r="D585" s="27" t="s">
        <v>468</v>
      </c>
      <c r="E585" s="46">
        <v>7</v>
      </c>
      <c r="F585" s="118">
        <v>6411</v>
      </c>
      <c r="G585" s="118" t="s">
        <v>19</v>
      </c>
      <c r="H585" s="118" t="s">
        <v>8</v>
      </c>
      <c r="I585">
        <v>2.3E-3</v>
      </c>
      <c r="J585">
        <v>2.6240000000000001</v>
      </c>
      <c r="K585">
        <v>-5.0000000000000001E-3</v>
      </c>
      <c r="L585" s="118">
        <v>4.2000000000000003E-2</v>
      </c>
      <c r="M585" s="140">
        <f t="shared" si="87"/>
        <v>0.05</v>
      </c>
      <c r="N585" s="140">
        <f t="shared" si="87"/>
        <v>2.6240000000000001</v>
      </c>
      <c r="O585" s="140">
        <f t="shared" si="87"/>
        <v>0.05</v>
      </c>
      <c r="P585" s="140">
        <f t="shared" si="88"/>
        <v>0.05</v>
      </c>
      <c r="Q585" s="179">
        <v>18.765361270474745</v>
      </c>
      <c r="R585" s="125">
        <v>34.6</v>
      </c>
      <c r="S585" s="125">
        <v>3.1466666666666669</v>
      </c>
      <c r="V585" s="146">
        <v>0.3</v>
      </c>
      <c r="W585" s="118">
        <v>40.673772314344497</v>
      </c>
      <c r="X585" s="118">
        <v>-85.831935370051696</v>
      </c>
      <c r="Y585" s="140">
        <f t="shared" si="84"/>
        <v>8</v>
      </c>
      <c r="Z585" s="140">
        <f t="shared" si="85"/>
        <v>22</v>
      </c>
      <c r="AA585" s="140">
        <f t="shared" si="86"/>
        <v>2025</v>
      </c>
      <c r="AC585" s="19">
        <v>45891</v>
      </c>
      <c r="AD585" s="181" t="s">
        <v>1610</v>
      </c>
      <c r="AF585" s="118"/>
      <c r="AG585" s="118"/>
    </row>
    <row r="586" spans="1:33" x14ac:dyDescent="0.25">
      <c r="A586" s="25">
        <v>10585</v>
      </c>
      <c r="B586" s="117" t="s">
        <v>759</v>
      </c>
      <c r="C586" s="123" t="s">
        <v>759</v>
      </c>
      <c r="D586" s="27" t="s">
        <v>469</v>
      </c>
      <c r="E586" s="46">
        <v>8</v>
      </c>
      <c r="F586" s="118">
        <v>5401</v>
      </c>
      <c r="G586" s="118" t="s">
        <v>19</v>
      </c>
      <c r="H586" s="118" t="s">
        <v>8</v>
      </c>
      <c r="I586">
        <v>-8.6999999999999994E-3</v>
      </c>
      <c r="J586">
        <v>2.5710000000000002</v>
      </c>
      <c r="K586">
        <v>1E-3</v>
      </c>
      <c r="L586" s="118">
        <v>4.7E-2</v>
      </c>
      <c r="M586" s="140">
        <f t="shared" si="87"/>
        <v>0.05</v>
      </c>
      <c r="N586" s="140">
        <f t="shared" si="87"/>
        <v>2.5710000000000002</v>
      </c>
      <c r="O586" s="140">
        <f t="shared" si="87"/>
        <v>0.05</v>
      </c>
      <c r="P586" s="140">
        <f t="shared" si="88"/>
        <v>0.05</v>
      </c>
      <c r="Q586" s="179">
        <v>36.942343009478705</v>
      </c>
      <c r="R586" s="125">
        <v>40.786666666666669</v>
      </c>
      <c r="S586" s="125">
        <v>4.7433333333333332</v>
      </c>
      <c r="V586" s="146">
        <v>0.4</v>
      </c>
      <c r="W586" s="118">
        <v>40.691689486534997</v>
      </c>
      <c r="X586" s="118">
        <v>-85.908206072747703</v>
      </c>
      <c r="Y586" s="140">
        <f t="shared" si="84"/>
        <v>8</v>
      </c>
      <c r="Z586" s="140">
        <f t="shared" si="85"/>
        <v>22</v>
      </c>
      <c r="AA586" s="140">
        <f t="shared" si="86"/>
        <v>2025</v>
      </c>
      <c r="AC586" s="19">
        <v>45891</v>
      </c>
      <c r="AD586" s="181" t="s">
        <v>1620</v>
      </c>
      <c r="AF586" s="118"/>
      <c r="AG586" s="118"/>
    </row>
    <row r="587" spans="1:33" x14ac:dyDescent="0.25">
      <c r="A587" s="25">
        <v>10586</v>
      </c>
      <c r="B587" s="117" t="s">
        <v>760</v>
      </c>
      <c r="C587" s="123" t="s">
        <v>760</v>
      </c>
      <c r="D587" s="27" t="s">
        <v>470</v>
      </c>
      <c r="E587" s="46">
        <v>9</v>
      </c>
      <c r="F587" s="118">
        <v>4381</v>
      </c>
      <c r="G587" s="118" t="s">
        <v>19</v>
      </c>
      <c r="H587" s="118" t="s">
        <v>8</v>
      </c>
      <c r="I587">
        <v>-1.78E-2</v>
      </c>
      <c r="J587">
        <v>2.52</v>
      </c>
      <c r="K587">
        <v>0</v>
      </c>
      <c r="L587" s="118">
        <v>4.7E-2</v>
      </c>
      <c r="M587" s="140">
        <f t="shared" si="87"/>
        <v>0.05</v>
      </c>
      <c r="N587" s="140">
        <f t="shared" si="87"/>
        <v>2.52</v>
      </c>
      <c r="O587" s="140">
        <f t="shared" si="87"/>
        <v>0.05</v>
      </c>
      <c r="P587" s="140">
        <f t="shared" si="88"/>
        <v>0.05</v>
      </c>
      <c r="Q587" s="179">
        <v>11.985002794193836</v>
      </c>
      <c r="R587" s="125">
        <v>30.14</v>
      </c>
      <c r="S587" s="125">
        <v>2.2933333333333334</v>
      </c>
      <c r="V587" s="146">
        <v>0.45</v>
      </c>
      <c r="W587" s="118">
        <v>40.704189487454599</v>
      </c>
      <c r="X587" s="118">
        <v>-85.929971488917801</v>
      </c>
      <c r="Y587" s="140">
        <f t="shared" si="84"/>
        <v>8</v>
      </c>
      <c r="Z587" s="140">
        <f t="shared" si="85"/>
        <v>22</v>
      </c>
      <c r="AA587" s="140">
        <f t="shared" si="86"/>
        <v>2025</v>
      </c>
      <c r="AC587" s="19">
        <v>45891</v>
      </c>
      <c r="AD587" s="181" t="s">
        <v>1628</v>
      </c>
      <c r="AF587" s="118"/>
      <c r="AG587" s="118"/>
    </row>
    <row r="588" spans="1:33" x14ac:dyDescent="0.25">
      <c r="A588" s="25">
        <v>10587</v>
      </c>
      <c r="B588" s="117" t="s">
        <v>761</v>
      </c>
      <c r="C588" s="123" t="s">
        <v>761</v>
      </c>
      <c r="D588" s="27" t="s">
        <v>471</v>
      </c>
      <c r="E588" s="46">
        <v>10</v>
      </c>
      <c r="F588" s="118">
        <v>2851</v>
      </c>
      <c r="G588" s="118" t="s">
        <v>19</v>
      </c>
      <c r="H588" s="118" t="s">
        <v>8</v>
      </c>
      <c r="I588">
        <v>0.30819999999999997</v>
      </c>
      <c r="J588">
        <v>2.7770000000000001</v>
      </c>
      <c r="K588">
        <v>-5.0000000000000001E-3</v>
      </c>
      <c r="L588" s="118">
        <v>4.3999999999999997E-2</v>
      </c>
      <c r="M588" s="140">
        <f t="shared" si="87"/>
        <v>0.30819999999999997</v>
      </c>
      <c r="N588" s="140">
        <f t="shared" si="87"/>
        <v>2.7770000000000001</v>
      </c>
      <c r="O588" s="140">
        <f t="shared" si="87"/>
        <v>0.05</v>
      </c>
      <c r="P588" s="140">
        <f t="shared" si="88"/>
        <v>0.05</v>
      </c>
      <c r="Q588" s="179">
        <v>15.315237764120635</v>
      </c>
      <c r="R588" s="125">
        <v>42.783333333333339</v>
      </c>
      <c r="S588" s="125">
        <v>5.5</v>
      </c>
      <c r="V588" s="146">
        <v>0.5</v>
      </c>
      <c r="W588" s="118">
        <v>40.6933868545755</v>
      </c>
      <c r="X588" s="118">
        <v>-85.920132017041794</v>
      </c>
      <c r="Y588" s="140">
        <f t="shared" si="84"/>
        <v>8</v>
      </c>
      <c r="Z588" s="140">
        <f t="shared" si="85"/>
        <v>22</v>
      </c>
      <c r="AA588" s="140">
        <f t="shared" si="86"/>
        <v>2025</v>
      </c>
      <c r="AC588" s="19">
        <v>45891</v>
      </c>
      <c r="AD588" s="181" t="s">
        <v>1619</v>
      </c>
      <c r="AF588" s="118"/>
      <c r="AG588" s="118"/>
    </row>
    <row r="589" spans="1:33" x14ac:dyDescent="0.25">
      <c r="A589" s="25">
        <v>10588</v>
      </c>
      <c r="B589" s="117" t="s">
        <v>762</v>
      </c>
      <c r="C589" s="123" t="s">
        <v>762</v>
      </c>
      <c r="D589" s="27" t="s">
        <v>472</v>
      </c>
      <c r="E589" s="46">
        <v>11</v>
      </c>
      <c r="F589" s="118">
        <v>1731</v>
      </c>
      <c r="G589" s="118" t="s">
        <v>19</v>
      </c>
      <c r="H589" s="118" t="s">
        <v>8</v>
      </c>
      <c r="I589">
        <v>8.6199999999999999E-2</v>
      </c>
      <c r="J589">
        <v>2.7080000000000002</v>
      </c>
      <c r="K589">
        <v>-4.0000000000000001E-3</v>
      </c>
      <c r="L589" s="118">
        <v>4.8000000000000001E-2</v>
      </c>
      <c r="M589" s="140">
        <f t="shared" si="87"/>
        <v>0.05</v>
      </c>
      <c r="N589" s="140">
        <f t="shared" si="87"/>
        <v>2.7080000000000002</v>
      </c>
      <c r="O589" s="140">
        <f t="shared" si="87"/>
        <v>0.05</v>
      </c>
      <c r="P589" s="140">
        <f t="shared" si="88"/>
        <v>0.05</v>
      </c>
      <c r="Q589" s="179">
        <v>9.7943096225457005</v>
      </c>
      <c r="R589" s="125">
        <v>27.505000000000003</v>
      </c>
      <c r="S589" s="125">
        <v>2.6349999999999998</v>
      </c>
      <c r="V589" s="146">
        <v>0.65</v>
      </c>
      <c r="W589" s="118">
        <v>40.7109735166094</v>
      </c>
      <c r="X589" s="118">
        <v>-85.938573486479498</v>
      </c>
      <c r="Y589" s="140">
        <f t="shared" si="84"/>
        <v>8</v>
      </c>
      <c r="Z589" s="140">
        <f t="shared" si="85"/>
        <v>22</v>
      </c>
      <c r="AA589" s="140">
        <f t="shared" si="86"/>
        <v>2025</v>
      </c>
      <c r="AC589" s="19">
        <v>45891</v>
      </c>
      <c r="AD589" s="181" t="s">
        <v>1629</v>
      </c>
      <c r="AF589" s="118"/>
      <c r="AG589" s="118"/>
    </row>
    <row r="590" spans="1:33" ht="15" customHeight="1" x14ac:dyDescent="0.25">
      <c r="A590" s="25">
        <v>10589</v>
      </c>
      <c r="B590" s="117" t="s">
        <v>763</v>
      </c>
      <c r="C590" s="123" t="s">
        <v>763</v>
      </c>
      <c r="D590" s="27" t="s">
        <v>473</v>
      </c>
      <c r="E590" s="46">
        <v>12</v>
      </c>
      <c r="F590" s="118">
        <v>661</v>
      </c>
      <c r="G590" s="118" t="s">
        <v>19</v>
      </c>
      <c r="H590" s="118" t="s">
        <v>8</v>
      </c>
      <c r="I590">
        <v>-2.9100000000000001E-2</v>
      </c>
      <c r="J590">
        <v>2.6150000000000002</v>
      </c>
      <c r="K590">
        <v>0</v>
      </c>
      <c r="L590" s="118">
        <v>6.4000000000000001E-2</v>
      </c>
      <c r="M590" s="140">
        <f t="shared" si="87"/>
        <v>0.05</v>
      </c>
      <c r="N590" s="140">
        <f t="shared" si="87"/>
        <v>2.6150000000000002</v>
      </c>
      <c r="O590" s="140">
        <f t="shared" si="87"/>
        <v>0.05</v>
      </c>
      <c r="P590" s="140">
        <f t="shared" si="88"/>
        <v>0.05</v>
      </c>
      <c r="Q590" s="179">
        <v>61.749651519375483</v>
      </c>
      <c r="R590" s="125">
        <v>32.076666666666668</v>
      </c>
      <c r="S590" s="125">
        <v>3.5266666666666668</v>
      </c>
      <c r="V590" s="146">
        <v>0.6</v>
      </c>
      <c r="W590" s="118">
        <v>40.7115924957685</v>
      </c>
      <c r="X590" s="118">
        <v>-85.950995315973998</v>
      </c>
      <c r="Y590" s="140">
        <f t="shared" si="84"/>
        <v>8</v>
      </c>
      <c r="Z590" s="140">
        <f t="shared" si="85"/>
        <v>22</v>
      </c>
      <c r="AA590" s="140">
        <f t="shared" si="86"/>
        <v>2025</v>
      </c>
      <c r="AC590" s="19">
        <v>45891</v>
      </c>
      <c r="AD590" s="181" t="s">
        <v>1629</v>
      </c>
      <c r="AF590" s="118"/>
      <c r="AG590" s="118"/>
    </row>
    <row r="591" spans="1:33" x14ac:dyDescent="0.25">
      <c r="A591" s="25">
        <v>10590</v>
      </c>
      <c r="B591" s="117" t="s">
        <v>764</v>
      </c>
      <c r="C591" s="123" t="s">
        <v>764</v>
      </c>
      <c r="D591" s="27" t="s">
        <v>474</v>
      </c>
      <c r="E591" s="46">
        <v>13</v>
      </c>
      <c r="F591" s="118">
        <v>13553</v>
      </c>
      <c r="G591" s="118" t="s">
        <v>19</v>
      </c>
      <c r="H591" s="118" t="s">
        <v>8</v>
      </c>
      <c r="I591">
        <v>-5.4999999999999997E-3</v>
      </c>
      <c r="J591">
        <v>1.4370000000000001</v>
      </c>
      <c r="K591">
        <v>-4.0000000000000001E-3</v>
      </c>
      <c r="L591" s="118">
        <v>0.115</v>
      </c>
      <c r="M591" s="140">
        <f t="shared" si="87"/>
        <v>0.05</v>
      </c>
      <c r="N591" s="140">
        <f t="shared" si="87"/>
        <v>1.4370000000000001</v>
      </c>
      <c r="O591" s="140">
        <f t="shared" si="87"/>
        <v>0.05</v>
      </c>
      <c r="P591" s="140">
        <f t="shared" si="88"/>
        <v>0.115</v>
      </c>
      <c r="Q591" s="179">
        <v>33.967216062965448</v>
      </c>
      <c r="R591" s="125">
        <v>67.55</v>
      </c>
      <c r="S591" s="125">
        <v>4.8033333333333337</v>
      </c>
      <c r="V591" s="146">
        <v>0.3</v>
      </c>
      <c r="W591" s="118">
        <v>40.672650625967101</v>
      </c>
      <c r="X591" s="118">
        <v>-85.8414898999835</v>
      </c>
      <c r="Y591" s="140">
        <f t="shared" si="84"/>
        <v>8</v>
      </c>
      <c r="Z591" s="140">
        <f t="shared" si="85"/>
        <v>22</v>
      </c>
      <c r="AA591" s="140">
        <f t="shared" si="86"/>
        <v>2025</v>
      </c>
      <c r="AC591" s="19">
        <v>45891</v>
      </c>
      <c r="AD591" s="181" t="s">
        <v>1618</v>
      </c>
      <c r="AF591" s="118"/>
      <c r="AG591" s="118"/>
    </row>
    <row r="592" spans="1:33" x14ac:dyDescent="0.25">
      <c r="A592" s="25">
        <v>10591</v>
      </c>
      <c r="B592" s="113" t="s">
        <v>765</v>
      </c>
      <c r="C592" s="119" t="s">
        <v>765</v>
      </c>
      <c r="D592" s="27" t="s">
        <v>462</v>
      </c>
      <c r="E592" s="46">
        <v>1</v>
      </c>
      <c r="F592" s="118">
        <v>5999</v>
      </c>
      <c r="G592" s="118" t="s">
        <v>19</v>
      </c>
      <c r="H592" s="118" t="s">
        <v>8</v>
      </c>
      <c r="I592">
        <v>-1.1299999999999999E-2</v>
      </c>
      <c r="J592">
        <v>1.2789999999999999</v>
      </c>
      <c r="K592">
        <v>0</v>
      </c>
      <c r="L592" s="118">
        <v>0.11799999999999999</v>
      </c>
      <c r="M592" s="140">
        <f t="shared" si="87"/>
        <v>0.05</v>
      </c>
      <c r="N592" s="140">
        <f t="shared" si="87"/>
        <v>1.2789999999999999</v>
      </c>
      <c r="O592" s="140">
        <f t="shared" si="87"/>
        <v>0.05</v>
      </c>
      <c r="P592" s="140">
        <f t="shared" si="88"/>
        <v>0.11799999999999999</v>
      </c>
      <c r="Q592" s="159">
        <v>1.6524895777997091</v>
      </c>
      <c r="R592" s="125">
        <v>70.516666666666666</v>
      </c>
      <c r="S592" s="125">
        <v>-9.9999999999999797E-2</v>
      </c>
      <c r="V592" s="146">
        <v>0.6</v>
      </c>
      <c r="W592" s="118">
        <v>40.681605233637299</v>
      </c>
      <c r="X592" s="118">
        <v>-85.888716255554996</v>
      </c>
      <c r="Y592" s="140">
        <f t="shared" si="84"/>
        <v>9</v>
      </c>
      <c r="Z592" s="140">
        <f t="shared" si="85"/>
        <v>15</v>
      </c>
      <c r="AA592" s="140">
        <f t="shared" si="86"/>
        <v>2025</v>
      </c>
      <c r="AC592" s="19">
        <v>45915</v>
      </c>
      <c r="AD592" s="181" t="s">
        <v>1635</v>
      </c>
      <c r="AF592" s="118"/>
      <c r="AG592" s="118"/>
    </row>
    <row r="593" spans="1:33" x14ac:dyDescent="0.25">
      <c r="A593" s="25">
        <v>10592</v>
      </c>
      <c r="B593" s="113" t="s">
        <v>766</v>
      </c>
      <c r="C593" s="119" t="s">
        <v>766</v>
      </c>
      <c r="D593" s="56" t="s">
        <v>463</v>
      </c>
      <c r="E593" s="46">
        <v>2</v>
      </c>
      <c r="F593" s="118">
        <v>8861</v>
      </c>
      <c r="G593" s="118" t="s">
        <v>19</v>
      </c>
      <c r="H593" s="118" t="s">
        <v>8</v>
      </c>
      <c r="I593">
        <v>-2.2599999999999999E-2</v>
      </c>
      <c r="J593">
        <v>1.091</v>
      </c>
      <c r="K593">
        <v>1E-3</v>
      </c>
      <c r="L593" s="118">
        <v>7.2999999999999995E-2</v>
      </c>
      <c r="M593" s="140">
        <f t="shared" si="87"/>
        <v>0.05</v>
      </c>
      <c r="N593" s="140">
        <f t="shared" si="87"/>
        <v>1.091</v>
      </c>
      <c r="O593" s="140">
        <f t="shared" si="87"/>
        <v>0.05</v>
      </c>
      <c r="P593" s="140">
        <f t="shared" si="88"/>
        <v>0.05</v>
      </c>
      <c r="Q593" s="159">
        <v>1.6528653439756402</v>
      </c>
      <c r="R593" s="125">
        <v>74.506666666666661</v>
      </c>
      <c r="S593" s="125">
        <v>5.0533333333333337</v>
      </c>
      <c r="V593" s="146">
        <v>0.4</v>
      </c>
      <c r="W593" s="118">
        <v>40.676853737547702</v>
      </c>
      <c r="X593" s="118">
        <v>-85.877080968297605</v>
      </c>
      <c r="Y593" s="140">
        <f t="shared" si="84"/>
        <v>9</v>
      </c>
      <c r="Z593" s="140">
        <f t="shared" si="85"/>
        <v>15</v>
      </c>
      <c r="AA593" s="140">
        <f t="shared" si="86"/>
        <v>2025</v>
      </c>
      <c r="AC593" s="19">
        <v>45915</v>
      </c>
      <c r="AD593" s="181" t="s">
        <v>1636</v>
      </c>
      <c r="AF593" s="118"/>
      <c r="AG593" s="118"/>
    </row>
    <row r="594" spans="1:33" x14ac:dyDescent="0.25">
      <c r="A594" s="25">
        <v>10593</v>
      </c>
      <c r="B594" s="113" t="s">
        <v>767</v>
      </c>
      <c r="C594" s="119" t="s">
        <v>767</v>
      </c>
      <c r="D594" s="27" t="s">
        <v>464</v>
      </c>
      <c r="E594" s="46">
        <v>3</v>
      </c>
      <c r="F594" s="118">
        <v>9921</v>
      </c>
      <c r="G594" s="118" t="s">
        <v>19</v>
      </c>
      <c r="H594" s="118" t="s">
        <v>8</v>
      </c>
      <c r="I594">
        <v>-1.83E-2</v>
      </c>
      <c r="J594">
        <v>1.07</v>
      </c>
      <c r="K594">
        <v>1E-3</v>
      </c>
      <c r="L594" s="118">
        <v>7.0000000000000007E-2</v>
      </c>
      <c r="M594" s="140">
        <f t="shared" ref="M594:O604" si="89">IF(I594&lt;0.1,0.05,I594)</f>
        <v>0.05</v>
      </c>
      <c r="N594" s="140">
        <f t="shared" si="89"/>
        <v>1.07</v>
      </c>
      <c r="O594" s="140">
        <f t="shared" si="89"/>
        <v>0.05</v>
      </c>
      <c r="P594" s="140">
        <f t="shared" si="88"/>
        <v>0.05</v>
      </c>
      <c r="Q594" s="159">
        <v>1.6156287861916412</v>
      </c>
      <c r="R594" s="125">
        <v>61.253333333333337</v>
      </c>
      <c r="S594" s="125">
        <v>2.5266666666666668</v>
      </c>
      <c r="V594" s="146">
        <v>0.3</v>
      </c>
      <c r="W594" s="118">
        <v>40.670742628229299</v>
      </c>
      <c r="X594" s="118">
        <v>-85.870470356642798</v>
      </c>
      <c r="Y594" s="140">
        <f t="shared" si="84"/>
        <v>9</v>
      </c>
      <c r="Z594" s="140">
        <f t="shared" si="85"/>
        <v>15</v>
      </c>
      <c r="AA594" s="140">
        <f t="shared" si="86"/>
        <v>2025</v>
      </c>
      <c r="AC594" s="19">
        <v>45915</v>
      </c>
      <c r="AD594" s="181" t="s">
        <v>1637</v>
      </c>
      <c r="AF594" s="118"/>
      <c r="AG594" s="118"/>
    </row>
    <row r="595" spans="1:33" x14ac:dyDescent="0.25">
      <c r="A595" s="25">
        <v>10594</v>
      </c>
      <c r="B595" s="113" t="s">
        <v>768</v>
      </c>
      <c r="C595" s="119" t="s">
        <v>768</v>
      </c>
      <c r="D595" s="27" t="s">
        <v>465</v>
      </c>
      <c r="E595" s="46">
        <v>4</v>
      </c>
      <c r="F595" s="118">
        <v>10891</v>
      </c>
      <c r="G595" s="118" t="s">
        <v>19</v>
      </c>
      <c r="H595" s="118" t="s">
        <v>8</v>
      </c>
      <c r="I595">
        <v>-2.69E-2</v>
      </c>
      <c r="J595">
        <v>0.94299999999999995</v>
      </c>
      <c r="K595">
        <v>1E-3</v>
      </c>
      <c r="L595" s="118">
        <v>0.11700000000000001</v>
      </c>
      <c r="M595" s="140">
        <f t="shared" si="89"/>
        <v>0.05</v>
      </c>
      <c r="N595" s="140">
        <f t="shared" si="89"/>
        <v>0.94299999999999995</v>
      </c>
      <c r="O595" s="140">
        <f t="shared" si="89"/>
        <v>0.05</v>
      </c>
      <c r="P595" s="140">
        <f t="shared" si="88"/>
        <v>0.11700000000000001</v>
      </c>
      <c r="Q595" s="159">
        <v>1.624851860685721</v>
      </c>
      <c r="R595" s="125">
        <v>25.75</v>
      </c>
      <c r="S595" s="125">
        <v>3.55</v>
      </c>
      <c r="V595" s="146">
        <v>0.4</v>
      </c>
      <c r="W595" s="118">
        <v>40.663219887201102</v>
      </c>
      <c r="X595" s="118">
        <v>-85.866717362691404</v>
      </c>
      <c r="Y595" s="140">
        <f t="shared" si="84"/>
        <v>9</v>
      </c>
      <c r="Z595" s="140">
        <f t="shared" si="85"/>
        <v>15</v>
      </c>
      <c r="AA595" s="140">
        <f t="shared" si="86"/>
        <v>2025</v>
      </c>
      <c r="AC595" s="19">
        <v>45915</v>
      </c>
      <c r="AD595" s="181" t="s">
        <v>1638</v>
      </c>
      <c r="AF595" s="118"/>
      <c r="AG595" s="118"/>
    </row>
    <row r="596" spans="1:33" x14ac:dyDescent="0.25">
      <c r="A596" s="25">
        <v>10595</v>
      </c>
      <c r="B596" s="113" t="s">
        <v>769</v>
      </c>
      <c r="C596" s="119" t="s">
        <v>769</v>
      </c>
      <c r="D596" s="27" t="s">
        <v>466</v>
      </c>
      <c r="E596" s="46">
        <v>5</v>
      </c>
      <c r="F596" s="118">
        <v>12821</v>
      </c>
      <c r="G596" s="118" t="s">
        <v>19</v>
      </c>
      <c r="H596" s="118" t="s">
        <v>8</v>
      </c>
      <c r="I596">
        <v>-1.9699999999999999E-2</v>
      </c>
      <c r="J596">
        <v>0.68300000000000005</v>
      </c>
      <c r="K596">
        <v>-4.0000000000000001E-3</v>
      </c>
      <c r="L596" s="118">
        <v>0.112</v>
      </c>
      <c r="M596" s="140">
        <f t="shared" si="89"/>
        <v>0.05</v>
      </c>
      <c r="N596" s="140">
        <f t="shared" si="89"/>
        <v>0.68300000000000005</v>
      </c>
      <c r="O596" s="140">
        <f t="shared" si="89"/>
        <v>0.05</v>
      </c>
      <c r="P596" s="140">
        <f t="shared" si="88"/>
        <v>0.112</v>
      </c>
      <c r="Q596" s="159">
        <v>1.6307697200029669</v>
      </c>
      <c r="R596" s="125">
        <v>75.933333333333337</v>
      </c>
      <c r="S596" s="125">
        <v>0.27</v>
      </c>
      <c r="V596" s="146">
        <v>0.3</v>
      </c>
      <c r="W596" s="118">
        <v>40.668402288920198</v>
      </c>
      <c r="X596" s="118">
        <v>-85.847892967811902</v>
      </c>
      <c r="Y596" s="140">
        <f t="shared" si="84"/>
        <v>9</v>
      </c>
      <c r="Z596" s="140">
        <f t="shared" si="85"/>
        <v>15</v>
      </c>
      <c r="AA596" s="140">
        <f t="shared" si="86"/>
        <v>2025</v>
      </c>
      <c r="AC596" s="19">
        <v>45915</v>
      </c>
      <c r="AD596" s="181" t="s">
        <v>1639</v>
      </c>
      <c r="AF596" s="118"/>
      <c r="AG596" s="118"/>
    </row>
    <row r="597" spans="1:33" x14ac:dyDescent="0.25">
      <c r="A597" s="25">
        <v>10596</v>
      </c>
      <c r="B597" s="113" t="s">
        <v>770</v>
      </c>
      <c r="C597" s="119" t="s">
        <v>770</v>
      </c>
      <c r="D597" s="27" t="s">
        <v>467</v>
      </c>
      <c r="E597" s="46">
        <v>6</v>
      </c>
      <c r="F597" s="118">
        <v>14351</v>
      </c>
      <c r="G597" s="118" t="s">
        <v>19</v>
      </c>
      <c r="H597" s="118" t="s">
        <v>8</v>
      </c>
      <c r="I597">
        <v>-1.47E-2</v>
      </c>
      <c r="J597">
        <v>0.24199999999999999</v>
      </c>
      <c r="K597">
        <v>-4.0000000000000001E-3</v>
      </c>
      <c r="L597" s="118">
        <v>0.121</v>
      </c>
      <c r="M597" s="140">
        <f t="shared" si="89"/>
        <v>0.05</v>
      </c>
      <c r="N597" s="140">
        <f t="shared" si="89"/>
        <v>0.24199999999999999</v>
      </c>
      <c r="O597" s="140">
        <f t="shared" si="89"/>
        <v>0.05</v>
      </c>
      <c r="P597" s="140">
        <f t="shared" si="88"/>
        <v>0.121</v>
      </c>
      <c r="Q597" s="159">
        <v>1.6463543265581251</v>
      </c>
      <c r="R597" s="125">
        <v>44.76</v>
      </c>
      <c r="S597" s="125">
        <v>2.3199999999999998</v>
      </c>
      <c r="V597" s="146">
        <v>0.3</v>
      </c>
      <c r="W597" s="118">
        <v>40.673569150821599</v>
      </c>
      <c r="X597" s="118">
        <v>-85.831880626110504</v>
      </c>
      <c r="Y597" s="140">
        <f t="shared" si="84"/>
        <v>9</v>
      </c>
      <c r="Z597" s="140">
        <f t="shared" si="85"/>
        <v>15</v>
      </c>
      <c r="AA597" s="140">
        <f t="shared" si="86"/>
        <v>2025</v>
      </c>
      <c r="AC597" s="19">
        <v>45915</v>
      </c>
      <c r="AD597" s="181" t="s">
        <v>1641</v>
      </c>
      <c r="AF597" s="118"/>
      <c r="AG597" s="118"/>
    </row>
    <row r="598" spans="1:33" x14ac:dyDescent="0.25">
      <c r="A598" s="25">
        <v>10597</v>
      </c>
      <c r="B598" s="113" t="s">
        <v>771</v>
      </c>
      <c r="C598" s="119" t="s">
        <v>771</v>
      </c>
      <c r="D598" s="27" t="s">
        <v>468</v>
      </c>
      <c r="E598" s="46">
        <v>7</v>
      </c>
      <c r="F598" s="118">
        <v>6411</v>
      </c>
      <c r="G598" s="118" t="s">
        <v>19</v>
      </c>
      <c r="H598" s="118" t="s">
        <v>8</v>
      </c>
      <c r="I598">
        <v>0.53</v>
      </c>
      <c r="J598">
        <v>1.837</v>
      </c>
      <c r="K598">
        <v>-1E-3</v>
      </c>
      <c r="L598" s="118">
        <v>4.8000000000000001E-2</v>
      </c>
      <c r="M598" s="140">
        <f t="shared" si="89"/>
        <v>0.53</v>
      </c>
      <c r="N598" s="140">
        <f t="shared" si="89"/>
        <v>1.837</v>
      </c>
      <c r="O598" s="140">
        <f t="shared" si="89"/>
        <v>0.05</v>
      </c>
      <c r="P598" s="140">
        <f t="shared" si="88"/>
        <v>0.05</v>
      </c>
      <c r="Q598" s="159">
        <v>2.4990939440739828</v>
      </c>
      <c r="R598" s="125">
        <v>14.549999999999999</v>
      </c>
      <c r="S598" s="125">
        <v>3.53</v>
      </c>
      <c r="V598" s="146">
        <v>1</v>
      </c>
      <c r="W598" s="118">
        <v>40.687801629573599</v>
      </c>
      <c r="X598" s="118">
        <v>-85.896577595730903</v>
      </c>
      <c r="Y598" s="140">
        <f t="shared" si="84"/>
        <v>9</v>
      </c>
      <c r="Z598" s="140">
        <f t="shared" si="85"/>
        <v>15</v>
      </c>
      <c r="AA598" s="140">
        <f t="shared" si="86"/>
        <v>2025</v>
      </c>
      <c r="AC598" s="19">
        <v>45915</v>
      </c>
      <c r="AD598" s="181" t="s">
        <v>1630</v>
      </c>
      <c r="AF598" s="118"/>
      <c r="AG598" s="118"/>
    </row>
    <row r="599" spans="1:33" ht="15" customHeight="1" x14ac:dyDescent="0.25">
      <c r="A599" s="25">
        <v>10598</v>
      </c>
      <c r="B599" s="113" t="s">
        <v>772</v>
      </c>
      <c r="C599" s="119" t="s">
        <v>772</v>
      </c>
      <c r="D599" s="27" t="s">
        <v>469</v>
      </c>
      <c r="E599" s="46">
        <v>8</v>
      </c>
      <c r="F599" s="118">
        <v>5401</v>
      </c>
      <c r="G599" s="118" t="s">
        <v>19</v>
      </c>
      <c r="H599" s="118" t="s">
        <v>8</v>
      </c>
      <c r="I599">
        <v>9.5299999999999996E-2</v>
      </c>
      <c r="J599">
        <v>1.8759999999999999</v>
      </c>
      <c r="K599">
        <v>-1E-3</v>
      </c>
      <c r="L599" s="118">
        <v>0.04</v>
      </c>
      <c r="M599" s="140">
        <f t="shared" si="89"/>
        <v>0.05</v>
      </c>
      <c r="N599" s="140">
        <f t="shared" si="89"/>
        <v>1.8759999999999999</v>
      </c>
      <c r="O599" s="140">
        <f t="shared" si="89"/>
        <v>0.05</v>
      </c>
      <c r="P599" s="140">
        <f t="shared" si="88"/>
        <v>0.05</v>
      </c>
      <c r="Q599" s="159">
        <v>2.3816026053273145</v>
      </c>
      <c r="R599" s="125">
        <v>36.163333333333334</v>
      </c>
      <c r="S599" s="125">
        <v>7.166666666666667</v>
      </c>
      <c r="V599" s="146">
        <v>0.8</v>
      </c>
      <c r="W599" s="118">
        <v>40.691624107125598</v>
      </c>
      <c r="X599" s="118">
        <v>-85.908350687222807</v>
      </c>
      <c r="Y599" s="140">
        <f t="shared" si="84"/>
        <v>9</v>
      </c>
      <c r="Z599" s="140">
        <f t="shared" si="85"/>
        <v>15</v>
      </c>
      <c r="AA599" s="140">
        <f t="shared" si="86"/>
        <v>2025</v>
      </c>
      <c r="AC599" s="19">
        <v>45915</v>
      </c>
      <c r="AD599" s="181" t="s">
        <v>1631</v>
      </c>
      <c r="AF599" s="118"/>
      <c r="AG599" s="118"/>
    </row>
    <row r="600" spans="1:33" x14ac:dyDescent="0.25">
      <c r="A600" s="25">
        <v>10599</v>
      </c>
      <c r="B600" s="113" t="s">
        <v>773</v>
      </c>
      <c r="C600" s="119" t="s">
        <v>773</v>
      </c>
      <c r="D600" s="27" t="s">
        <v>470</v>
      </c>
      <c r="E600" s="46">
        <v>9</v>
      </c>
      <c r="F600" s="118">
        <v>4381</v>
      </c>
      <c r="G600" s="118" t="s">
        <v>19</v>
      </c>
      <c r="H600" s="118" t="s">
        <v>8</v>
      </c>
      <c r="I600">
        <v>1.9382999999999999</v>
      </c>
      <c r="J600">
        <v>1.768</v>
      </c>
      <c r="K600">
        <v>3.0000000000000001E-3</v>
      </c>
      <c r="L600" s="118">
        <v>4.2000000000000003E-2</v>
      </c>
      <c r="M600" s="140">
        <f t="shared" si="89"/>
        <v>1.9382999999999999</v>
      </c>
      <c r="N600" s="140">
        <f t="shared" si="89"/>
        <v>1.768</v>
      </c>
      <c r="O600" s="140">
        <f t="shared" si="89"/>
        <v>0.05</v>
      </c>
      <c r="P600" s="140">
        <f t="shared" si="88"/>
        <v>0.05</v>
      </c>
      <c r="Q600" s="159">
        <v>2.2515134035772446</v>
      </c>
      <c r="R600" s="125">
        <v>24.843333333333334</v>
      </c>
      <c r="S600" s="125">
        <v>4.2399999999999993</v>
      </c>
      <c r="V600" s="146">
        <v>1</v>
      </c>
      <c r="W600" s="118">
        <v>40.704149145676197</v>
      </c>
      <c r="X600" s="118">
        <v>-85.930015128579598</v>
      </c>
      <c r="Y600" s="140">
        <f t="shared" si="84"/>
        <v>9</v>
      </c>
      <c r="Z600" s="140">
        <f t="shared" si="85"/>
        <v>15</v>
      </c>
      <c r="AA600" s="140">
        <f t="shared" si="86"/>
        <v>2025</v>
      </c>
      <c r="AC600" s="19">
        <v>45915</v>
      </c>
      <c r="AD600" s="181" t="s">
        <v>1633</v>
      </c>
      <c r="AF600" s="118"/>
      <c r="AG600" s="118"/>
    </row>
    <row r="601" spans="1:33" x14ac:dyDescent="0.25">
      <c r="A601" s="25">
        <v>10600</v>
      </c>
      <c r="B601" s="113" t="s">
        <v>774</v>
      </c>
      <c r="C601" s="119" t="s">
        <v>774</v>
      </c>
      <c r="D601" s="27" t="s">
        <v>471</v>
      </c>
      <c r="E601" s="46">
        <v>10</v>
      </c>
      <c r="F601" s="118">
        <v>2851</v>
      </c>
      <c r="G601" s="118" t="s">
        <v>19</v>
      </c>
      <c r="H601" s="118" t="s">
        <v>8</v>
      </c>
      <c r="I601">
        <v>0.1076</v>
      </c>
      <c r="J601">
        <v>1.823</v>
      </c>
      <c r="K601">
        <v>-2E-3</v>
      </c>
      <c r="L601" s="118">
        <v>3.7999999999999999E-2</v>
      </c>
      <c r="M601" s="140">
        <f t="shared" si="89"/>
        <v>0.1076</v>
      </c>
      <c r="N601" s="140">
        <f t="shared" si="89"/>
        <v>1.823</v>
      </c>
      <c r="O601" s="140">
        <f t="shared" si="89"/>
        <v>0.05</v>
      </c>
      <c r="P601" s="140">
        <f t="shared" si="88"/>
        <v>0.05</v>
      </c>
      <c r="Q601" s="159">
        <v>2.0811452544483529</v>
      </c>
      <c r="R601" s="125">
        <v>17.516666666666666</v>
      </c>
      <c r="S601" s="125">
        <v>4.9066666666666663</v>
      </c>
      <c r="V601" s="146">
        <v>0.9</v>
      </c>
      <c r="W601" s="118">
        <v>40.693342215129498</v>
      </c>
      <c r="X601" s="118">
        <v>-85.920376846965894</v>
      </c>
      <c r="Y601" s="140">
        <f t="shared" si="84"/>
        <v>9</v>
      </c>
      <c r="Z601" s="140">
        <f t="shared" si="85"/>
        <v>15</v>
      </c>
      <c r="AA601" s="140">
        <f t="shared" si="86"/>
        <v>2025</v>
      </c>
      <c r="AC601" s="19">
        <v>45915</v>
      </c>
      <c r="AD601" s="181" t="s">
        <v>1632</v>
      </c>
      <c r="AF601" s="118"/>
      <c r="AG601" s="118"/>
    </row>
    <row r="602" spans="1:33" x14ac:dyDescent="0.25">
      <c r="A602" s="25">
        <v>10601</v>
      </c>
      <c r="B602" s="113" t="s">
        <v>775</v>
      </c>
      <c r="C602" s="119" t="s">
        <v>775</v>
      </c>
      <c r="D602" s="27" t="s">
        <v>472</v>
      </c>
      <c r="E602" s="46">
        <v>11</v>
      </c>
      <c r="F602" s="118">
        <v>1731</v>
      </c>
      <c r="G602" s="118" t="s">
        <v>19</v>
      </c>
      <c r="H602" s="118" t="s">
        <v>8</v>
      </c>
      <c r="I602">
        <v>-8.5000000000000006E-3</v>
      </c>
      <c r="J602">
        <v>1.6579999999999999</v>
      </c>
      <c r="K602">
        <v>2E-3</v>
      </c>
      <c r="L602" s="118">
        <v>4.2000000000000003E-2</v>
      </c>
      <c r="M602" s="140">
        <f t="shared" si="89"/>
        <v>0.05</v>
      </c>
      <c r="N602" s="140">
        <f t="shared" si="89"/>
        <v>1.6579999999999999</v>
      </c>
      <c r="O602" s="140">
        <f t="shared" si="89"/>
        <v>0.05</v>
      </c>
      <c r="P602" s="140">
        <f t="shared" si="88"/>
        <v>0.05</v>
      </c>
      <c r="Q602" s="159">
        <v>1.7950490097297731</v>
      </c>
      <c r="R602" s="125">
        <v>27.276666666666671</v>
      </c>
      <c r="S602" s="125">
        <v>2.4533333333333331</v>
      </c>
      <c r="V602" s="146">
        <v>1</v>
      </c>
      <c r="W602" s="118">
        <v>40.7109940238565</v>
      </c>
      <c r="X602" s="118">
        <v>-85.938752057903798</v>
      </c>
      <c r="Y602" s="140">
        <f t="shared" si="84"/>
        <v>9</v>
      </c>
      <c r="Z602" s="140">
        <f t="shared" si="85"/>
        <v>15</v>
      </c>
      <c r="AA602" s="140">
        <f t="shared" si="86"/>
        <v>2025</v>
      </c>
      <c r="AC602" s="19">
        <v>45915</v>
      </c>
      <c r="AD602" s="181" t="s">
        <v>1634</v>
      </c>
      <c r="AF602" s="118"/>
      <c r="AG602" s="118"/>
    </row>
    <row r="603" spans="1:33" x14ac:dyDescent="0.25">
      <c r="A603" s="25">
        <v>10602</v>
      </c>
      <c r="B603" s="113" t="s">
        <v>776</v>
      </c>
      <c r="C603" s="119" t="s">
        <v>776</v>
      </c>
      <c r="D603" s="27" t="s">
        <v>473</v>
      </c>
      <c r="E603" s="46">
        <v>12</v>
      </c>
      <c r="F603" s="118">
        <v>661</v>
      </c>
      <c r="G603" s="118" t="s">
        <v>19</v>
      </c>
      <c r="H603" s="118" t="s">
        <v>8</v>
      </c>
      <c r="I603">
        <v>-5.7000000000000002E-3</v>
      </c>
      <c r="J603">
        <v>1.8620000000000001</v>
      </c>
      <c r="K603">
        <v>-4.0000000000000001E-3</v>
      </c>
      <c r="L603" s="118">
        <v>4.4999999999999998E-2</v>
      </c>
      <c r="M603" s="140">
        <f t="shared" si="89"/>
        <v>0.05</v>
      </c>
      <c r="N603" s="140">
        <f t="shared" si="89"/>
        <v>1.8620000000000001</v>
      </c>
      <c r="O603" s="140">
        <f t="shared" si="89"/>
        <v>0.05</v>
      </c>
      <c r="P603" s="140">
        <f t="shared" si="88"/>
        <v>0.05</v>
      </c>
      <c r="Q603" s="159">
        <v>1.8154174846398596</v>
      </c>
      <c r="R603" s="125">
        <v>15.92</v>
      </c>
      <c r="S603" s="125">
        <v>2.1966666666666668</v>
      </c>
      <c r="V603" s="146">
        <v>0.75</v>
      </c>
      <c r="W603" s="118">
        <v>40.711676957477103</v>
      </c>
      <c r="X603" s="118">
        <v>-85.951316433096494</v>
      </c>
      <c r="Y603" s="140">
        <f t="shared" si="84"/>
        <v>9</v>
      </c>
      <c r="Z603" s="140">
        <f t="shared" si="85"/>
        <v>15</v>
      </c>
      <c r="AA603" s="140">
        <f t="shared" si="86"/>
        <v>2025</v>
      </c>
      <c r="AC603" s="19">
        <v>45915</v>
      </c>
      <c r="AD603" s="181" t="s">
        <v>1634</v>
      </c>
      <c r="AF603" s="118"/>
      <c r="AG603" s="118"/>
    </row>
    <row r="604" spans="1:33" ht="15.75" thickBot="1" x14ac:dyDescent="0.3">
      <c r="A604" s="25">
        <v>10603</v>
      </c>
      <c r="B604" s="113" t="s">
        <v>777</v>
      </c>
      <c r="C604" s="119" t="s">
        <v>777</v>
      </c>
      <c r="D604" s="27" t="s">
        <v>474</v>
      </c>
      <c r="E604" s="46">
        <v>13</v>
      </c>
      <c r="F604" s="118">
        <v>13553</v>
      </c>
      <c r="G604" s="118" t="s">
        <v>19</v>
      </c>
      <c r="H604" s="118" t="s">
        <v>8</v>
      </c>
      <c r="I604">
        <v>-3.3000000000000002E-2</v>
      </c>
      <c r="J604">
        <v>0.28299999999999997</v>
      </c>
      <c r="K604">
        <v>0</v>
      </c>
      <c r="L604" s="118">
        <v>0.111</v>
      </c>
      <c r="M604" s="140">
        <f t="shared" si="89"/>
        <v>0.05</v>
      </c>
      <c r="N604" s="140">
        <f t="shared" si="89"/>
        <v>0.28299999999999997</v>
      </c>
      <c r="O604" s="140">
        <f t="shared" si="89"/>
        <v>0.05</v>
      </c>
      <c r="P604" s="140">
        <f t="shared" si="88"/>
        <v>0.111</v>
      </c>
      <c r="Q604" s="159">
        <v>1.6284328957916983</v>
      </c>
      <c r="R604" s="125">
        <v>79.033333333333331</v>
      </c>
      <c r="S604" s="125">
        <v>1.03</v>
      </c>
      <c r="V604" s="146">
        <v>0.3</v>
      </c>
      <c r="W604" s="118">
        <v>40.672530476725299</v>
      </c>
      <c r="X604" s="118">
        <v>-85.841582328131494</v>
      </c>
      <c r="Y604" s="140">
        <f t="shared" si="84"/>
        <v>9</v>
      </c>
      <c r="Z604" s="140">
        <f t="shared" si="85"/>
        <v>15</v>
      </c>
      <c r="AA604" s="140">
        <f t="shared" si="86"/>
        <v>2025</v>
      </c>
      <c r="AC604" s="19">
        <v>45915</v>
      </c>
      <c r="AD604" s="181">
        <v>22</v>
      </c>
      <c r="AF604" s="118"/>
      <c r="AG604" s="118"/>
    </row>
    <row r="605" spans="1:33" x14ac:dyDescent="0.25">
      <c r="A605" s="25"/>
      <c r="E605" s="190" t="s">
        <v>650</v>
      </c>
      <c r="F605" s="191"/>
      <c r="G605" s="192"/>
      <c r="H605" s="53" t="s">
        <v>644</v>
      </c>
      <c r="I605" s="89">
        <f>COUNTBLANK(I268:I496)</f>
        <v>13</v>
      </c>
      <c r="J605" s="89">
        <f>COUNTBLANK(J268:J496)</f>
        <v>13</v>
      </c>
      <c r="K605" s="89">
        <f>COUNTBLANK(K268:K496)</f>
        <v>13</v>
      </c>
      <c r="L605" s="89">
        <f>COUNTBLANK(L268:L496)</f>
        <v>112</v>
      </c>
      <c r="M605" s="89" t="s">
        <v>1755</v>
      </c>
      <c r="N605" s="89">
        <f t="shared" ref="M605:P605" si="90">COUNTBLANK(N268:N496)</f>
        <v>0</v>
      </c>
      <c r="O605" s="89">
        <f t="shared" si="90"/>
        <v>0</v>
      </c>
      <c r="P605" s="89">
        <f t="shared" si="90"/>
        <v>0</v>
      </c>
      <c r="Q605" s="167">
        <f>(COUNTBLANK(Q268:Q496))</f>
        <v>0</v>
      </c>
      <c r="R605" s="89">
        <f>COUNTBLANK(R268:R496)</f>
        <v>0</v>
      </c>
      <c r="S605" s="90">
        <f>COUNTBLANK(S268:S496)</f>
        <v>0</v>
      </c>
      <c r="T605" s="90">
        <f>COUNTBLANK(T268:T496)</f>
        <v>13</v>
      </c>
      <c r="U605" s="90">
        <f>COUNTBLANK(U268:U496)</f>
        <v>13</v>
      </c>
      <c r="V605" s="95"/>
    </row>
    <row r="606" spans="1:33" x14ac:dyDescent="0.25">
      <c r="A606" s="25"/>
      <c r="E606" s="193"/>
      <c r="F606" s="194"/>
      <c r="G606" s="195"/>
      <c r="H606" s="54" t="s">
        <v>645</v>
      </c>
      <c r="I606" s="91">
        <f>I607-I605</f>
        <v>216</v>
      </c>
      <c r="J606" s="91">
        <f t="shared" ref="J606:S606" si="91">J607-J605</f>
        <v>216</v>
      </c>
      <c r="K606" s="91">
        <f t="shared" si="91"/>
        <v>216</v>
      </c>
      <c r="L606" s="91">
        <f t="shared" si="91"/>
        <v>117</v>
      </c>
      <c r="M606" s="91" t="e">
        <f t="shared" ref="M606:P606" si="92">M607-M605</f>
        <v>#VALUE!</v>
      </c>
      <c r="N606" s="91">
        <f t="shared" si="92"/>
        <v>231</v>
      </c>
      <c r="O606" s="91">
        <f t="shared" si="92"/>
        <v>232</v>
      </c>
      <c r="P606" s="91">
        <f t="shared" si="92"/>
        <v>233</v>
      </c>
      <c r="Q606" s="168">
        <f t="shared" si="91"/>
        <v>229</v>
      </c>
      <c r="R606" s="91">
        <f t="shared" si="91"/>
        <v>229</v>
      </c>
      <c r="S606" s="92">
        <f t="shared" si="91"/>
        <v>229</v>
      </c>
      <c r="T606" s="92">
        <f t="shared" ref="T606:U606" si="93">T607-T605</f>
        <v>216</v>
      </c>
      <c r="U606" s="92">
        <f t="shared" si="93"/>
        <v>216</v>
      </c>
      <c r="V606" s="91"/>
    </row>
    <row r="607" spans="1:33" ht="15.75" thickBot="1" x14ac:dyDescent="0.3">
      <c r="E607" s="193"/>
      <c r="F607" s="194"/>
      <c r="G607" s="195"/>
      <c r="H607" s="55" t="s">
        <v>642</v>
      </c>
      <c r="I607" s="93">
        <v>229</v>
      </c>
      <c r="J607" s="93">
        <v>229</v>
      </c>
      <c r="K607" s="93">
        <v>229</v>
      </c>
      <c r="L607" s="93">
        <v>229</v>
      </c>
      <c r="M607" s="93">
        <v>230</v>
      </c>
      <c r="N607" s="93">
        <v>231</v>
      </c>
      <c r="O607" s="93">
        <v>232</v>
      </c>
      <c r="P607" s="93">
        <v>233</v>
      </c>
      <c r="Q607" s="169">
        <v>229</v>
      </c>
      <c r="R607" s="93">
        <v>229</v>
      </c>
      <c r="S607" s="94">
        <v>229</v>
      </c>
      <c r="T607" s="94">
        <v>229</v>
      </c>
      <c r="U607" s="94">
        <v>229</v>
      </c>
      <c r="V607" s="152"/>
      <c r="W607" t="s">
        <v>680</v>
      </c>
    </row>
    <row r="608" spans="1:33" ht="30.75" thickBot="1" x14ac:dyDescent="0.3">
      <c r="E608" s="193"/>
      <c r="F608" s="194"/>
      <c r="G608" s="195"/>
      <c r="H608" s="86" t="s">
        <v>648</v>
      </c>
      <c r="I608" s="87">
        <f>I606/I607</f>
        <v>0.94323144104803491</v>
      </c>
      <c r="J608" s="87">
        <f t="shared" ref="J608:S608" si="94">J606/J607</f>
        <v>0.94323144104803491</v>
      </c>
      <c r="K608" s="87">
        <f t="shared" si="94"/>
        <v>0.94323144104803491</v>
      </c>
      <c r="L608" s="87">
        <f t="shared" si="94"/>
        <v>0.51091703056768556</v>
      </c>
      <c r="M608" s="87"/>
      <c r="N608" s="87"/>
      <c r="O608" s="87"/>
      <c r="P608" s="87"/>
      <c r="Q608" s="170">
        <f t="shared" si="94"/>
        <v>1</v>
      </c>
      <c r="R608" s="87">
        <f t="shared" si="94"/>
        <v>1</v>
      </c>
      <c r="S608" s="88">
        <f t="shared" si="94"/>
        <v>1</v>
      </c>
      <c r="T608" s="88">
        <f t="shared" ref="T608:U608" si="95">T606/T607</f>
        <v>0.94323144104803491</v>
      </c>
      <c r="U608" s="88">
        <f t="shared" si="95"/>
        <v>0.94323144104803491</v>
      </c>
      <c r="V608" s="153"/>
      <c r="W608" s="107">
        <f>AVERAGE(I608:U608)</f>
        <v>0.91411935953420675</v>
      </c>
    </row>
    <row r="609" spans="5:23" ht="30.75" thickBot="1" x14ac:dyDescent="0.3">
      <c r="E609" s="193"/>
      <c r="F609" s="194"/>
      <c r="G609" s="195"/>
      <c r="H609" s="57" t="s">
        <v>646</v>
      </c>
      <c r="I609" s="58"/>
      <c r="J609" s="58"/>
      <c r="K609" s="58"/>
      <c r="L609" s="58"/>
      <c r="M609" s="58"/>
      <c r="N609" s="58"/>
      <c r="O609" s="58"/>
      <c r="P609" s="58"/>
      <c r="Q609" s="171">
        <v>61</v>
      </c>
      <c r="R609" s="58">
        <v>14</v>
      </c>
      <c r="S609" s="59">
        <v>14</v>
      </c>
      <c r="T609" s="59"/>
      <c r="U609" s="59"/>
      <c r="V609" s="151"/>
    </row>
    <row r="610" spans="5:23" ht="15.75" thickBot="1" x14ac:dyDescent="0.3">
      <c r="E610" s="193"/>
      <c r="F610" s="194"/>
      <c r="G610" s="195"/>
      <c r="H610" s="60" t="s">
        <v>647</v>
      </c>
      <c r="I610" s="61">
        <f t="shared" ref="I610:L610" si="96">I609/I607</f>
        <v>0</v>
      </c>
      <c r="J610" s="61">
        <f t="shared" si="96"/>
        <v>0</v>
      </c>
      <c r="K610" s="61">
        <f t="shared" si="96"/>
        <v>0</v>
      </c>
      <c r="L610" s="61">
        <f t="shared" si="96"/>
        <v>0</v>
      </c>
      <c r="M610" s="61"/>
      <c r="N610" s="61"/>
      <c r="O610" s="61"/>
      <c r="P610" s="61"/>
      <c r="Q610" s="172">
        <f>Q609/Q607</f>
        <v>0.26637554585152839</v>
      </c>
      <c r="R610" s="61">
        <f t="shared" ref="R610" si="97">R609/R607</f>
        <v>6.1135371179039298E-2</v>
      </c>
      <c r="S610" s="62">
        <f t="shared" ref="S610:U610" si="98">S609/S607</f>
        <v>6.1135371179039298E-2</v>
      </c>
      <c r="T610" s="62">
        <f t="shared" si="98"/>
        <v>0</v>
      </c>
      <c r="U610" s="62">
        <f t="shared" si="98"/>
        <v>0</v>
      </c>
      <c r="V610" s="61"/>
    </row>
    <row r="611" spans="5:23" ht="30.75" thickBot="1" x14ac:dyDescent="0.3">
      <c r="E611" s="193"/>
      <c r="F611" s="194"/>
      <c r="G611" s="195"/>
      <c r="H611" s="99" t="s">
        <v>649</v>
      </c>
      <c r="I611" s="100">
        <f>I606-I609</f>
        <v>216</v>
      </c>
      <c r="J611" s="100">
        <f t="shared" ref="J611:S611" si="99">J606-J609</f>
        <v>216</v>
      </c>
      <c r="K611" s="100">
        <f t="shared" si="99"/>
        <v>216</v>
      </c>
      <c r="L611" s="100">
        <f t="shared" si="99"/>
        <v>117</v>
      </c>
      <c r="M611" s="100"/>
      <c r="N611" s="100"/>
      <c r="O611" s="100"/>
      <c r="P611" s="100"/>
      <c r="Q611" s="173">
        <f t="shared" si="99"/>
        <v>168</v>
      </c>
      <c r="R611" s="100">
        <f t="shared" si="99"/>
        <v>215</v>
      </c>
      <c r="S611" s="101">
        <f t="shared" si="99"/>
        <v>215</v>
      </c>
      <c r="T611" s="101">
        <f t="shared" ref="T611:U611" si="100">T606-T609</f>
        <v>216</v>
      </c>
      <c r="U611" s="101">
        <f t="shared" si="100"/>
        <v>216</v>
      </c>
      <c r="V611" s="154"/>
    </row>
    <row r="612" spans="5:23" x14ac:dyDescent="0.25">
      <c r="E612" s="72"/>
      <c r="F612" s="112"/>
      <c r="G612" s="74" t="s">
        <v>651</v>
      </c>
      <c r="H612" s="102"/>
      <c r="I612" s="102"/>
      <c r="J612" s="102"/>
      <c r="K612" s="102"/>
      <c r="L612" s="102"/>
      <c r="M612" s="102"/>
      <c r="N612" s="102"/>
      <c r="O612" s="102"/>
      <c r="P612" s="102"/>
      <c r="Q612" s="174">
        <v>26</v>
      </c>
      <c r="R612" s="102"/>
      <c r="S612" s="103"/>
      <c r="T612" s="103"/>
      <c r="U612" s="103"/>
      <c r="V612" s="155"/>
    </row>
    <row r="613" spans="5:23" ht="15.75" thickBot="1" x14ac:dyDescent="0.3">
      <c r="E613" s="73"/>
      <c r="F613" s="112"/>
      <c r="G613" s="75" t="s">
        <v>675</v>
      </c>
      <c r="H613" s="84"/>
      <c r="I613" s="84">
        <f>COUNTIF(I281:I496, "&lt;0")</f>
        <v>91</v>
      </c>
      <c r="J613" s="84">
        <f>COUNTIF(J281:J496, "&lt;0")</f>
        <v>0</v>
      </c>
      <c r="K613" s="84">
        <f>COUNTIF(K281:K496, "&lt;0")</f>
        <v>42</v>
      </c>
      <c r="L613" s="84"/>
      <c r="M613" s="84"/>
      <c r="N613" s="84"/>
      <c r="O613" s="84"/>
      <c r="P613" s="84"/>
      <c r="Q613" s="175"/>
      <c r="R613" s="84"/>
      <c r="S613" s="85"/>
      <c r="T613" s="85"/>
      <c r="U613" s="85"/>
      <c r="V613" s="155"/>
    </row>
    <row r="614" spans="5:23" x14ac:dyDescent="0.25">
      <c r="E614" s="193" t="s">
        <v>677</v>
      </c>
      <c r="F614" s="194"/>
      <c r="G614" s="195"/>
      <c r="H614" s="83" t="s">
        <v>644</v>
      </c>
      <c r="I614" s="95">
        <f>COUNTBLANK(I2:I267)</f>
        <v>87</v>
      </c>
      <c r="J614" s="95">
        <f>COUNTBLANK(J2:J267)</f>
        <v>60</v>
      </c>
      <c r="K614" s="95">
        <f>COUNTBLANK(K2:K267)</f>
        <v>87</v>
      </c>
      <c r="L614" s="95">
        <f>COUNTBLANK(L2:L267)</f>
        <v>56</v>
      </c>
      <c r="M614" s="95"/>
      <c r="N614" s="95"/>
      <c r="O614" s="95"/>
      <c r="P614" s="95"/>
      <c r="Q614" s="176">
        <f>COUNTBLANK(Q2:Q267)</f>
        <v>0</v>
      </c>
      <c r="R614" s="95">
        <f>COUNTBLANK(R2:R267)</f>
        <v>0</v>
      </c>
      <c r="S614" s="96">
        <f>COUNTBLANK(S2:S267)</f>
        <v>0</v>
      </c>
      <c r="T614" s="96">
        <f>COUNTBLANK(T2:T267)</f>
        <v>266</v>
      </c>
      <c r="U614" s="96">
        <f>COUNTBLANK(U2:U267)</f>
        <v>266</v>
      </c>
      <c r="V614" s="95"/>
    </row>
    <row r="615" spans="5:23" x14ac:dyDescent="0.25">
      <c r="E615" s="193"/>
      <c r="F615" s="194"/>
      <c r="G615" s="195"/>
      <c r="H615" s="54" t="s">
        <v>645</v>
      </c>
      <c r="I615" s="91">
        <f>I616-I614</f>
        <v>179</v>
      </c>
      <c r="J615" s="91">
        <f t="shared" ref="J615:S615" si="101">J616-J614</f>
        <v>206</v>
      </c>
      <c r="K615" s="91">
        <f t="shared" si="101"/>
        <v>179</v>
      </c>
      <c r="L615" s="91">
        <f t="shared" si="101"/>
        <v>210</v>
      </c>
      <c r="M615" s="91"/>
      <c r="N615" s="91"/>
      <c r="O615" s="91"/>
      <c r="P615" s="91"/>
      <c r="Q615" s="168">
        <f t="shared" si="101"/>
        <v>266</v>
      </c>
      <c r="R615" s="91">
        <f t="shared" si="101"/>
        <v>266</v>
      </c>
      <c r="S615" s="92">
        <f t="shared" si="101"/>
        <v>266</v>
      </c>
      <c r="T615" s="92">
        <f t="shared" ref="T615:U615" si="102">T616-T614</f>
        <v>0</v>
      </c>
      <c r="U615" s="92">
        <f t="shared" si="102"/>
        <v>0</v>
      </c>
      <c r="V615" s="91"/>
    </row>
    <row r="616" spans="5:23" ht="15.75" thickBot="1" x14ac:dyDescent="0.3">
      <c r="E616" s="193"/>
      <c r="F616" s="194"/>
      <c r="G616" s="195"/>
      <c r="H616" s="55" t="s">
        <v>642</v>
      </c>
      <c r="I616" s="93">
        <v>266</v>
      </c>
      <c r="J616" s="93">
        <v>266</v>
      </c>
      <c r="K616" s="93">
        <v>266</v>
      </c>
      <c r="L616" s="93">
        <v>266</v>
      </c>
      <c r="M616" s="93"/>
      <c r="N616" s="93"/>
      <c r="O616" s="93"/>
      <c r="P616" s="93"/>
      <c r="Q616" s="169">
        <v>266</v>
      </c>
      <c r="R616" s="93">
        <v>266</v>
      </c>
      <c r="S616" s="94">
        <v>266</v>
      </c>
      <c r="T616" s="94">
        <v>266</v>
      </c>
      <c r="U616" s="94">
        <v>266</v>
      </c>
      <c r="V616" s="152"/>
      <c r="W616" t="s">
        <v>680</v>
      </c>
    </row>
    <row r="617" spans="5:23" ht="30.75" thickBot="1" x14ac:dyDescent="0.3">
      <c r="E617" s="193"/>
      <c r="F617" s="194"/>
      <c r="G617" s="195"/>
      <c r="H617" s="86" t="s">
        <v>648</v>
      </c>
      <c r="I617" s="87">
        <f>I615/I616</f>
        <v>0.67293233082706772</v>
      </c>
      <c r="J617" s="87">
        <f t="shared" ref="J617:S617" si="103">J615/J616</f>
        <v>0.77443609022556392</v>
      </c>
      <c r="K617" s="87">
        <f t="shared" si="103"/>
        <v>0.67293233082706772</v>
      </c>
      <c r="L617" s="87">
        <f t="shared" si="103"/>
        <v>0.78947368421052633</v>
      </c>
      <c r="M617" s="87"/>
      <c r="N617" s="87"/>
      <c r="O617" s="87"/>
      <c r="P617" s="87"/>
      <c r="Q617" s="170">
        <f t="shared" si="103"/>
        <v>1</v>
      </c>
      <c r="R617" s="87">
        <f t="shared" si="103"/>
        <v>1</v>
      </c>
      <c r="S617" s="88">
        <f t="shared" si="103"/>
        <v>1</v>
      </c>
      <c r="T617" s="88">
        <f t="shared" ref="T617:U617" si="104">T615/T616</f>
        <v>0</v>
      </c>
      <c r="U617" s="88">
        <f t="shared" si="104"/>
        <v>0</v>
      </c>
      <c r="V617" s="153"/>
      <c r="W617" s="107">
        <f>AVERAGE(I617:U617)</f>
        <v>0.65664160401002514</v>
      </c>
    </row>
    <row r="618" spans="5:23" ht="30.75" thickBot="1" x14ac:dyDescent="0.3">
      <c r="E618" s="193"/>
      <c r="F618" s="194"/>
      <c r="G618" s="195"/>
      <c r="H618" s="57" t="s">
        <v>646</v>
      </c>
      <c r="I618" s="58"/>
      <c r="J618" s="58"/>
      <c r="K618" s="58"/>
      <c r="L618" s="58"/>
      <c r="M618" s="58"/>
      <c r="N618" s="58"/>
      <c r="O618" s="58"/>
      <c r="P618" s="58"/>
      <c r="Q618" s="171">
        <f>COUNTIF(Q2:Q267, "=NO DATA")</f>
        <v>198</v>
      </c>
      <c r="R618" s="58">
        <f>COUNTIF(R2:R267, "=NO DATA")</f>
        <v>40</v>
      </c>
      <c r="S618" s="59">
        <f>COUNTIF(S2:S267, "=NO DATA")</f>
        <v>266</v>
      </c>
      <c r="T618" s="59">
        <f>COUNTIF(T2:T267, "=NO DATA")</f>
        <v>0</v>
      </c>
      <c r="U618" s="59">
        <f>COUNTIF(U2:U267, "=NO DATA")</f>
        <v>0</v>
      </c>
      <c r="V618" s="151"/>
    </row>
    <row r="619" spans="5:23" ht="15.75" thickBot="1" x14ac:dyDescent="0.3">
      <c r="E619" s="193"/>
      <c r="F619" s="194"/>
      <c r="G619" s="195"/>
      <c r="H619" s="60" t="s">
        <v>647</v>
      </c>
      <c r="I619" s="61">
        <f t="shared" ref="I619:L619" si="105">I618/I616</f>
        <v>0</v>
      </c>
      <c r="J619" s="61">
        <f t="shared" si="105"/>
        <v>0</v>
      </c>
      <c r="K619" s="61">
        <f t="shared" si="105"/>
        <v>0</v>
      </c>
      <c r="L619" s="61">
        <f t="shared" si="105"/>
        <v>0</v>
      </c>
      <c r="M619" s="61"/>
      <c r="N619" s="61"/>
      <c r="O619" s="61"/>
      <c r="P619" s="61"/>
      <c r="Q619" s="172">
        <f>Q618/Q616</f>
        <v>0.74436090225563911</v>
      </c>
      <c r="R619" s="61">
        <f t="shared" ref="R619:S619" si="106">R618/R616</f>
        <v>0.15037593984962405</v>
      </c>
      <c r="S619" s="62">
        <f t="shared" si="106"/>
        <v>1</v>
      </c>
      <c r="T619" s="62">
        <f t="shared" ref="T619:U619" si="107">T618/T616</f>
        <v>0</v>
      </c>
      <c r="U619" s="62">
        <f t="shared" si="107"/>
        <v>0</v>
      </c>
      <c r="V619" s="61"/>
    </row>
    <row r="620" spans="5:23" ht="30.75" thickBot="1" x14ac:dyDescent="0.3">
      <c r="E620" s="193"/>
      <c r="F620" s="194"/>
      <c r="G620" s="195"/>
      <c r="H620" s="99" t="s">
        <v>649</v>
      </c>
      <c r="I620" s="100">
        <f>I615-I618</f>
        <v>179</v>
      </c>
      <c r="J620" s="100">
        <f t="shared" ref="J620:S620" si="108">J615-J618</f>
        <v>206</v>
      </c>
      <c r="K620" s="100">
        <f t="shared" si="108"/>
        <v>179</v>
      </c>
      <c r="L620" s="100">
        <f t="shared" si="108"/>
        <v>210</v>
      </c>
      <c r="M620" s="100"/>
      <c r="N620" s="100"/>
      <c r="O620" s="100"/>
      <c r="P620" s="100"/>
      <c r="Q620" s="173">
        <f t="shared" si="108"/>
        <v>68</v>
      </c>
      <c r="R620" s="100">
        <f t="shared" si="108"/>
        <v>226</v>
      </c>
      <c r="S620" s="101">
        <f t="shared" si="108"/>
        <v>0</v>
      </c>
      <c r="T620" s="101">
        <f t="shared" ref="T620:U620" si="109">T615-T618</f>
        <v>0</v>
      </c>
      <c r="U620" s="101">
        <f t="shared" si="109"/>
        <v>0</v>
      </c>
      <c r="V620" s="154"/>
    </row>
    <row r="621" spans="5:23" x14ac:dyDescent="0.25">
      <c r="E621" s="76"/>
      <c r="F621" s="119"/>
      <c r="G621" s="79" t="s">
        <v>651</v>
      </c>
      <c r="H621" s="97"/>
      <c r="I621" s="97"/>
      <c r="J621" s="97"/>
      <c r="K621" s="97"/>
      <c r="L621" s="97"/>
      <c r="M621" s="97"/>
      <c r="N621" s="97"/>
      <c r="O621" s="97"/>
      <c r="P621" s="97"/>
      <c r="Q621" s="177">
        <f>COUNTIF(Q2:Q267, "&lt;.15")</f>
        <v>28</v>
      </c>
      <c r="R621" s="97"/>
      <c r="S621" s="98"/>
      <c r="T621" s="98"/>
      <c r="U621" s="98"/>
      <c r="V621" s="156"/>
    </row>
    <row r="622" spans="5:23" ht="15.75" thickBot="1" x14ac:dyDescent="0.3">
      <c r="E622" s="77"/>
      <c r="F622" s="78"/>
      <c r="G622" s="80" t="s">
        <v>675</v>
      </c>
      <c r="H622" s="81"/>
      <c r="I622" s="81">
        <f>COUNTIF(I2:I267, "&lt;0")</f>
        <v>0</v>
      </c>
      <c r="J622" s="81">
        <f>COUNTIF(J2:J267, "&lt;0")</f>
        <v>0</v>
      </c>
      <c r="K622" s="81">
        <f>COUNTIF(K2:K267, "&lt;0")</f>
        <v>61</v>
      </c>
      <c r="L622" s="81">
        <f>COUNTIF(L2:L267, "&lt;0")</f>
        <v>1</v>
      </c>
      <c r="M622" s="81"/>
      <c r="N622" s="81"/>
      <c r="O622" s="81"/>
      <c r="P622" s="81"/>
      <c r="Q622" s="178"/>
      <c r="R622" s="81"/>
      <c r="S622" s="82"/>
      <c r="T622" s="82"/>
      <c r="U622" s="82"/>
      <c r="V622" s="156"/>
    </row>
    <row r="623" spans="5:23" x14ac:dyDescent="0.25">
      <c r="E623" s="190" t="s">
        <v>778</v>
      </c>
      <c r="F623" s="191"/>
      <c r="G623" s="192"/>
      <c r="H623" s="53" t="s">
        <v>644</v>
      </c>
      <c r="I623" s="89">
        <f t="shared" ref="I623:U623" si="110">COUNTBLANK(I497:I604)</f>
        <v>0</v>
      </c>
      <c r="J623" s="89">
        <f t="shared" si="110"/>
        <v>0</v>
      </c>
      <c r="K623" s="89">
        <f t="shared" si="110"/>
        <v>0</v>
      </c>
      <c r="L623" s="89">
        <f t="shared" si="110"/>
        <v>0</v>
      </c>
      <c r="M623" s="89"/>
      <c r="N623" s="89"/>
      <c r="O623" s="89"/>
      <c r="P623" s="89">
        <f t="shared" si="110"/>
        <v>0</v>
      </c>
      <c r="Q623" s="167">
        <f t="shared" si="110"/>
        <v>0</v>
      </c>
      <c r="R623" s="89">
        <f t="shared" si="110"/>
        <v>0</v>
      </c>
      <c r="S623" s="89">
        <f t="shared" si="110"/>
        <v>0</v>
      </c>
      <c r="T623" s="89">
        <f t="shared" si="110"/>
        <v>108</v>
      </c>
      <c r="U623" s="89">
        <f t="shared" si="110"/>
        <v>108</v>
      </c>
      <c r="V623" s="95"/>
    </row>
    <row r="624" spans="5:23" x14ac:dyDescent="0.25">
      <c r="E624" s="193"/>
      <c r="F624" s="194"/>
      <c r="G624" s="195"/>
      <c r="H624" s="54" t="s">
        <v>645</v>
      </c>
      <c r="I624" s="91">
        <f>I625-I623</f>
        <v>93</v>
      </c>
      <c r="J624" s="91">
        <f t="shared" ref="J624:L624" si="111">J625-J623</f>
        <v>93</v>
      </c>
      <c r="K624" s="91">
        <f t="shared" si="111"/>
        <v>93</v>
      </c>
      <c r="L624" s="91">
        <f t="shared" si="111"/>
        <v>93</v>
      </c>
      <c r="M624" s="91"/>
      <c r="N624" s="91"/>
      <c r="O624" s="91"/>
      <c r="P624" s="91"/>
      <c r="Q624" s="168">
        <f t="shared" ref="Q624:S624" si="112">Q625-Q623</f>
        <v>93</v>
      </c>
      <c r="R624" s="91">
        <f t="shared" si="112"/>
        <v>93</v>
      </c>
      <c r="S624" s="92">
        <f t="shared" si="112"/>
        <v>93</v>
      </c>
      <c r="T624" s="92"/>
      <c r="U624" s="92"/>
      <c r="V624" s="91"/>
    </row>
    <row r="625" spans="5:22" ht="15.75" thickBot="1" x14ac:dyDescent="0.3">
      <c r="E625" s="193"/>
      <c r="F625" s="194"/>
      <c r="G625" s="195"/>
      <c r="H625" s="55" t="s">
        <v>642</v>
      </c>
      <c r="I625" s="93">
        <v>93</v>
      </c>
      <c r="J625" s="93">
        <v>93</v>
      </c>
      <c r="K625" s="93">
        <v>93</v>
      </c>
      <c r="L625" s="93">
        <v>93</v>
      </c>
      <c r="M625" s="93"/>
      <c r="N625" s="93"/>
      <c r="O625" s="93"/>
      <c r="P625" s="93">
        <v>93</v>
      </c>
      <c r="Q625" s="169">
        <v>93</v>
      </c>
      <c r="R625" s="93">
        <v>93</v>
      </c>
      <c r="S625" s="93">
        <v>93</v>
      </c>
      <c r="T625" s="93">
        <v>93</v>
      </c>
      <c r="U625" s="93">
        <v>93</v>
      </c>
      <c r="V625" s="152"/>
    </row>
    <row r="626" spans="5:22" ht="30.75" thickBot="1" x14ac:dyDescent="0.3">
      <c r="E626" s="193"/>
      <c r="F626" s="194"/>
      <c r="G626" s="195"/>
      <c r="H626" s="86" t="s">
        <v>648</v>
      </c>
      <c r="I626" s="87">
        <f>I624/I625</f>
        <v>1</v>
      </c>
      <c r="J626" s="87">
        <f t="shared" ref="J626:L626" si="113">J624/J625</f>
        <v>1</v>
      </c>
      <c r="K626" s="87">
        <f t="shared" si="113"/>
        <v>1</v>
      </c>
      <c r="L626" s="87">
        <f t="shared" si="113"/>
        <v>1</v>
      </c>
      <c r="M626" s="87"/>
      <c r="N626" s="87"/>
      <c r="O626" s="87"/>
      <c r="P626" s="87"/>
      <c r="Q626" s="170">
        <f t="shared" ref="Q626:U626" si="114">Q624/Q625</f>
        <v>1</v>
      </c>
      <c r="R626" s="87">
        <f t="shared" si="114"/>
        <v>1</v>
      </c>
      <c r="S626" s="88">
        <f t="shared" si="114"/>
        <v>1</v>
      </c>
      <c r="T626" s="88">
        <f t="shared" si="114"/>
        <v>0</v>
      </c>
      <c r="U626" s="88">
        <f t="shared" si="114"/>
        <v>0</v>
      </c>
      <c r="V626" s="153"/>
    </row>
    <row r="627" spans="5:22" ht="30.75" thickBot="1" x14ac:dyDescent="0.3">
      <c r="E627" s="193"/>
      <c r="F627" s="194"/>
      <c r="G627" s="195"/>
      <c r="H627" s="57" t="s">
        <v>646</v>
      </c>
      <c r="I627" s="58"/>
      <c r="J627" s="58"/>
      <c r="K627" s="58"/>
      <c r="L627" s="58"/>
      <c r="M627" s="58"/>
      <c r="N627" s="58"/>
      <c r="O627" s="58"/>
      <c r="P627" s="58"/>
      <c r="Q627" s="171"/>
      <c r="R627" s="58"/>
      <c r="S627" s="59"/>
      <c r="T627" s="59"/>
      <c r="U627" s="59"/>
      <c r="V627" s="151"/>
    </row>
    <row r="628" spans="5:22" ht="15.75" thickBot="1" x14ac:dyDescent="0.3">
      <c r="E628" s="193"/>
      <c r="F628" s="194"/>
      <c r="G628" s="195"/>
      <c r="H628" s="60" t="s">
        <v>647</v>
      </c>
      <c r="I628" s="61">
        <f t="shared" ref="I628:L628" si="115">I627/I625</f>
        <v>0</v>
      </c>
      <c r="J628" s="61">
        <f t="shared" si="115"/>
        <v>0</v>
      </c>
      <c r="K628" s="61">
        <f t="shared" si="115"/>
        <v>0</v>
      </c>
      <c r="L628" s="61">
        <f t="shared" si="115"/>
        <v>0</v>
      </c>
      <c r="M628" s="61"/>
      <c r="N628" s="61"/>
      <c r="O628" s="61"/>
      <c r="P628" s="61"/>
      <c r="Q628" s="172">
        <f>Q627/Q625</f>
        <v>0</v>
      </c>
      <c r="R628" s="61">
        <f t="shared" ref="R628:U628" si="116">R627/R625</f>
        <v>0</v>
      </c>
      <c r="S628" s="62">
        <f t="shared" si="116"/>
        <v>0</v>
      </c>
      <c r="T628" s="62">
        <f t="shared" si="116"/>
        <v>0</v>
      </c>
      <c r="U628" s="62">
        <f t="shared" si="116"/>
        <v>0</v>
      </c>
      <c r="V628" s="61"/>
    </row>
    <row r="629" spans="5:22" ht="30.75" thickBot="1" x14ac:dyDescent="0.3">
      <c r="E629" s="193"/>
      <c r="F629" s="194"/>
      <c r="G629" s="195"/>
      <c r="H629" s="99" t="s">
        <v>649</v>
      </c>
      <c r="I629" s="100">
        <f>I624-I627</f>
        <v>93</v>
      </c>
      <c r="J629" s="100">
        <f t="shared" ref="J629:L629" si="117">J624-J627</f>
        <v>93</v>
      </c>
      <c r="K629" s="100">
        <f t="shared" si="117"/>
        <v>93</v>
      </c>
      <c r="L629" s="100">
        <f t="shared" si="117"/>
        <v>93</v>
      </c>
      <c r="M629" s="100"/>
      <c r="N629" s="100"/>
      <c r="O629" s="100"/>
      <c r="P629" s="100"/>
      <c r="Q629" s="173">
        <f t="shared" ref="Q629:U629" si="118">Q624-Q627</f>
        <v>93</v>
      </c>
      <c r="R629" s="100">
        <f t="shared" si="118"/>
        <v>93</v>
      </c>
      <c r="S629" s="101">
        <f t="shared" si="118"/>
        <v>93</v>
      </c>
      <c r="T629" s="101">
        <f t="shared" si="118"/>
        <v>0</v>
      </c>
      <c r="U629" s="101">
        <f t="shared" si="118"/>
        <v>0</v>
      </c>
      <c r="V629" s="154"/>
    </row>
    <row r="630" spans="5:22" x14ac:dyDescent="0.25">
      <c r="E630" s="72"/>
      <c r="F630" s="112"/>
      <c r="G630" s="74" t="s">
        <v>651</v>
      </c>
      <c r="H630" s="102"/>
      <c r="I630" s="102"/>
      <c r="J630" s="102"/>
      <c r="K630" s="102"/>
      <c r="L630" s="102"/>
      <c r="M630" s="102"/>
      <c r="N630" s="102"/>
      <c r="O630" s="102"/>
      <c r="P630" s="102"/>
      <c r="Q630" s="174"/>
      <c r="R630" s="102"/>
      <c r="S630" s="103"/>
      <c r="T630" s="103"/>
      <c r="U630" s="103"/>
      <c r="V630" s="155"/>
    </row>
    <row r="631" spans="5:22" ht="15.75" thickBot="1" x14ac:dyDescent="0.3">
      <c r="E631" s="73"/>
      <c r="F631" s="112"/>
      <c r="G631" s="75" t="s">
        <v>675</v>
      </c>
      <c r="H631" s="84"/>
      <c r="I631" s="84"/>
      <c r="J631" s="84"/>
      <c r="K631" s="84"/>
      <c r="L631" s="84"/>
      <c r="M631" s="84"/>
      <c r="N631" s="84"/>
      <c r="O631" s="84"/>
      <c r="P631" s="84"/>
      <c r="Q631" s="175"/>
      <c r="R631" s="84"/>
      <c r="S631" s="85"/>
      <c r="T631" s="85"/>
      <c r="U631" s="85"/>
      <c r="V631" s="155"/>
    </row>
  </sheetData>
  <sortState xmlns:xlrd2="http://schemas.microsoft.com/office/spreadsheetml/2017/richdata2" ref="A2:AC437">
    <sortCondition ref="AA2:AA437"/>
    <sortCondition ref="Y2:Y437"/>
    <sortCondition ref="Z2:Z437"/>
  </sortState>
  <mergeCells count="3">
    <mergeCell ref="E605:G611"/>
    <mergeCell ref="E614:G620"/>
    <mergeCell ref="E623:G629"/>
  </mergeCells>
  <phoneticPr fontId="10"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B7A1A-90A3-4A8E-B9EE-FECF1CFFE418}">
  <dimension ref="A1:B603"/>
  <sheetViews>
    <sheetView topLeftCell="A576" workbookViewId="0">
      <selection activeCell="B1" sqref="B1:B603"/>
    </sheetView>
  </sheetViews>
  <sheetFormatPr defaultRowHeight="15" x14ac:dyDescent="0.25"/>
  <cols>
    <col min="1" max="1" width="18.42578125" bestFit="1" customWidth="1"/>
  </cols>
  <sheetData>
    <row r="1" spans="1:1" x14ac:dyDescent="0.25">
      <c r="A1" s="118" t="s">
        <v>517</v>
      </c>
    </row>
    <row r="2" spans="1:1" x14ac:dyDescent="0.25">
      <c r="A2" s="118" t="s">
        <v>518</v>
      </c>
    </row>
    <row r="3" spans="1:1" x14ac:dyDescent="0.25">
      <c r="A3" s="118" t="s">
        <v>518</v>
      </c>
    </row>
    <row r="4" spans="1:1" x14ac:dyDescent="0.25">
      <c r="A4" s="118" t="s">
        <v>517</v>
      </c>
    </row>
    <row r="5" spans="1:1" x14ac:dyDescent="0.25">
      <c r="A5" s="118" t="s">
        <v>519</v>
      </c>
    </row>
    <row r="6" spans="1:1" x14ac:dyDescent="0.25">
      <c r="A6" s="118" t="s">
        <v>519</v>
      </c>
    </row>
    <row r="7" spans="1:1" x14ac:dyDescent="0.25">
      <c r="A7" s="118" t="s">
        <v>519</v>
      </c>
    </row>
    <row r="8" spans="1:1" x14ac:dyDescent="0.25">
      <c r="A8" s="118" t="s">
        <v>519</v>
      </c>
    </row>
    <row r="9" spans="1:1" x14ac:dyDescent="0.25">
      <c r="A9" s="118" t="s">
        <v>519</v>
      </c>
    </row>
    <row r="10" spans="1:1" x14ac:dyDescent="0.25">
      <c r="A10" s="118" t="s">
        <v>519</v>
      </c>
    </row>
    <row r="11" spans="1:1" x14ac:dyDescent="0.25">
      <c r="A11" s="118" t="s">
        <v>519</v>
      </c>
    </row>
    <row r="12" spans="1:1" x14ac:dyDescent="0.25">
      <c r="A12" s="118" t="s">
        <v>519</v>
      </c>
    </row>
    <row r="13" spans="1:1" x14ac:dyDescent="0.25">
      <c r="A13" s="118" t="s">
        <v>519</v>
      </c>
    </row>
    <row r="14" spans="1:1" x14ac:dyDescent="0.25">
      <c r="A14" s="118" t="s">
        <v>519</v>
      </c>
    </row>
    <row r="15" spans="1:1" x14ac:dyDescent="0.25">
      <c r="A15" s="118" t="s">
        <v>519</v>
      </c>
    </row>
    <row r="16" spans="1:1" x14ac:dyDescent="0.25">
      <c r="A16" s="118" t="s">
        <v>519</v>
      </c>
    </row>
    <row r="17" spans="1:2" x14ac:dyDescent="0.25">
      <c r="A17" s="118" t="s">
        <v>519</v>
      </c>
    </row>
    <row r="18" spans="1:2" x14ac:dyDescent="0.25">
      <c r="A18" s="118" t="s">
        <v>519</v>
      </c>
    </row>
    <row r="19" spans="1:2" x14ac:dyDescent="0.25">
      <c r="A19" s="118" t="s">
        <v>519</v>
      </c>
    </row>
    <row r="20" spans="1:2" x14ac:dyDescent="0.25">
      <c r="A20" s="118" t="s">
        <v>519</v>
      </c>
    </row>
    <row r="21" spans="1:2" x14ac:dyDescent="0.25">
      <c r="A21" s="118" t="s">
        <v>519</v>
      </c>
    </row>
    <row r="22" spans="1:2" x14ac:dyDescent="0.25">
      <c r="A22" s="118" t="s">
        <v>519</v>
      </c>
    </row>
    <row r="23" spans="1:2" x14ac:dyDescent="0.25">
      <c r="A23" s="118" t="s">
        <v>519</v>
      </c>
    </row>
    <row r="24" spans="1:2" x14ac:dyDescent="0.25">
      <c r="A24" s="118" t="s">
        <v>520</v>
      </c>
    </row>
    <row r="25" spans="1:2" x14ac:dyDescent="0.25">
      <c r="A25" s="118" t="s">
        <v>520</v>
      </c>
    </row>
    <row r="26" spans="1:2" x14ac:dyDescent="0.25">
      <c r="A26" s="118" t="s">
        <v>520</v>
      </c>
    </row>
    <row r="27" spans="1:2" x14ac:dyDescent="0.25">
      <c r="A27" s="118" t="s">
        <v>521</v>
      </c>
    </row>
    <row r="28" spans="1:2" x14ac:dyDescent="0.25">
      <c r="A28" s="118" t="s">
        <v>521</v>
      </c>
    </row>
    <row r="29" spans="1:2" x14ac:dyDescent="0.25">
      <c r="A29" s="118" t="s">
        <v>521</v>
      </c>
    </row>
    <row r="30" spans="1:2" x14ac:dyDescent="0.25">
      <c r="A30" s="118" t="s">
        <v>521</v>
      </c>
    </row>
    <row r="31" spans="1:2" x14ac:dyDescent="0.25">
      <c r="A31" s="118" t="s">
        <v>521</v>
      </c>
    </row>
    <row r="32" spans="1:2" x14ac:dyDescent="0.25">
      <c r="A32" s="118" t="s">
        <v>522</v>
      </c>
      <c r="B32" s="118">
        <v>6865</v>
      </c>
    </row>
    <row r="33" spans="1:2" x14ac:dyDescent="0.25">
      <c r="A33" s="118" t="s">
        <v>523</v>
      </c>
      <c r="B33" s="118">
        <v>8165</v>
      </c>
    </row>
    <row r="34" spans="1:2" x14ac:dyDescent="0.25">
      <c r="A34" s="118" t="s">
        <v>524</v>
      </c>
      <c r="B34" s="118"/>
    </row>
    <row r="35" spans="1:2" x14ac:dyDescent="0.25">
      <c r="A35" s="118" t="s">
        <v>525</v>
      </c>
      <c r="B35" s="118"/>
    </row>
    <row r="36" spans="1:2" x14ac:dyDescent="0.25">
      <c r="A36" s="118" t="s">
        <v>526</v>
      </c>
      <c r="B36" s="118">
        <v>6425</v>
      </c>
    </row>
    <row r="37" spans="1:2" x14ac:dyDescent="0.25">
      <c r="A37" s="118" t="s">
        <v>526</v>
      </c>
      <c r="B37" s="118">
        <v>6425</v>
      </c>
    </row>
    <row r="38" spans="1:2" x14ac:dyDescent="0.25">
      <c r="A38" s="118" t="s">
        <v>527</v>
      </c>
      <c r="B38" s="118">
        <v>5065</v>
      </c>
    </row>
    <row r="39" spans="1:2" x14ac:dyDescent="0.25">
      <c r="A39" s="118" t="s">
        <v>527</v>
      </c>
      <c r="B39" s="118">
        <v>5065</v>
      </c>
    </row>
    <row r="40" spans="1:2" x14ac:dyDescent="0.25">
      <c r="A40" s="118" t="s">
        <v>528</v>
      </c>
      <c r="B40" s="118">
        <v>3385</v>
      </c>
    </row>
    <row r="41" spans="1:2" x14ac:dyDescent="0.25">
      <c r="A41" s="118" t="s">
        <v>529</v>
      </c>
      <c r="B41" s="118">
        <v>2205</v>
      </c>
    </row>
    <row r="42" spans="1:2" x14ac:dyDescent="0.25">
      <c r="A42" s="118" t="s">
        <v>530</v>
      </c>
      <c r="B42" s="118">
        <v>1385</v>
      </c>
    </row>
    <row r="43" spans="1:2" x14ac:dyDescent="0.25">
      <c r="A43" s="118" t="s">
        <v>531</v>
      </c>
      <c r="B43" s="118">
        <v>275</v>
      </c>
    </row>
    <row r="44" spans="1:2" x14ac:dyDescent="0.25">
      <c r="A44" s="118" t="s">
        <v>532</v>
      </c>
    </row>
    <row r="45" spans="1:2" x14ac:dyDescent="0.25">
      <c r="A45" s="118" t="s">
        <v>533</v>
      </c>
    </row>
    <row r="46" spans="1:2" x14ac:dyDescent="0.25">
      <c r="A46" s="118" t="s">
        <v>533</v>
      </c>
    </row>
    <row r="47" spans="1:2" x14ac:dyDescent="0.25">
      <c r="A47" s="118" t="s">
        <v>533</v>
      </c>
    </row>
    <row r="48" spans="1:2" x14ac:dyDescent="0.25">
      <c r="A48" s="118" t="s">
        <v>533</v>
      </c>
    </row>
    <row r="49" spans="1:1" x14ac:dyDescent="0.25">
      <c r="A49" s="118" t="s">
        <v>533</v>
      </c>
    </row>
    <row r="50" spans="1:1" x14ac:dyDescent="0.25">
      <c r="A50" s="118" t="s">
        <v>533</v>
      </c>
    </row>
    <row r="51" spans="1:1" x14ac:dyDescent="0.25">
      <c r="A51" s="118" t="s">
        <v>533</v>
      </c>
    </row>
    <row r="52" spans="1:1" x14ac:dyDescent="0.25">
      <c r="A52" s="118" t="s">
        <v>533</v>
      </c>
    </row>
    <row r="53" spans="1:1" x14ac:dyDescent="0.25">
      <c r="A53" s="118" t="s">
        <v>533</v>
      </c>
    </row>
    <row r="54" spans="1:1" x14ac:dyDescent="0.25">
      <c r="A54" s="118" t="s">
        <v>533</v>
      </c>
    </row>
    <row r="55" spans="1:1" x14ac:dyDescent="0.25">
      <c r="A55" s="118" t="s">
        <v>533</v>
      </c>
    </row>
    <row r="56" spans="1:1" x14ac:dyDescent="0.25">
      <c r="A56" s="118" t="s">
        <v>533</v>
      </c>
    </row>
    <row r="57" spans="1:1" x14ac:dyDescent="0.25">
      <c r="A57" s="118" t="s">
        <v>533</v>
      </c>
    </row>
    <row r="58" spans="1:1" x14ac:dyDescent="0.25">
      <c r="A58" s="118" t="s">
        <v>533</v>
      </c>
    </row>
    <row r="59" spans="1:1" x14ac:dyDescent="0.25">
      <c r="A59" s="118" t="s">
        <v>534</v>
      </c>
    </row>
    <row r="60" spans="1:1" x14ac:dyDescent="0.25">
      <c r="A60" s="118" t="s">
        <v>534</v>
      </c>
    </row>
    <row r="61" spans="1:1" x14ac:dyDescent="0.25">
      <c r="A61" s="118" t="s">
        <v>534</v>
      </c>
    </row>
    <row r="62" spans="1:1" x14ac:dyDescent="0.25">
      <c r="A62" s="118" t="s">
        <v>535</v>
      </c>
    </row>
    <row r="63" spans="1:1" x14ac:dyDescent="0.25">
      <c r="A63" s="118" t="s">
        <v>536</v>
      </c>
    </row>
    <row r="64" spans="1:1" x14ac:dyDescent="0.25">
      <c r="A64" s="118" t="s">
        <v>535</v>
      </c>
    </row>
    <row r="65" spans="1:1" x14ac:dyDescent="0.25">
      <c r="A65" s="118" t="s">
        <v>535</v>
      </c>
    </row>
    <row r="66" spans="1:1" x14ac:dyDescent="0.25">
      <c r="A66" s="118" t="s">
        <v>536</v>
      </c>
    </row>
    <row r="67" spans="1:1" x14ac:dyDescent="0.25">
      <c r="A67" s="118" t="s">
        <v>536</v>
      </c>
    </row>
    <row r="68" spans="1:1" x14ac:dyDescent="0.25">
      <c r="A68" s="118" t="s">
        <v>537</v>
      </c>
    </row>
    <row r="69" spans="1:1" x14ac:dyDescent="0.25">
      <c r="A69" s="118" t="s">
        <v>537</v>
      </c>
    </row>
    <row r="70" spans="1:1" x14ac:dyDescent="0.25">
      <c r="A70" s="118" t="s">
        <v>537</v>
      </c>
    </row>
    <row r="71" spans="1:1" x14ac:dyDescent="0.25">
      <c r="A71" s="118" t="s">
        <v>537</v>
      </c>
    </row>
    <row r="72" spans="1:1" x14ac:dyDescent="0.25">
      <c r="A72" s="118" t="s">
        <v>537</v>
      </c>
    </row>
    <row r="73" spans="1:1" x14ac:dyDescent="0.25">
      <c r="A73" s="118" t="s">
        <v>537</v>
      </c>
    </row>
    <row r="74" spans="1:1" x14ac:dyDescent="0.25">
      <c r="A74" s="118" t="s">
        <v>537</v>
      </c>
    </row>
    <row r="75" spans="1:1" x14ac:dyDescent="0.25">
      <c r="A75" s="118" t="s">
        <v>537</v>
      </c>
    </row>
    <row r="76" spans="1:1" x14ac:dyDescent="0.25">
      <c r="A76" s="118" t="s">
        <v>537</v>
      </c>
    </row>
    <row r="77" spans="1:1" x14ac:dyDescent="0.25">
      <c r="A77" s="118" t="s">
        <v>537</v>
      </c>
    </row>
    <row r="78" spans="1:1" x14ac:dyDescent="0.25">
      <c r="A78" s="118" t="s">
        <v>537</v>
      </c>
    </row>
    <row r="79" spans="1:1" x14ac:dyDescent="0.25">
      <c r="A79" s="118" t="s">
        <v>537</v>
      </c>
    </row>
    <row r="80" spans="1:1" x14ac:dyDescent="0.25">
      <c r="A80" s="118" t="s">
        <v>537</v>
      </c>
    </row>
    <row r="81" spans="1:2" x14ac:dyDescent="0.25">
      <c r="A81" s="118" t="s">
        <v>537</v>
      </c>
    </row>
    <row r="82" spans="1:2" x14ac:dyDescent="0.25">
      <c r="A82" s="118" t="s">
        <v>537</v>
      </c>
    </row>
    <row r="83" spans="1:2" x14ac:dyDescent="0.25">
      <c r="A83" s="118" t="s">
        <v>537</v>
      </c>
    </row>
    <row r="84" spans="1:2" x14ac:dyDescent="0.25">
      <c r="A84" s="118" t="s">
        <v>537</v>
      </c>
    </row>
    <row r="85" spans="1:2" x14ac:dyDescent="0.25">
      <c r="A85" s="118" t="s">
        <v>537</v>
      </c>
    </row>
    <row r="86" spans="1:2" x14ac:dyDescent="0.25">
      <c r="A86" s="118" t="s">
        <v>537</v>
      </c>
    </row>
    <row r="87" spans="1:2" x14ac:dyDescent="0.25">
      <c r="A87" s="118" t="s">
        <v>537</v>
      </c>
    </row>
    <row r="88" spans="1:2" x14ac:dyDescent="0.25">
      <c r="A88" s="118" t="s">
        <v>538</v>
      </c>
    </row>
    <row r="89" spans="1:2" x14ac:dyDescent="0.25">
      <c r="A89" s="118" t="s">
        <v>538</v>
      </c>
    </row>
    <row r="90" spans="1:2" x14ac:dyDescent="0.25">
      <c r="A90" s="118" t="s">
        <v>538</v>
      </c>
    </row>
    <row r="91" spans="1:2" x14ac:dyDescent="0.25">
      <c r="A91" s="118" t="s">
        <v>539</v>
      </c>
      <c r="B91" s="118">
        <v>6865</v>
      </c>
    </row>
    <row r="92" spans="1:2" x14ac:dyDescent="0.25">
      <c r="A92" s="118" t="s">
        <v>540</v>
      </c>
      <c r="B92" s="118">
        <v>8165</v>
      </c>
    </row>
    <row r="93" spans="1:2" x14ac:dyDescent="0.25">
      <c r="A93" s="118" t="s">
        <v>541</v>
      </c>
    </row>
    <row r="94" spans="1:2" x14ac:dyDescent="0.25">
      <c r="A94" s="118" t="s">
        <v>542</v>
      </c>
    </row>
    <row r="95" spans="1:2" x14ac:dyDescent="0.25">
      <c r="A95" s="118" t="s">
        <v>543</v>
      </c>
      <c r="B95" s="118">
        <v>8245</v>
      </c>
    </row>
    <row r="96" spans="1:2" x14ac:dyDescent="0.25">
      <c r="A96" s="118" t="s">
        <v>544</v>
      </c>
    </row>
    <row r="97" spans="1:2" x14ac:dyDescent="0.25">
      <c r="A97" s="118" t="s">
        <v>545</v>
      </c>
      <c r="B97" s="118">
        <v>5065</v>
      </c>
    </row>
    <row r="98" spans="1:2" x14ac:dyDescent="0.25">
      <c r="A98" s="118" t="s">
        <v>546</v>
      </c>
      <c r="B98" s="118">
        <v>3385</v>
      </c>
    </row>
    <row r="99" spans="1:2" x14ac:dyDescent="0.25">
      <c r="A99" s="118" t="s">
        <v>547</v>
      </c>
      <c r="B99" s="118">
        <v>2205</v>
      </c>
    </row>
    <row r="100" spans="1:2" x14ac:dyDescent="0.25">
      <c r="A100" s="118" t="s">
        <v>548</v>
      </c>
      <c r="B100" s="118">
        <v>1385</v>
      </c>
    </row>
    <row r="101" spans="1:2" x14ac:dyDescent="0.25">
      <c r="A101" s="118" t="s">
        <v>549</v>
      </c>
    </row>
    <row r="102" spans="1:2" x14ac:dyDescent="0.25">
      <c r="A102" s="118" t="s">
        <v>550</v>
      </c>
    </row>
    <row r="103" spans="1:2" x14ac:dyDescent="0.25">
      <c r="A103" s="118" t="s">
        <v>550</v>
      </c>
    </row>
    <row r="104" spans="1:2" x14ac:dyDescent="0.25">
      <c r="A104" s="118" t="s">
        <v>550</v>
      </c>
    </row>
    <row r="105" spans="1:2" x14ac:dyDescent="0.25">
      <c r="A105" s="118" t="s">
        <v>551</v>
      </c>
    </row>
    <row r="106" spans="1:2" x14ac:dyDescent="0.25">
      <c r="A106" s="118" t="s">
        <v>551</v>
      </c>
    </row>
    <row r="107" spans="1:2" x14ac:dyDescent="0.25">
      <c r="A107" s="118" t="s">
        <v>551</v>
      </c>
    </row>
    <row r="108" spans="1:2" x14ac:dyDescent="0.25">
      <c r="A108" s="118" t="s">
        <v>551</v>
      </c>
    </row>
    <row r="109" spans="1:2" x14ac:dyDescent="0.25">
      <c r="A109" s="118" t="s">
        <v>551</v>
      </c>
    </row>
    <row r="110" spans="1:2" x14ac:dyDescent="0.25">
      <c r="A110" s="118" t="s">
        <v>551</v>
      </c>
    </row>
    <row r="111" spans="1:2" x14ac:dyDescent="0.25">
      <c r="A111" s="118" t="s">
        <v>551</v>
      </c>
    </row>
    <row r="112" spans="1:2" x14ac:dyDescent="0.25">
      <c r="A112" s="118" t="s">
        <v>551</v>
      </c>
    </row>
    <row r="113" spans="1:1" x14ac:dyDescent="0.25">
      <c r="A113" s="118" t="s">
        <v>552</v>
      </c>
    </row>
    <row r="114" spans="1:1" x14ac:dyDescent="0.25">
      <c r="A114" s="118" t="s">
        <v>553</v>
      </c>
    </row>
    <row r="115" spans="1:1" x14ac:dyDescent="0.25">
      <c r="A115" s="118" t="s">
        <v>553</v>
      </c>
    </row>
    <row r="116" spans="1:1" x14ac:dyDescent="0.25">
      <c r="A116" s="118" t="s">
        <v>553</v>
      </c>
    </row>
    <row r="117" spans="1:1" x14ac:dyDescent="0.25">
      <c r="A117" s="118" t="s">
        <v>553</v>
      </c>
    </row>
    <row r="118" spans="1:1" x14ac:dyDescent="0.25">
      <c r="A118" s="118" t="s">
        <v>553</v>
      </c>
    </row>
    <row r="119" spans="1:1" x14ac:dyDescent="0.25">
      <c r="A119" s="118" t="s">
        <v>553</v>
      </c>
    </row>
    <row r="120" spans="1:1" x14ac:dyDescent="0.25">
      <c r="A120" s="118" t="s">
        <v>553</v>
      </c>
    </row>
    <row r="121" spans="1:1" x14ac:dyDescent="0.25">
      <c r="A121" s="118" t="s">
        <v>553</v>
      </c>
    </row>
    <row r="122" spans="1:1" x14ac:dyDescent="0.25">
      <c r="A122" s="118" t="s">
        <v>538</v>
      </c>
    </row>
    <row r="123" spans="1:1" x14ac:dyDescent="0.25">
      <c r="A123" s="118" t="s">
        <v>554</v>
      </c>
    </row>
    <row r="124" spans="1:1" x14ac:dyDescent="0.25">
      <c r="A124" s="118" t="s">
        <v>554</v>
      </c>
    </row>
    <row r="125" spans="1:1" x14ac:dyDescent="0.25">
      <c r="A125" s="118" t="s">
        <v>554</v>
      </c>
    </row>
    <row r="126" spans="1:1" x14ac:dyDescent="0.25">
      <c r="A126" s="118" t="s">
        <v>554</v>
      </c>
    </row>
    <row r="127" spans="1:1" x14ac:dyDescent="0.25">
      <c r="A127" s="118" t="s">
        <v>554</v>
      </c>
    </row>
    <row r="128" spans="1:1" x14ac:dyDescent="0.25">
      <c r="A128" s="118" t="s">
        <v>554</v>
      </c>
    </row>
    <row r="129" spans="1:1" x14ac:dyDescent="0.25">
      <c r="A129" s="118" t="s">
        <v>555</v>
      </c>
    </row>
    <row r="130" spans="1:1" x14ac:dyDescent="0.25">
      <c r="A130" s="118" t="s">
        <v>555</v>
      </c>
    </row>
    <row r="131" spans="1:1" x14ac:dyDescent="0.25">
      <c r="A131" s="118" t="s">
        <v>555</v>
      </c>
    </row>
    <row r="132" spans="1:1" x14ac:dyDescent="0.25">
      <c r="A132" s="118" t="s">
        <v>555</v>
      </c>
    </row>
    <row r="133" spans="1:1" x14ac:dyDescent="0.25">
      <c r="A133" s="118" t="s">
        <v>555</v>
      </c>
    </row>
    <row r="134" spans="1:1" x14ac:dyDescent="0.25">
      <c r="A134" s="118" t="s">
        <v>555</v>
      </c>
    </row>
    <row r="135" spans="1:1" x14ac:dyDescent="0.25">
      <c r="A135" s="118" t="s">
        <v>555</v>
      </c>
    </row>
    <row r="136" spans="1:1" x14ac:dyDescent="0.25">
      <c r="A136" s="118" t="s">
        <v>555</v>
      </c>
    </row>
    <row r="137" spans="1:1" x14ac:dyDescent="0.25">
      <c r="A137" s="37" t="s">
        <v>556</v>
      </c>
    </row>
    <row r="138" spans="1:1" x14ac:dyDescent="0.25">
      <c r="A138" s="37" t="s">
        <v>556</v>
      </c>
    </row>
    <row r="139" spans="1:1" x14ac:dyDescent="0.25">
      <c r="A139" s="37" t="s">
        <v>556</v>
      </c>
    </row>
    <row r="140" spans="1:1" x14ac:dyDescent="0.25">
      <c r="A140" s="42" t="s">
        <v>557</v>
      </c>
    </row>
    <row r="141" spans="1:1" x14ac:dyDescent="0.25">
      <c r="A141" s="42" t="s">
        <v>557</v>
      </c>
    </row>
    <row r="142" spans="1:1" x14ac:dyDescent="0.25">
      <c r="A142" s="42" t="s">
        <v>557</v>
      </c>
    </row>
    <row r="143" spans="1:1" x14ac:dyDescent="0.25">
      <c r="A143" s="42" t="s">
        <v>557</v>
      </c>
    </row>
    <row r="144" spans="1:1" x14ac:dyDescent="0.25">
      <c r="A144" s="42" t="s">
        <v>557</v>
      </c>
    </row>
    <row r="145" spans="1:2" x14ac:dyDescent="0.25">
      <c r="A145" s="118" t="s">
        <v>168</v>
      </c>
      <c r="B145" s="118">
        <v>5210</v>
      </c>
    </row>
    <row r="146" spans="1:2" x14ac:dyDescent="0.25">
      <c r="A146" s="118" t="s">
        <v>169</v>
      </c>
      <c r="B146" s="118">
        <v>5430</v>
      </c>
    </row>
    <row r="147" spans="1:2" x14ac:dyDescent="0.25">
      <c r="A147" s="118" t="s">
        <v>170</v>
      </c>
      <c r="B147" s="118">
        <v>4180</v>
      </c>
    </row>
    <row r="148" spans="1:2" x14ac:dyDescent="0.25">
      <c r="A148" s="118" t="s">
        <v>171</v>
      </c>
      <c r="B148" s="118">
        <v>4980</v>
      </c>
    </row>
    <row r="149" spans="1:2" x14ac:dyDescent="0.25">
      <c r="A149" s="26" t="s">
        <v>172</v>
      </c>
      <c r="B149" s="118">
        <v>6340</v>
      </c>
    </row>
    <row r="150" spans="1:2" x14ac:dyDescent="0.25">
      <c r="A150" s="118" t="s">
        <v>173</v>
      </c>
      <c r="B150" s="118">
        <v>7900</v>
      </c>
    </row>
    <row r="151" spans="1:2" x14ac:dyDescent="0.25">
      <c r="A151" s="118" t="s">
        <v>174</v>
      </c>
      <c r="B151" s="118">
        <v>10610</v>
      </c>
    </row>
    <row r="152" spans="1:2" x14ac:dyDescent="0.25">
      <c r="A152" s="26" t="s">
        <v>175</v>
      </c>
      <c r="B152" s="118">
        <v>9370</v>
      </c>
    </row>
    <row r="153" spans="1:2" x14ac:dyDescent="0.25">
      <c r="A153" s="118" t="s">
        <v>176</v>
      </c>
      <c r="B153" s="118">
        <v>10331</v>
      </c>
    </row>
    <row r="154" spans="1:2" x14ac:dyDescent="0.25">
      <c r="A154" s="26" t="s">
        <v>177</v>
      </c>
      <c r="B154" s="118">
        <v>11270</v>
      </c>
    </row>
    <row r="155" spans="1:2" x14ac:dyDescent="0.25">
      <c r="A155" s="26" t="s">
        <v>178</v>
      </c>
    </row>
    <row r="156" spans="1:2" x14ac:dyDescent="0.25">
      <c r="A156" s="118" t="s">
        <v>179</v>
      </c>
    </row>
    <row r="157" spans="1:2" x14ac:dyDescent="0.25">
      <c r="A157" s="118" t="s">
        <v>180</v>
      </c>
      <c r="B157" s="118">
        <v>5180</v>
      </c>
    </row>
    <row r="158" spans="1:2" x14ac:dyDescent="0.25">
      <c r="A158" s="118" t="s">
        <v>558</v>
      </c>
    </row>
    <row r="159" spans="1:2" x14ac:dyDescent="0.25">
      <c r="A159" s="26" t="s">
        <v>558</v>
      </c>
    </row>
    <row r="160" spans="1:2" x14ac:dyDescent="0.25">
      <c r="A160" s="26" t="s">
        <v>558</v>
      </c>
    </row>
    <row r="161" spans="1:1" x14ac:dyDescent="0.25">
      <c r="A161" s="118" t="s">
        <v>558</v>
      </c>
    </row>
    <row r="162" spans="1:1" x14ac:dyDescent="0.25">
      <c r="A162" s="118" t="s">
        <v>558</v>
      </c>
    </row>
    <row r="163" spans="1:1" x14ac:dyDescent="0.25">
      <c r="A163" s="118" t="s">
        <v>558</v>
      </c>
    </row>
    <row r="164" spans="1:1" x14ac:dyDescent="0.25">
      <c r="A164" s="26" t="s">
        <v>558</v>
      </c>
    </row>
    <row r="165" spans="1:1" x14ac:dyDescent="0.25">
      <c r="A165" s="26" t="s">
        <v>558</v>
      </c>
    </row>
    <row r="166" spans="1:1" x14ac:dyDescent="0.25">
      <c r="A166" s="118" t="s">
        <v>559</v>
      </c>
    </row>
    <row r="167" spans="1:1" x14ac:dyDescent="0.25">
      <c r="A167" s="118" t="s">
        <v>559</v>
      </c>
    </row>
    <row r="168" spans="1:1" x14ac:dyDescent="0.25">
      <c r="A168" s="118" t="s">
        <v>559</v>
      </c>
    </row>
    <row r="169" spans="1:1" x14ac:dyDescent="0.25">
      <c r="A169" s="118" t="s">
        <v>560</v>
      </c>
    </row>
    <row r="170" spans="1:1" x14ac:dyDescent="0.25">
      <c r="A170" s="118" t="s">
        <v>560</v>
      </c>
    </row>
    <row r="171" spans="1:1" x14ac:dyDescent="0.25">
      <c r="A171" s="118" t="s">
        <v>560</v>
      </c>
    </row>
    <row r="172" spans="1:1" x14ac:dyDescent="0.25">
      <c r="A172" s="118" t="s">
        <v>560</v>
      </c>
    </row>
    <row r="173" spans="1:1" x14ac:dyDescent="0.25">
      <c r="A173" s="118" t="s">
        <v>560</v>
      </c>
    </row>
    <row r="174" spans="1:1" x14ac:dyDescent="0.25">
      <c r="A174" s="118" t="s">
        <v>561</v>
      </c>
    </row>
    <row r="175" spans="1:1" x14ac:dyDescent="0.25">
      <c r="A175" s="118" t="s">
        <v>561</v>
      </c>
    </row>
    <row r="176" spans="1:1" x14ac:dyDescent="0.25">
      <c r="A176" s="118" t="s">
        <v>561</v>
      </c>
    </row>
    <row r="177" spans="1:2" x14ac:dyDescent="0.25">
      <c r="A177" s="118" t="s">
        <v>561</v>
      </c>
    </row>
    <row r="178" spans="1:2" x14ac:dyDescent="0.25">
      <c r="A178" s="118" t="s">
        <v>561</v>
      </c>
    </row>
    <row r="179" spans="1:2" x14ac:dyDescent="0.25">
      <c r="A179" s="118" t="s">
        <v>561</v>
      </c>
    </row>
    <row r="180" spans="1:2" x14ac:dyDescent="0.25">
      <c r="A180" s="118" t="s">
        <v>561</v>
      </c>
    </row>
    <row r="181" spans="1:2" x14ac:dyDescent="0.25">
      <c r="A181" s="118" t="s">
        <v>204</v>
      </c>
      <c r="B181" s="118">
        <v>5999</v>
      </c>
    </row>
    <row r="182" spans="1:2" x14ac:dyDescent="0.25">
      <c r="A182" s="118" t="s">
        <v>205</v>
      </c>
      <c r="B182" s="118">
        <v>8861</v>
      </c>
    </row>
    <row r="183" spans="1:2" x14ac:dyDescent="0.25">
      <c r="A183" s="118" t="s">
        <v>206</v>
      </c>
      <c r="B183" s="118">
        <v>9921</v>
      </c>
    </row>
    <row r="184" spans="1:2" x14ac:dyDescent="0.25">
      <c r="A184" s="118" t="s">
        <v>207</v>
      </c>
      <c r="B184" s="118">
        <v>10891</v>
      </c>
    </row>
    <row r="185" spans="1:2" x14ac:dyDescent="0.25">
      <c r="A185" s="118" t="s">
        <v>208</v>
      </c>
      <c r="B185" s="118">
        <v>12821</v>
      </c>
    </row>
    <row r="186" spans="1:2" x14ac:dyDescent="0.25">
      <c r="A186" s="118" t="s">
        <v>209</v>
      </c>
      <c r="B186" s="118">
        <v>14351</v>
      </c>
    </row>
    <row r="187" spans="1:2" x14ac:dyDescent="0.25">
      <c r="A187" s="118" t="s">
        <v>210</v>
      </c>
      <c r="B187" s="118">
        <v>6411</v>
      </c>
    </row>
    <row r="188" spans="1:2" x14ac:dyDescent="0.25">
      <c r="A188" s="118" t="s">
        <v>211</v>
      </c>
      <c r="B188" s="118">
        <v>5401</v>
      </c>
    </row>
    <row r="189" spans="1:2" x14ac:dyDescent="0.25">
      <c r="A189" s="118" t="s">
        <v>212</v>
      </c>
      <c r="B189" s="118">
        <v>4381</v>
      </c>
    </row>
    <row r="190" spans="1:2" x14ac:dyDescent="0.25">
      <c r="A190" s="118" t="s">
        <v>213</v>
      </c>
      <c r="B190" s="118">
        <v>2851</v>
      </c>
    </row>
    <row r="191" spans="1:2" x14ac:dyDescent="0.25">
      <c r="A191" s="26" t="s">
        <v>562</v>
      </c>
    </row>
    <row r="192" spans="1:2" x14ac:dyDescent="0.25">
      <c r="A192" s="26" t="s">
        <v>562</v>
      </c>
    </row>
    <row r="193" spans="1:2" x14ac:dyDescent="0.25">
      <c r="A193" s="26" t="s">
        <v>562</v>
      </c>
    </row>
    <row r="194" spans="1:2" x14ac:dyDescent="0.25">
      <c r="A194" s="26" t="s">
        <v>563</v>
      </c>
    </row>
    <row r="195" spans="1:2" x14ac:dyDescent="0.25">
      <c r="A195" s="26" t="s">
        <v>563</v>
      </c>
    </row>
    <row r="196" spans="1:2" x14ac:dyDescent="0.25">
      <c r="A196" s="26" t="s">
        <v>563</v>
      </c>
    </row>
    <row r="197" spans="1:2" x14ac:dyDescent="0.25">
      <c r="A197" s="118" t="s">
        <v>563</v>
      </c>
    </row>
    <row r="198" spans="1:2" x14ac:dyDescent="0.25">
      <c r="A198" s="118" t="s">
        <v>563</v>
      </c>
    </row>
    <row r="199" spans="1:2" x14ac:dyDescent="0.25">
      <c r="A199" s="118" t="s">
        <v>564</v>
      </c>
    </row>
    <row r="200" spans="1:2" x14ac:dyDescent="0.25">
      <c r="A200" s="118" t="s">
        <v>564</v>
      </c>
    </row>
    <row r="201" spans="1:2" x14ac:dyDescent="0.25">
      <c r="A201" s="118" t="s">
        <v>564</v>
      </c>
    </row>
    <row r="202" spans="1:2" x14ac:dyDescent="0.25">
      <c r="A202" s="118" t="s">
        <v>565</v>
      </c>
    </row>
    <row r="203" spans="1:2" x14ac:dyDescent="0.25">
      <c r="A203" s="118" t="s">
        <v>565</v>
      </c>
    </row>
    <row r="204" spans="1:2" x14ac:dyDescent="0.25">
      <c r="A204" s="118" t="s">
        <v>565</v>
      </c>
    </row>
    <row r="205" spans="1:2" x14ac:dyDescent="0.25">
      <c r="A205" s="118" t="s">
        <v>565</v>
      </c>
    </row>
    <row r="206" spans="1:2" x14ac:dyDescent="0.25">
      <c r="A206" s="118" t="s">
        <v>565</v>
      </c>
    </row>
    <row r="207" spans="1:2" x14ac:dyDescent="0.25">
      <c r="A207" s="63" t="s">
        <v>230</v>
      </c>
      <c r="B207" s="118">
        <v>5210</v>
      </c>
    </row>
    <row r="208" spans="1:2" x14ac:dyDescent="0.25">
      <c r="A208" s="63" t="s">
        <v>231</v>
      </c>
      <c r="B208" s="118">
        <v>5430</v>
      </c>
    </row>
    <row r="209" spans="1:2" x14ac:dyDescent="0.25">
      <c r="A209" s="63" t="s">
        <v>232</v>
      </c>
      <c r="B209" s="118">
        <v>4180</v>
      </c>
    </row>
    <row r="210" spans="1:2" x14ac:dyDescent="0.25">
      <c r="A210" s="63" t="s">
        <v>233</v>
      </c>
      <c r="B210" s="118">
        <v>4980</v>
      </c>
    </row>
    <row r="211" spans="1:2" x14ac:dyDescent="0.25">
      <c r="A211" s="63" t="s">
        <v>234</v>
      </c>
      <c r="B211" s="118">
        <v>6340</v>
      </c>
    </row>
    <row r="212" spans="1:2" x14ac:dyDescent="0.25">
      <c r="A212" s="63" t="s">
        <v>235</v>
      </c>
      <c r="B212" s="118">
        <v>7900</v>
      </c>
    </row>
    <row r="213" spans="1:2" x14ac:dyDescent="0.25">
      <c r="A213" s="63" t="s">
        <v>236</v>
      </c>
      <c r="B213" s="118">
        <v>10610</v>
      </c>
    </row>
    <row r="214" spans="1:2" x14ac:dyDescent="0.25">
      <c r="A214" s="63" t="s">
        <v>237</v>
      </c>
      <c r="B214" s="118">
        <v>9370</v>
      </c>
    </row>
    <row r="215" spans="1:2" x14ac:dyDescent="0.25">
      <c r="A215" s="63" t="s">
        <v>238</v>
      </c>
      <c r="B215" s="118">
        <v>10331</v>
      </c>
    </row>
    <row r="216" spans="1:2" x14ac:dyDescent="0.25">
      <c r="A216" s="63" t="s">
        <v>239</v>
      </c>
      <c r="B216" s="118">
        <v>11270</v>
      </c>
    </row>
    <row r="217" spans="1:2" x14ac:dyDescent="0.25">
      <c r="A217" s="63" t="s">
        <v>240</v>
      </c>
    </row>
    <row r="218" spans="1:2" x14ac:dyDescent="0.25">
      <c r="A218" s="118" t="s">
        <v>241</v>
      </c>
    </row>
    <row r="219" spans="1:2" x14ac:dyDescent="0.25">
      <c r="A219" s="63" t="s">
        <v>242</v>
      </c>
      <c r="B219" s="118">
        <v>5180</v>
      </c>
    </row>
    <row r="220" spans="1:2" x14ac:dyDescent="0.25">
      <c r="A220" s="63" t="s">
        <v>243</v>
      </c>
      <c r="B220" s="118">
        <v>5999</v>
      </c>
    </row>
    <row r="221" spans="1:2" x14ac:dyDescent="0.25">
      <c r="A221" s="63" t="s">
        <v>244</v>
      </c>
      <c r="B221" s="118">
        <v>8861</v>
      </c>
    </row>
    <row r="222" spans="1:2" x14ac:dyDescent="0.25">
      <c r="A222" s="63" t="s">
        <v>245</v>
      </c>
      <c r="B222" s="118">
        <v>9921</v>
      </c>
    </row>
    <row r="223" spans="1:2" x14ac:dyDescent="0.25">
      <c r="A223" s="63" t="s">
        <v>246</v>
      </c>
      <c r="B223" s="118">
        <v>10891</v>
      </c>
    </row>
    <row r="224" spans="1:2" x14ac:dyDescent="0.25">
      <c r="A224" s="118" t="s">
        <v>247</v>
      </c>
      <c r="B224" s="118">
        <v>12821</v>
      </c>
    </row>
    <row r="225" spans="1:2" x14ac:dyDescent="0.25">
      <c r="A225" s="63" t="s">
        <v>248</v>
      </c>
      <c r="B225" s="118">
        <v>14351</v>
      </c>
    </row>
    <row r="226" spans="1:2" x14ac:dyDescent="0.25">
      <c r="A226" s="63" t="s">
        <v>249</v>
      </c>
      <c r="B226" s="118">
        <v>6411</v>
      </c>
    </row>
    <row r="227" spans="1:2" x14ac:dyDescent="0.25">
      <c r="A227" s="63" t="s">
        <v>250</v>
      </c>
      <c r="B227" s="118">
        <v>5401</v>
      </c>
    </row>
    <row r="228" spans="1:2" x14ac:dyDescent="0.25">
      <c r="A228" s="63" t="s">
        <v>251</v>
      </c>
      <c r="B228" s="118">
        <v>4381</v>
      </c>
    </row>
    <row r="229" spans="1:2" x14ac:dyDescent="0.25">
      <c r="A229" s="63" t="s">
        <v>252</v>
      </c>
      <c r="B229" s="118">
        <v>2851</v>
      </c>
    </row>
    <row r="230" spans="1:2" x14ac:dyDescent="0.25">
      <c r="A230" s="63" t="s">
        <v>253</v>
      </c>
      <c r="B230" s="118">
        <v>1731</v>
      </c>
    </row>
    <row r="231" spans="1:2" x14ac:dyDescent="0.25">
      <c r="A231" s="63" t="s">
        <v>254</v>
      </c>
      <c r="B231" s="118">
        <v>661</v>
      </c>
    </row>
    <row r="232" spans="1:2" x14ac:dyDescent="0.25">
      <c r="A232" s="63" t="s">
        <v>248</v>
      </c>
      <c r="B232" s="118">
        <v>14351</v>
      </c>
    </row>
    <row r="233" spans="1:2" x14ac:dyDescent="0.25">
      <c r="A233" s="118" t="s">
        <v>255</v>
      </c>
      <c r="B233" s="118">
        <v>13553</v>
      </c>
    </row>
    <row r="234" spans="1:2" x14ac:dyDescent="0.25">
      <c r="A234" s="63" t="s">
        <v>253</v>
      </c>
      <c r="B234" s="118">
        <v>1731</v>
      </c>
    </row>
    <row r="235" spans="1:2" x14ac:dyDescent="0.25">
      <c r="A235" s="118" t="s">
        <v>566</v>
      </c>
      <c r="B235" s="118">
        <v>8165</v>
      </c>
    </row>
    <row r="236" spans="1:2" x14ac:dyDescent="0.25">
      <c r="A236" s="118" t="s">
        <v>566</v>
      </c>
      <c r="B236" s="118">
        <v>8165</v>
      </c>
    </row>
    <row r="237" spans="1:2" x14ac:dyDescent="0.25">
      <c r="A237" s="118" t="s">
        <v>567</v>
      </c>
    </row>
    <row r="238" spans="1:2" x14ac:dyDescent="0.25">
      <c r="A238" s="118" t="s">
        <v>568</v>
      </c>
      <c r="B238" s="118"/>
    </row>
    <row r="239" spans="1:2" x14ac:dyDescent="0.25">
      <c r="A239" s="118" t="s">
        <v>461</v>
      </c>
      <c r="B239" s="118">
        <v>6425</v>
      </c>
    </row>
    <row r="240" spans="1:2" x14ac:dyDescent="0.25">
      <c r="A240" s="118" t="s">
        <v>569</v>
      </c>
      <c r="B240" s="118">
        <v>8245</v>
      </c>
    </row>
    <row r="241" spans="1:2" x14ac:dyDescent="0.25">
      <c r="A241" s="118" t="s">
        <v>570</v>
      </c>
      <c r="B241" s="118"/>
    </row>
    <row r="242" spans="1:2" x14ac:dyDescent="0.25">
      <c r="A242" s="118" t="s">
        <v>571</v>
      </c>
      <c r="B242" s="118">
        <v>5065</v>
      </c>
    </row>
    <row r="243" spans="1:2" x14ac:dyDescent="0.25">
      <c r="A243" s="118" t="s">
        <v>572</v>
      </c>
      <c r="B243" s="118">
        <v>3385</v>
      </c>
    </row>
    <row r="244" spans="1:2" x14ac:dyDescent="0.25">
      <c r="A244" s="118" t="s">
        <v>573</v>
      </c>
      <c r="B244" s="118">
        <v>2205</v>
      </c>
    </row>
    <row r="245" spans="1:2" x14ac:dyDescent="0.25">
      <c r="A245" s="118" t="s">
        <v>574</v>
      </c>
      <c r="B245" s="118">
        <v>1385</v>
      </c>
    </row>
    <row r="246" spans="1:2" x14ac:dyDescent="0.25">
      <c r="A246" s="118" t="s">
        <v>575</v>
      </c>
      <c r="B246" s="118">
        <v>275</v>
      </c>
    </row>
    <row r="247" spans="1:2" x14ac:dyDescent="0.25">
      <c r="A247" s="118" t="s">
        <v>568</v>
      </c>
      <c r="B247" s="118"/>
    </row>
    <row r="248" spans="1:2" x14ac:dyDescent="0.25">
      <c r="A248" s="118" t="s">
        <v>576</v>
      </c>
      <c r="B248" s="118">
        <v>4225</v>
      </c>
    </row>
    <row r="249" spans="1:2" x14ac:dyDescent="0.25">
      <c r="A249" s="118" t="s">
        <v>577</v>
      </c>
      <c r="B249" s="118">
        <v>2905</v>
      </c>
    </row>
    <row r="250" spans="1:2" x14ac:dyDescent="0.25">
      <c r="A250" s="118" t="s">
        <v>273</v>
      </c>
      <c r="B250" s="118">
        <v>5210</v>
      </c>
    </row>
    <row r="251" spans="1:2" x14ac:dyDescent="0.25">
      <c r="A251" s="118" t="s">
        <v>274</v>
      </c>
      <c r="B251" s="118">
        <v>5430</v>
      </c>
    </row>
    <row r="252" spans="1:2" x14ac:dyDescent="0.25">
      <c r="A252" s="118" t="s">
        <v>275</v>
      </c>
      <c r="B252" s="118">
        <v>4180</v>
      </c>
    </row>
    <row r="253" spans="1:2" x14ac:dyDescent="0.25">
      <c r="A253" s="118" t="s">
        <v>276</v>
      </c>
      <c r="B253" s="118">
        <v>4980</v>
      </c>
    </row>
    <row r="254" spans="1:2" x14ac:dyDescent="0.25">
      <c r="A254" s="118" t="s">
        <v>277</v>
      </c>
      <c r="B254" s="118">
        <v>6340</v>
      </c>
    </row>
    <row r="255" spans="1:2" x14ac:dyDescent="0.25">
      <c r="A255" s="118" t="s">
        <v>278</v>
      </c>
      <c r="B255" s="118">
        <v>7900</v>
      </c>
    </row>
    <row r="256" spans="1:2" x14ac:dyDescent="0.25">
      <c r="A256" s="118" t="s">
        <v>279</v>
      </c>
      <c r="B256" s="118">
        <v>10610</v>
      </c>
    </row>
    <row r="257" spans="1:2" x14ac:dyDescent="0.25">
      <c r="A257" s="118" t="s">
        <v>280</v>
      </c>
      <c r="B257" s="118">
        <v>9370</v>
      </c>
    </row>
    <row r="258" spans="1:2" x14ac:dyDescent="0.25">
      <c r="A258" s="118" t="s">
        <v>281</v>
      </c>
      <c r="B258" s="118">
        <v>10331</v>
      </c>
    </row>
    <row r="259" spans="1:2" x14ac:dyDescent="0.25">
      <c r="A259" s="118" t="s">
        <v>282</v>
      </c>
      <c r="B259" s="118">
        <v>11270</v>
      </c>
    </row>
    <row r="260" spans="1:2" x14ac:dyDescent="0.25">
      <c r="A260" s="118" t="s">
        <v>283</v>
      </c>
    </row>
    <row r="261" spans="1:2" x14ac:dyDescent="0.25">
      <c r="A261" s="118" t="s">
        <v>284</v>
      </c>
    </row>
    <row r="262" spans="1:2" x14ac:dyDescent="0.25">
      <c r="A262" s="118" t="s">
        <v>285</v>
      </c>
      <c r="B262" s="118">
        <v>5180</v>
      </c>
    </row>
    <row r="263" spans="1:2" x14ac:dyDescent="0.25">
      <c r="A263" s="118" t="s">
        <v>578</v>
      </c>
    </row>
    <row r="264" spans="1:2" x14ac:dyDescent="0.25">
      <c r="A264" s="118" t="s">
        <v>579</v>
      </c>
    </row>
    <row r="265" spans="1:2" x14ac:dyDescent="0.25">
      <c r="A265" s="118" t="s">
        <v>580</v>
      </c>
    </row>
    <row r="266" spans="1:2" x14ac:dyDescent="0.25">
      <c r="A266" s="48" t="s">
        <v>581</v>
      </c>
    </row>
    <row r="267" spans="1:2" x14ac:dyDescent="0.25">
      <c r="A267" s="26" t="s">
        <v>293</v>
      </c>
      <c r="B267" s="118">
        <v>5999</v>
      </c>
    </row>
    <row r="268" spans="1:2" x14ac:dyDescent="0.25">
      <c r="A268" s="118" t="s">
        <v>294</v>
      </c>
      <c r="B268" s="118">
        <v>8861</v>
      </c>
    </row>
    <row r="269" spans="1:2" x14ac:dyDescent="0.25">
      <c r="A269" s="118" t="s">
        <v>295</v>
      </c>
      <c r="B269" s="118">
        <v>9921</v>
      </c>
    </row>
    <row r="270" spans="1:2" x14ac:dyDescent="0.25">
      <c r="A270" s="118" t="s">
        <v>296</v>
      </c>
      <c r="B270" s="118">
        <v>10891</v>
      </c>
    </row>
    <row r="271" spans="1:2" x14ac:dyDescent="0.25">
      <c r="A271" s="118" t="s">
        <v>297</v>
      </c>
      <c r="B271" s="118">
        <v>12821</v>
      </c>
    </row>
    <row r="272" spans="1:2" x14ac:dyDescent="0.25">
      <c r="A272" s="118" t="s">
        <v>298</v>
      </c>
      <c r="B272" s="118">
        <v>14351</v>
      </c>
    </row>
    <row r="273" spans="1:2" x14ac:dyDescent="0.25">
      <c r="A273" s="118" t="s">
        <v>299</v>
      </c>
      <c r="B273" s="118">
        <v>6411</v>
      </c>
    </row>
    <row r="274" spans="1:2" x14ac:dyDescent="0.25">
      <c r="A274" s="118" t="s">
        <v>300</v>
      </c>
      <c r="B274" s="118">
        <v>5401</v>
      </c>
    </row>
    <row r="275" spans="1:2" x14ac:dyDescent="0.25">
      <c r="A275" s="118" t="s">
        <v>301</v>
      </c>
      <c r="B275" s="118">
        <v>4381</v>
      </c>
    </row>
    <row r="276" spans="1:2" x14ac:dyDescent="0.25">
      <c r="A276" s="118" t="s">
        <v>302</v>
      </c>
      <c r="B276" s="118">
        <v>2851</v>
      </c>
    </row>
    <row r="277" spans="1:2" x14ac:dyDescent="0.25">
      <c r="A277" s="118" t="s">
        <v>303</v>
      </c>
      <c r="B277" s="118">
        <v>1731</v>
      </c>
    </row>
    <row r="278" spans="1:2" x14ac:dyDescent="0.25">
      <c r="A278" s="118" t="s">
        <v>304</v>
      </c>
      <c r="B278" s="118">
        <v>661</v>
      </c>
    </row>
    <row r="279" spans="1:2" x14ac:dyDescent="0.25">
      <c r="A279" s="118" t="s">
        <v>305</v>
      </c>
      <c r="B279" s="118">
        <v>13553</v>
      </c>
    </row>
    <row r="280" spans="1:2" x14ac:dyDescent="0.25">
      <c r="A280" s="118" t="s">
        <v>306</v>
      </c>
    </row>
    <row r="281" spans="1:2" x14ac:dyDescent="0.25">
      <c r="A281" s="118" t="s">
        <v>307</v>
      </c>
    </row>
    <row r="282" spans="1:2" x14ac:dyDescent="0.25">
      <c r="A282" s="118" t="s">
        <v>308</v>
      </c>
    </row>
    <row r="283" spans="1:2" x14ac:dyDescent="0.25">
      <c r="A283" s="118" t="s">
        <v>309</v>
      </c>
    </row>
    <row r="284" spans="1:2" x14ac:dyDescent="0.25">
      <c r="A284" s="118" t="s">
        <v>310</v>
      </c>
    </row>
    <row r="285" spans="1:2" x14ac:dyDescent="0.25">
      <c r="A285" s="118" t="s">
        <v>311</v>
      </c>
    </row>
    <row r="286" spans="1:2" x14ac:dyDescent="0.25">
      <c r="A286" s="118" t="s">
        <v>312</v>
      </c>
    </row>
    <row r="287" spans="1:2" x14ac:dyDescent="0.25">
      <c r="A287" s="118" t="s">
        <v>313</v>
      </c>
    </row>
    <row r="288" spans="1:2" x14ac:dyDescent="0.25">
      <c r="A288" s="118" t="s">
        <v>631</v>
      </c>
      <c r="B288" s="118">
        <v>6425</v>
      </c>
    </row>
    <row r="289" spans="1:2" x14ac:dyDescent="0.25">
      <c r="A289" s="118" t="s">
        <v>314</v>
      </c>
      <c r="B289" s="118">
        <v>8245</v>
      </c>
    </row>
    <row r="290" spans="1:2" x14ac:dyDescent="0.25">
      <c r="A290" s="118" t="s">
        <v>315</v>
      </c>
      <c r="B290" s="118">
        <v>5065</v>
      </c>
    </row>
    <row r="291" spans="1:2" x14ac:dyDescent="0.25">
      <c r="A291" s="118" t="s">
        <v>316</v>
      </c>
      <c r="B291" s="118">
        <v>3385</v>
      </c>
    </row>
    <row r="292" spans="1:2" x14ac:dyDescent="0.25">
      <c r="A292" s="118" t="s">
        <v>317</v>
      </c>
      <c r="B292" s="118">
        <v>2205</v>
      </c>
    </row>
    <row r="293" spans="1:2" x14ac:dyDescent="0.25">
      <c r="A293" s="118" t="s">
        <v>318</v>
      </c>
      <c r="B293" s="118">
        <v>1385</v>
      </c>
    </row>
    <row r="294" spans="1:2" x14ac:dyDescent="0.25">
      <c r="A294" s="118" t="s">
        <v>319</v>
      </c>
      <c r="B294" s="118">
        <v>275</v>
      </c>
    </row>
    <row r="295" spans="1:2" x14ac:dyDescent="0.25">
      <c r="A295" s="118" t="s">
        <v>320</v>
      </c>
      <c r="B295" s="118">
        <v>4225</v>
      </c>
    </row>
    <row r="296" spans="1:2" x14ac:dyDescent="0.25">
      <c r="A296" s="118" t="s">
        <v>321</v>
      </c>
      <c r="B296" s="118">
        <v>2905</v>
      </c>
    </row>
    <row r="297" spans="1:2" x14ac:dyDescent="0.25">
      <c r="A297" s="118" t="s">
        <v>322</v>
      </c>
      <c r="B297" s="118">
        <v>5210</v>
      </c>
    </row>
    <row r="298" spans="1:2" x14ac:dyDescent="0.25">
      <c r="A298" s="118" t="s">
        <v>323</v>
      </c>
      <c r="B298" s="118">
        <v>5430</v>
      </c>
    </row>
    <row r="299" spans="1:2" x14ac:dyDescent="0.25">
      <c r="A299" s="118" t="s">
        <v>324</v>
      </c>
      <c r="B299" s="118">
        <v>4180</v>
      </c>
    </row>
    <row r="300" spans="1:2" x14ac:dyDescent="0.25">
      <c r="A300" s="118" t="s">
        <v>325</v>
      </c>
      <c r="B300" s="118">
        <v>4980</v>
      </c>
    </row>
    <row r="301" spans="1:2" x14ac:dyDescent="0.25">
      <c r="A301" s="118" t="s">
        <v>326</v>
      </c>
      <c r="B301" s="118">
        <v>6340</v>
      </c>
    </row>
    <row r="302" spans="1:2" x14ac:dyDescent="0.25">
      <c r="A302" s="118" t="s">
        <v>327</v>
      </c>
      <c r="B302" s="118">
        <v>7900</v>
      </c>
    </row>
    <row r="303" spans="1:2" x14ac:dyDescent="0.25">
      <c r="A303" s="118" t="s">
        <v>328</v>
      </c>
      <c r="B303" s="118">
        <v>10610</v>
      </c>
    </row>
    <row r="304" spans="1:2" x14ac:dyDescent="0.25">
      <c r="A304" s="118" t="s">
        <v>329</v>
      </c>
      <c r="B304" s="118">
        <v>9370</v>
      </c>
    </row>
    <row r="305" spans="1:2" x14ac:dyDescent="0.25">
      <c r="A305" s="118" t="s">
        <v>330</v>
      </c>
      <c r="B305" s="118">
        <v>10331</v>
      </c>
    </row>
    <row r="306" spans="1:2" x14ac:dyDescent="0.25">
      <c r="A306" s="118" t="s">
        <v>331</v>
      </c>
      <c r="B306" s="118">
        <v>11270</v>
      </c>
    </row>
    <row r="307" spans="1:2" x14ac:dyDescent="0.25">
      <c r="A307" s="118" t="s">
        <v>332</v>
      </c>
      <c r="B307" s="118">
        <v>5180</v>
      </c>
    </row>
    <row r="308" spans="1:2" x14ac:dyDescent="0.25">
      <c r="A308" s="118" t="s">
        <v>333</v>
      </c>
      <c r="B308" s="118">
        <v>1040</v>
      </c>
    </row>
    <row r="309" spans="1:2" x14ac:dyDescent="0.25">
      <c r="A309" s="118" t="s">
        <v>334</v>
      </c>
      <c r="B309" s="118">
        <v>5999</v>
      </c>
    </row>
    <row r="310" spans="1:2" x14ac:dyDescent="0.25">
      <c r="A310" s="118" t="s">
        <v>335</v>
      </c>
      <c r="B310" s="118">
        <v>8861</v>
      </c>
    </row>
    <row r="311" spans="1:2" x14ac:dyDescent="0.25">
      <c r="A311" s="118" t="s">
        <v>336</v>
      </c>
      <c r="B311" s="118">
        <v>9921</v>
      </c>
    </row>
    <row r="312" spans="1:2" x14ac:dyDescent="0.25">
      <c r="A312" s="118" t="s">
        <v>337</v>
      </c>
      <c r="B312" s="118">
        <v>10891</v>
      </c>
    </row>
    <row r="313" spans="1:2" x14ac:dyDescent="0.25">
      <c r="A313" s="118" t="s">
        <v>338</v>
      </c>
      <c r="B313" s="118">
        <v>12821</v>
      </c>
    </row>
    <row r="314" spans="1:2" x14ac:dyDescent="0.25">
      <c r="A314" s="118" t="s">
        <v>339</v>
      </c>
      <c r="B314" s="118">
        <v>14351</v>
      </c>
    </row>
    <row r="315" spans="1:2" x14ac:dyDescent="0.25">
      <c r="A315" s="118" t="s">
        <v>340</v>
      </c>
      <c r="B315" s="118">
        <v>6411</v>
      </c>
    </row>
    <row r="316" spans="1:2" x14ac:dyDescent="0.25">
      <c r="A316" s="118" t="s">
        <v>341</v>
      </c>
      <c r="B316" s="118">
        <v>5401</v>
      </c>
    </row>
    <row r="317" spans="1:2" x14ac:dyDescent="0.25">
      <c r="A317" s="118" t="s">
        <v>342</v>
      </c>
      <c r="B317" s="118">
        <v>4381</v>
      </c>
    </row>
    <row r="318" spans="1:2" x14ac:dyDescent="0.25">
      <c r="A318" s="118" t="s">
        <v>343</v>
      </c>
      <c r="B318" s="118">
        <v>2851</v>
      </c>
    </row>
    <row r="319" spans="1:2" x14ac:dyDescent="0.25">
      <c r="A319" s="118" t="s">
        <v>344</v>
      </c>
      <c r="B319" s="118">
        <v>1731</v>
      </c>
    </row>
    <row r="320" spans="1:2" x14ac:dyDescent="0.25">
      <c r="A320" s="118" t="s">
        <v>345</v>
      </c>
      <c r="B320" s="118">
        <v>661</v>
      </c>
    </row>
    <row r="321" spans="1:2" x14ac:dyDescent="0.25">
      <c r="A321" s="118" t="s">
        <v>346</v>
      </c>
      <c r="B321" s="118">
        <v>13553</v>
      </c>
    </row>
    <row r="322" spans="1:2" x14ac:dyDescent="0.25">
      <c r="A322" s="118" t="s">
        <v>347</v>
      </c>
      <c r="B322" s="118">
        <v>6865</v>
      </c>
    </row>
    <row r="323" spans="1:2" x14ac:dyDescent="0.25">
      <c r="A323" s="118" t="s">
        <v>348</v>
      </c>
      <c r="B323" s="118">
        <v>6425</v>
      </c>
    </row>
    <row r="324" spans="1:2" x14ac:dyDescent="0.25">
      <c r="A324" s="118" t="s">
        <v>349</v>
      </c>
      <c r="B324" s="118">
        <v>8245</v>
      </c>
    </row>
    <row r="325" spans="1:2" x14ac:dyDescent="0.25">
      <c r="A325" s="118" t="s">
        <v>350</v>
      </c>
      <c r="B325" s="118">
        <v>5065</v>
      </c>
    </row>
    <row r="326" spans="1:2" x14ac:dyDescent="0.25">
      <c r="A326" s="118" t="s">
        <v>351</v>
      </c>
      <c r="B326" s="118">
        <v>3385</v>
      </c>
    </row>
    <row r="327" spans="1:2" x14ac:dyDescent="0.25">
      <c r="A327" s="118" t="s">
        <v>352</v>
      </c>
      <c r="B327" s="118">
        <v>2205</v>
      </c>
    </row>
    <row r="328" spans="1:2" x14ac:dyDescent="0.25">
      <c r="A328" s="118" t="s">
        <v>353</v>
      </c>
      <c r="B328" s="118">
        <v>1385</v>
      </c>
    </row>
    <row r="329" spans="1:2" x14ac:dyDescent="0.25">
      <c r="A329" s="118" t="s">
        <v>354</v>
      </c>
      <c r="B329" s="118">
        <v>275</v>
      </c>
    </row>
    <row r="330" spans="1:2" x14ac:dyDescent="0.25">
      <c r="A330" s="118" t="s">
        <v>355</v>
      </c>
      <c r="B330" s="118">
        <v>4225</v>
      </c>
    </row>
    <row r="331" spans="1:2" x14ac:dyDescent="0.25">
      <c r="A331" s="118" t="s">
        <v>356</v>
      </c>
      <c r="B331" s="118">
        <v>2905</v>
      </c>
    </row>
    <row r="332" spans="1:2" x14ac:dyDescent="0.25">
      <c r="A332" s="118" t="s">
        <v>357</v>
      </c>
      <c r="B332" s="118">
        <v>5210</v>
      </c>
    </row>
    <row r="333" spans="1:2" x14ac:dyDescent="0.25">
      <c r="A333" s="118" t="s">
        <v>358</v>
      </c>
      <c r="B333" s="118">
        <v>5430</v>
      </c>
    </row>
    <row r="334" spans="1:2" x14ac:dyDescent="0.25">
      <c r="A334" s="118" t="s">
        <v>359</v>
      </c>
      <c r="B334" s="118">
        <v>4180</v>
      </c>
    </row>
    <row r="335" spans="1:2" x14ac:dyDescent="0.25">
      <c r="A335" s="118" t="s">
        <v>360</v>
      </c>
      <c r="B335" s="118">
        <v>4980</v>
      </c>
    </row>
    <row r="336" spans="1:2" x14ac:dyDescent="0.25">
      <c r="A336" s="118" t="s">
        <v>361</v>
      </c>
      <c r="B336" s="118">
        <v>6340</v>
      </c>
    </row>
    <row r="337" spans="1:2" x14ac:dyDescent="0.25">
      <c r="A337" s="118" t="s">
        <v>362</v>
      </c>
      <c r="B337" s="118">
        <v>7900</v>
      </c>
    </row>
    <row r="338" spans="1:2" x14ac:dyDescent="0.25">
      <c r="A338" s="118" t="s">
        <v>363</v>
      </c>
      <c r="B338" s="118">
        <v>10610</v>
      </c>
    </row>
    <row r="339" spans="1:2" x14ac:dyDescent="0.25">
      <c r="A339" s="118" t="s">
        <v>364</v>
      </c>
      <c r="B339" s="118">
        <v>9370</v>
      </c>
    </row>
    <row r="340" spans="1:2" x14ac:dyDescent="0.25">
      <c r="A340" s="118" t="s">
        <v>365</v>
      </c>
      <c r="B340" s="118">
        <v>10331</v>
      </c>
    </row>
    <row r="341" spans="1:2" x14ac:dyDescent="0.25">
      <c r="A341" s="118" t="s">
        <v>366</v>
      </c>
      <c r="B341" s="118">
        <v>11270</v>
      </c>
    </row>
    <row r="342" spans="1:2" x14ac:dyDescent="0.25">
      <c r="A342" s="118" t="s">
        <v>367</v>
      </c>
      <c r="B342" s="118">
        <v>5180</v>
      </c>
    </row>
    <row r="343" spans="1:2" x14ac:dyDescent="0.25">
      <c r="A343" s="118" t="s">
        <v>368</v>
      </c>
      <c r="B343" s="118">
        <v>1040</v>
      </c>
    </row>
    <row r="344" spans="1:2" x14ac:dyDescent="0.25">
      <c r="A344" s="37" t="s">
        <v>369</v>
      </c>
      <c r="B344" s="118">
        <v>6425</v>
      </c>
    </row>
    <row r="345" spans="1:2" x14ac:dyDescent="0.25">
      <c r="A345" s="37" t="s">
        <v>370</v>
      </c>
      <c r="B345" s="118">
        <v>8245</v>
      </c>
    </row>
    <row r="346" spans="1:2" x14ac:dyDescent="0.25">
      <c r="A346" s="118" t="s">
        <v>371</v>
      </c>
      <c r="B346" s="118">
        <v>5065</v>
      </c>
    </row>
    <row r="347" spans="1:2" x14ac:dyDescent="0.25">
      <c r="A347" s="118" t="s">
        <v>372</v>
      </c>
      <c r="B347" s="118">
        <v>3385</v>
      </c>
    </row>
    <row r="348" spans="1:2" x14ac:dyDescent="0.25">
      <c r="A348" s="118" t="s">
        <v>373</v>
      </c>
      <c r="B348" s="118">
        <v>2205</v>
      </c>
    </row>
    <row r="349" spans="1:2" x14ac:dyDescent="0.25">
      <c r="A349" s="118" t="s">
        <v>374</v>
      </c>
      <c r="B349" s="118">
        <v>1385</v>
      </c>
    </row>
    <row r="350" spans="1:2" x14ac:dyDescent="0.25">
      <c r="A350" s="118" t="s">
        <v>375</v>
      </c>
      <c r="B350" s="118">
        <v>275</v>
      </c>
    </row>
    <row r="351" spans="1:2" x14ac:dyDescent="0.25">
      <c r="A351" s="118" t="s">
        <v>376</v>
      </c>
      <c r="B351" s="118">
        <v>4225</v>
      </c>
    </row>
    <row r="352" spans="1:2" x14ac:dyDescent="0.25">
      <c r="A352" s="118" t="s">
        <v>377</v>
      </c>
      <c r="B352" s="118">
        <v>2905</v>
      </c>
    </row>
    <row r="353" spans="1:2" x14ac:dyDescent="0.25">
      <c r="A353" s="118" t="s">
        <v>378</v>
      </c>
      <c r="B353" s="118">
        <v>5999</v>
      </c>
    </row>
    <row r="354" spans="1:2" x14ac:dyDescent="0.25">
      <c r="A354" s="118" t="s">
        <v>379</v>
      </c>
      <c r="B354" s="118">
        <v>8861</v>
      </c>
    </row>
    <row r="355" spans="1:2" x14ac:dyDescent="0.25">
      <c r="A355" s="118" t="s">
        <v>380</v>
      </c>
      <c r="B355" s="118">
        <v>9921</v>
      </c>
    </row>
    <row r="356" spans="1:2" x14ac:dyDescent="0.25">
      <c r="A356" s="118" t="s">
        <v>381</v>
      </c>
      <c r="B356" s="118">
        <v>10891</v>
      </c>
    </row>
    <row r="357" spans="1:2" x14ac:dyDescent="0.25">
      <c r="A357" s="118" t="s">
        <v>382</v>
      </c>
      <c r="B357" s="118">
        <v>12821</v>
      </c>
    </row>
    <row r="358" spans="1:2" x14ac:dyDescent="0.25">
      <c r="A358" s="118" t="s">
        <v>383</v>
      </c>
      <c r="B358" s="118">
        <v>14351</v>
      </c>
    </row>
    <row r="359" spans="1:2" x14ac:dyDescent="0.25">
      <c r="A359" s="118" t="s">
        <v>384</v>
      </c>
      <c r="B359" s="118">
        <v>6411</v>
      </c>
    </row>
    <row r="360" spans="1:2" x14ac:dyDescent="0.25">
      <c r="A360" s="118" t="s">
        <v>385</v>
      </c>
      <c r="B360" s="118">
        <v>5401</v>
      </c>
    </row>
    <row r="361" spans="1:2" x14ac:dyDescent="0.25">
      <c r="A361" s="118" t="s">
        <v>386</v>
      </c>
      <c r="B361" s="118">
        <v>4381</v>
      </c>
    </row>
    <row r="362" spans="1:2" x14ac:dyDescent="0.25">
      <c r="A362" s="118" t="s">
        <v>387</v>
      </c>
      <c r="B362" s="118">
        <v>2851</v>
      </c>
    </row>
    <row r="363" spans="1:2" x14ac:dyDescent="0.25">
      <c r="A363" s="118" t="s">
        <v>388</v>
      </c>
      <c r="B363" s="118">
        <v>1731</v>
      </c>
    </row>
    <row r="364" spans="1:2" x14ac:dyDescent="0.25">
      <c r="A364" s="118" t="s">
        <v>389</v>
      </c>
      <c r="B364" s="118">
        <v>661</v>
      </c>
    </row>
    <row r="365" spans="1:2" x14ac:dyDescent="0.25">
      <c r="A365" s="118" t="s">
        <v>390</v>
      </c>
      <c r="B365" s="118">
        <v>13553</v>
      </c>
    </row>
    <row r="366" spans="1:2" x14ac:dyDescent="0.25">
      <c r="A366" s="118" t="s">
        <v>391</v>
      </c>
      <c r="B366" s="118">
        <v>5210</v>
      </c>
    </row>
    <row r="367" spans="1:2" x14ac:dyDescent="0.25">
      <c r="A367" s="118" t="s">
        <v>392</v>
      </c>
      <c r="B367" s="118">
        <v>5430</v>
      </c>
    </row>
    <row r="368" spans="1:2" x14ac:dyDescent="0.25">
      <c r="A368" s="118" t="s">
        <v>393</v>
      </c>
      <c r="B368" s="118">
        <v>4180</v>
      </c>
    </row>
    <row r="369" spans="1:2" x14ac:dyDescent="0.25">
      <c r="A369" s="118" t="s">
        <v>394</v>
      </c>
      <c r="B369" s="118">
        <v>4980</v>
      </c>
    </row>
    <row r="370" spans="1:2" x14ac:dyDescent="0.25">
      <c r="A370" s="118" t="s">
        <v>395</v>
      </c>
      <c r="B370" s="118">
        <v>6340</v>
      </c>
    </row>
    <row r="371" spans="1:2" x14ac:dyDescent="0.25">
      <c r="A371" s="118" t="s">
        <v>396</v>
      </c>
      <c r="B371" s="118">
        <v>7900</v>
      </c>
    </row>
    <row r="372" spans="1:2" x14ac:dyDescent="0.25">
      <c r="A372" s="118" t="s">
        <v>397</v>
      </c>
      <c r="B372" s="118">
        <v>10610</v>
      </c>
    </row>
    <row r="373" spans="1:2" x14ac:dyDescent="0.25">
      <c r="A373" s="118" t="s">
        <v>398</v>
      </c>
      <c r="B373" s="118">
        <v>9370</v>
      </c>
    </row>
    <row r="374" spans="1:2" x14ac:dyDescent="0.25">
      <c r="A374" s="118" t="s">
        <v>399</v>
      </c>
      <c r="B374" s="118">
        <v>10331</v>
      </c>
    </row>
    <row r="375" spans="1:2" x14ac:dyDescent="0.25">
      <c r="A375" s="118" t="s">
        <v>400</v>
      </c>
      <c r="B375" s="118">
        <v>11270</v>
      </c>
    </row>
    <row r="376" spans="1:2" x14ac:dyDescent="0.25">
      <c r="A376" s="118" t="s">
        <v>401</v>
      </c>
      <c r="B376" s="118">
        <v>5180</v>
      </c>
    </row>
    <row r="377" spans="1:2" x14ac:dyDescent="0.25">
      <c r="A377" s="118" t="s">
        <v>402</v>
      </c>
      <c r="B377" s="118">
        <v>1040</v>
      </c>
    </row>
    <row r="378" spans="1:2" x14ac:dyDescent="0.25">
      <c r="A378" s="118" t="s">
        <v>403</v>
      </c>
      <c r="B378" s="118">
        <v>6865</v>
      </c>
    </row>
    <row r="379" spans="1:2" x14ac:dyDescent="0.25">
      <c r="A379" s="118" t="s">
        <v>404</v>
      </c>
      <c r="B379" s="118">
        <v>6425</v>
      </c>
    </row>
    <row r="380" spans="1:2" x14ac:dyDescent="0.25">
      <c r="A380" s="118" t="s">
        <v>405</v>
      </c>
      <c r="B380" s="118">
        <v>8245</v>
      </c>
    </row>
    <row r="381" spans="1:2" x14ac:dyDescent="0.25">
      <c r="A381" s="118" t="s">
        <v>406</v>
      </c>
      <c r="B381" s="118">
        <v>5065</v>
      </c>
    </row>
    <row r="382" spans="1:2" x14ac:dyDescent="0.25">
      <c r="A382" s="118" t="s">
        <v>407</v>
      </c>
      <c r="B382" s="118">
        <v>3385</v>
      </c>
    </row>
    <row r="383" spans="1:2" x14ac:dyDescent="0.25">
      <c r="A383" s="118" t="s">
        <v>408</v>
      </c>
      <c r="B383" s="118">
        <v>2205</v>
      </c>
    </row>
    <row r="384" spans="1:2" x14ac:dyDescent="0.25">
      <c r="A384" s="118" t="s">
        <v>409</v>
      </c>
      <c r="B384" s="118">
        <v>1385</v>
      </c>
    </row>
    <row r="385" spans="1:2" x14ac:dyDescent="0.25">
      <c r="A385" s="118" t="s">
        <v>410</v>
      </c>
      <c r="B385" s="118">
        <v>275</v>
      </c>
    </row>
    <row r="386" spans="1:2" x14ac:dyDescent="0.25">
      <c r="A386" s="118" t="s">
        <v>411</v>
      </c>
      <c r="B386" s="118">
        <v>4225</v>
      </c>
    </row>
    <row r="387" spans="1:2" x14ac:dyDescent="0.25">
      <c r="A387" s="118" t="s">
        <v>412</v>
      </c>
      <c r="B387" s="118">
        <v>2905</v>
      </c>
    </row>
    <row r="388" spans="1:2" x14ac:dyDescent="0.25">
      <c r="A388" s="118" t="s">
        <v>413</v>
      </c>
    </row>
    <row r="389" spans="1:2" x14ac:dyDescent="0.25">
      <c r="A389" s="118" t="s">
        <v>414</v>
      </c>
    </row>
    <row r="390" spans="1:2" x14ac:dyDescent="0.25">
      <c r="A390" s="118" t="s">
        <v>415</v>
      </c>
    </row>
    <row r="391" spans="1:2" x14ac:dyDescent="0.25">
      <c r="A391" s="118" t="s">
        <v>416</v>
      </c>
    </row>
    <row r="392" spans="1:2" x14ac:dyDescent="0.25">
      <c r="A392" s="118" t="s">
        <v>417</v>
      </c>
      <c r="B392" s="118">
        <v>6425</v>
      </c>
    </row>
    <row r="393" spans="1:2" x14ac:dyDescent="0.25">
      <c r="A393" s="118" t="s">
        <v>418</v>
      </c>
      <c r="B393" s="118">
        <v>8245</v>
      </c>
    </row>
    <row r="394" spans="1:2" x14ac:dyDescent="0.25">
      <c r="A394" s="23" t="s">
        <v>419</v>
      </c>
      <c r="B394" s="118">
        <v>5065</v>
      </c>
    </row>
    <row r="395" spans="1:2" x14ac:dyDescent="0.25">
      <c r="A395" s="23" t="s">
        <v>420</v>
      </c>
      <c r="B395" s="118">
        <v>3385</v>
      </c>
    </row>
    <row r="396" spans="1:2" x14ac:dyDescent="0.25">
      <c r="A396" s="118" t="s">
        <v>421</v>
      </c>
      <c r="B396" s="118">
        <v>2205</v>
      </c>
    </row>
    <row r="397" spans="1:2" x14ac:dyDescent="0.25">
      <c r="A397" s="118" t="s">
        <v>422</v>
      </c>
      <c r="B397" s="118">
        <v>1385</v>
      </c>
    </row>
    <row r="398" spans="1:2" x14ac:dyDescent="0.25">
      <c r="A398" s="118" t="s">
        <v>423</v>
      </c>
      <c r="B398" s="118">
        <v>275</v>
      </c>
    </row>
    <row r="399" spans="1:2" x14ac:dyDescent="0.25">
      <c r="A399" s="118" t="s">
        <v>424</v>
      </c>
      <c r="B399" s="118">
        <v>4225</v>
      </c>
    </row>
    <row r="400" spans="1:2" x14ac:dyDescent="0.25">
      <c r="A400" s="118" t="s">
        <v>425</v>
      </c>
      <c r="B400" s="118">
        <v>2905</v>
      </c>
    </row>
    <row r="401" spans="1:2" x14ac:dyDescent="0.25">
      <c r="A401" s="118" t="s">
        <v>426</v>
      </c>
      <c r="B401" s="118">
        <v>5999</v>
      </c>
    </row>
    <row r="402" spans="1:2" x14ac:dyDescent="0.25">
      <c r="A402" s="118" t="s">
        <v>427</v>
      </c>
      <c r="B402" s="118">
        <v>8861</v>
      </c>
    </row>
    <row r="403" spans="1:2" x14ac:dyDescent="0.25">
      <c r="A403" s="118" t="s">
        <v>428</v>
      </c>
      <c r="B403" s="118">
        <v>9921</v>
      </c>
    </row>
    <row r="404" spans="1:2" x14ac:dyDescent="0.25">
      <c r="A404" s="118" t="s">
        <v>429</v>
      </c>
      <c r="B404" s="118">
        <v>10891</v>
      </c>
    </row>
    <row r="405" spans="1:2" x14ac:dyDescent="0.25">
      <c r="A405" s="118" t="s">
        <v>430</v>
      </c>
      <c r="B405" s="118">
        <v>12821</v>
      </c>
    </row>
    <row r="406" spans="1:2" x14ac:dyDescent="0.25">
      <c r="A406" s="118" t="s">
        <v>431</v>
      </c>
      <c r="B406" s="118">
        <v>14351</v>
      </c>
    </row>
    <row r="407" spans="1:2" x14ac:dyDescent="0.25">
      <c r="A407" s="118" t="s">
        <v>432</v>
      </c>
      <c r="B407" s="118">
        <v>6411</v>
      </c>
    </row>
    <row r="408" spans="1:2" x14ac:dyDescent="0.25">
      <c r="A408" s="118" t="s">
        <v>433</v>
      </c>
      <c r="B408" s="118">
        <v>5401</v>
      </c>
    </row>
    <row r="409" spans="1:2" x14ac:dyDescent="0.25">
      <c r="A409" s="118" t="s">
        <v>434</v>
      </c>
      <c r="B409" s="118">
        <v>4381</v>
      </c>
    </row>
    <row r="410" spans="1:2" x14ac:dyDescent="0.25">
      <c r="A410" s="118" t="s">
        <v>435</v>
      </c>
      <c r="B410" s="118">
        <v>2851</v>
      </c>
    </row>
    <row r="411" spans="1:2" x14ac:dyDescent="0.25">
      <c r="A411" s="118" t="s">
        <v>436</v>
      </c>
      <c r="B411" s="118">
        <v>1731</v>
      </c>
    </row>
    <row r="412" spans="1:2" x14ac:dyDescent="0.25">
      <c r="A412" s="118" t="s">
        <v>437</v>
      </c>
      <c r="B412" s="118">
        <v>661</v>
      </c>
    </row>
    <row r="413" spans="1:2" x14ac:dyDescent="0.25">
      <c r="A413" s="118" t="s">
        <v>438</v>
      </c>
      <c r="B413" s="118">
        <v>13553</v>
      </c>
    </row>
    <row r="414" spans="1:2" x14ac:dyDescent="0.25">
      <c r="A414" s="118" t="s">
        <v>439</v>
      </c>
      <c r="B414" s="118">
        <v>6865</v>
      </c>
    </row>
    <row r="415" spans="1:2" x14ac:dyDescent="0.25">
      <c r="A415" s="118" t="s">
        <v>440</v>
      </c>
      <c r="B415" s="118">
        <v>6425</v>
      </c>
    </row>
    <row r="416" spans="1:2" x14ac:dyDescent="0.25">
      <c r="A416" s="118" t="s">
        <v>441</v>
      </c>
      <c r="B416" s="118">
        <v>8245</v>
      </c>
    </row>
    <row r="417" spans="1:2" x14ac:dyDescent="0.25">
      <c r="A417" s="118" t="s">
        <v>442</v>
      </c>
      <c r="B417" s="118">
        <v>5065</v>
      </c>
    </row>
    <row r="418" spans="1:2" x14ac:dyDescent="0.25">
      <c r="A418" s="118" t="s">
        <v>443</v>
      </c>
      <c r="B418" s="118">
        <v>3385</v>
      </c>
    </row>
    <row r="419" spans="1:2" x14ac:dyDescent="0.25">
      <c r="A419" s="118" t="s">
        <v>444</v>
      </c>
      <c r="B419" s="118">
        <v>2205</v>
      </c>
    </row>
    <row r="420" spans="1:2" x14ac:dyDescent="0.25">
      <c r="A420" s="118" t="s">
        <v>445</v>
      </c>
      <c r="B420" s="118">
        <v>1385</v>
      </c>
    </row>
    <row r="421" spans="1:2" x14ac:dyDescent="0.25">
      <c r="A421" s="118" t="s">
        <v>446</v>
      </c>
      <c r="B421" s="118">
        <v>275</v>
      </c>
    </row>
    <row r="422" spans="1:2" x14ac:dyDescent="0.25">
      <c r="A422" s="118" t="s">
        <v>447</v>
      </c>
      <c r="B422" s="118">
        <v>4225</v>
      </c>
    </row>
    <row r="423" spans="1:2" x14ac:dyDescent="0.25">
      <c r="A423" s="118" t="s">
        <v>448</v>
      </c>
      <c r="B423" s="118">
        <v>2905</v>
      </c>
    </row>
    <row r="424" spans="1:2" x14ac:dyDescent="0.25">
      <c r="A424" s="118" t="s">
        <v>449</v>
      </c>
      <c r="B424" s="118">
        <v>5210</v>
      </c>
    </row>
    <row r="425" spans="1:2" x14ac:dyDescent="0.25">
      <c r="A425" s="118" t="s">
        <v>450</v>
      </c>
      <c r="B425" s="118">
        <v>5430</v>
      </c>
    </row>
    <row r="426" spans="1:2" x14ac:dyDescent="0.25">
      <c r="A426" s="118" t="s">
        <v>451</v>
      </c>
      <c r="B426" s="118">
        <v>4180</v>
      </c>
    </row>
    <row r="427" spans="1:2" x14ac:dyDescent="0.25">
      <c r="A427" s="118" t="s">
        <v>452</v>
      </c>
      <c r="B427" s="118">
        <v>4980</v>
      </c>
    </row>
    <row r="428" spans="1:2" x14ac:dyDescent="0.25">
      <c r="A428" s="118" t="s">
        <v>453</v>
      </c>
      <c r="B428" s="118">
        <v>6340</v>
      </c>
    </row>
    <row r="429" spans="1:2" x14ac:dyDescent="0.25">
      <c r="A429" s="118" t="s">
        <v>454</v>
      </c>
      <c r="B429" s="118">
        <v>7900</v>
      </c>
    </row>
    <row r="430" spans="1:2" x14ac:dyDescent="0.25">
      <c r="A430" s="118" t="s">
        <v>455</v>
      </c>
      <c r="B430" s="118">
        <v>10610</v>
      </c>
    </row>
    <row r="431" spans="1:2" x14ac:dyDescent="0.25">
      <c r="A431" s="118" t="s">
        <v>456</v>
      </c>
      <c r="B431" s="118">
        <v>9370</v>
      </c>
    </row>
    <row r="432" spans="1:2" x14ac:dyDescent="0.25">
      <c r="A432" s="118" t="s">
        <v>457</v>
      </c>
      <c r="B432" s="118">
        <v>10331</v>
      </c>
    </row>
    <row r="433" spans="1:2" x14ac:dyDescent="0.25">
      <c r="A433" s="118" t="s">
        <v>452</v>
      </c>
      <c r="B433" s="118">
        <v>4980</v>
      </c>
    </row>
    <row r="434" spans="1:2" x14ac:dyDescent="0.25">
      <c r="A434" s="118" t="s">
        <v>458</v>
      </c>
      <c r="B434" s="118">
        <v>11270</v>
      </c>
    </row>
    <row r="435" spans="1:2" x14ac:dyDescent="0.25">
      <c r="A435" s="118" t="s">
        <v>459</v>
      </c>
      <c r="B435" s="118">
        <v>5180</v>
      </c>
    </row>
    <row r="436" spans="1:2" x14ac:dyDescent="0.25">
      <c r="A436" s="118" t="s">
        <v>460</v>
      </c>
      <c r="B436" s="118">
        <v>1040</v>
      </c>
    </row>
    <row r="437" spans="1:2" x14ac:dyDescent="0.25">
      <c r="A437" s="118" t="s">
        <v>606</v>
      </c>
      <c r="B437" s="118">
        <v>6865</v>
      </c>
    </row>
    <row r="438" spans="1:2" x14ac:dyDescent="0.25">
      <c r="A438" s="118" t="s">
        <v>607</v>
      </c>
      <c r="B438" s="118">
        <v>8165</v>
      </c>
    </row>
    <row r="439" spans="1:2" x14ac:dyDescent="0.25">
      <c r="A439" s="118" t="s">
        <v>608</v>
      </c>
      <c r="B439" s="118">
        <v>6425</v>
      </c>
    </row>
    <row r="440" spans="1:2" x14ac:dyDescent="0.25">
      <c r="A440" s="118" t="s">
        <v>609</v>
      </c>
      <c r="B440" s="118">
        <v>8245</v>
      </c>
    </row>
    <row r="441" spans="1:2" x14ac:dyDescent="0.25">
      <c r="A441" s="118" t="s">
        <v>610</v>
      </c>
      <c r="B441" s="118">
        <v>5065</v>
      </c>
    </row>
    <row r="442" spans="1:2" x14ac:dyDescent="0.25">
      <c r="A442" s="118" t="s">
        <v>611</v>
      </c>
      <c r="B442" s="118">
        <v>3385</v>
      </c>
    </row>
    <row r="443" spans="1:2" x14ac:dyDescent="0.25">
      <c r="A443" s="118" t="s">
        <v>612</v>
      </c>
      <c r="B443" s="118">
        <v>2205</v>
      </c>
    </row>
    <row r="444" spans="1:2" x14ac:dyDescent="0.25">
      <c r="A444" s="118" t="s">
        <v>613</v>
      </c>
      <c r="B444" s="118">
        <v>1385</v>
      </c>
    </row>
    <row r="445" spans="1:2" x14ac:dyDescent="0.25">
      <c r="A445" s="118" t="s">
        <v>614</v>
      </c>
      <c r="B445" s="118">
        <v>275</v>
      </c>
    </row>
    <row r="446" spans="1:2" x14ac:dyDescent="0.25">
      <c r="A446" s="118" t="s">
        <v>615</v>
      </c>
      <c r="B446" s="118">
        <v>4225</v>
      </c>
    </row>
    <row r="447" spans="1:2" x14ac:dyDescent="0.25">
      <c r="A447" s="118" t="s">
        <v>616</v>
      </c>
      <c r="B447" s="118">
        <v>2905</v>
      </c>
    </row>
    <row r="448" spans="1:2" x14ac:dyDescent="0.25">
      <c r="A448" s="118" t="s">
        <v>593</v>
      </c>
      <c r="B448" s="118">
        <v>5999</v>
      </c>
    </row>
    <row r="449" spans="1:2" x14ac:dyDescent="0.25">
      <c r="A449" s="118" t="s">
        <v>594</v>
      </c>
      <c r="B449" s="118">
        <v>8861</v>
      </c>
    </row>
    <row r="450" spans="1:2" x14ac:dyDescent="0.25">
      <c r="A450" s="118" t="s">
        <v>595</v>
      </c>
      <c r="B450" s="118">
        <v>9921</v>
      </c>
    </row>
    <row r="451" spans="1:2" x14ac:dyDescent="0.25">
      <c r="A451" s="118" t="s">
        <v>596</v>
      </c>
      <c r="B451" s="118">
        <v>10891</v>
      </c>
    </row>
    <row r="452" spans="1:2" x14ac:dyDescent="0.25">
      <c r="A452" s="118" t="s">
        <v>597</v>
      </c>
      <c r="B452" s="118">
        <v>12821</v>
      </c>
    </row>
    <row r="453" spans="1:2" x14ac:dyDescent="0.25">
      <c r="A453" s="118" t="s">
        <v>598</v>
      </c>
      <c r="B453" s="118">
        <v>14351</v>
      </c>
    </row>
    <row r="454" spans="1:2" x14ac:dyDescent="0.25">
      <c r="A454" s="118" t="s">
        <v>599</v>
      </c>
      <c r="B454" s="118">
        <v>6411</v>
      </c>
    </row>
    <row r="455" spans="1:2" x14ac:dyDescent="0.25">
      <c r="A455" s="118" t="s">
        <v>600</v>
      </c>
      <c r="B455" s="118">
        <v>5401</v>
      </c>
    </row>
    <row r="456" spans="1:2" x14ac:dyDescent="0.25">
      <c r="A456" s="118" t="s">
        <v>601</v>
      </c>
      <c r="B456" s="118">
        <v>4381</v>
      </c>
    </row>
    <row r="457" spans="1:2" x14ac:dyDescent="0.25">
      <c r="A457" s="118" t="s">
        <v>602</v>
      </c>
      <c r="B457" s="118">
        <v>2851</v>
      </c>
    </row>
    <row r="458" spans="1:2" x14ac:dyDescent="0.25">
      <c r="A458" s="118" t="s">
        <v>603</v>
      </c>
      <c r="B458" s="118">
        <v>1731</v>
      </c>
    </row>
    <row r="459" spans="1:2" x14ac:dyDescent="0.25">
      <c r="A459" s="118" t="s">
        <v>604</v>
      </c>
      <c r="B459" s="118">
        <v>661</v>
      </c>
    </row>
    <row r="460" spans="1:2" x14ac:dyDescent="0.25">
      <c r="A460" s="118" t="s">
        <v>605</v>
      </c>
      <c r="B460" s="118">
        <v>13553</v>
      </c>
    </row>
    <row r="461" spans="1:2" x14ac:dyDescent="0.25">
      <c r="A461" s="118" t="s">
        <v>617</v>
      </c>
      <c r="B461" s="118">
        <v>5210</v>
      </c>
    </row>
    <row r="462" spans="1:2" x14ac:dyDescent="0.25">
      <c r="A462" s="118" t="s">
        <v>618</v>
      </c>
      <c r="B462" s="118">
        <v>5430</v>
      </c>
    </row>
    <row r="463" spans="1:2" x14ac:dyDescent="0.25">
      <c r="A463" s="118" t="s">
        <v>619</v>
      </c>
      <c r="B463" s="118">
        <v>4180</v>
      </c>
    </row>
    <row r="464" spans="1:2" x14ac:dyDescent="0.25">
      <c r="A464" s="118" t="s">
        <v>620</v>
      </c>
      <c r="B464" s="118">
        <v>4980</v>
      </c>
    </row>
    <row r="465" spans="1:2" x14ac:dyDescent="0.25">
      <c r="A465" s="118" t="s">
        <v>621</v>
      </c>
      <c r="B465" s="118">
        <v>6340</v>
      </c>
    </row>
    <row r="466" spans="1:2" x14ac:dyDescent="0.25">
      <c r="A466" s="118" t="s">
        <v>622</v>
      </c>
      <c r="B466" s="118">
        <v>7900</v>
      </c>
    </row>
    <row r="467" spans="1:2" x14ac:dyDescent="0.25">
      <c r="A467" s="118" t="s">
        <v>623</v>
      </c>
      <c r="B467" s="118">
        <v>10610</v>
      </c>
    </row>
    <row r="468" spans="1:2" x14ac:dyDescent="0.25">
      <c r="A468" s="118" t="s">
        <v>624</v>
      </c>
      <c r="B468" s="118">
        <v>9370</v>
      </c>
    </row>
    <row r="469" spans="1:2" x14ac:dyDescent="0.25">
      <c r="A469" s="118" t="s">
        <v>625</v>
      </c>
      <c r="B469" s="118">
        <v>10331</v>
      </c>
    </row>
    <row r="470" spans="1:2" x14ac:dyDescent="0.25">
      <c r="A470" s="118" t="s">
        <v>626</v>
      </c>
      <c r="B470" s="118">
        <v>11270</v>
      </c>
    </row>
    <row r="471" spans="1:2" x14ac:dyDescent="0.25">
      <c r="A471" s="118" t="s">
        <v>627</v>
      </c>
      <c r="B471" s="118">
        <v>5180</v>
      </c>
    </row>
    <row r="472" spans="1:2" x14ac:dyDescent="0.25">
      <c r="A472" s="118" t="s">
        <v>628</v>
      </c>
      <c r="B472" s="118">
        <v>1040</v>
      </c>
    </row>
    <row r="473" spans="1:2" x14ac:dyDescent="0.25">
      <c r="A473" s="118" t="s">
        <v>632</v>
      </c>
      <c r="B473" s="118">
        <v>6865</v>
      </c>
    </row>
    <row r="474" spans="1:2" x14ac:dyDescent="0.25">
      <c r="A474" s="118" t="s">
        <v>633</v>
      </c>
      <c r="B474" s="118">
        <v>6425</v>
      </c>
    </row>
    <row r="475" spans="1:2" x14ac:dyDescent="0.25">
      <c r="A475" s="118" t="s">
        <v>634</v>
      </c>
      <c r="B475" s="118">
        <v>8245</v>
      </c>
    </row>
    <row r="476" spans="1:2" x14ac:dyDescent="0.25">
      <c r="A476" s="118" t="s">
        <v>635</v>
      </c>
      <c r="B476" s="118">
        <v>5065</v>
      </c>
    </row>
    <row r="477" spans="1:2" x14ac:dyDescent="0.25">
      <c r="A477" s="118" t="s">
        <v>636</v>
      </c>
      <c r="B477" s="118">
        <v>3385</v>
      </c>
    </row>
    <row r="478" spans="1:2" x14ac:dyDescent="0.25">
      <c r="A478" s="118" t="s">
        <v>637</v>
      </c>
      <c r="B478" s="118">
        <v>2205</v>
      </c>
    </row>
    <row r="479" spans="1:2" x14ac:dyDescent="0.25">
      <c r="A479" s="118" t="s">
        <v>638</v>
      </c>
      <c r="B479" s="118">
        <v>1385</v>
      </c>
    </row>
    <row r="480" spans="1:2" x14ac:dyDescent="0.25">
      <c r="A480" s="118" t="s">
        <v>639</v>
      </c>
      <c r="B480" s="118">
        <v>275</v>
      </c>
    </row>
    <row r="481" spans="1:2" x14ac:dyDescent="0.25">
      <c r="A481" s="118" t="s">
        <v>640</v>
      </c>
      <c r="B481" s="118">
        <v>4225</v>
      </c>
    </row>
    <row r="482" spans="1:2" x14ac:dyDescent="0.25">
      <c r="A482" s="118" t="s">
        <v>641</v>
      </c>
      <c r="B482" s="118">
        <v>2905</v>
      </c>
    </row>
    <row r="483" spans="1:2" x14ac:dyDescent="0.25">
      <c r="A483" s="118" t="s">
        <v>672</v>
      </c>
      <c r="B483" s="118">
        <v>5999</v>
      </c>
    </row>
    <row r="484" spans="1:2" x14ac:dyDescent="0.25">
      <c r="A484" s="23" t="s">
        <v>674</v>
      </c>
      <c r="B484" s="118">
        <v>8861</v>
      </c>
    </row>
    <row r="485" spans="1:2" x14ac:dyDescent="0.25">
      <c r="A485" s="118" t="s">
        <v>662</v>
      </c>
      <c r="B485" s="118">
        <v>9921</v>
      </c>
    </row>
    <row r="486" spans="1:2" x14ac:dyDescent="0.25">
      <c r="A486" s="118" t="s">
        <v>669</v>
      </c>
      <c r="B486" s="118">
        <v>10891</v>
      </c>
    </row>
    <row r="487" spans="1:2" x14ac:dyDescent="0.25">
      <c r="A487" s="118" t="s">
        <v>666</v>
      </c>
      <c r="B487" s="118">
        <v>12821</v>
      </c>
    </row>
    <row r="488" spans="1:2" x14ac:dyDescent="0.25">
      <c r="A488" s="118" t="s">
        <v>668</v>
      </c>
      <c r="B488" s="118">
        <v>14351</v>
      </c>
    </row>
    <row r="489" spans="1:2" x14ac:dyDescent="0.25">
      <c r="A489" s="118" t="s">
        <v>665</v>
      </c>
      <c r="B489" s="118">
        <v>6411</v>
      </c>
    </row>
    <row r="490" spans="1:2" x14ac:dyDescent="0.25">
      <c r="A490" s="118" t="s">
        <v>670</v>
      </c>
      <c r="B490" s="118">
        <v>5401</v>
      </c>
    </row>
    <row r="491" spans="1:2" x14ac:dyDescent="0.25">
      <c r="A491" s="118" t="s">
        <v>663</v>
      </c>
      <c r="B491" s="118">
        <v>4381</v>
      </c>
    </row>
    <row r="492" spans="1:2" x14ac:dyDescent="0.25">
      <c r="A492" s="118" t="s">
        <v>667</v>
      </c>
      <c r="B492" s="118">
        <v>2851</v>
      </c>
    </row>
    <row r="493" spans="1:2" x14ac:dyDescent="0.25">
      <c r="A493" s="118" t="s">
        <v>661</v>
      </c>
      <c r="B493" s="118">
        <v>1731</v>
      </c>
    </row>
    <row r="494" spans="1:2" x14ac:dyDescent="0.25">
      <c r="A494" s="118" t="s">
        <v>671</v>
      </c>
      <c r="B494" s="118">
        <v>661</v>
      </c>
    </row>
    <row r="495" spans="1:2" x14ac:dyDescent="0.25">
      <c r="A495" s="51" t="s">
        <v>664</v>
      </c>
      <c r="B495" s="118">
        <v>13553</v>
      </c>
    </row>
    <row r="496" spans="1:2" x14ac:dyDescent="0.25">
      <c r="A496" s="131" t="s">
        <v>685</v>
      </c>
      <c r="B496" s="118">
        <v>5999</v>
      </c>
    </row>
    <row r="497" spans="1:2" x14ac:dyDescent="0.25">
      <c r="A497" s="119" t="s">
        <v>686</v>
      </c>
      <c r="B497" s="118">
        <v>8861</v>
      </c>
    </row>
    <row r="498" spans="1:2" x14ac:dyDescent="0.25">
      <c r="A498" s="119" t="s">
        <v>687</v>
      </c>
      <c r="B498" s="118">
        <v>9921</v>
      </c>
    </row>
    <row r="499" spans="1:2" x14ac:dyDescent="0.25">
      <c r="A499" s="119" t="s">
        <v>688</v>
      </c>
      <c r="B499" s="118">
        <v>10891</v>
      </c>
    </row>
    <row r="500" spans="1:2" x14ac:dyDescent="0.25">
      <c r="A500" s="119" t="s">
        <v>689</v>
      </c>
      <c r="B500" s="118">
        <v>12821</v>
      </c>
    </row>
    <row r="501" spans="1:2" x14ac:dyDescent="0.25">
      <c r="A501" s="119" t="s">
        <v>690</v>
      </c>
      <c r="B501" s="118">
        <v>14351</v>
      </c>
    </row>
    <row r="502" spans="1:2" x14ac:dyDescent="0.25">
      <c r="A502" s="119" t="s">
        <v>691</v>
      </c>
      <c r="B502" s="118">
        <v>6411</v>
      </c>
    </row>
    <row r="503" spans="1:2" x14ac:dyDescent="0.25">
      <c r="A503" s="119" t="s">
        <v>692</v>
      </c>
      <c r="B503" s="118">
        <v>5401</v>
      </c>
    </row>
    <row r="504" spans="1:2" x14ac:dyDescent="0.25">
      <c r="A504" s="119" t="s">
        <v>693</v>
      </c>
      <c r="B504" s="118">
        <v>4381</v>
      </c>
    </row>
    <row r="505" spans="1:2" x14ac:dyDescent="0.25">
      <c r="A505" s="119" t="s">
        <v>694</v>
      </c>
      <c r="B505" s="118">
        <v>2851</v>
      </c>
    </row>
    <row r="506" spans="1:2" x14ac:dyDescent="0.25">
      <c r="A506" s="119" t="s">
        <v>695</v>
      </c>
      <c r="B506" s="118">
        <v>1731</v>
      </c>
    </row>
    <row r="507" spans="1:2" x14ac:dyDescent="0.25">
      <c r="A507" s="119" t="s">
        <v>696</v>
      </c>
      <c r="B507" s="118">
        <v>661</v>
      </c>
    </row>
    <row r="508" spans="1:2" x14ac:dyDescent="0.25">
      <c r="A508" s="119" t="s">
        <v>697</v>
      </c>
      <c r="B508" s="118">
        <v>13553</v>
      </c>
    </row>
    <row r="509" spans="1:2" x14ac:dyDescent="0.25">
      <c r="A509" s="120" t="s">
        <v>698</v>
      </c>
    </row>
    <row r="510" spans="1:2" x14ac:dyDescent="0.25">
      <c r="A510" s="120" t="s">
        <v>699</v>
      </c>
    </row>
    <row r="511" spans="1:2" x14ac:dyDescent="0.25">
      <c r="A511" s="120" t="s">
        <v>700</v>
      </c>
    </row>
    <row r="512" spans="1:2" x14ac:dyDescent="0.25">
      <c r="A512" s="120" t="s">
        <v>701</v>
      </c>
    </row>
    <row r="513" spans="1:2" x14ac:dyDescent="0.25">
      <c r="A513" s="120" t="s">
        <v>702</v>
      </c>
    </row>
    <row r="514" spans="1:2" x14ac:dyDescent="0.25">
      <c r="A514" s="120" t="s">
        <v>703</v>
      </c>
    </row>
    <row r="515" spans="1:2" x14ac:dyDescent="0.25">
      <c r="A515" s="121" t="s">
        <v>704</v>
      </c>
      <c r="B515" s="118">
        <v>6425</v>
      </c>
    </row>
    <row r="516" spans="1:2" x14ac:dyDescent="0.25">
      <c r="A516" s="121" t="s">
        <v>705</v>
      </c>
      <c r="B516" s="118">
        <v>8245</v>
      </c>
    </row>
    <row r="517" spans="1:2" x14ac:dyDescent="0.25">
      <c r="A517" s="121" t="s">
        <v>706</v>
      </c>
      <c r="B517" s="118">
        <v>5065</v>
      </c>
    </row>
    <row r="518" spans="1:2" x14ac:dyDescent="0.25">
      <c r="A518" s="121" t="s">
        <v>707</v>
      </c>
      <c r="B518" s="118">
        <v>3385</v>
      </c>
    </row>
    <row r="519" spans="1:2" x14ac:dyDescent="0.25">
      <c r="A519" s="121" t="s">
        <v>708</v>
      </c>
      <c r="B519" s="118">
        <v>2205</v>
      </c>
    </row>
    <row r="520" spans="1:2" x14ac:dyDescent="0.25">
      <c r="A520" s="121" t="s">
        <v>709</v>
      </c>
      <c r="B520" s="118">
        <v>1385</v>
      </c>
    </row>
    <row r="521" spans="1:2" x14ac:dyDescent="0.25">
      <c r="A521" s="121" t="s">
        <v>710</v>
      </c>
      <c r="B521" s="118">
        <v>275</v>
      </c>
    </row>
    <row r="522" spans="1:2" x14ac:dyDescent="0.25">
      <c r="A522" s="121" t="s">
        <v>711</v>
      </c>
      <c r="B522" s="118">
        <v>4225</v>
      </c>
    </row>
    <row r="523" spans="1:2" x14ac:dyDescent="0.25">
      <c r="A523" s="121" t="s">
        <v>712</v>
      </c>
      <c r="B523" s="118">
        <v>2905</v>
      </c>
    </row>
    <row r="524" spans="1:2" x14ac:dyDescent="0.25">
      <c r="A524" s="119" t="s">
        <v>713</v>
      </c>
      <c r="B524" s="118">
        <v>5999</v>
      </c>
    </row>
    <row r="525" spans="1:2" x14ac:dyDescent="0.25">
      <c r="A525" s="119" t="s">
        <v>714</v>
      </c>
      <c r="B525" s="118">
        <v>8861</v>
      </c>
    </row>
    <row r="526" spans="1:2" x14ac:dyDescent="0.25">
      <c r="A526" s="119" t="s">
        <v>715</v>
      </c>
      <c r="B526" s="118">
        <v>9921</v>
      </c>
    </row>
    <row r="527" spans="1:2" x14ac:dyDescent="0.25">
      <c r="A527" s="119" t="s">
        <v>716</v>
      </c>
      <c r="B527" s="118">
        <v>10891</v>
      </c>
    </row>
    <row r="528" spans="1:2" x14ac:dyDescent="0.25">
      <c r="A528" s="119" t="s">
        <v>717</v>
      </c>
      <c r="B528" s="118">
        <v>12821</v>
      </c>
    </row>
    <row r="529" spans="1:2" x14ac:dyDescent="0.25">
      <c r="A529" s="119" t="s">
        <v>718</v>
      </c>
      <c r="B529" s="118">
        <v>14351</v>
      </c>
    </row>
    <row r="530" spans="1:2" x14ac:dyDescent="0.25">
      <c r="A530" s="119" t="s">
        <v>719</v>
      </c>
      <c r="B530" s="118">
        <v>6411</v>
      </c>
    </row>
    <row r="531" spans="1:2" x14ac:dyDescent="0.25">
      <c r="A531" s="119" t="s">
        <v>720</v>
      </c>
      <c r="B531" s="118">
        <v>5401</v>
      </c>
    </row>
    <row r="532" spans="1:2" x14ac:dyDescent="0.25">
      <c r="A532" s="119" t="s">
        <v>721</v>
      </c>
      <c r="B532" s="118">
        <v>4381</v>
      </c>
    </row>
    <row r="533" spans="1:2" x14ac:dyDescent="0.25">
      <c r="A533" s="119" t="s">
        <v>722</v>
      </c>
      <c r="B533" s="118">
        <v>2851</v>
      </c>
    </row>
    <row r="534" spans="1:2" x14ac:dyDescent="0.25">
      <c r="A534" s="119" t="s">
        <v>723</v>
      </c>
      <c r="B534" s="118">
        <v>1731</v>
      </c>
    </row>
    <row r="535" spans="1:2" x14ac:dyDescent="0.25">
      <c r="A535" s="119" t="s">
        <v>724</v>
      </c>
      <c r="B535" s="118">
        <v>661</v>
      </c>
    </row>
    <row r="536" spans="1:2" x14ac:dyDescent="0.25">
      <c r="A536" s="119" t="s">
        <v>725</v>
      </c>
      <c r="B536" s="118">
        <v>13553</v>
      </c>
    </row>
    <row r="537" spans="1:2" x14ac:dyDescent="0.25">
      <c r="A537" s="122" t="s">
        <v>726</v>
      </c>
      <c r="B537" s="118">
        <v>6425</v>
      </c>
    </row>
    <row r="538" spans="1:2" x14ac:dyDescent="0.25">
      <c r="A538" s="122" t="s">
        <v>727</v>
      </c>
      <c r="B538" s="118">
        <v>8245</v>
      </c>
    </row>
    <row r="539" spans="1:2" x14ac:dyDescent="0.25">
      <c r="A539" s="122" t="s">
        <v>728</v>
      </c>
      <c r="B539" s="118">
        <v>5065</v>
      </c>
    </row>
    <row r="540" spans="1:2" x14ac:dyDescent="0.25">
      <c r="A540" s="122" t="s">
        <v>729</v>
      </c>
      <c r="B540" s="118">
        <v>3385</v>
      </c>
    </row>
    <row r="541" spans="1:2" x14ac:dyDescent="0.25">
      <c r="A541" s="122" t="s">
        <v>730</v>
      </c>
      <c r="B541" s="118">
        <v>2205</v>
      </c>
    </row>
    <row r="542" spans="1:2" x14ac:dyDescent="0.25">
      <c r="A542" s="122" t="s">
        <v>731</v>
      </c>
      <c r="B542" s="118">
        <v>1385</v>
      </c>
    </row>
    <row r="543" spans="1:2" x14ac:dyDescent="0.25">
      <c r="A543" s="122" t="s">
        <v>732</v>
      </c>
      <c r="B543" s="118">
        <v>275</v>
      </c>
    </row>
    <row r="544" spans="1:2" x14ac:dyDescent="0.25">
      <c r="A544" s="122" t="s">
        <v>733</v>
      </c>
      <c r="B544" s="118">
        <v>4225</v>
      </c>
    </row>
    <row r="545" spans="1:2" x14ac:dyDescent="0.25">
      <c r="A545" s="122" t="s">
        <v>734</v>
      </c>
      <c r="B545" s="118">
        <v>2905</v>
      </c>
    </row>
    <row r="546" spans="1:2" x14ac:dyDescent="0.25">
      <c r="A546" s="122" t="s">
        <v>735</v>
      </c>
      <c r="B546" s="118">
        <v>5604</v>
      </c>
    </row>
    <row r="547" spans="1:2" x14ac:dyDescent="0.25">
      <c r="A547" s="119" t="s">
        <v>736</v>
      </c>
      <c r="B547" s="118">
        <v>5999</v>
      </c>
    </row>
    <row r="548" spans="1:2" x14ac:dyDescent="0.25">
      <c r="A548" s="119" t="s">
        <v>737</v>
      </c>
      <c r="B548" s="118">
        <v>8861</v>
      </c>
    </row>
    <row r="549" spans="1:2" x14ac:dyDescent="0.25">
      <c r="A549" s="119" t="s">
        <v>738</v>
      </c>
      <c r="B549" s="118">
        <v>9921</v>
      </c>
    </row>
    <row r="550" spans="1:2" x14ac:dyDescent="0.25">
      <c r="A550" s="119" t="s">
        <v>739</v>
      </c>
      <c r="B550" s="118">
        <v>10891</v>
      </c>
    </row>
    <row r="551" spans="1:2" x14ac:dyDescent="0.25">
      <c r="A551" s="119" t="s">
        <v>740</v>
      </c>
      <c r="B551" s="118">
        <v>12821</v>
      </c>
    </row>
    <row r="552" spans="1:2" x14ac:dyDescent="0.25">
      <c r="A552" s="119" t="s">
        <v>741</v>
      </c>
      <c r="B552" s="118">
        <v>14351</v>
      </c>
    </row>
    <row r="553" spans="1:2" x14ac:dyDescent="0.25">
      <c r="A553" s="119" t="s">
        <v>742</v>
      </c>
      <c r="B553" s="118">
        <v>6411</v>
      </c>
    </row>
    <row r="554" spans="1:2" x14ac:dyDescent="0.25">
      <c r="A554" s="119" t="s">
        <v>743</v>
      </c>
      <c r="B554" s="118">
        <v>5401</v>
      </c>
    </row>
    <row r="555" spans="1:2" x14ac:dyDescent="0.25">
      <c r="A555" s="119" t="s">
        <v>744</v>
      </c>
      <c r="B555" s="118">
        <v>4381</v>
      </c>
    </row>
    <row r="556" spans="1:2" x14ac:dyDescent="0.25">
      <c r="A556" s="119" t="s">
        <v>745</v>
      </c>
      <c r="B556" s="118">
        <v>2851</v>
      </c>
    </row>
    <row r="557" spans="1:2" x14ac:dyDescent="0.25">
      <c r="A557" s="119" t="s">
        <v>746</v>
      </c>
      <c r="B557" s="118">
        <v>1731</v>
      </c>
    </row>
    <row r="558" spans="1:2" x14ac:dyDescent="0.25">
      <c r="A558" s="119" t="s">
        <v>747</v>
      </c>
      <c r="B558" s="118">
        <v>661</v>
      </c>
    </row>
    <row r="559" spans="1:2" x14ac:dyDescent="0.25">
      <c r="A559" s="119" t="s">
        <v>748</v>
      </c>
      <c r="B559" s="118">
        <v>13553</v>
      </c>
    </row>
    <row r="560" spans="1:2" x14ac:dyDescent="0.25">
      <c r="A560" s="119" t="s">
        <v>749</v>
      </c>
      <c r="B560" s="118">
        <v>475</v>
      </c>
    </row>
    <row r="561" spans="1:2" x14ac:dyDescent="0.25">
      <c r="A561" s="119" t="s">
        <v>750</v>
      </c>
      <c r="B561" s="118">
        <v>11905</v>
      </c>
    </row>
    <row r="562" spans="1:2" x14ac:dyDescent="0.25">
      <c r="A562" s="119" t="s">
        <v>751</v>
      </c>
      <c r="B562" s="118">
        <v>14068</v>
      </c>
    </row>
    <row r="563" spans="1:2" x14ac:dyDescent="0.25">
      <c r="A563" s="124" t="s">
        <v>782</v>
      </c>
      <c r="B563" s="118">
        <v>5999</v>
      </c>
    </row>
    <row r="564" spans="1:2" x14ac:dyDescent="0.25">
      <c r="A564" s="124" t="s">
        <v>783</v>
      </c>
      <c r="B564" s="118">
        <v>8861</v>
      </c>
    </row>
    <row r="565" spans="1:2" x14ac:dyDescent="0.25">
      <c r="A565" s="124" t="s">
        <v>784</v>
      </c>
      <c r="B565" s="118">
        <v>9921</v>
      </c>
    </row>
    <row r="566" spans="1:2" x14ac:dyDescent="0.25">
      <c r="A566" s="124" t="s">
        <v>785</v>
      </c>
      <c r="B566" s="118">
        <v>10891</v>
      </c>
    </row>
    <row r="567" spans="1:2" x14ac:dyDescent="0.25">
      <c r="A567" s="124" t="s">
        <v>786</v>
      </c>
      <c r="B567" s="118">
        <v>12821</v>
      </c>
    </row>
    <row r="568" spans="1:2" x14ac:dyDescent="0.25">
      <c r="A568" s="124" t="s">
        <v>787</v>
      </c>
      <c r="B568" s="118">
        <v>14351</v>
      </c>
    </row>
    <row r="569" spans="1:2" x14ac:dyDescent="0.25">
      <c r="A569" s="124" t="s">
        <v>788</v>
      </c>
      <c r="B569" s="118">
        <v>6411</v>
      </c>
    </row>
    <row r="570" spans="1:2" x14ac:dyDescent="0.25">
      <c r="A570" s="124" t="s">
        <v>789</v>
      </c>
      <c r="B570" s="118">
        <v>5401</v>
      </c>
    </row>
    <row r="571" spans="1:2" x14ac:dyDescent="0.25">
      <c r="A571" s="124" t="s">
        <v>790</v>
      </c>
      <c r="B571" s="118">
        <v>4381</v>
      </c>
    </row>
    <row r="572" spans="1:2" x14ac:dyDescent="0.25">
      <c r="A572" s="124" t="s">
        <v>791</v>
      </c>
      <c r="B572" s="118">
        <v>2851</v>
      </c>
    </row>
    <row r="573" spans="1:2" x14ac:dyDescent="0.25">
      <c r="A573" s="124" t="s">
        <v>792</v>
      </c>
      <c r="B573" s="118">
        <v>1731</v>
      </c>
    </row>
    <row r="574" spans="1:2" x14ac:dyDescent="0.25">
      <c r="A574" s="124" t="s">
        <v>793</v>
      </c>
      <c r="B574" s="118">
        <v>661</v>
      </c>
    </row>
    <row r="575" spans="1:2" x14ac:dyDescent="0.25">
      <c r="A575" s="124" t="s">
        <v>794</v>
      </c>
      <c r="B575" s="118">
        <v>13553</v>
      </c>
    </row>
    <row r="576" spans="1:2" x14ac:dyDescent="0.25">
      <c r="A576" s="124" t="s">
        <v>795</v>
      </c>
      <c r="B576" s="118">
        <v>11905</v>
      </c>
    </row>
    <row r="577" spans="1:2" x14ac:dyDescent="0.25">
      <c r="A577" s="124" t="s">
        <v>796</v>
      </c>
      <c r="B577" s="118">
        <v>8796</v>
      </c>
    </row>
    <row r="578" spans="1:2" x14ac:dyDescent="0.25">
      <c r="A578" s="123" t="s">
        <v>752</v>
      </c>
      <c r="B578" s="118">
        <v>5999</v>
      </c>
    </row>
    <row r="579" spans="1:2" x14ac:dyDescent="0.25">
      <c r="A579" s="123" t="s">
        <v>753</v>
      </c>
      <c r="B579" s="118">
        <v>8861</v>
      </c>
    </row>
    <row r="580" spans="1:2" x14ac:dyDescent="0.25">
      <c r="A580" s="123" t="s">
        <v>754</v>
      </c>
      <c r="B580" s="118">
        <v>9921</v>
      </c>
    </row>
    <row r="581" spans="1:2" x14ac:dyDescent="0.25">
      <c r="A581" s="123" t="s">
        <v>755</v>
      </c>
      <c r="B581" s="118">
        <v>10891</v>
      </c>
    </row>
    <row r="582" spans="1:2" x14ac:dyDescent="0.25">
      <c r="A582" s="123" t="s">
        <v>756</v>
      </c>
      <c r="B582" s="118">
        <v>12821</v>
      </c>
    </row>
    <row r="583" spans="1:2" x14ac:dyDescent="0.25">
      <c r="A583" s="123" t="s">
        <v>757</v>
      </c>
      <c r="B583" s="118">
        <v>14351</v>
      </c>
    </row>
    <row r="584" spans="1:2" x14ac:dyDescent="0.25">
      <c r="A584" s="123" t="s">
        <v>758</v>
      </c>
      <c r="B584" s="118">
        <v>6411</v>
      </c>
    </row>
    <row r="585" spans="1:2" x14ac:dyDescent="0.25">
      <c r="A585" s="123" t="s">
        <v>759</v>
      </c>
      <c r="B585" s="118">
        <v>5401</v>
      </c>
    </row>
    <row r="586" spans="1:2" x14ac:dyDescent="0.25">
      <c r="A586" s="123" t="s">
        <v>760</v>
      </c>
      <c r="B586" s="118">
        <v>4381</v>
      </c>
    </row>
    <row r="587" spans="1:2" x14ac:dyDescent="0.25">
      <c r="A587" s="123" t="s">
        <v>761</v>
      </c>
      <c r="B587" s="118">
        <v>2851</v>
      </c>
    </row>
    <row r="588" spans="1:2" x14ac:dyDescent="0.25">
      <c r="A588" s="123" t="s">
        <v>762</v>
      </c>
      <c r="B588" s="118">
        <v>1731</v>
      </c>
    </row>
    <row r="589" spans="1:2" x14ac:dyDescent="0.25">
      <c r="A589" s="123" t="s">
        <v>763</v>
      </c>
      <c r="B589" s="118">
        <v>661</v>
      </c>
    </row>
    <row r="590" spans="1:2" x14ac:dyDescent="0.25">
      <c r="A590" s="123" t="s">
        <v>764</v>
      </c>
      <c r="B590" s="118">
        <v>13553</v>
      </c>
    </row>
    <row r="591" spans="1:2" x14ac:dyDescent="0.25">
      <c r="A591" s="119" t="s">
        <v>765</v>
      </c>
      <c r="B591" s="118">
        <v>5999</v>
      </c>
    </row>
    <row r="592" spans="1:2" x14ac:dyDescent="0.25">
      <c r="A592" s="119" t="s">
        <v>766</v>
      </c>
      <c r="B592" s="118">
        <v>8861</v>
      </c>
    </row>
    <row r="593" spans="1:2" x14ac:dyDescent="0.25">
      <c r="A593" s="119" t="s">
        <v>767</v>
      </c>
      <c r="B593" s="118">
        <v>9921</v>
      </c>
    </row>
    <row r="594" spans="1:2" x14ac:dyDescent="0.25">
      <c r="A594" s="119" t="s">
        <v>768</v>
      </c>
      <c r="B594" s="118">
        <v>10891</v>
      </c>
    </row>
    <row r="595" spans="1:2" x14ac:dyDescent="0.25">
      <c r="A595" s="119" t="s">
        <v>769</v>
      </c>
      <c r="B595" s="118">
        <v>12821</v>
      </c>
    </row>
    <row r="596" spans="1:2" x14ac:dyDescent="0.25">
      <c r="A596" s="119" t="s">
        <v>770</v>
      </c>
      <c r="B596" s="118">
        <v>14351</v>
      </c>
    </row>
    <row r="597" spans="1:2" x14ac:dyDescent="0.25">
      <c r="A597" s="119" t="s">
        <v>771</v>
      </c>
      <c r="B597" s="118">
        <v>6411</v>
      </c>
    </row>
    <row r="598" spans="1:2" x14ac:dyDescent="0.25">
      <c r="A598" s="119" t="s">
        <v>772</v>
      </c>
      <c r="B598" s="118">
        <v>5401</v>
      </c>
    </row>
    <row r="599" spans="1:2" x14ac:dyDescent="0.25">
      <c r="A599" s="119" t="s">
        <v>773</v>
      </c>
      <c r="B599" s="118">
        <v>4381</v>
      </c>
    </row>
    <row r="600" spans="1:2" x14ac:dyDescent="0.25">
      <c r="A600" s="119" t="s">
        <v>774</v>
      </c>
      <c r="B600" s="118">
        <v>2851</v>
      </c>
    </row>
    <row r="601" spans="1:2" x14ac:dyDescent="0.25">
      <c r="A601" s="119" t="s">
        <v>775</v>
      </c>
      <c r="B601" s="118">
        <v>1731</v>
      </c>
    </row>
    <row r="602" spans="1:2" x14ac:dyDescent="0.25">
      <c r="A602" s="119" t="s">
        <v>776</v>
      </c>
      <c r="B602" s="118">
        <v>661</v>
      </c>
    </row>
    <row r="603" spans="1:2" x14ac:dyDescent="0.25">
      <c r="A603" s="119" t="s">
        <v>777</v>
      </c>
      <c r="B603" s="118">
        <v>13553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F7697-CFBA-4E06-BE08-FA5741D42AF4}">
  <dimension ref="A1:E109"/>
  <sheetViews>
    <sheetView workbookViewId="0">
      <selection activeCell="D15" sqref="D15:D109"/>
    </sheetView>
  </sheetViews>
  <sheetFormatPr defaultRowHeight="15" x14ac:dyDescent="0.25"/>
  <cols>
    <col min="1" max="1" width="16.85546875" style="118" bestFit="1" customWidth="1"/>
    <col min="2" max="2" width="9.140625" style="118"/>
    <col min="3" max="3" width="13.42578125" style="118" bestFit="1" customWidth="1"/>
    <col min="4" max="4" width="9.140625" style="46"/>
  </cols>
  <sheetData>
    <row r="1" spans="1:5" x14ac:dyDescent="0.25">
      <c r="A1" s="118" t="s">
        <v>16</v>
      </c>
      <c r="B1" s="118" t="s">
        <v>1033</v>
      </c>
      <c r="C1" s="118" t="s">
        <v>1028</v>
      </c>
      <c r="D1" s="46" t="s">
        <v>1041</v>
      </c>
    </row>
    <row r="2" spans="1:5" x14ac:dyDescent="0.25">
      <c r="E2" s="131" t="s">
        <v>685</v>
      </c>
    </row>
    <row r="3" spans="1:5" x14ac:dyDescent="0.25">
      <c r="E3" s="119" t="s">
        <v>686</v>
      </c>
    </row>
    <row r="4" spans="1:5" x14ac:dyDescent="0.25">
      <c r="E4" s="119" t="s">
        <v>687</v>
      </c>
    </row>
    <row r="5" spans="1:5" x14ac:dyDescent="0.25">
      <c r="E5" s="119" t="s">
        <v>688</v>
      </c>
    </row>
    <row r="6" spans="1:5" x14ac:dyDescent="0.25">
      <c r="E6" s="119" t="s">
        <v>689</v>
      </c>
    </row>
    <row r="7" spans="1:5" x14ac:dyDescent="0.25">
      <c r="E7" s="119" t="s">
        <v>690</v>
      </c>
    </row>
    <row r="8" spans="1:5" x14ac:dyDescent="0.25">
      <c r="E8" s="119" t="s">
        <v>691</v>
      </c>
    </row>
    <row r="9" spans="1:5" x14ac:dyDescent="0.25">
      <c r="E9" s="119" t="s">
        <v>692</v>
      </c>
    </row>
    <row r="10" spans="1:5" x14ac:dyDescent="0.25">
      <c r="E10" s="119" t="s">
        <v>693</v>
      </c>
    </row>
    <row r="11" spans="1:5" x14ac:dyDescent="0.25">
      <c r="E11" s="119" t="s">
        <v>694</v>
      </c>
    </row>
    <row r="12" spans="1:5" x14ac:dyDescent="0.25">
      <c r="E12" s="119" t="s">
        <v>695</v>
      </c>
    </row>
    <row r="13" spans="1:5" x14ac:dyDescent="0.25">
      <c r="E13" s="119" t="s">
        <v>696</v>
      </c>
    </row>
    <row r="14" spans="1:5" x14ac:dyDescent="0.25">
      <c r="E14" s="119" t="s">
        <v>697</v>
      </c>
    </row>
    <row r="15" spans="1:5" x14ac:dyDescent="0.25">
      <c r="A15" s="67">
        <v>45846.666666666664</v>
      </c>
      <c r="B15" s="118">
        <v>1</v>
      </c>
      <c r="C15" s="118" t="s">
        <v>682</v>
      </c>
      <c r="D15" s="181" t="s">
        <v>1587</v>
      </c>
      <c r="E15" s="120" t="s">
        <v>698</v>
      </c>
    </row>
    <row r="16" spans="1:5" x14ac:dyDescent="0.25">
      <c r="A16" s="67">
        <v>45846.666666666664</v>
      </c>
      <c r="B16" s="118">
        <v>2</v>
      </c>
      <c r="C16" s="118" t="s">
        <v>682</v>
      </c>
      <c r="D16" s="181" t="s">
        <v>1588</v>
      </c>
      <c r="E16" s="120" t="s">
        <v>699</v>
      </c>
    </row>
    <row r="17" spans="1:5" x14ac:dyDescent="0.25">
      <c r="A17" s="67">
        <v>45846.666666666664</v>
      </c>
      <c r="B17" s="118">
        <v>3</v>
      </c>
      <c r="C17" s="118" t="s">
        <v>682</v>
      </c>
      <c r="D17" s="181" t="s">
        <v>1589</v>
      </c>
      <c r="E17" s="120" t="s">
        <v>700</v>
      </c>
    </row>
    <row r="18" spans="1:5" x14ac:dyDescent="0.25">
      <c r="A18" s="67">
        <v>45846.666666666664</v>
      </c>
      <c r="B18" s="118">
        <v>4</v>
      </c>
      <c r="C18" s="118" t="s">
        <v>682</v>
      </c>
      <c r="D18" s="181" t="s">
        <v>1590</v>
      </c>
      <c r="E18" s="120" t="s">
        <v>701</v>
      </c>
    </row>
    <row r="19" spans="1:5" x14ac:dyDescent="0.25">
      <c r="A19" s="67">
        <v>45846.666666666664</v>
      </c>
      <c r="B19" s="118">
        <v>5</v>
      </c>
      <c r="C19" s="118" t="s">
        <v>682</v>
      </c>
      <c r="D19" s="181" t="s">
        <v>1591</v>
      </c>
      <c r="E19" s="120" t="s">
        <v>702</v>
      </c>
    </row>
    <row r="20" spans="1:5" x14ac:dyDescent="0.25">
      <c r="A20" s="67">
        <v>45846.666666666664</v>
      </c>
      <c r="B20" s="118">
        <v>6</v>
      </c>
      <c r="C20" s="118" t="s">
        <v>682</v>
      </c>
      <c r="D20" s="181" t="s">
        <v>1592</v>
      </c>
      <c r="E20" s="120" t="s">
        <v>703</v>
      </c>
    </row>
    <row r="21" spans="1:5" x14ac:dyDescent="0.25">
      <c r="A21" s="67">
        <v>45852.666666666664</v>
      </c>
      <c r="B21" s="118">
        <v>5</v>
      </c>
      <c r="C21" s="118" t="s">
        <v>683</v>
      </c>
      <c r="D21" s="181" t="s">
        <v>1598</v>
      </c>
      <c r="E21" s="121" t="s">
        <v>704</v>
      </c>
    </row>
    <row r="22" spans="1:5" x14ac:dyDescent="0.25">
      <c r="A22" s="67">
        <v>45852.666666666664</v>
      </c>
      <c r="B22" s="118">
        <v>6</v>
      </c>
      <c r="C22" s="118" t="s">
        <v>683</v>
      </c>
      <c r="D22" s="181" t="s">
        <v>1595</v>
      </c>
      <c r="E22" s="121" t="s">
        <v>705</v>
      </c>
    </row>
    <row r="23" spans="1:5" x14ac:dyDescent="0.25">
      <c r="A23" s="67">
        <v>45852.666666666664</v>
      </c>
      <c r="B23" s="118">
        <v>8</v>
      </c>
      <c r="C23" s="118" t="s">
        <v>683</v>
      </c>
      <c r="D23" s="181" t="s">
        <v>1594</v>
      </c>
      <c r="E23" s="121" t="s">
        <v>706</v>
      </c>
    </row>
    <row r="24" spans="1:5" x14ac:dyDescent="0.25">
      <c r="A24" s="67">
        <v>45852.666666666664</v>
      </c>
      <c r="B24" s="118">
        <v>9</v>
      </c>
      <c r="C24" s="118" t="s">
        <v>683</v>
      </c>
      <c r="D24" s="181" t="s">
        <v>1597</v>
      </c>
      <c r="E24" s="121" t="s">
        <v>707</v>
      </c>
    </row>
    <row r="25" spans="1:5" x14ac:dyDescent="0.25">
      <c r="A25" s="67">
        <v>45852.666666666664</v>
      </c>
      <c r="B25" s="118">
        <v>10</v>
      </c>
      <c r="C25" s="118" t="s">
        <v>683</v>
      </c>
      <c r="D25" s="181" t="s">
        <v>1595</v>
      </c>
      <c r="E25" s="121" t="s">
        <v>708</v>
      </c>
    </row>
    <row r="26" spans="1:5" x14ac:dyDescent="0.25">
      <c r="A26" s="67">
        <v>45852.666666666664</v>
      </c>
      <c r="B26" s="118">
        <v>11</v>
      </c>
      <c r="C26" s="118" t="s">
        <v>683</v>
      </c>
      <c r="D26" s="181" t="s">
        <v>1593</v>
      </c>
      <c r="E26" s="121" t="s">
        <v>709</v>
      </c>
    </row>
    <row r="27" spans="1:5" x14ac:dyDescent="0.25">
      <c r="A27" s="67">
        <v>45852.666666666664</v>
      </c>
      <c r="B27" s="118">
        <v>12</v>
      </c>
      <c r="C27" s="118" t="s">
        <v>683</v>
      </c>
      <c r="D27" s="181" t="s">
        <v>1594</v>
      </c>
      <c r="E27" s="121" t="s">
        <v>710</v>
      </c>
    </row>
    <row r="28" spans="1:5" x14ac:dyDescent="0.25">
      <c r="A28" s="67">
        <v>45852.666666666664</v>
      </c>
      <c r="B28" s="118">
        <v>14</v>
      </c>
      <c r="C28" s="118" t="s">
        <v>683</v>
      </c>
      <c r="D28" s="181" t="s">
        <v>1595</v>
      </c>
      <c r="E28" s="121" t="s">
        <v>711</v>
      </c>
    </row>
    <row r="29" spans="1:5" x14ac:dyDescent="0.25">
      <c r="A29" s="67">
        <v>45852.666666666664</v>
      </c>
      <c r="B29" s="118">
        <v>15</v>
      </c>
      <c r="C29" s="118" t="s">
        <v>683</v>
      </c>
      <c r="D29" s="181" t="s">
        <v>1596</v>
      </c>
      <c r="E29" s="121" t="s">
        <v>712</v>
      </c>
    </row>
    <row r="30" spans="1:5" x14ac:dyDescent="0.25">
      <c r="A30" s="67">
        <v>45867.666666666664</v>
      </c>
      <c r="B30" s="118">
        <v>1</v>
      </c>
      <c r="C30" s="118" t="s">
        <v>11</v>
      </c>
      <c r="D30" s="181" t="s">
        <v>1603</v>
      </c>
      <c r="E30" s="119" t="s">
        <v>713</v>
      </c>
    </row>
    <row r="31" spans="1:5" x14ac:dyDescent="0.25">
      <c r="A31" s="67">
        <v>45867.666666666664</v>
      </c>
      <c r="B31" s="118">
        <v>2</v>
      </c>
      <c r="C31" s="118" t="s">
        <v>11</v>
      </c>
      <c r="D31" s="181" t="s">
        <v>1604</v>
      </c>
      <c r="E31" s="119" t="s">
        <v>714</v>
      </c>
    </row>
    <row r="32" spans="1:5" x14ac:dyDescent="0.25">
      <c r="A32" s="67">
        <v>45867.666666666664</v>
      </c>
      <c r="B32" s="118">
        <v>3</v>
      </c>
      <c r="C32" s="118" t="s">
        <v>11</v>
      </c>
      <c r="D32" s="181" t="s">
        <v>1605</v>
      </c>
      <c r="E32" s="119" t="s">
        <v>715</v>
      </c>
    </row>
    <row r="33" spans="1:5" x14ac:dyDescent="0.25">
      <c r="A33" s="67">
        <v>45867.666666666664</v>
      </c>
      <c r="B33" s="118">
        <v>4</v>
      </c>
      <c r="C33" s="118" t="s">
        <v>11</v>
      </c>
      <c r="D33" s="181">
        <v>33</v>
      </c>
      <c r="E33" s="119" t="s">
        <v>716</v>
      </c>
    </row>
    <row r="34" spans="1:5" x14ac:dyDescent="0.25">
      <c r="A34" s="67">
        <v>45867.666666666664</v>
      </c>
      <c r="B34" s="118">
        <v>5</v>
      </c>
      <c r="C34" s="118" t="s">
        <v>11</v>
      </c>
      <c r="D34" s="181" t="s">
        <v>1607</v>
      </c>
      <c r="E34" s="119" t="s">
        <v>717</v>
      </c>
    </row>
    <row r="35" spans="1:5" x14ac:dyDescent="0.25">
      <c r="A35" s="67">
        <v>45867.666666666664</v>
      </c>
      <c r="B35" s="118">
        <v>6</v>
      </c>
      <c r="C35" s="118" t="s">
        <v>11</v>
      </c>
      <c r="D35" s="181">
        <v>33</v>
      </c>
      <c r="E35" s="119" t="s">
        <v>718</v>
      </c>
    </row>
    <row r="36" spans="1:5" x14ac:dyDescent="0.25">
      <c r="A36" s="67">
        <v>45867.666666666664</v>
      </c>
      <c r="B36" s="118">
        <v>7</v>
      </c>
      <c r="C36" s="118" t="s">
        <v>11</v>
      </c>
      <c r="D36" s="181" t="s">
        <v>1599</v>
      </c>
      <c r="E36" s="119" t="s">
        <v>719</v>
      </c>
    </row>
    <row r="37" spans="1:5" x14ac:dyDescent="0.25">
      <c r="A37" s="67">
        <v>45867.666666666664</v>
      </c>
      <c r="B37" s="118">
        <v>8</v>
      </c>
      <c r="C37" s="118" t="s">
        <v>11</v>
      </c>
      <c r="D37" s="181">
        <v>30</v>
      </c>
      <c r="E37" s="119" t="s">
        <v>720</v>
      </c>
    </row>
    <row r="38" spans="1:5" x14ac:dyDescent="0.25">
      <c r="A38" s="67">
        <v>45867.666666666664</v>
      </c>
      <c r="B38" s="118">
        <v>9</v>
      </c>
      <c r="C38" s="118" t="s">
        <v>11</v>
      </c>
      <c r="D38" s="181" t="s">
        <v>1601</v>
      </c>
      <c r="E38" s="119" t="s">
        <v>721</v>
      </c>
    </row>
    <row r="39" spans="1:5" x14ac:dyDescent="0.25">
      <c r="A39" s="67">
        <v>45867.666666666664</v>
      </c>
      <c r="B39" s="118">
        <v>10</v>
      </c>
      <c r="C39" s="118" t="s">
        <v>11</v>
      </c>
      <c r="D39" s="181" t="s">
        <v>1591</v>
      </c>
      <c r="E39" s="119" t="s">
        <v>722</v>
      </c>
    </row>
    <row r="40" spans="1:5" x14ac:dyDescent="0.25">
      <c r="A40" s="67">
        <v>45867.666666666664</v>
      </c>
      <c r="B40" s="118">
        <v>11</v>
      </c>
      <c r="C40" s="118" t="s">
        <v>11</v>
      </c>
      <c r="D40" s="181" t="s">
        <v>1598</v>
      </c>
      <c r="E40" s="119" t="s">
        <v>723</v>
      </c>
    </row>
    <row r="41" spans="1:5" x14ac:dyDescent="0.25">
      <c r="A41" s="67">
        <v>45867.666666666664</v>
      </c>
      <c r="B41" s="118">
        <v>12</v>
      </c>
      <c r="C41" s="118" t="s">
        <v>11</v>
      </c>
      <c r="D41" s="181" t="s">
        <v>1602</v>
      </c>
      <c r="E41" s="119" t="s">
        <v>724</v>
      </c>
    </row>
    <row r="42" spans="1:5" x14ac:dyDescent="0.25">
      <c r="A42" s="67">
        <v>45867.666666666664</v>
      </c>
      <c r="B42" s="118">
        <v>13</v>
      </c>
      <c r="C42" s="118" t="s">
        <v>11</v>
      </c>
      <c r="D42" s="181">
        <v>33</v>
      </c>
      <c r="E42" s="119" t="s">
        <v>725</v>
      </c>
    </row>
    <row r="43" spans="1:5" x14ac:dyDescent="0.25">
      <c r="A43" s="67">
        <v>45874.666666666664</v>
      </c>
      <c r="B43" s="118">
        <v>5</v>
      </c>
      <c r="C43" s="118" t="s">
        <v>683</v>
      </c>
      <c r="D43" s="181" t="s">
        <v>1615</v>
      </c>
      <c r="E43" s="122" t="s">
        <v>726</v>
      </c>
    </row>
    <row r="44" spans="1:5" x14ac:dyDescent="0.25">
      <c r="A44" s="67">
        <v>45874.666666666664</v>
      </c>
      <c r="B44" s="118">
        <v>6</v>
      </c>
      <c r="C44" s="118" t="s">
        <v>683</v>
      </c>
      <c r="D44" s="181" t="s">
        <v>1608</v>
      </c>
      <c r="E44" s="122" t="s">
        <v>727</v>
      </c>
    </row>
    <row r="45" spans="1:5" x14ac:dyDescent="0.25">
      <c r="A45" s="67">
        <v>45874.666666666664</v>
      </c>
      <c r="B45" s="118">
        <v>8</v>
      </c>
      <c r="C45" s="118" t="s">
        <v>683</v>
      </c>
      <c r="D45" s="181" t="s">
        <v>1614</v>
      </c>
      <c r="E45" s="122" t="s">
        <v>728</v>
      </c>
    </row>
    <row r="46" spans="1:5" x14ac:dyDescent="0.25">
      <c r="A46" s="67">
        <v>45874.666666666664</v>
      </c>
      <c r="B46" s="118">
        <v>9</v>
      </c>
      <c r="C46" s="118" t="s">
        <v>683</v>
      </c>
      <c r="D46" s="181" t="s">
        <v>1612</v>
      </c>
      <c r="E46" s="122" t="s">
        <v>729</v>
      </c>
    </row>
    <row r="47" spans="1:5" x14ac:dyDescent="0.25">
      <c r="A47" s="67">
        <v>45874.666666666664</v>
      </c>
      <c r="B47" s="118">
        <v>10</v>
      </c>
      <c r="C47" s="118" t="s">
        <v>683</v>
      </c>
      <c r="D47" s="181" t="s">
        <v>1610</v>
      </c>
      <c r="E47" s="122" t="s">
        <v>730</v>
      </c>
    </row>
    <row r="48" spans="1:5" x14ac:dyDescent="0.25">
      <c r="A48" s="67">
        <v>45874.666666666664</v>
      </c>
      <c r="B48" s="118">
        <v>11</v>
      </c>
      <c r="C48" s="118" t="s">
        <v>683</v>
      </c>
      <c r="D48" s="181" t="s">
        <v>1608</v>
      </c>
      <c r="E48" s="122" t="s">
        <v>731</v>
      </c>
    </row>
    <row r="49" spans="1:5" x14ac:dyDescent="0.25">
      <c r="A49" s="67">
        <v>45874.666666666664</v>
      </c>
      <c r="B49" s="118">
        <v>12</v>
      </c>
      <c r="C49" s="118" t="s">
        <v>683</v>
      </c>
      <c r="D49" s="181" t="s">
        <v>1609</v>
      </c>
      <c r="E49" s="122" t="s">
        <v>732</v>
      </c>
    </row>
    <row r="50" spans="1:5" x14ac:dyDescent="0.25">
      <c r="A50" s="67">
        <v>45874.666666666664</v>
      </c>
      <c r="B50" s="118">
        <v>14</v>
      </c>
      <c r="C50" s="118" t="s">
        <v>683</v>
      </c>
      <c r="D50" s="181" t="s">
        <v>1613</v>
      </c>
      <c r="E50" s="122" t="s">
        <v>733</v>
      </c>
    </row>
    <row r="51" spans="1:5" x14ac:dyDescent="0.25">
      <c r="A51" s="67">
        <v>45874.666666666664</v>
      </c>
      <c r="B51" s="118">
        <v>15</v>
      </c>
      <c r="C51" s="118" t="s">
        <v>683</v>
      </c>
      <c r="D51" s="181" t="s">
        <v>1611</v>
      </c>
      <c r="E51" s="122" t="s">
        <v>734</v>
      </c>
    </row>
    <row r="52" spans="1:5" x14ac:dyDescent="0.25">
      <c r="A52" s="67">
        <v>45874.666666666664</v>
      </c>
      <c r="B52" s="118">
        <v>16</v>
      </c>
      <c r="C52" s="118" t="s">
        <v>683</v>
      </c>
      <c r="D52" s="181" t="s">
        <v>1616</v>
      </c>
      <c r="E52" s="122" t="s">
        <v>735</v>
      </c>
    </row>
    <row r="53" spans="1:5" x14ac:dyDescent="0.25">
      <c r="A53" s="67">
        <v>45875.666666666664</v>
      </c>
      <c r="B53" s="118">
        <v>1</v>
      </c>
      <c r="C53" s="118" t="s">
        <v>11</v>
      </c>
      <c r="D53" s="181" t="s">
        <v>1617</v>
      </c>
      <c r="E53" s="119" t="s">
        <v>736</v>
      </c>
    </row>
    <row r="54" spans="1:5" x14ac:dyDescent="0.25">
      <c r="A54" s="67">
        <v>45875.666666666664</v>
      </c>
      <c r="B54" s="118">
        <v>2</v>
      </c>
      <c r="C54" s="118" t="s">
        <v>11</v>
      </c>
      <c r="D54" s="181" t="s">
        <v>1597</v>
      </c>
      <c r="E54" s="119" t="s">
        <v>737</v>
      </c>
    </row>
    <row r="55" spans="1:5" x14ac:dyDescent="0.25">
      <c r="A55" s="67">
        <v>45875.666666666664</v>
      </c>
      <c r="B55" s="118">
        <v>3</v>
      </c>
      <c r="C55" s="118" t="s">
        <v>11</v>
      </c>
      <c r="D55" s="181" t="s">
        <v>1593</v>
      </c>
      <c r="E55" s="119" t="s">
        <v>738</v>
      </c>
    </row>
    <row r="56" spans="1:5" x14ac:dyDescent="0.25">
      <c r="A56" s="67">
        <v>45875.666666666664</v>
      </c>
      <c r="B56" s="118">
        <v>5</v>
      </c>
      <c r="C56" s="118" t="s">
        <v>11</v>
      </c>
      <c r="D56" s="181" t="s">
        <v>1625</v>
      </c>
      <c r="E56" s="119" t="s">
        <v>739</v>
      </c>
    </row>
    <row r="57" spans="1:5" x14ac:dyDescent="0.25">
      <c r="A57" s="67">
        <v>45875.666666666664</v>
      </c>
      <c r="B57" s="118">
        <v>6</v>
      </c>
      <c r="C57" s="118" t="s">
        <v>11</v>
      </c>
      <c r="D57" s="181" t="s">
        <v>1623</v>
      </c>
      <c r="E57" s="119" t="s">
        <v>740</v>
      </c>
    </row>
    <row r="58" spans="1:5" x14ac:dyDescent="0.25">
      <c r="A58" s="67">
        <v>45875.666666666664</v>
      </c>
      <c r="B58" s="118">
        <v>6</v>
      </c>
      <c r="C58" s="118" t="s">
        <v>11</v>
      </c>
      <c r="D58" s="181" t="s">
        <v>1587</v>
      </c>
      <c r="E58" s="119" t="s">
        <v>741</v>
      </c>
    </row>
    <row r="59" spans="1:5" x14ac:dyDescent="0.25">
      <c r="A59" s="67">
        <v>45875.666666666664</v>
      </c>
      <c r="B59" s="118">
        <v>7</v>
      </c>
      <c r="C59" s="118" t="s">
        <v>11</v>
      </c>
      <c r="D59" s="181" t="s">
        <v>1617</v>
      </c>
      <c r="E59" s="119" t="s">
        <v>742</v>
      </c>
    </row>
    <row r="60" spans="1:5" x14ac:dyDescent="0.25">
      <c r="A60" s="67">
        <v>45875.666666666664</v>
      </c>
      <c r="B60" s="118">
        <v>8</v>
      </c>
      <c r="C60" s="118" t="s">
        <v>11</v>
      </c>
      <c r="D60" s="181" t="s">
        <v>1618</v>
      </c>
      <c r="E60" s="119" t="s">
        <v>743</v>
      </c>
    </row>
    <row r="61" spans="1:5" x14ac:dyDescent="0.25">
      <c r="A61" s="67">
        <v>45875.666666666664</v>
      </c>
      <c r="B61" s="118">
        <v>9</v>
      </c>
      <c r="C61" s="118" t="s">
        <v>11</v>
      </c>
      <c r="D61" s="181" t="s">
        <v>1619</v>
      </c>
      <c r="E61" s="119" t="s">
        <v>744</v>
      </c>
    </row>
    <row r="62" spans="1:5" x14ac:dyDescent="0.25">
      <c r="A62" s="67">
        <v>45875.666666666664</v>
      </c>
      <c r="B62" s="118">
        <v>10</v>
      </c>
      <c r="C62" s="118" t="s">
        <v>11</v>
      </c>
      <c r="D62" s="181" t="s">
        <v>1619</v>
      </c>
      <c r="E62" s="119" t="s">
        <v>745</v>
      </c>
    </row>
    <row r="63" spans="1:5" x14ac:dyDescent="0.25">
      <c r="A63" s="67">
        <v>45875.666666666664</v>
      </c>
      <c r="B63" s="118">
        <v>11</v>
      </c>
      <c r="C63" s="118" t="s">
        <v>11</v>
      </c>
      <c r="D63" s="181" t="s">
        <v>1620</v>
      </c>
      <c r="E63" s="119" t="s">
        <v>746</v>
      </c>
    </row>
    <row r="64" spans="1:5" x14ac:dyDescent="0.25">
      <c r="A64" s="67">
        <v>45875.666666666664</v>
      </c>
      <c r="B64" s="118">
        <v>12</v>
      </c>
      <c r="C64" s="118" t="s">
        <v>11</v>
      </c>
      <c r="D64" s="181" t="s">
        <v>1622</v>
      </c>
      <c r="E64" s="119" t="s">
        <v>747</v>
      </c>
    </row>
    <row r="65" spans="1:5" x14ac:dyDescent="0.25">
      <c r="A65" s="67">
        <v>45875.666666666664</v>
      </c>
      <c r="B65" s="118">
        <v>13</v>
      </c>
      <c r="C65" s="118" t="s">
        <v>11</v>
      </c>
      <c r="D65" s="181" t="s">
        <v>1591</v>
      </c>
      <c r="E65" s="119" t="s">
        <v>748</v>
      </c>
    </row>
    <row r="66" spans="1:5" x14ac:dyDescent="0.25">
      <c r="A66" s="67">
        <v>45875.666666666664</v>
      </c>
      <c r="B66" s="118">
        <v>14</v>
      </c>
      <c r="C66" s="118" t="s">
        <v>11</v>
      </c>
      <c r="D66" s="181" t="s">
        <v>1621</v>
      </c>
      <c r="E66" s="119" t="s">
        <v>749</v>
      </c>
    </row>
    <row r="67" spans="1:5" x14ac:dyDescent="0.25">
      <c r="A67" s="67">
        <v>45875.666666666664</v>
      </c>
      <c r="B67" s="118">
        <v>15</v>
      </c>
      <c r="C67" s="118" t="s">
        <v>11</v>
      </c>
      <c r="D67" s="181" t="s">
        <v>1596</v>
      </c>
      <c r="E67" s="119" t="s">
        <v>750</v>
      </c>
    </row>
    <row r="68" spans="1:5" x14ac:dyDescent="0.25">
      <c r="A68" s="67">
        <v>45875.666666666664</v>
      </c>
      <c r="B68" s="118">
        <v>16</v>
      </c>
      <c r="C68" s="118" t="s">
        <v>11</v>
      </c>
      <c r="D68" s="181" t="s">
        <v>1598</v>
      </c>
      <c r="E68" s="119" t="s">
        <v>751</v>
      </c>
    </row>
    <row r="69" spans="1:5" x14ac:dyDescent="0.25">
      <c r="A69" s="67">
        <v>45882.666666666664</v>
      </c>
      <c r="B69" s="118">
        <v>1</v>
      </c>
      <c r="C69" s="118" t="s">
        <v>11</v>
      </c>
      <c r="D69" s="181" t="s">
        <v>115</v>
      </c>
      <c r="E69" s="124" t="s">
        <v>782</v>
      </c>
    </row>
    <row r="70" spans="1:5" x14ac:dyDescent="0.25">
      <c r="A70" s="67">
        <v>45882.666666666664</v>
      </c>
      <c r="B70" s="118">
        <v>2</v>
      </c>
      <c r="C70" s="118" t="s">
        <v>11</v>
      </c>
      <c r="D70" s="181" t="s">
        <v>115</v>
      </c>
      <c r="E70" s="124" t="s">
        <v>783</v>
      </c>
    </row>
    <row r="71" spans="1:5" x14ac:dyDescent="0.25">
      <c r="A71" s="67">
        <v>45882.666666666664</v>
      </c>
      <c r="B71" s="118">
        <v>3</v>
      </c>
      <c r="C71" s="118" t="s">
        <v>11</v>
      </c>
      <c r="D71" s="181" t="s">
        <v>115</v>
      </c>
      <c r="E71" s="124" t="s">
        <v>784</v>
      </c>
    </row>
    <row r="72" spans="1:5" x14ac:dyDescent="0.25">
      <c r="A72" s="67">
        <v>45882.666666666664</v>
      </c>
      <c r="B72" s="118">
        <v>4</v>
      </c>
      <c r="C72" s="118" t="s">
        <v>11</v>
      </c>
      <c r="D72" s="181" t="s">
        <v>115</v>
      </c>
      <c r="E72" s="124" t="s">
        <v>785</v>
      </c>
    </row>
    <row r="73" spans="1:5" x14ac:dyDescent="0.25">
      <c r="A73" s="67">
        <v>45882.666666666664</v>
      </c>
      <c r="B73" s="118">
        <v>5</v>
      </c>
      <c r="C73" s="118" t="s">
        <v>11</v>
      </c>
      <c r="D73" s="181" t="s">
        <v>115</v>
      </c>
      <c r="E73" s="124" t="s">
        <v>786</v>
      </c>
    </row>
    <row r="74" spans="1:5" x14ac:dyDescent="0.25">
      <c r="A74" s="67">
        <v>45882.666666666664</v>
      </c>
      <c r="B74" s="118">
        <v>6</v>
      </c>
      <c r="C74" s="118" t="s">
        <v>11</v>
      </c>
      <c r="D74" s="181" t="s">
        <v>115</v>
      </c>
      <c r="E74" s="124" t="s">
        <v>787</v>
      </c>
    </row>
    <row r="75" spans="1:5" x14ac:dyDescent="0.25">
      <c r="A75" s="67">
        <v>45882.666666666664</v>
      </c>
      <c r="B75" s="118">
        <v>7</v>
      </c>
      <c r="C75" s="118" t="s">
        <v>11</v>
      </c>
      <c r="D75" s="181" t="s">
        <v>115</v>
      </c>
      <c r="E75" s="124" t="s">
        <v>788</v>
      </c>
    </row>
    <row r="76" spans="1:5" x14ac:dyDescent="0.25">
      <c r="A76" s="67">
        <v>45882.666666666664</v>
      </c>
      <c r="B76" s="118">
        <v>8</v>
      </c>
      <c r="C76" s="118" t="s">
        <v>11</v>
      </c>
      <c r="D76" s="181" t="s">
        <v>115</v>
      </c>
      <c r="E76" s="124" t="s">
        <v>789</v>
      </c>
    </row>
    <row r="77" spans="1:5" x14ac:dyDescent="0.25">
      <c r="A77" s="67">
        <v>45882.666666666664</v>
      </c>
      <c r="B77" s="118">
        <v>9</v>
      </c>
      <c r="C77" s="118" t="s">
        <v>11</v>
      </c>
      <c r="D77" s="181" t="s">
        <v>115</v>
      </c>
      <c r="E77" s="124" t="s">
        <v>790</v>
      </c>
    </row>
    <row r="78" spans="1:5" x14ac:dyDescent="0.25">
      <c r="A78" s="67">
        <v>45882.666666666664</v>
      </c>
      <c r="B78" s="118">
        <v>10</v>
      </c>
      <c r="C78" s="118" t="s">
        <v>11</v>
      </c>
      <c r="D78" s="181" t="s">
        <v>115</v>
      </c>
      <c r="E78" s="124" t="s">
        <v>791</v>
      </c>
    </row>
    <row r="79" spans="1:5" x14ac:dyDescent="0.25">
      <c r="A79" s="67">
        <v>45882.666666666664</v>
      </c>
      <c r="B79" s="118">
        <v>11</v>
      </c>
      <c r="C79" s="118" t="s">
        <v>11</v>
      </c>
      <c r="D79" s="181" t="s">
        <v>115</v>
      </c>
      <c r="E79" s="124" t="s">
        <v>792</v>
      </c>
    </row>
    <row r="80" spans="1:5" x14ac:dyDescent="0.25">
      <c r="A80" s="67">
        <v>45882.666666666664</v>
      </c>
      <c r="B80" s="118">
        <v>12</v>
      </c>
      <c r="C80" s="118" t="s">
        <v>11</v>
      </c>
      <c r="D80" s="181" t="s">
        <v>115</v>
      </c>
      <c r="E80" s="124" t="s">
        <v>793</v>
      </c>
    </row>
    <row r="81" spans="1:5" x14ac:dyDescent="0.25">
      <c r="A81" s="67">
        <v>45882.666666666664</v>
      </c>
      <c r="B81" s="118">
        <v>13</v>
      </c>
      <c r="C81" s="118" t="s">
        <v>11</v>
      </c>
      <c r="D81" s="181" t="s">
        <v>115</v>
      </c>
      <c r="E81" s="124" t="s">
        <v>794</v>
      </c>
    </row>
    <row r="82" spans="1:5" x14ac:dyDescent="0.25">
      <c r="A82" s="67">
        <v>45882.666666666664</v>
      </c>
      <c r="B82" s="118">
        <v>15</v>
      </c>
      <c r="C82" s="118" t="s">
        <v>11</v>
      </c>
      <c r="D82" s="181" t="s">
        <v>115</v>
      </c>
      <c r="E82" s="124" t="s">
        <v>795</v>
      </c>
    </row>
    <row r="83" spans="1:5" x14ac:dyDescent="0.25">
      <c r="A83" s="67">
        <v>45882.666666666664</v>
      </c>
      <c r="B83" s="118">
        <v>17</v>
      </c>
      <c r="C83" s="118" t="s">
        <v>11</v>
      </c>
      <c r="D83" s="181" t="s">
        <v>115</v>
      </c>
      <c r="E83" s="124" t="s">
        <v>796</v>
      </c>
    </row>
    <row r="84" spans="1:5" x14ac:dyDescent="0.25">
      <c r="A84" s="67">
        <v>45891.666666666664</v>
      </c>
      <c r="B84" s="118">
        <v>1</v>
      </c>
      <c r="C84" s="118" t="s">
        <v>11</v>
      </c>
      <c r="D84" s="181" t="s">
        <v>1616</v>
      </c>
      <c r="E84" s="123" t="s">
        <v>752</v>
      </c>
    </row>
    <row r="85" spans="1:5" x14ac:dyDescent="0.25">
      <c r="A85" s="67">
        <v>45891.666666666664</v>
      </c>
      <c r="B85" s="118">
        <v>2</v>
      </c>
      <c r="C85" s="118" t="s">
        <v>11</v>
      </c>
      <c r="D85" s="181" t="s">
        <v>1627</v>
      </c>
      <c r="E85" s="123" t="s">
        <v>753</v>
      </c>
    </row>
    <row r="86" spans="1:5" x14ac:dyDescent="0.25">
      <c r="A86" s="67">
        <v>45891.666666666664</v>
      </c>
      <c r="B86" s="118">
        <v>3</v>
      </c>
      <c r="C86" s="118" t="s">
        <v>11</v>
      </c>
      <c r="D86" s="181" t="s">
        <v>1627</v>
      </c>
      <c r="E86" s="123" t="s">
        <v>754</v>
      </c>
    </row>
    <row r="87" spans="1:5" x14ac:dyDescent="0.25">
      <c r="A87" s="67">
        <v>45891.666666666664</v>
      </c>
      <c r="B87" s="118">
        <v>4</v>
      </c>
      <c r="C87" s="118" t="s">
        <v>11</v>
      </c>
      <c r="D87" s="181" t="s">
        <v>1626</v>
      </c>
      <c r="E87" s="123" t="s">
        <v>755</v>
      </c>
    </row>
    <row r="88" spans="1:5" x14ac:dyDescent="0.25">
      <c r="A88" s="67">
        <v>45891.666666666664</v>
      </c>
      <c r="B88" s="118">
        <v>5</v>
      </c>
      <c r="C88" s="118" t="s">
        <v>11</v>
      </c>
      <c r="D88" s="181" t="s">
        <v>1616</v>
      </c>
      <c r="E88" s="123" t="s">
        <v>756</v>
      </c>
    </row>
    <row r="89" spans="1:5" x14ac:dyDescent="0.25">
      <c r="A89" s="67">
        <v>45891.666666666664</v>
      </c>
      <c r="B89" s="118">
        <v>7</v>
      </c>
      <c r="C89" s="118" t="s">
        <v>11</v>
      </c>
      <c r="D89" s="181" t="s">
        <v>1618</v>
      </c>
      <c r="E89" s="123" t="s">
        <v>757</v>
      </c>
    </row>
    <row r="90" spans="1:5" x14ac:dyDescent="0.25">
      <c r="A90" s="67">
        <v>45891.666666666664</v>
      </c>
      <c r="B90" s="118">
        <v>7</v>
      </c>
      <c r="C90" s="118" t="s">
        <v>11</v>
      </c>
      <c r="D90" s="181" t="s">
        <v>1610</v>
      </c>
      <c r="E90" s="123" t="s">
        <v>758</v>
      </c>
    </row>
    <row r="91" spans="1:5" x14ac:dyDescent="0.25">
      <c r="A91" s="67">
        <v>45891.666666666664</v>
      </c>
      <c r="B91" s="118">
        <v>8</v>
      </c>
      <c r="C91" s="118" t="s">
        <v>11</v>
      </c>
      <c r="D91" s="181" t="s">
        <v>1620</v>
      </c>
      <c r="E91" s="123" t="s">
        <v>759</v>
      </c>
    </row>
    <row r="92" spans="1:5" x14ac:dyDescent="0.25">
      <c r="A92" s="67">
        <v>45891.666666666664</v>
      </c>
      <c r="B92" s="118">
        <v>9</v>
      </c>
      <c r="C92" s="118" t="s">
        <v>11</v>
      </c>
      <c r="D92" s="181" t="s">
        <v>1628</v>
      </c>
      <c r="E92" s="123" t="s">
        <v>760</v>
      </c>
    </row>
    <row r="93" spans="1:5" x14ac:dyDescent="0.25">
      <c r="A93" s="67">
        <v>45891.666666666664</v>
      </c>
      <c r="B93" s="118">
        <v>10</v>
      </c>
      <c r="C93" s="118" t="s">
        <v>11</v>
      </c>
      <c r="D93" s="181" t="s">
        <v>1619</v>
      </c>
      <c r="E93" s="123" t="s">
        <v>761</v>
      </c>
    </row>
    <row r="94" spans="1:5" x14ac:dyDescent="0.25">
      <c r="A94" s="67">
        <v>45891.666666666664</v>
      </c>
      <c r="B94" s="118">
        <v>11</v>
      </c>
      <c r="C94" s="118" t="s">
        <v>11</v>
      </c>
      <c r="D94" s="181" t="s">
        <v>1629</v>
      </c>
      <c r="E94" s="123" t="s">
        <v>762</v>
      </c>
    </row>
    <row r="95" spans="1:5" x14ac:dyDescent="0.25">
      <c r="A95" s="67">
        <v>45891.666666666664</v>
      </c>
      <c r="B95" s="118">
        <v>12</v>
      </c>
      <c r="C95" s="118" t="s">
        <v>11</v>
      </c>
      <c r="D95" s="181" t="s">
        <v>1629</v>
      </c>
      <c r="E95" s="123" t="s">
        <v>763</v>
      </c>
    </row>
    <row r="96" spans="1:5" x14ac:dyDescent="0.25">
      <c r="A96" s="67">
        <v>45891.666666666664</v>
      </c>
      <c r="B96" s="118">
        <v>13</v>
      </c>
      <c r="C96" s="118" t="s">
        <v>11</v>
      </c>
      <c r="D96" s="181" t="s">
        <v>1618</v>
      </c>
      <c r="E96" s="123" t="s">
        <v>764</v>
      </c>
    </row>
    <row r="97" spans="1:5" x14ac:dyDescent="0.25">
      <c r="A97" s="67">
        <v>45915.666666666664</v>
      </c>
      <c r="B97" s="118">
        <v>1</v>
      </c>
      <c r="C97" s="118" t="s">
        <v>11</v>
      </c>
      <c r="D97" s="181" t="s">
        <v>1635</v>
      </c>
      <c r="E97" s="119" t="s">
        <v>765</v>
      </c>
    </row>
    <row r="98" spans="1:5" x14ac:dyDescent="0.25">
      <c r="A98" s="67">
        <v>45915.666666666664</v>
      </c>
      <c r="B98" s="118">
        <v>2</v>
      </c>
      <c r="C98" s="118" t="s">
        <v>11</v>
      </c>
      <c r="D98" s="181" t="s">
        <v>1636</v>
      </c>
      <c r="E98" s="119" t="s">
        <v>766</v>
      </c>
    </row>
    <row r="99" spans="1:5" x14ac:dyDescent="0.25">
      <c r="A99" s="67">
        <v>45915.666666666664</v>
      </c>
      <c r="B99" s="118">
        <v>3</v>
      </c>
      <c r="C99" s="118" t="s">
        <v>11</v>
      </c>
      <c r="D99" s="181" t="s">
        <v>1637</v>
      </c>
      <c r="E99" s="119" t="s">
        <v>767</v>
      </c>
    </row>
    <row r="100" spans="1:5" x14ac:dyDescent="0.25">
      <c r="A100" s="67">
        <v>45915.666666666664</v>
      </c>
      <c r="B100" s="118">
        <v>4</v>
      </c>
      <c r="C100" s="118" t="s">
        <v>11</v>
      </c>
      <c r="D100" s="181" t="s">
        <v>1638</v>
      </c>
      <c r="E100" s="119" t="s">
        <v>768</v>
      </c>
    </row>
    <row r="101" spans="1:5" x14ac:dyDescent="0.25">
      <c r="A101" s="67">
        <v>45915.666666666664</v>
      </c>
      <c r="B101" s="118">
        <v>5</v>
      </c>
      <c r="C101" s="118" t="s">
        <v>11</v>
      </c>
      <c r="D101" s="181" t="s">
        <v>1639</v>
      </c>
      <c r="E101" s="119" t="s">
        <v>769</v>
      </c>
    </row>
    <row r="102" spans="1:5" x14ac:dyDescent="0.25">
      <c r="A102" s="67">
        <v>45915.666666666664</v>
      </c>
      <c r="B102" s="118">
        <v>6</v>
      </c>
      <c r="C102" s="118" t="s">
        <v>11</v>
      </c>
      <c r="D102" s="181" t="s">
        <v>1641</v>
      </c>
      <c r="E102" s="119" t="s">
        <v>770</v>
      </c>
    </row>
    <row r="103" spans="1:5" x14ac:dyDescent="0.25">
      <c r="A103" s="67">
        <v>45915.666666666664</v>
      </c>
      <c r="B103" s="118">
        <v>7</v>
      </c>
      <c r="C103" s="118" t="s">
        <v>11</v>
      </c>
      <c r="D103" s="181" t="s">
        <v>1630</v>
      </c>
      <c r="E103" s="119" t="s">
        <v>771</v>
      </c>
    </row>
    <row r="104" spans="1:5" x14ac:dyDescent="0.25">
      <c r="A104" s="67">
        <v>45915.666666666664</v>
      </c>
      <c r="B104" s="118">
        <v>8</v>
      </c>
      <c r="C104" s="118" t="s">
        <v>11</v>
      </c>
      <c r="D104" s="181" t="s">
        <v>1631</v>
      </c>
      <c r="E104" s="119" t="s">
        <v>772</v>
      </c>
    </row>
    <row r="105" spans="1:5" x14ac:dyDescent="0.25">
      <c r="A105" s="67">
        <v>45915.666666666664</v>
      </c>
      <c r="B105" s="118">
        <v>9</v>
      </c>
      <c r="C105" s="118" t="s">
        <v>11</v>
      </c>
      <c r="D105" s="181" t="s">
        <v>1633</v>
      </c>
      <c r="E105" s="119" t="s">
        <v>773</v>
      </c>
    </row>
    <row r="106" spans="1:5" x14ac:dyDescent="0.25">
      <c r="A106" s="67">
        <v>45915.666666666664</v>
      </c>
      <c r="B106" s="118">
        <v>10</v>
      </c>
      <c r="C106" s="118" t="s">
        <v>11</v>
      </c>
      <c r="D106" s="181" t="s">
        <v>1632</v>
      </c>
      <c r="E106" s="119" t="s">
        <v>774</v>
      </c>
    </row>
    <row r="107" spans="1:5" x14ac:dyDescent="0.25">
      <c r="A107" s="67">
        <v>45915.666666666664</v>
      </c>
      <c r="B107" s="118">
        <v>11</v>
      </c>
      <c r="C107" s="118" t="s">
        <v>11</v>
      </c>
      <c r="D107" s="181" t="s">
        <v>1634</v>
      </c>
      <c r="E107" s="119" t="s">
        <v>775</v>
      </c>
    </row>
    <row r="108" spans="1:5" x14ac:dyDescent="0.25">
      <c r="A108" s="67">
        <v>45915.666666666664</v>
      </c>
      <c r="B108" s="118">
        <v>12</v>
      </c>
      <c r="C108" s="118" t="s">
        <v>11</v>
      </c>
      <c r="D108" s="181" t="s">
        <v>1634</v>
      </c>
      <c r="E108" s="119" t="s">
        <v>776</v>
      </c>
    </row>
    <row r="109" spans="1:5" x14ac:dyDescent="0.25">
      <c r="A109" s="67">
        <v>45915.666666666664</v>
      </c>
      <c r="B109" s="118">
        <v>13</v>
      </c>
      <c r="C109" s="118" t="s">
        <v>11</v>
      </c>
      <c r="D109" s="181">
        <v>22</v>
      </c>
      <c r="E109" s="119" t="s">
        <v>777</v>
      </c>
    </row>
  </sheetData>
  <sortState xmlns:xlrd2="http://schemas.microsoft.com/office/spreadsheetml/2017/richdata2" ref="A2:D100">
    <sortCondition ref="A2:A100"/>
    <sortCondition ref="B2:B100"/>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82D014-7055-474D-B714-CCB6B9C0336D}">
  <dimension ref="A1:AE136"/>
  <sheetViews>
    <sheetView topLeftCell="N1" workbookViewId="0">
      <selection activeCell="U107" sqref="U107"/>
    </sheetView>
  </sheetViews>
  <sheetFormatPr defaultRowHeight="15" x14ac:dyDescent="0.25"/>
  <cols>
    <col min="1" max="1" width="18.42578125" bestFit="1" customWidth="1"/>
    <col min="2" max="2" width="13.42578125" bestFit="1" customWidth="1"/>
    <col min="3" max="3" width="15.7109375" bestFit="1" customWidth="1"/>
    <col min="31" max="31" width="18.42578125" style="118" bestFit="1" customWidth="1"/>
  </cols>
  <sheetData>
    <row r="1" spans="1:31" x14ac:dyDescent="0.25">
      <c r="A1" t="s">
        <v>1753</v>
      </c>
      <c r="B1" s="118" t="s">
        <v>1684</v>
      </c>
      <c r="C1" s="118" t="s">
        <v>1685</v>
      </c>
      <c r="D1" s="118" t="s">
        <v>1686</v>
      </c>
      <c r="E1" s="118" t="s">
        <v>1687</v>
      </c>
      <c r="F1" s="118" t="s">
        <v>1688</v>
      </c>
      <c r="G1" s="118" t="s">
        <v>1689</v>
      </c>
      <c r="H1" s="118" t="s">
        <v>1690</v>
      </c>
      <c r="I1" s="118" t="s">
        <v>1691</v>
      </c>
      <c r="J1" s="118" t="s">
        <v>1692</v>
      </c>
      <c r="K1" s="118" t="s">
        <v>1693</v>
      </c>
      <c r="L1" s="118" t="s">
        <v>1694</v>
      </c>
      <c r="M1" s="118" t="s">
        <v>1695</v>
      </c>
      <c r="N1" s="118" t="s">
        <v>1696</v>
      </c>
      <c r="O1" s="118" t="s">
        <v>1697</v>
      </c>
      <c r="P1" s="118" t="s">
        <v>1698</v>
      </c>
      <c r="Q1" s="118" t="s">
        <v>1699</v>
      </c>
      <c r="R1" s="118" t="s">
        <v>1700</v>
      </c>
      <c r="S1" s="118" t="s">
        <v>1701</v>
      </c>
      <c r="T1" s="118" t="s">
        <v>1702</v>
      </c>
      <c r="U1" s="118" t="s">
        <v>1703</v>
      </c>
      <c r="V1" s="118" t="s">
        <v>1704</v>
      </c>
      <c r="W1" s="118" t="s">
        <v>1705</v>
      </c>
      <c r="X1" s="118" t="s">
        <v>1706</v>
      </c>
      <c r="Y1" s="118" t="s">
        <v>1707</v>
      </c>
      <c r="Z1" s="118" t="s">
        <v>1708</v>
      </c>
      <c r="AA1" s="118" t="s">
        <v>1709</v>
      </c>
      <c r="AB1" s="118" t="s">
        <v>1710</v>
      </c>
      <c r="AC1" s="118" t="s">
        <v>1711</v>
      </c>
      <c r="AD1" t="s">
        <v>1033</v>
      </c>
      <c r="AE1" s="118" t="s">
        <v>1753</v>
      </c>
    </row>
    <row r="2" spans="1:31" x14ac:dyDescent="0.25">
      <c r="A2" s="131" t="s">
        <v>685</v>
      </c>
      <c r="B2" s="188">
        <v>0.49334490740740738</v>
      </c>
      <c r="C2" s="19">
        <v>45787</v>
      </c>
      <c r="D2" s="118">
        <v>250510</v>
      </c>
      <c r="E2" s="118">
        <v>0</v>
      </c>
      <c r="F2" s="118">
        <v>745.8</v>
      </c>
      <c r="G2" s="118">
        <v>436.5</v>
      </c>
      <c r="H2" s="118">
        <v>493.4</v>
      </c>
      <c r="I2" s="118">
        <v>321</v>
      </c>
      <c r="J2" s="118">
        <v>0.24</v>
      </c>
      <c r="K2" s="118">
        <v>498.5</v>
      </c>
      <c r="L2" s="118">
        <v>0.74099999999999999</v>
      </c>
      <c r="M2" s="118">
        <v>0.754</v>
      </c>
      <c r="N2" s="118">
        <v>1.052</v>
      </c>
      <c r="O2" s="118">
        <v>115.5</v>
      </c>
      <c r="P2" s="118">
        <v>10.7</v>
      </c>
      <c r="Q2" s="118">
        <v>117.1</v>
      </c>
      <c r="R2" s="118">
        <v>40.681759999999997</v>
      </c>
      <c r="S2" s="118">
        <v>-85.888440000000003</v>
      </c>
      <c r="T2" s="118">
        <v>222.8</v>
      </c>
      <c r="U2" s="118">
        <v>196.3</v>
      </c>
      <c r="V2" s="118">
        <v>8.25</v>
      </c>
      <c r="W2" s="118">
        <v>-109.3</v>
      </c>
      <c r="X2" s="118">
        <v>12.1</v>
      </c>
      <c r="Y2" s="118">
        <v>0</v>
      </c>
      <c r="Z2" s="118">
        <v>18.965</v>
      </c>
      <c r="AA2" s="118">
        <v>10.210000000000001</v>
      </c>
      <c r="AB2" s="118">
        <v>0</v>
      </c>
      <c r="AC2" s="118" t="s">
        <v>1717</v>
      </c>
      <c r="AD2" s="180">
        <v>1</v>
      </c>
      <c r="AE2" s="131" t="s">
        <v>685</v>
      </c>
    </row>
    <row r="3" spans="1:31" x14ac:dyDescent="0.25">
      <c r="A3" s="119" t="s">
        <v>686</v>
      </c>
      <c r="B3" s="188">
        <v>0.50399305555555551</v>
      </c>
      <c r="C3" s="19">
        <v>45787</v>
      </c>
      <c r="D3" s="118">
        <v>250510</v>
      </c>
      <c r="E3" s="118">
        <v>0</v>
      </c>
      <c r="F3" s="118">
        <v>745.6</v>
      </c>
      <c r="G3" s="118">
        <v>503</v>
      </c>
      <c r="H3" s="118">
        <v>576.1</v>
      </c>
      <c r="I3" s="118">
        <v>374</v>
      </c>
      <c r="J3" s="118">
        <v>0.28000000000000003</v>
      </c>
      <c r="K3" s="118">
        <v>582.6</v>
      </c>
      <c r="L3" s="118">
        <v>0.40500000000000003</v>
      </c>
      <c r="M3" s="118">
        <v>0.42499999999999999</v>
      </c>
      <c r="N3" s="118">
        <v>0.57499999999999996</v>
      </c>
      <c r="O3" s="118">
        <v>117.3</v>
      </c>
      <c r="P3" s="118">
        <v>11</v>
      </c>
      <c r="Q3" s="118">
        <v>119</v>
      </c>
      <c r="R3" s="118">
        <v>40.676839999999999</v>
      </c>
      <c r="S3" s="118">
        <v>-85.876919999999998</v>
      </c>
      <c r="T3" s="118">
        <v>222.5</v>
      </c>
      <c r="U3" s="118">
        <v>175.6</v>
      </c>
      <c r="V3" s="118">
        <v>8.2799999999999994</v>
      </c>
      <c r="W3" s="118">
        <v>-110.9</v>
      </c>
      <c r="X3" s="118">
        <v>12.1</v>
      </c>
      <c r="Y3" s="118">
        <v>0</v>
      </c>
      <c r="Z3" s="118">
        <v>18.353999999999999</v>
      </c>
      <c r="AA3" s="118">
        <v>4.17</v>
      </c>
      <c r="AB3" s="118">
        <v>0</v>
      </c>
      <c r="AC3" s="118" t="s">
        <v>1716</v>
      </c>
      <c r="AD3" s="180">
        <v>2</v>
      </c>
      <c r="AE3" s="119" t="s">
        <v>686</v>
      </c>
    </row>
    <row r="4" spans="1:31" x14ac:dyDescent="0.25">
      <c r="A4" s="119" t="s">
        <v>687</v>
      </c>
      <c r="B4" s="188">
        <v>0.52861111111111114</v>
      </c>
      <c r="C4" s="19">
        <v>45787</v>
      </c>
      <c r="D4" s="118">
        <v>250510</v>
      </c>
      <c r="E4" s="118">
        <v>0</v>
      </c>
      <c r="F4" s="118">
        <v>745.3</v>
      </c>
      <c r="G4" s="118">
        <v>517.20000000000005</v>
      </c>
      <c r="H4" s="118">
        <v>585.79999999999995</v>
      </c>
      <c r="I4" s="118">
        <v>381</v>
      </c>
      <c r="J4" s="118">
        <v>0.28000000000000003</v>
      </c>
      <c r="K4" s="118">
        <v>592</v>
      </c>
      <c r="L4" s="118">
        <v>0.54600000000000004</v>
      </c>
      <c r="M4" s="118">
        <v>0.53100000000000003</v>
      </c>
      <c r="N4" s="118">
        <v>0.77500000000000002</v>
      </c>
      <c r="O4" s="118">
        <v>126.2</v>
      </c>
      <c r="P4" s="118">
        <v>11.72</v>
      </c>
      <c r="Q4" s="118">
        <v>128.1</v>
      </c>
      <c r="R4" s="118">
        <v>40.670589999999997</v>
      </c>
      <c r="S4" s="118">
        <v>-85.870369999999994</v>
      </c>
      <c r="T4" s="118">
        <v>219.1</v>
      </c>
      <c r="U4" s="118">
        <v>178.7</v>
      </c>
      <c r="V4" s="118">
        <v>8.2799999999999994</v>
      </c>
      <c r="W4" s="118">
        <v>-110.6</v>
      </c>
      <c r="X4" s="118">
        <v>12.1</v>
      </c>
      <c r="Y4" s="118">
        <v>0</v>
      </c>
      <c r="Z4" s="118">
        <v>18.870999999999999</v>
      </c>
      <c r="AA4" s="118">
        <v>4.34</v>
      </c>
      <c r="AB4" s="118">
        <v>0</v>
      </c>
      <c r="AC4" s="118" t="s">
        <v>1715</v>
      </c>
      <c r="AD4" s="180">
        <v>3</v>
      </c>
      <c r="AE4" s="119" t="s">
        <v>687</v>
      </c>
    </row>
    <row r="5" spans="1:31" x14ac:dyDescent="0.25">
      <c r="A5" s="119" t="s">
        <v>688</v>
      </c>
      <c r="B5" s="188">
        <v>0.53523148148148147</v>
      </c>
      <c r="C5" s="19">
        <v>45787</v>
      </c>
      <c r="D5" s="118">
        <v>250510</v>
      </c>
      <c r="E5" s="118">
        <v>0</v>
      </c>
      <c r="F5" s="118">
        <v>745.3</v>
      </c>
      <c r="G5" s="118">
        <v>526</v>
      </c>
      <c r="H5" s="118">
        <v>591.79999999999995</v>
      </c>
      <c r="I5" s="118">
        <v>385</v>
      </c>
      <c r="J5" s="118">
        <v>0.28999999999999998</v>
      </c>
      <c r="K5" s="118">
        <v>597.79999999999995</v>
      </c>
      <c r="L5" s="118">
        <v>0.46100000000000002</v>
      </c>
      <c r="M5" s="118">
        <v>0.45</v>
      </c>
      <c r="N5" s="118">
        <v>0.65500000000000003</v>
      </c>
      <c r="O5" s="118">
        <v>141.6</v>
      </c>
      <c r="P5" s="118">
        <v>13.06</v>
      </c>
      <c r="Q5" s="118">
        <v>143.6</v>
      </c>
      <c r="R5" s="118">
        <v>40.663020000000003</v>
      </c>
      <c r="S5" s="118">
        <v>-85.866429999999994</v>
      </c>
      <c r="T5" s="118">
        <v>219.8</v>
      </c>
      <c r="U5" s="118">
        <v>184.9</v>
      </c>
      <c r="V5" s="118">
        <v>8.44</v>
      </c>
      <c r="W5" s="118">
        <v>-120.1</v>
      </c>
      <c r="X5" s="118">
        <v>12.1</v>
      </c>
      <c r="Y5" s="118">
        <v>0</v>
      </c>
      <c r="Z5" s="118">
        <v>19.175999999999998</v>
      </c>
      <c r="AA5" s="118">
        <v>5.9</v>
      </c>
      <c r="AB5" s="118">
        <v>0</v>
      </c>
      <c r="AC5" s="118" t="s">
        <v>1714</v>
      </c>
      <c r="AD5" s="180">
        <v>4</v>
      </c>
      <c r="AE5" s="119" t="s">
        <v>688</v>
      </c>
    </row>
    <row r="6" spans="1:31" x14ac:dyDescent="0.25">
      <c r="A6" s="119" t="s">
        <v>689</v>
      </c>
      <c r="B6" s="188">
        <v>0.54645833333333338</v>
      </c>
      <c r="C6" s="19">
        <v>45787</v>
      </c>
      <c r="D6" s="118">
        <v>250510</v>
      </c>
      <c r="E6" s="118">
        <v>0</v>
      </c>
      <c r="F6" s="118">
        <v>745.1</v>
      </c>
      <c r="G6" s="118">
        <v>532</v>
      </c>
      <c r="H6" s="118">
        <v>596.1</v>
      </c>
      <c r="I6" s="118">
        <v>387</v>
      </c>
      <c r="J6" s="118">
        <v>0.28999999999999998</v>
      </c>
      <c r="K6" s="118">
        <v>602</v>
      </c>
      <c r="L6" s="118">
        <v>0.378</v>
      </c>
      <c r="M6" s="118">
        <v>0.376</v>
      </c>
      <c r="N6" s="118">
        <v>0.53600000000000003</v>
      </c>
      <c r="O6" s="118">
        <v>141.1</v>
      </c>
      <c r="P6" s="118">
        <v>12.97</v>
      </c>
      <c r="Q6" s="118">
        <v>143.1</v>
      </c>
      <c r="R6" s="118">
        <v>40.668840000000003</v>
      </c>
      <c r="S6" s="118">
        <v>-85.847499999999997</v>
      </c>
      <c r="T6" s="118">
        <v>220.8</v>
      </c>
      <c r="U6" s="118">
        <v>192.7</v>
      </c>
      <c r="V6" s="118">
        <v>8.48</v>
      </c>
      <c r="W6" s="118">
        <v>-122.4</v>
      </c>
      <c r="X6" s="118">
        <v>12.1</v>
      </c>
      <c r="Y6" s="118">
        <v>0</v>
      </c>
      <c r="Z6" s="118">
        <v>19.37</v>
      </c>
      <c r="AA6" s="118">
        <v>6.81</v>
      </c>
      <c r="AB6" s="118">
        <v>0</v>
      </c>
      <c r="AC6" s="118" t="s">
        <v>1713</v>
      </c>
      <c r="AD6" s="180">
        <v>5</v>
      </c>
      <c r="AE6" s="119" t="s">
        <v>689</v>
      </c>
    </row>
    <row r="7" spans="1:31" x14ac:dyDescent="0.25">
      <c r="A7" s="119" t="s">
        <v>690</v>
      </c>
      <c r="B7" s="188">
        <v>0.5647106481481482</v>
      </c>
      <c r="C7" s="19">
        <v>45787</v>
      </c>
      <c r="D7" s="118">
        <v>250510</v>
      </c>
      <c r="E7" s="118">
        <v>0</v>
      </c>
      <c r="F7" s="118">
        <v>745</v>
      </c>
      <c r="G7" s="118">
        <v>533.70000000000005</v>
      </c>
      <c r="H7" s="118">
        <v>599</v>
      </c>
      <c r="I7" s="118">
        <v>389</v>
      </c>
      <c r="J7" s="118">
        <v>0.28999999999999998</v>
      </c>
      <c r="K7" s="118">
        <v>605</v>
      </c>
      <c r="L7" s="118">
        <v>0.36699999999999999</v>
      </c>
      <c r="M7" s="118">
        <v>0.35599999999999998</v>
      </c>
      <c r="N7" s="118">
        <v>0.52200000000000002</v>
      </c>
      <c r="O7" s="118">
        <v>114.7</v>
      </c>
      <c r="P7" s="118">
        <v>10.56</v>
      </c>
      <c r="Q7" s="118">
        <v>116.3</v>
      </c>
      <c r="R7" s="118">
        <v>40.673729999999999</v>
      </c>
      <c r="S7" s="118">
        <v>-85.831779999999995</v>
      </c>
      <c r="T7" s="118">
        <v>221.3</v>
      </c>
      <c r="U7" s="118">
        <v>174.4</v>
      </c>
      <c r="V7" s="118">
        <v>8.15</v>
      </c>
      <c r="W7" s="118">
        <v>-103.2</v>
      </c>
      <c r="X7" s="118">
        <v>12.1</v>
      </c>
      <c r="Y7" s="118">
        <v>0</v>
      </c>
      <c r="Z7" s="118">
        <v>19.283999999999999</v>
      </c>
      <c r="AA7" s="118">
        <v>9.34</v>
      </c>
      <c r="AB7" s="118">
        <v>0</v>
      </c>
      <c r="AC7" s="118" t="s">
        <v>1712</v>
      </c>
      <c r="AD7" s="180">
        <v>6</v>
      </c>
      <c r="AE7" s="119" t="s">
        <v>690</v>
      </c>
    </row>
    <row r="8" spans="1:31" s="118" customFormat="1" x14ac:dyDescent="0.25">
      <c r="A8" s="119" t="s">
        <v>691</v>
      </c>
      <c r="B8" s="188"/>
      <c r="C8" s="19"/>
      <c r="AD8" s="180"/>
      <c r="AE8" s="119" t="s">
        <v>691</v>
      </c>
    </row>
    <row r="9" spans="1:31" x14ac:dyDescent="0.25">
      <c r="A9" s="119" t="s">
        <v>692</v>
      </c>
      <c r="B9" s="188">
        <v>0.47240740740740739</v>
      </c>
      <c r="C9" s="19">
        <v>45787</v>
      </c>
      <c r="D9" s="118">
        <v>250510</v>
      </c>
      <c r="E9" s="118">
        <v>0</v>
      </c>
      <c r="F9" s="118">
        <v>745.9</v>
      </c>
      <c r="G9" s="118">
        <v>363.8</v>
      </c>
      <c r="H9" s="118">
        <v>417.6</v>
      </c>
      <c r="I9" s="118">
        <v>271</v>
      </c>
      <c r="J9" s="118">
        <v>0.2</v>
      </c>
      <c r="K9" s="118">
        <v>422.4</v>
      </c>
      <c r="L9" s="118">
        <v>0.69799999999999995</v>
      </c>
      <c r="M9" s="118">
        <v>0.71</v>
      </c>
      <c r="N9" s="118">
        <v>0.99099999999999999</v>
      </c>
      <c r="O9" s="118">
        <v>103.4</v>
      </c>
      <c r="P9" s="118">
        <v>9.73</v>
      </c>
      <c r="Q9" s="118">
        <v>104.9</v>
      </c>
      <c r="R9" s="118">
        <v>40.691690000000001</v>
      </c>
      <c r="S9" s="118">
        <v>-85.908100000000005</v>
      </c>
      <c r="T9" s="118">
        <v>219.5</v>
      </c>
      <c r="U9" s="118">
        <v>168.3</v>
      </c>
      <c r="V9" s="118">
        <v>8.0299999999999994</v>
      </c>
      <c r="W9" s="118">
        <v>-96</v>
      </c>
      <c r="X9" s="118">
        <v>12.1</v>
      </c>
      <c r="Y9" s="118">
        <v>0</v>
      </c>
      <c r="Z9" s="118">
        <v>18.251000000000001</v>
      </c>
      <c r="AA9" s="118">
        <v>20.149999999999999</v>
      </c>
      <c r="AB9" s="118">
        <v>0</v>
      </c>
      <c r="AC9" s="118" t="s">
        <v>1722</v>
      </c>
      <c r="AD9" s="180">
        <v>8</v>
      </c>
      <c r="AE9" s="119" t="s">
        <v>692</v>
      </c>
    </row>
    <row r="10" spans="1:31" x14ac:dyDescent="0.25">
      <c r="A10" s="119" t="s">
        <v>693</v>
      </c>
      <c r="B10" s="188">
        <v>0.44878472222222221</v>
      </c>
      <c r="C10" s="19">
        <v>45787</v>
      </c>
      <c r="D10" s="118">
        <v>250510</v>
      </c>
      <c r="E10" s="118">
        <v>0</v>
      </c>
      <c r="F10" s="118">
        <v>746</v>
      </c>
      <c r="G10" s="118">
        <v>321.5</v>
      </c>
      <c r="H10" s="118">
        <v>370.4</v>
      </c>
      <c r="I10" s="118">
        <v>241</v>
      </c>
      <c r="J10" s="118">
        <v>0.18</v>
      </c>
      <c r="K10" s="118">
        <v>374.8</v>
      </c>
      <c r="L10" s="118">
        <v>0.59099999999999997</v>
      </c>
      <c r="M10" s="118">
        <v>0.57399999999999995</v>
      </c>
      <c r="N10" s="118">
        <v>0.83899999999999997</v>
      </c>
      <c r="O10" s="118">
        <v>97.4</v>
      </c>
      <c r="P10" s="118">
        <v>9.1999999999999993</v>
      </c>
      <c r="Q10" s="118">
        <v>98.8</v>
      </c>
      <c r="R10" s="118">
        <v>40.704099999999997</v>
      </c>
      <c r="S10" s="118">
        <v>-85.929789999999997</v>
      </c>
      <c r="T10" s="118">
        <v>220.3</v>
      </c>
      <c r="U10" s="118">
        <v>180.3</v>
      </c>
      <c r="V10" s="118">
        <v>7.84</v>
      </c>
      <c r="W10" s="118">
        <v>-85.4</v>
      </c>
      <c r="X10" s="118">
        <v>12.1</v>
      </c>
      <c r="Y10" s="118">
        <v>0</v>
      </c>
      <c r="Z10" s="118">
        <v>18.077999999999999</v>
      </c>
      <c r="AA10" s="118">
        <v>28.39</v>
      </c>
      <c r="AB10" s="118">
        <v>0</v>
      </c>
      <c r="AC10" s="118" t="s">
        <v>1718</v>
      </c>
      <c r="AD10" s="180">
        <v>9</v>
      </c>
      <c r="AE10" s="119" t="s">
        <v>693</v>
      </c>
    </row>
    <row r="11" spans="1:31" x14ac:dyDescent="0.25">
      <c r="A11" s="119" t="s">
        <v>694</v>
      </c>
      <c r="AE11" s="119" t="s">
        <v>694</v>
      </c>
    </row>
    <row r="12" spans="1:31" x14ac:dyDescent="0.25">
      <c r="A12" s="119" t="s">
        <v>695</v>
      </c>
      <c r="B12" s="188">
        <v>0.43712962962962965</v>
      </c>
      <c r="C12" s="19">
        <v>45787</v>
      </c>
      <c r="D12" s="118">
        <v>250510</v>
      </c>
      <c r="E12" s="118">
        <v>0</v>
      </c>
      <c r="F12" s="118">
        <v>745.9</v>
      </c>
      <c r="G12" s="118">
        <v>318</v>
      </c>
      <c r="H12" s="118">
        <v>365.3</v>
      </c>
      <c r="I12" s="118">
        <v>237</v>
      </c>
      <c r="J12" s="118">
        <v>0.18</v>
      </c>
      <c r="K12" s="118">
        <v>369.5</v>
      </c>
      <c r="L12" s="118">
        <v>0.54700000000000004</v>
      </c>
      <c r="M12" s="118">
        <v>0.55400000000000005</v>
      </c>
      <c r="N12" s="118">
        <v>0.77700000000000002</v>
      </c>
      <c r="O12" s="118">
        <v>92</v>
      </c>
      <c r="P12" s="118">
        <v>8.67</v>
      </c>
      <c r="Q12" s="118">
        <v>93.4</v>
      </c>
      <c r="R12" s="118">
        <v>40.710990000000002</v>
      </c>
      <c r="S12" s="118">
        <v>-85.938450000000003</v>
      </c>
      <c r="T12" s="118">
        <v>219.4</v>
      </c>
      <c r="U12" s="118">
        <v>165.8</v>
      </c>
      <c r="V12" s="118">
        <v>7.79</v>
      </c>
      <c r="W12" s="118">
        <v>-82.4</v>
      </c>
      <c r="X12" s="118">
        <v>12.1</v>
      </c>
      <c r="Y12" s="118">
        <v>0</v>
      </c>
      <c r="Z12" s="118">
        <v>18.216000000000001</v>
      </c>
      <c r="AA12" s="118">
        <v>29.7</v>
      </c>
      <c r="AB12" s="118">
        <v>0</v>
      </c>
      <c r="AC12" s="118" t="s">
        <v>1719</v>
      </c>
      <c r="AD12" s="180">
        <v>11</v>
      </c>
      <c r="AE12" s="119" t="s">
        <v>695</v>
      </c>
    </row>
    <row r="13" spans="1:31" x14ac:dyDescent="0.25">
      <c r="A13" s="119" t="s">
        <v>696</v>
      </c>
      <c r="B13" s="188">
        <v>0.42231481481481481</v>
      </c>
      <c r="C13" s="19">
        <v>45787</v>
      </c>
      <c r="D13" s="118">
        <v>250510</v>
      </c>
      <c r="E13" s="118">
        <v>0</v>
      </c>
      <c r="F13" s="118">
        <v>745.9</v>
      </c>
      <c r="G13" s="118">
        <v>314</v>
      </c>
      <c r="H13" s="118">
        <v>362.7</v>
      </c>
      <c r="I13" s="118">
        <v>236</v>
      </c>
      <c r="J13" s="118">
        <v>0.17</v>
      </c>
      <c r="K13" s="118">
        <v>367</v>
      </c>
      <c r="L13" s="118">
        <v>0.64800000000000002</v>
      </c>
      <c r="M13" s="118">
        <v>0.64200000000000002</v>
      </c>
      <c r="N13" s="118">
        <v>0.92</v>
      </c>
      <c r="O13" s="118">
        <v>93.6</v>
      </c>
      <c r="P13" s="118">
        <v>8.85</v>
      </c>
      <c r="Q13" s="118">
        <v>94.9</v>
      </c>
      <c r="R13" s="118">
        <v>40.711509999999997</v>
      </c>
      <c r="S13" s="118">
        <v>-85.950850000000003</v>
      </c>
      <c r="T13" s="118">
        <v>216.9</v>
      </c>
      <c r="U13" s="118">
        <v>165.2</v>
      </c>
      <c r="V13" s="118">
        <v>7.79</v>
      </c>
      <c r="W13" s="118">
        <v>-82.1</v>
      </c>
      <c r="X13" s="118">
        <v>12.1</v>
      </c>
      <c r="Y13" s="118">
        <v>0</v>
      </c>
      <c r="Z13" s="118">
        <v>17.971</v>
      </c>
      <c r="AA13" s="118">
        <v>32.17</v>
      </c>
      <c r="AB13" s="118">
        <v>0</v>
      </c>
      <c r="AC13" s="118" t="s">
        <v>1720</v>
      </c>
      <c r="AD13" s="180">
        <v>12</v>
      </c>
      <c r="AE13" s="119" t="s">
        <v>696</v>
      </c>
    </row>
    <row r="14" spans="1:31" x14ac:dyDescent="0.25">
      <c r="A14" s="119" t="s">
        <v>697</v>
      </c>
      <c r="B14" s="188">
        <v>0.55508101851851854</v>
      </c>
      <c r="C14" s="19">
        <v>45787</v>
      </c>
      <c r="D14" s="118">
        <v>250510</v>
      </c>
      <c r="E14" s="118">
        <v>0</v>
      </c>
      <c r="F14" s="118">
        <v>745</v>
      </c>
      <c r="G14" s="118">
        <v>534.4</v>
      </c>
      <c r="H14" s="118">
        <v>600.29999999999995</v>
      </c>
      <c r="I14" s="118">
        <v>390</v>
      </c>
      <c r="J14" s="118">
        <v>0.28999999999999998</v>
      </c>
      <c r="K14" s="118">
        <v>606.29999999999995</v>
      </c>
      <c r="L14" s="118">
        <v>0.435</v>
      </c>
      <c r="M14" s="118">
        <v>0.437</v>
      </c>
      <c r="N14" s="118">
        <v>0.61799999999999999</v>
      </c>
      <c r="O14" s="118">
        <v>128.1</v>
      </c>
      <c r="P14" s="118">
        <v>11.81</v>
      </c>
      <c r="Q14" s="118">
        <v>130</v>
      </c>
      <c r="R14" s="118">
        <v>40.672640000000001</v>
      </c>
      <c r="S14" s="118">
        <v>-85.841290000000001</v>
      </c>
      <c r="T14" s="118">
        <v>219.8</v>
      </c>
      <c r="U14" s="118">
        <v>187.7</v>
      </c>
      <c r="V14" s="118">
        <v>8.35</v>
      </c>
      <c r="W14" s="118">
        <v>-114.8</v>
      </c>
      <c r="X14" s="118">
        <v>12.1</v>
      </c>
      <c r="Y14" s="118">
        <v>0</v>
      </c>
      <c r="Z14" s="118">
        <v>19.259</v>
      </c>
      <c r="AA14" s="118">
        <v>7.5</v>
      </c>
      <c r="AB14" s="118">
        <v>0</v>
      </c>
      <c r="AC14" s="118" t="s">
        <v>1721</v>
      </c>
      <c r="AD14" s="180">
        <v>13</v>
      </c>
      <c r="AE14" s="119" t="s">
        <v>697</v>
      </c>
    </row>
    <row r="15" spans="1:31" s="118" customFormat="1" x14ac:dyDescent="0.25">
      <c r="A15" s="119"/>
      <c r="B15" s="188">
        <v>0.50399305555555551</v>
      </c>
      <c r="C15" s="19">
        <v>45787</v>
      </c>
      <c r="D15" s="118">
        <v>250510</v>
      </c>
      <c r="E15" s="118">
        <v>0</v>
      </c>
      <c r="F15" s="118">
        <v>745.6</v>
      </c>
      <c r="G15" s="118">
        <v>503</v>
      </c>
      <c r="H15" s="118">
        <v>576.1</v>
      </c>
      <c r="I15" s="118">
        <v>374</v>
      </c>
      <c r="J15" s="118">
        <v>0.28000000000000003</v>
      </c>
      <c r="K15" s="118">
        <v>582.6</v>
      </c>
      <c r="L15" s="118">
        <v>0.40500000000000003</v>
      </c>
      <c r="M15" s="118">
        <v>0.42499999999999999</v>
      </c>
      <c r="N15" s="118">
        <v>0.57499999999999996</v>
      </c>
      <c r="O15" s="118">
        <v>117.3</v>
      </c>
      <c r="P15" s="118">
        <v>11</v>
      </c>
      <c r="Q15" s="118">
        <v>119</v>
      </c>
      <c r="R15" s="118">
        <v>40.676839999999999</v>
      </c>
      <c r="S15" s="118">
        <v>-85.876919999999998</v>
      </c>
      <c r="T15" s="118">
        <v>222.5</v>
      </c>
      <c r="U15" s="118">
        <v>175.6</v>
      </c>
      <c r="V15" s="118">
        <v>8.2799999999999994</v>
      </c>
      <c r="W15" s="118">
        <v>-110.9</v>
      </c>
      <c r="X15" s="118">
        <v>12.1</v>
      </c>
      <c r="Y15" s="118">
        <v>0</v>
      </c>
      <c r="Z15" s="118">
        <v>18.353999999999999</v>
      </c>
      <c r="AA15" s="118">
        <v>4.17</v>
      </c>
      <c r="AB15" s="118">
        <v>0</v>
      </c>
      <c r="AC15" s="118" t="s">
        <v>1723</v>
      </c>
      <c r="AD15" s="180">
        <v>17</v>
      </c>
      <c r="AE15" s="119"/>
    </row>
    <row r="16" spans="1:31" x14ac:dyDescent="0.25">
      <c r="B16" s="188">
        <v>0.51165509259259256</v>
      </c>
      <c r="C16" s="19">
        <v>45819</v>
      </c>
      <c r="D16" s="118">
        <v>250611</v>
      </c>
      <c r="E16" s="118">
        <v>0</v>
      </c>
      <c r="F16" s="118">
        <v>743.5</v>
      </c>
      <c r="G16" s="118">
        <v>409.7</v>
      </c>
      <c r="H16" s="118">
        <v>438.1</v>
      </c>
      <c r="I16" s="118">
        <v>285</v>
      </c>
      <c r="J16" s="118">
        <v>0.21</v>
      </c>
      <c r="K16" s="118">
        <v>440.9</v>
      </c>
      <c r="L16" s="118">
        <v>0.51400000000000001</v>
      </c>
      <c r="M16" s="118">
        <v>0.503</v>
      </c>
      <c r="N16" s="118">
        <v>0.73</v>
      </c>
      <c r="O16" s="118">
        <v>76.5</v>
      </c>
      <c r="P16" s="118">
        <v>6.73</v>
      </c>
      <c r="Q16" s="118">
        <v>77.900000000000006</v>
      </c>
      <c r="R16" s="118">
        <v>40.676960000000001</v>
      </c>
      <c r="S16" s="118">
        <v>-85.876819999999995</v>
      </c>
      <c r="T16" s="118">
        <v>222.5</v>
      </c>
      <c r="U16" s="118">
        <v>182.4</v>
      </c>
      <c r="V16" s="118">
        <v>7.67</v>
      </c>
      <c r="W16" s="118">
        <v>-73.400000000000006</v>
      </c>
      <c r="X16" s="118">
        <v>11.9</v>
      </c>
      <c r="Y16" s="118">
        <v>0</v>
      </c>
      <c r="Z16" s="118">
        <v>21.606999999999999</v>
      </c>
      <c r="AA16" s="118">
        <v>38.79</v>
      </c>
      <c r="AB16" s="118">
        <v>0</v>
      </c>
      <c r="AC16" s="118" t="s">
        <v>1716</v>
      </c>
      <c r="AD16" s="180">
        <v>2</v>
      </c>
    </row>
    <row r="17" spans="2:30" x14ac:dyDescent="0.25">
      <c r="B17" s="188">
        <v>0.52130787037037041</v>
      </c>
      <c r="C17" s="19">
        <v>45819</v>
      </c>
      <c r="D17" s="118">
        <v>250611</v>
      </c>
      <c r="E17" s="118">
        <v>0</v>
      </c>
      <c r="F17" s="118">
        <v>743.5</v>
      </c>
      <c r="G17" s="118">
        <v>384.1</v>
      </c>
      <c r="H17" s="118">
        <v>411.6</v>
      </c>
      <c r="I17" s="118">
        <v>268</v>
      </c>
      <c r="J17" s="118">
        <v>0.2</v>
      </c>
      <c r="K17" s="118">
        <v>414.3</v>
      </c>
      <c r="L17" s="118">
        <v>0.44800000000000001</v>
      </c>
      <c r="M17" s="118">
        <v>0.40300000000000002</v>
      </c>
      <c r="N17" s="118">
        <v>0.63600000000000001</v>
      </c>
      <c r="O17" s="118">
        <v>79.5</v>
      </c>
      <c r="P17" s="118">
        <v>7.01</v>
      </c>
      <c r="Q17" s="118">
        <v>80.900000000000006</v>
      </c>
      <c r="R17" s="118">
        <v>40.670830000000002</v>
      </c>
      <c r="S17" s="118">
        <v>-85.870189999999994</v>
      </c>
      <c r="T17" s="118">
        <v>224.5</v>
      </c>
      <c r="U17" s="118">
        <v>176.3</v>
      </c>
      <c r="V17" s="118">
        <v>7.79</v>
      </c>
      <c r="W17" s="118">
        <v>-80.599999999999994</v>
      </c>
      <c r="X17" s="118">
        <v>12</v>
      </c>
      <c r="Y17" s="118">
        <v>0</v>
      </c>
      <c r="Z17" s="118">
        <v>21.498000000000001</v>
      </c>
      <c r="AA17" s="118">
        <v>51.54</v>
      </c>
      <c r="AB17" s="118">
        <v>0</v>
      </c>
      <c r="AC17" s="118" t="s">
        <v>1715</v>
      </c>
      <c r="AD17" s="180">
        <v>3</v>
      </c>
    </row>
    <row r="18" spans="2:30" x14ac:dyDescent="0.25">
      <c r="B18" s="188">
        <v>0.52913194444444445</v>
      </c>
      <c r="C18" s="19">
        <v>45819</v>
      </c>
      <c r="D18" s="118">
        <v>250611</v>
      </c>
      <c r="E18" s="118">
        <v>0</v>
      </c>
      <c r="F18" s="118">
        <v>743.5</v>
      </c>
      <c r="G18" s="118">
        <v>385.3</v>
      </c>
      <c r="H18" s="118">
        <v>413.2</v>
      </c>
      <c r="I18" s="118">
        <v>269</v>
      </c>
      <c r="J18" s="118">
        <v>0.2</v>
      </c>
      <c r="K18" s="118">
        <v>415.8</v>
      </c>
      <c r="L18" s="118">
        <v>0.36899999999999999</v>
      </c>
      <c r="M18" s="118">
        <v>0.38300000000000001</v>
      </c>
      <c r="N18" s="118">
        <v>0.52400000000000002</v>
      </c>
      <c r="O18" s="118">
        <v>80.400000000000006</v>
      </c>
      <c r="P18" s="118">
        <v>7.1</v>
      </c>
      <c r="Q18" s="118">
        <v>81.900000000000006</v>
      </c>
      <c r="R18" s="118">
        <v>40.663200000000003</v>
      </c>
      <c r="S18" s="118">
        <v>-85.866259999999997</v>
      </c>
      <c r="T18" s="118">
        <v>222.7</v>
      </c>
      <c r="U18" s="118">
        <v>173.7</v>
      </c>
      <c r="V18" s="118">
        <v>7.66</v>
      </c>
      <c r="W18" s="118">
        <v>-72.7</v>
      </c>
      <c r="X18" s="118">
        <v>12</v>
      </c>
      <c r="Y18" s="118">
        <v>0</v>
      </c>
      <c r="Z18" s="118">
        <v>21.474</v>
      </c>
      <c r="AA18" s="118">
        <v>53.25</v>
      </c>
      <c r="AB18" s="118">
        <v>0</v>
      </c>
      <c r="AC18" s="118" t="s">
        <v>1714</v>
      </c>
      <c r="AD18" s="180">
        <v>4</v>
      </c>
    </row>
    <row r="19" spans="2:30" x14ac:dyDescent="0.25">
      <c r="B19" s="188">
        <v>0.53839120370370375</v>
      </c>
      <c r="C19" s="19">
        <v>45819</v>
      </c>
      <c r="D19" s="118">
        <v>250611</v>
      </c>
      <c r="E19" s="118">
        <v>0</v>
      </c>
      <c r="F19" s="118">
        <v>743.4</v>
      </c>
      <c r="G19" s="118">
        <v>375.2</v>
      </c>
      <c r="H19" s="118">
        <v>404.2</v>
      </c>
      <c r="I19" s="118">
        <v>263</v>
      </c>
      <c r="J19" s="118">
        <v>0.19</v>
      </c>
      <c r="K19" s="118">
        <v>407</v>
      </c>
      <c r="L19" s="118">
        <v>0.32900000000000001</v>
      </c>
      <c r="M19" s="118">
        <v>0.35</v>
      </c>
      <c r="N19" s="118">
        <v>0.46700000000000003</v>
      </c>
      <c r="O19" s="118">
        <v>75.900000000000006</v>
      </c>
      <c r="P19" s="118">
        <v>6.73</v>
      </c>
      <c r="Q19" s="118">
        <v>77.3</v>
      </c>
      <c r="R19" s="118">
        <v>40.668640000000003</v>
      </c>
      <c r="S19" s="118">
        <v>-85.847729999999999</v>
      </c>
      <c r="T19" s="118">
        <v>222.3</v>
      </c>
      <c r="U19" s="118">
        <v>156.5</v>
      </c>
      <c r="V19" s="118">
        <v>7.5</v>
      </c>
      <c r="W19" s="118">
        <v>-63.1</v>
      </c>
      <c r="X19" s="118">
        <v>12</v>
      </c>
      <c r="Y19" s="118">
        <v>0</v>
      </c>
      <c r="Z19" s="118">
        <v>21.241</v>
      </c>
      <c r="AA19" s="118">
        <v>62.03</v>
      </c>
      <c r="AB19" s="118">
        <v>0</v>
      </c>
      <c r="AC19" s="118" t="s">
        <v>1713</v>
      </c>
      <c r="AD19" s="180">
        <v>5</v>
      </c>
    </row>
    <row r="20" spans="2:30" x14ac:dyDescent="0.25">
      <c r="B20" s="188">
        <v>0.5544675925925926</v>
      </c>
      <c r="C20" s="19">
        <v>45819</v>
      </c>
      <c r="D20" s="118">
        <v>250611</v>
      </c>
      <c r="E20" s="118">
        <v>0</v>
      </c>
      <c r="F20" s="118">
        <v>743.2</v>
      </c>
      <c r="G20" s="118">
        <v>379.9</v>
      </c>
      <c r="H20" s="118">
        <v>405.9</v>
      </c>
      <c r="I20" s="118">
        <v>264</v>
      </c>
      <c r="J20" s="118">
        <v>0.19</v>
      </c>
      <c r="K20" s="118">
        <v>408.4</v>
      </c>
      <c r="L20" s="118">
        <v>0.41699999999999998</v>
      </c>
      <c r="M20" s="118">
        <v>0.41399999999999998</v>
      </c>
      <c r="N20" s="118">
        <v>0.59199999999999997</v>
      </c>
      <c r="O20" s="118">
        <v>76.2</v>
      </c>
      <c r="P20" s="118">
        <v>6.71</v>
      </c>
      <c r="Q20" s="118">
        <v>77.599999999999994</v>
      </c>
      <c r="R20" s="118">
        <v>40.673699999999997</v>
      </c>
      <c r="S20" s="118">
        <v>-85.831729999999993</v>
      </c>
      <c r="T20" s="118">
        <v>222</v>
      </c>
      <c r="U20" s="118">
        <v>175.2</v>
      </c>
      <c r="V20" s="118">
        <v>7.5</v>
      </c>
      <c r="W20" s="118">
        <v>-63.6</v>
      </c>
      <c r="X20" s="118">
        <v>11.9</v>
      </c>
      <c r="Y20" s="118">
        <v>0</v>
      </c>
      <c r="Z20" s="118">
        <v>21.645</v>
      </c>
      <c r="AA20" s="118">
        <v>64.78</v>
      </c>
      <c r="AB20" s="118">
        <v>0</v>
      </c>
      <c r="AC20" s="118" t="s">
        <v>1712</v>
      </c>
      <c r="AD20" s="180">
        <v>6</v>
      </c>
    </row>
    <row r="21" spans="2:30" x14ac:dyDescent="0.25">
      <c r="B21" s="188">
        <v>0.39447916666666666</v>
      </c>
      <c r="C21" s="19">
        <v>45819</v>
      </c>
      <c r="D21" s="118">
        <v>250611</v>
      </c>
      <c r="E21" s="118">
        <v>0</v>
      </c>
      <c r="F21" s="118">
        <v>743.8</v>
      </c>
      <c r="G21" s="118">
        <v>492.5</v>
      </c>
      <c r="H21" s="118">
        <v>518.9</v>
      </c>
      <c r="I21" s="118">
        <v>337</v>
      </c>
      <c r="J21" s="118">
        <v>0.25</v>
      </c>
      <c r="K21" s="118">
        <v>521.5</v>
      </c>
      <c r="L21" s="118">
        <v>0.35699999999999998</v>
      </c>
      <c r="M21" s="118">
        <v>0.35699999999999998</v>
      </c>
      <c r="N21" s="118">
        <v>0.50700000000000001</v>
      </c>
      <c r="O21" s="118">
        <v>96.5</v>
      </c>
      <c r="P21" s="118">
        <v>8.3699999999999992</v>
      </c>
      <c r="Q21" s="118">
        <v>98.3</v>
      </c>
      <c r="R21" s="118">
        <v>40.688299999999998</v>
      </c>
      <c r="S21" s="118">
        <v>-85.895660000000007</v>
      </c>
      <c r="T21" s="118">
        <v>222.2</v>
      </c>
      <c r="U21" s="118">
        <v>119.5</v>
      </c>
      <c r="V21" s="118">
        <v>8.06</v>
      </c>
      <c r="W21" s="118">
        <v>-96.8</v>
      </c>
      <c r="X21" s="118">
        <v>11.9</v>
      </c>
      <c r="Y21" s="118">
        <v>0</v>
      </c>
      <c r="Z21" s="118">
        <v>22.341999999999999</v>
      </c>
      <c r="AA21" s="118">
        <v>10.16</v>
      </c>
      <c r="AB21" s="118">
        <v>0</v>
      </c>
      <c r="AC21" s="118" t="s">
        <v>1724</v>
      </c>
      <c r="AD21" s="180">
        <v>7</v>
      </c>
    </row>
    <row r="22" spans="2:30" x14ac:dyDescent="0.25">
      <c r="B22" s="188">
        <v>0.40781250000000002</v>
      </c>
      <c r="C22" s="19">
        <v>45819</v>
      </c>
      <c r="D22" s="118">
        <v>250611</v>
      </c>
      <c r="E22" s="118">
        <v>0</v>
      </c>
      <c r="F22" s="118">
        <v>743.8</v>
      </c>
      <c r="G22" s="118">
        <v>500</v>
      </c>
      <c r="H22" s="118">
        <v>526</v>
      </c>
      <c r="I22" s="118">
        <v>342</v>
      </c>
      <c r="J22" s="118">
        <v>0.25</v>
      </c>
      <c r="K22" s="118">
        <v>528.6</v>
      </c>
      <c r="L22" s="118">
        <v>0.71899999999999997</v>
      </c>
      <c r="M22" s="118">
        <v>0.71799999999999997</v>
      </c>
      <c r="N22" s="118">
        <v>1.02</v>
      </c>
      <c r="O22" s="118">
        <v>96.6</v>
      </c>
      <c r="P22" s="118">
        <v>8.3699999999999992</v>
      </c>
      <c r="Q22" s="118">
        <v>98.3</v>
      </c>
      <c r="R22" s="118">
        <v>40.691600000000001</v>
      </c>
      <c r="S22" s="118">
        <v>-85.908259999999999</v>
      </c>
      <c r="T22" s="118">
        <v>221.5</v>
      </c>
      <c r="U22" s="118">
        <v>118.4</v>
      </c>
      <c r="V22" s="118">
        <v>8.14</v>
      </c>
      <c r="W22" s="118">
        <v>-101.4</v>
      </c>
      <c r="X22" s="118">
        <v>12</v>
      </c>
      <c r="Y22" s="118">
        <v>0</v>
      </c>
      <c r="Z22" s="118">
        <v>22.408999999999999</v>
      </c>
      <c r="AA22" s="118">
        <v>6.86</v>
      </c>
      <c r="AB22" s="118">
        <v>0</v>
      </c>
      <c r="AC22" s="118" t="s">
        <v>1722</v>
      </c>
      <c r="AD22" s="180">
        <v>8</v>
      </c>
    </row>
    <row r="23" spans="2:30" x14ac:dyDescent="0.25">
      <c r="B23" s="188">
        <v>0.41981481481481481</v>
      </c>
      <c r="C23" s="19">
        <v>45819</v>
      </c>
      <c r="D23" s="118">
        <v>250611</v>
      </c>
      <c r="E23" s="118">
        <v>0</v>
      </c>
      <c r="F23" s="118">
        <v>743.5</v>
      </c>
      <c r="G23" s="118">
        <v>499.4</v>
      </c>
      <c r="H23" s="118">
        <v>524.1</v>
      </c>
      <c r="I23" s="118">
        <v>341</v>
      </c>
      <c r="J23" s="118">
        <v>0.25</v>
      </c>
      <c r="K23" s="118">
        <v>526.6</v>
      </c>
      <c r="L23" s="118">
        <v>0.443</v>
      </c>
      <c r="M23" s="118">
        <v>0.42899999999999999</v>
      </c>
      <c r="N23" s="118">
        <v>0.629</v>
      </c>
      <c r="O23" s="118">
        <v>100.8</v>
      </c>
      <c r="P23" s="118">
        <v>8.7200000000000006</v>
      </c>
      <c r="Q23" s="118">
        <v>102.7</v>
      </c>
      <c r="R23" s="118">
        <v>40.693600000000004</v>
      </c>
      <c r="S23" s="118">
        <v>-85.919619999999995</v>
      </c>
      <c r="T23" s="118">
        <v>224</v>
      </c>
      <c r="U23" s="118">
        <v>146.19999999999999</v>
      </c>
      <c r="V23" s="118">
        <v>8.19</v>
      </c>
      <c r="W23" s="118">
        <v>-104.4</v>
      </c>
      <c r="X23" s="118">
        <v>12</v>
      </c>
      <c r="Y23" s="118">
        <v>0</v>
      </c>
      <c r="Z23" s="118">
        <v>22.529</v>
      </c>
      <c r="AA23" s="118">
        <v>6.01</v>
      </c>
      <c r="AB23" s="118">
        <v>0</v>
      </c>
      <c r="AC23" s="118" t="s">
        <v>1725</v>
      </c>
      <c r="AD23" s="180">
        <v>10</v>
      </c>
    </row>
    <row r="24" spans="2:30" x14ac:dyDescent="0.25">
      <c r="B24" s="188">
        <v>0.4420486111111111</v>
      </c>
      <c r="C24" s="19">
        <v>45819</v>
      </c>
      <c r="D24" s="118">
        <v>250611</v>
      </c>
      <c r="E24" s="118">
        <v>0</v>
      </c>
      <c r="F24" s="118">
        <v>743.6</v>
      </c>
      <c r="G24" s="118">
        <v>473.7</v>
      </c>
      <c r="H24" s="118">
        <v>498.4</v>
      </c>
      <c r="I24" s="118">
        <v>324</v>
      </c>
      <c r="J24" s="118">
        <v>0.24</v>
      </c>
      <c r="K24" s="118">
        <v>500.9</v>
      </c>
      <c r="L24" s="118">
        <v>0.34799999999999998</v>
      </c>
      <c r="M24" s="118">
        <v>0.34200000000000003</v>
      </c>
      <c r="N24" s="118">
        <v>0.49399999999999999</v>
      </c>
      <c r="O24" s="118">
        <v>101.9</v>
      </c>
      <c r="P24" s="118">
        <v>8.83</v>
      </c>
      <c r="Q24" s="118">
        <v>103.8</v>
      </c>
      <c r="R24" s="118">
        <v>40.711239999999997</v>
      </c>
      <c r="S24" s="118">
        <v>-85.938540000000003</v>
      </c>
      <c r="T24" s="118">
        <v>221.6</v>
      </c>
      <c r="U24" s="118">
        <v>111.7</v>
      </c>
      <c r="V24" s="118">
        <v>8.31</v>
      </c>
      <c r="W24" s="118">
        <v>-111.5</v>
      </c>
      <c r="X24" s="118">
        <v>12</v>
      </c>
      <c r="Y24" s="118">
        <v>0</v>
      </c>
      <c r="Z24" s="118">
        <v>22.399000000000001</v>
      </c>
      <c r="AA24" s="118">
        <v>3.84</v>
      </c>
      <c r="AB24" s="118">
        <v>0</v>
      </c>
      <c r="AC24" s="118" t="s">
        <v>1719</v>
      </c>
      <c r="AD24" s="180">
        <v>11</v>
      </c>
    </row>
    <row r="25" spans="2:30" x14ac:dyDescent="0.25">
      <c r="B25" s="188">
        <v>0.46902777777777777</v>
      </c>
      <c r="C25" s="19">
        <v>45819</v>
      </c>
      <c r="D25" s="118">
        <v>250611</v>
      </c>
      <c r="E25" s="118">
        <v>0</v>
      </c>
      <c r="F25" s="118">
        <v>743.6</v>
      </c>
      <c r="G25" s="118">
        <v>5.3</v>
      </c>
      <c r="H25" s="118">
        <v>5.8</v>
      </c>
      <c r="I25" s="118">
        <v>4</v>
      </c>
      <c r="J25" s="118">
        <v>0</v>
      </c>
      <c r="K25" s="118">
        <v>5.9</v>
      </c>
      <c r="L25" s="118">
        <v>8.8999999999999996E-2</v>
      </c>
      <c r="M25" s="118">
        <v>8.3000000000000004E-2</v>
      </c>
      <c r="N25" s="118">
        <v>0.126</v>
      </c>
      <c r="O25" s="118">
        <v>97.4</v>
      </c>
      <c r="P25" s="118">
        <v>8.75</v>
      </c>
      <c r="Q25" s="118">
        <v>99.2</v>
      </c>
      <c r="R25" s="118">
        <v>40.713279999999997</v>
      </c>
      <c r="S25" s="118">
        <v>-85.948920000000001</v>
      </c>
      <c r="T25" s="118">
        <v>224.2</v>
      </c>
      <c r="U25" s="118">
        <v>119.7</v>
      </c>
      <c r="V25" s="118">
        <v>6.78</v>
      </c>
      <c r="W25" s="118">
        <v>-20.5</v>
      </c>
      <c r="X25" s="118">
        <v>11.9</v>
      </c>
      <c r="Y25" s="118">
        <v>0</v>
      </c>
      <c r="Z25" s="118">
        <v>20.571999999999999</v>
      </c>
      <c r="AA25" s="118">
        <v>13.42</v>
      </c>
      <c r="AB25" s="118">
        <v>0</v>
      </c>
      <c r="AC25" s="118" t="s">
        <v>1720</v>
      </c>
      <c r="AD25" s="180">
        <v>12</v>
      </c>
    </row>
    <row r="26" spans="2:30" x14ac:dyDescent="0.25">
      <c r="B26" s="188">
        <v>0.54686342592592596</v>
      </c>
      <c r="C26" s="19">
        <v>45819</v>
      </c>
      <c r="D26" s="118">
        <v>250611</v>
      </c>
      <c r="E26" s="118">
        <v>0</v>
      </c>
      <c r="F26" s="118">
        <v>743.2</v>
      </c>
      <c r="G26" s="118">
        <v>379.3</v>
      </c>
      <c r="H26" s="118">
        <v>408.6</v>
      </c>
      <c r="I26" s="118">
        <v>266</v>
      </c>
      <c r="J26" s="118">
        <v>0.2</v>
      </c>
      <c r="K26" s="118">
        <v>411.4</v>
      </c>
      <c r="L26" s="118">
        <v>0.35399999999999998</v>
      </c>
      <c r="M26" s="118">
        <v>0.33600000000000002</v>
      </c>
      <c r="N26" s="118">
        <v>0.502</v>
      </c>
      <c r="O26" s="118">
        <v>75.599999999999994</v>
      </c>
      <c r="P26" s="118">
        <v>6.7</v>
      </c>
      <c r="Q26" s="118">
        <v>77</v>
      </c>
      <c r="R26" s="118">
        <v>40.67266</v>
      </c>
      <c r="S26" s="118">
        <v>-85.841419999999999</v>
      </c>
      <c r="T26" s="118">
        <v>221.5</v>
      </c>
      <c r="U26" s="118">
        <v>171.6</v>
      </c>
      <c r="V26" s="118">
        <v>7.49</v>
      </c>
      <c r="W26" s="118">
        <v>-62.8</v>
      </c>
      <c r="X26" s="118">
        <v>12</v>
      </c>
      <c r="Y26" s="118">
        <v>0</v>
      </c>
      <c r="Z26" s="118">
        <v>21.254000000000001</v>
      </c>
      <c r="AA26" s="118">
        <v>63.34</v>
      </c>
      <c r="AB26" s="118">
        <v>0</v>
      </c>
      <c r="AC26" s="118" t="s">
        <v>1721</v>
      </c>
      <c r="AD26" s="180">
        <v>13</v>
      </c>
    </row>
    <row r="27" spans="2:30" x14ac:dyDescent="0.25">
      <c r="B27" s="188">
        <v>0.40760416666666666</v>
      </c>
      <c r="C27" s="19">
        <v>45835</v>
      </c>
      <c r="D27" s="118">
        <v>250627</v>
      </c>
      <c r="E27" s="118">
        <v>0</v>
      </c>
      <c r="F27" s="118">
        <v>740.8</v>
      </c>
      <c r="G27" s="118">
        <v>436.5</v>
      </c>
      <c r="H27" s="118">
        <v>396.3</v>
      </c>
      <c r="I27" s="118">
        <v>258</v>
      </c>
      <c r="J27" s="118">
        <v>0.19</v>
      </c>
      <c r="K27" s="118">
        <v>391.8</v>
      </c>
      <c r="L27" s="118">
        <v>0.35599999999999998</v>
      </c>
      <c r="M27" s="118">
        <v>0.38100000000000001</v>
      </c>
      <c r="N27" s="118">
        <v>0.504</v>
      </c>
      <c r="O27" s="118">
        <v>192.3</v>
      </c>
      <c r="P27" s="118">
        <v>14.44</v>
      </c>
      <c r="Q27" s="118">
        <v>196.6</v>
      </c>
      <c r="R27" s="118">
        <v>40.681800000000003</v>
      </c>
      <c r="S27" s="118">
        <v>-85.888980000000004</v>
      </c>
      <c r="T27" s="118">
        <v>221.6</v>
      </c>
      <c r="U27" s="118">
        <v>149.69999999999999</v>
      </c>
      <c r="V27" s="118">
        <v>8.86</v>
      </c>
      <c r="W27" s="118">
        <v>-147</v>
      </c>
      <c r="X27" s="118">
        <v>12</v>
      </c>
      <c r="Y27" s="118">
        <v>0</v>
      </c>
      <c r="Z27" s="118">
        <v>30.306999999999999</v>
      </c>
      <c r="AA27" s="118">
        <v>11.29</v>
      </c>
      <c r="AB27" s="118">
        <v>0</v>
      </c>
      <c r="AC27" s="118" t="s">
        <v>1717</v>
      </c>
      <c r="AD27" s="180">
        <v>1</v>
      </c>
    </row>
    <row r="28" spans="2:30" x14ac:dyDescent="0.25">
      <c r="B28" s="188">
        <v>0.3989699074074074</v>
      </c>
      <c r="C28" s="19">
        <v>45835</v>
      </c>
      <c r="D28" s="118">
        <v>250627</v>
      </c>
      <c r="E28" s="118">
        <v>0</v>
      </c>
      <c r="F28" s="118">
        <v>740.9</v>
      </c>
      <c r="G28" s="118">
        <v>443.2</v>
      </c>
      <c r="H28" s="118">
        <v>404.7</v>
      </c>
      <c r="I28" s="118">
        <v>263</v>
      </c>
      <c r="J28" s="118">
        <v>0.19</v>
      </c>
      <c r="K28" s="118">
        <v>400.4</v>
      </c>
      <c r="L28" s="118">
        <v>0.46500000000000002</v>
      </c>
      <c r="M28" s="118">
        <v>0.46100000000000002</v>
      </c>
      <c r="N28" s="118">
        <v>0.65900000000000003</v>
      </c>
      <c r="O28" s="118">
        <v>186.3</v>
      </c>
      <c r="P28" s="118">
        <v>14.08</v>
      </c>
      <c r="Q28" s="118">
        <v>190.5</v>
      </c>
      <c r="R28" s="118">
        <v>40.67698</v>
      </c>
      <c r="S28" s="118">
        <v>-85.876990000000006</v>
      </c>
      <c r="T28" s="118">
        <v>222.2</v>
      </c>
      <c r="U28" s="118">
        <v>145.6</v>
      </c>
      <c r="V28" s="118">
        <v>8.8699999999999992</v>
      </c>
      <c r="W28" s="118">
        <v>-147.69999999999999</v>
      </c>
      <c r="X28" s="118">
        <v>12</v>
      </c>
      <c r="Y28" s="118">
        <v>0</v>
      </c>
      <c r="Z28" s="118">
        <v>29.984000000000002</v>
      </c>
      <c r="AA28" s="118">
        <v>11.48</v>
      </c>
      <c r="AB28" s="118">
        <v>0</v>
      </c>
      <c r="AC28" s="118" t="s">
        <v>1716</v>
      </c>
      <c r="AD28" s="180">
        <v>2</v>
      </c>
    </row>
    <row r="29" spans="2:30" x14ac:dyDescent="0.25">
      <c r="B29" s="188">
        <v>0.39270833333333333</v>
      </c>
      <c r="C29" s="19">
        <v>45835</v>
      </c>
      <c r="D29" s="118">
        <v>250627</v>
      </c>
      <c r="E29" s="118">
        <v>0</v>
      </c>
      <c r="F29" s="118">
        <v>740.9</v>
      </c>
      <c r="G29" s="118">
        <v>444.9</v>
      </c>
      <c r="H29" s="118">
        <v>407.6</v>
      </c>
      <c r="I29" s="118">
        <v>265</v>
      </c>
      <c r="J29" s="118">
        <v>0.19</v>
      </c>
      <c r="K29" s="118">
        <v>403.5</v>
      </c>
      <c r="L29" s="118">
        <v>0.56200000000000006</v>
      </c>
      <c r="M29" s="118">
        <v>0.57899999999999996</v>
      </c>
      <c r="N29" s="118">
        <v>0.79600000000000004</v>
      </c>
      <c r="O29" s="118">
        <v>177.5</v>
      </c>
      <c r="P29" s="118">
        <v>13.45</v>
      </c>
      <c r="Q29" s="118">
        <v>181.4</v>
      </c>
      <c r="R29" s="118">
        <v>40.670940000000002</v>
      </c>
      <c r="S29" s="118">
        <v>-85.870339999999999</v>
      </c>
      <c r="T29" s="118">
        <v>221.7</v>
      </c>
      <c r="U29" s="118">
        <v>135.4</v>
      </c>
      <c r="V29" s="118">
        <v>8.83</v>
      </c>
      <c r="W29" s="118">
        <v>-145</v>
      </c>
      <c r="X29" s="118">
        <v>12</v>
      </c>
      <c r="Y29" s="118">
        <v>0</v>
      </c>
      <c r="Z29" s="118">
        <v>29.79</v>
      </c>
      <c r="AA29" s="118">
        <v>9.2200000000000006</v>
      </c>
      <c r="AB29" s="118">
        <v>0</v>
      </c>
      <c r="AC29" s="118" t="s">
        <v>1715</v>
      </c>
      <c r="AD29" s="180">
        <v>3</v>
      </c>
    </row>
    <row r="30" spans="2:30" x14ac:dyDescent="0.25">
      <c r="B30" s="188">
        <v>0.38521990740740741</v>
      </c>
      <c r="C30" s="19">
        <v>45835</v>
      </c>
      <c r="D30" s="118">
        <v>250627</v>
      </c>
      <c r="E30" s="118">
        <v>0</v>
      </c>
      <c r="F30" s="118">
        <v>740.9</v>
      </c>
      <c r="G30" s="118">
        <v>455.6</v>
      </c>
      <c r="H30" s="118">
        <v>416.8</v>
      </c>
      <c r="I30" s="118">
        <v>271</v>
      </c>
      <c r="J30" s="118">
        <v>0.2</v>
      </c>
      <c r="K30" s="118">
        <v>412.5</v>
      </c>
      <c r="L30" s="118">
        <v>0.46200000000000002</v>
      </c>
      <c r="M30" s="118">
        <v>0.47299999999999998</v>
      </c>
      <c r="N30" s="118">
        <v>0.65400000000000003</v>
      </c>
      <c r="O30" s="118">
        <v>179.8</v>
      </c>
      <c r="P30" s="118">
        <v>13.6</v>
      </c>
      <c r="Q30" s="118">
        <v>183.8</v>
      </c>
      <c r="R30" s="118">
        <v>40.663159999999998</v>
      </c>
      <c r="S30" s="118">
        <v>-85.866460000000004</v>
      </c>
      <c r="T30" s="118">
        <v>223.2</v>
      </c>
      <c r="U30" s="118">
        <v>136.9</v>
      </c>
      <c r="V30" s="118">
        <v>8.83</v>
      </c>
      <c r="W30" s="118">
        <v>-145</v>
      </c>
      <c r="X30" s="118">
        <v>12</v>
      </c>
      <c r="Y30" s="118">
        <v>0</v>
      </c>
      <c r="Z30" s="118">
        <v>29.879000000000001</v>
      </c>
      <c r="AA30" s="118">
        <v>8.6300000000000008</v>
      </c>
      <c r="AB30" s="118">
        <v>0</v>
      </c>
      <c r="AC30" s="118" t="s">
        <v>1714</v>
      </c>
      <c r="AD30" s="180">
        <v>4</v>
      </c>
    </row>
    <row r="31" spans="2:30" x14ac:dyDescent="0.25">
      <c r="B31" s="188">
        <v>0.37550925925925926</v>
      </c>
      <c r="C31" s="19">
        <v>45835</v>
      </c>
      <c r="D31" s="118">
        <v>250627</v>
      </c>
      <c r="E31" s="118">
        <v>0</v>
      </c>
      <c r="F31" s="118">
        <v>741</v>
      </c>
      <c r="G31" s="118">
        <v>469.2</v>
      </c>
      <c r="H31" s="118">
        <v>429.5</v>
      </c>
      <c r="I31" s="118">
        <v>279</v>
      </c>
      <c r="J31" s="118">
        <v>0.2</v>
      </c>
      <c r="K31" s="118">
        <v>425.1</v>
      </c>
      <c r="L31" s="118">
        <v>0.63500000000000001</v>
      </c>
      <c r="M31" s="118">
        <v>0.66700000000000004</v>
      </c>
      <c r="N31" s="118">
        <v>0.9</v>
      </c>
      <c r="O31" s="118">
        <v>165</v>
      </c>
      <c r="P31" s="118">
        <v>12.49</v>
      </c>
      <c r="Q31" s="118">
        <v>168.6</v>
      </c>
      <c r="R31" s="118">
        <v>40.668610000000001</v>
      </c>
      <c r="S31" s="118">
        <v>-85.847859999999997</v>
      </c>
      <c r="T31" s="118">
        <v>221.3</v>
      </c>
      <c r="U31" s="118">
        <v>116.7</v>
      </c>
      <c r="V31" s="118">
        <v>8.68</v>
      </c>
      <c r="W31" s="118">
        <v>-136.1</v>
      </c>
      <c r="X31" s="118">
        <v>11.9</v>
      </c>
      <c r="Y31" s="118">
        <v>0</v>
      </c>
      <c r="Z31" s="118">
        <v>29.837</v>
      </c>
      <c r="AA31" s="118">
        <v>12.21</v>
      </c>
      <c r="AB31" s="118">
        <v>0</v>
      </c>
      <c r="AC31" s="118" t="s">
        <v>1713</v>
      </c>
      <c r="AD31" s="180">
        <v>5</v>
      </c>
    </row>
    <row r="32" spans="2:30" x14ac:dyDescent="0.25">
      <c r="B32" s="188">
        <v>0.35130787037037037</v>
      </c>
      <c r="C32" s="19">
        <v>45835</v>
      </c>
      <c r="D32" s="118">
        <v>250627</v>
      </c>
      <c r="E32" s="118">
        <v>0</v>
      </c>
      <c r="F32" s="118">
        <v>741</v>
      </c>
      <c r="G32" s="118">
        <v>506.2</v>
      </c>
      <c r="H32" s="118">
        <v>462.1</v>
      </c>
      <c r="I32" s="118">
        <v>300</v>
      </c>
      <c r="J32" s="118">
        <v>0.22</v>
      </c>
      <c r="K32" s="118">
        <v>457.2</v>
      </c>
      <c r="L32" s="118">
        <v>0.65700000000000003</v>
      </c>
      <c r="M32" s="118">
        <v>0.65900000000000003</v>
      </c>
      <c r="N32" s="118">
        <v>0.93100000000000005</v>
      </c>
      <c r="O32" s="118">
        <v>168.8</v>
      </c>
      <c r="P32" s="118">
        <v>12.74</v>
      </c>
      <c r="Q32" s="118">
        <v>172.5</v>
      </c>
      <c r="R32" s="118">
        <v>40.673839999999998</v>
      </c>
      <c r="S32" s="118">
        <v>-85.831900000000005</v>
      </c>
      <c r="T32" s="118">
        <v>219.6</v>
      </c>
      <c r="U32" s="118">
        <v>136.1</v>
      </c>
      <c r="V32" s="118">
        <v>8.64</v>
      </c>
      <c r="W32" s="118">
        <v>-133.80000000000001</v>
      </c>
      <c r="X32" s="118">
        <v>12</v>
      </c>
      <c r="Y32" s="118">
        <v>0</v>
      </c>
      <c r="Z32" s="118">
        <v>29.998000000000001</v>
      </c>
      <c r="AA32" s="118">
        <v>7.97</v>
      </c>
      <c r="AB32" s="118">
        <v>0</v>
      </c>
      <c r="AC32" s="118" t="s">
        <v>1712</v>
      </c>
      <c r="AD32" s="180">
        <v>6</v>
      </c>
    </row>
    <row r="33" spans="1:31" x14ac:dyDescent="0.25">
      <c r="B33" s="188">
        <v>0.41803240740740738</v>
      </c>
      <c r="C33" s="19">
        <v>45835</v>
      </c>
      <c r="D33" s="118">
        <v>250627</v>
      </c>
      <c r="E33" s="118">
        <v>0</v>
      </c>
      <c r="F33" s="118">
        <v>740.9</v>
      </c>
      <c r="G33" s="118">
        <v>435.7</v>
      </c>
      <c r="H33" s="118">
        <v>403.1</v>
      </c>
      <c r="I33" s="118">
        <v>262</v>
      </c>
      <c r="J33" s="118">
        <v>0.19</v>
      </c>
      <c r="K33" s="118">
        <v>399.5</v>
      </c>
      <c r="L33" s="118">
        <v>0.501</v>
      </c>
      <c r="M33" s="118">
        <v>0.48299999999999998</v>
      </c>
      <c r="N33" s="118">
        <v>0.71</v>
      </c>
      <c r="O33" s="118">
        <v>162.19999999999999</v>
      </c>
      <c r="P33" s="118">
        <v>12.41</v>
      </c>
      <c r="Q33" s="118">
        <v>165.8</v>
      </c>
      <c r="R33" s="118">
        <v>40.687750000000001</v>
      </c>
      <c r="S33" s="118">
        <v>-85.896550000000005</v>
      </c>
      <c r="T33" s="118">
        <v>220.5</v>
      </c>
      <c r="U33" s="118">
        <v>154</v>
      </c>
      <c r="V33" s="118">
        <v>8.56</v>
      </c>
      <c r="W33" s="118">
        <v>-128.4</v>
      </c>
      <c r="X33" s="118">
        <v>12</v>
      </c>
      <c r="Y33" s="118">
        <v>0</v>
      </c>
      <c r="Z33" s="118">
        <v>29.236999999999998</v>
      </c>
      <c r="AA33" s="118">
        <v>8.51</v>
      </c>
      <c r="AB33" s="118">
        <v>0</v>
      </c>
      <c r="AC33" s="118" t="s">
        <v>1724</v>
      </c>
      <c r="AD33" s="180">
        <v>7</v>
      </c>
    </row>
    <row r="34" spans="1:31" x14ac:dyDescent="0.25">
      <c r="B34" s="188">
        <v>0.42905092592592592</v>
      </c>
      <c r="C34" s="19">
        <v>45835</v>
      </c>
      <c r="D34" s="118">
        <v>250627</v>
      </c>
      <c r="E34" s="118">
        <v>0</v>
      </c>
      <c r="F34" s="118">
        <v>740.8</v>
      </c>
      <c r="G34" s="118">
        <v>428.4</v>
      </c>
      <c r="H34" s="118">
        <v>394</v>
      </c>
      <c r="I34" s="118">
        <v>256</v>
      </c>
      <c r="J34" s="118">
        <v>0.19</v>
      </c>
      <c r="K34" s="118">
        <v>390.2</v>
      </c>
      <c r="L34" s="118">
        <v>0.34200000000000003</v>
      </c>
      <c r="M34" s="118">
        <v>0.33300000000000002</v>
      </c>
      <c r="N34" s="118">
        <v>0.48499999999999999</v>
      </c>
      <c r="O34" s="118">
        <v>176.8</v>
      </c>
      <c r="P34" s="118">
        <v>13.45</v>
      </c>
      <c r="Q34" s="118">
        <v>180.7</v>
      </c>
      <c r="R34" s="118">
        <v>40.691540000000003</v>
      </c>
      <c r="S34" s="118">
        <v>-85.90813</v>
      </c>
      <c r="T34" s="118">
        <v>221.5</v>
      </c>
      <c r="U34" s="118">
        <v>151.1</v>
      </c>
      <c r="V34" s="118">
        <v>8.67</v>
      </c>
      <c r="W34" s="118">
        <v>-135.5</v>
      </c>
      <c r="X34" s="118">
        <v>11.9</v>
      </c>
      <c r="Y34" s="118">
        <v>0</v>
      </c>
      <c r="Z34" s="118">
        <v>29.561</v>
      </c>
      <c r="AA34" s="118">
        <v>11.12</v>
      </c>
      <c r="AB34" s="118">
        <v>0</v>
      </c>
      <c r="AC34" s="118" t="s">
        <v>1722</v>
      </c>
      <c r="AD34" s="180">
        <v>8</v>
      </c>
    </row>
    <row r="35" spans="1:31" x14ac:dyDescent="0.25">
      <c r="B35" s="188">
        <v>0.45296296296296296</v>
      </c>
      <c r="C35" s="19">
        <v>45835</v>
      </c>
      <c r="D35" s="118">
        <v>250627</v>
      </c>
      <c r="E35" s="118">
        <v>0</v>
      </c>
      <c r="F35" s="118">
        <v>740.8</v>
      </c>
      <c r="G35" s="118">
        <v>434.6</v>
      </c>
      <c r="H35" s="118">
        <v>402.2</v>
      </c>
      <c r="I35" s="118">
        <v>261</v>
      </c>
      <c r="J35" s="118">
        <v>0.19</v>
      </c>
      <c r="K35" s="118">
        <v>398.7</v>
      </c>
      <c r="L35" s="118">
        <v>0.27800000000000002</v>
      </c>
      <c r="M35" s="118">
        <v>0.28999999999999998</v>
      </c>
      <c r="N35" s="118">
        <v>0.39400000000000002</v>
      </c>
      <c r="O35" s="118">
        <v>176.2</v>
      </c>
      <c r="P35" s="118">
        <v>13.49</v>
      </c>
      <c r="Q35" s="118">
        <v>180.1</v>
      </c>
      <c r="R35" s="118">
        <v>40.704189999999997</v>
      </c>
      <c r="S35" s="118">
        <v>-85.929820000000007</v>
      </c>
      <c r="T35" s="118">
        <v>222.7</v>
      </c>
      <c r="U35" s="118">
        <v>146.69999999999999</v>
      </c>
      <c r="V35" s="118">
        <v>8.65</v>
      </c>
      <c r="W35" s="118">
        <v>-133.9</v>
      </c>
      <c r="X35" s="118">
        <v>12</v>
      </c>
      <c r="Y35" s="118">
        <v>0</v>
      </c>
      <c r="Z35" s="118">
        <v>29.213000000000001</v>
      </c>
      <c r="AA35" s="118">
        <v>11.77</v>
      </c>
      <c r="AB35" s="118">
        <v>0</v>
      </c>
      <c r="AC35" s="118" t="s">
        <v>1718</v>
      </c>
      <c r="AD35" s="180">
        <v>9</v>
      </c>
    </row>
    <row r="36" spans="1:31" x14ac:dyDescent="0.25">
      <c r="B36" s="188">
        <v>0.43930555555555556</v>
      </c>
      <c r="C36" s="19">
        <v>45835</v>
      </c>
      <c r="D36" s="118">
        <v>250627</v>
      </c>
      <c r="E36" s="118">
        <v>0</v>
      </c>
      <c r="F36" s="118">
        <v>740.8</v>
      </c>
      <c r="G36" s="118">
        <v>431.5</v>
      </c>
      <c r="H36" s="118">
        <v>396.4</v>
      </c>
      <c r="I36" s="118">
        <v>258</v>
      </c>
      <c r="J36" s="118">
        <v>0.19</v>
      </c>
      <c r="K36" s="118">
        <v>392.5</v>
      </c>
      <c r="L36" s="118">
        <v>0.32100000000000001</v>
      </c>
      <c r="M36" s="118">
        <v>0.33900000000000002</v>
      </c>
      <c r="N36" s="118">
        <v>0.45400000000000001</v>
      </c>
      <c r="O36" s="118">
        <v>184.9</v>
      </c>
      <c r="P36" s="118">
        <v>14.05</v>
      </c>
      <c r="Q36" s="118">
        <v>189</v>
      </c>
      <c r="R36" s="118">
        <v>40.693330000000003</v>
      </c>
      <c r="S36" s="118">
        <v>-85.920590000000004</v>
      </c>
      <c r="T36" s="118">
        <v>217.7</v>
      </c>
      <c r="U36" s="118">
        <v>141.69999999999999</v>
      </c>
      <c r="V36" s="118">
        <v>8.68</v>
      </c>
      <c r="W36" s="118">
        <v>-135.80000000000001</v>
      </c>
      <c r="X36" s="118">
        <v>12</v>
      </c>
      <c r="Y36" s="118">
        <v>0</v>
      </c>
      <c r="Z36" s="118">
        <v>29.635000000000002</v>
      </c>
      <c r="AA36" s="118">
        <v>10.76</v>
      </c>
      <c r="AB36" s="118">
        <v>0</v>
      </c>
      <c r="AC36" s="118" t="s">
        <v>1725</v>
      </c>
      <c r="AD36" s="180">
        <v>10</v>
      </c>
    </row>
    <row r="37" spans="1:31" x14ac:dyDescent="0.25">
      <c r="B37" s="188">
        <v>0.47706018518518517</v>
      </c>
      <c r="C37" s="19">
        <v>45835</v>
      </c>
      <c r="D37" s="118">
        <v>250627</v>
      </c>
      <c r="E37" s="118">
        <v>0</v>
      </c>
      <c r="F37" s="118">
        <v>740.7</v>
      </c>
      <c r="G37" s="118">
        <v>442.4</v>
      </c>
      <c r="H37" s="118">
        <v>409.6</v>
      </c>
      <c r="I37" s="118">
        <v>266</v>
      </c>
      <c r="J37" s="118">
        <v>0.19</v>
      </c>
      <c r="K37" s="118">
        <v>406</v>
      </c>
      <c r="L37" s="118">
        <v>0.35799999999999998</v>
      </c>
      <c r="M37" s="118">
        <v>0.39200000000000002</v>
      </c>
      <c r="N37" s="118">
        <v>0.50700000000000001</v>
      </c>
      <c r="O37" s="118">
        <v>171.2</v>
      </c>
      <c r="P37" s="118">
        <v>13.11</v>
      </c>
      <c r="Q37" s="118">
        <v>175</v>
      </c>
      <c r="R37" s="118">
        <v>40.710970000000003</v>
      </c>
      <c r="S37" s="118">
        <v>-85.938550000000006</v>
      </c>
      <c r="T37" s="118">
        <v>220.5</v>
      </c>
      <c r="U37" s="118">
        <v>149.5</v>
      </c>
      <c r="V37" s="118">
        <v>8.69</v>
      </c>
      <c r="W37" s="118">
        <v>-136.5</v>
      </c>
      <c r="X37" s="118">
        <v>12</v>
      </c>
      <c r="Y37" s="118">
        <v>0</v>
      </c>
      <c r="Z37" s="118">
        <v>29.193999999999999</v>
      </c>
      <c r="AA37" s="118">
        <v>9.36</v>
      </c>
      <c r="AB37" s="118">
        <v>0</v>
      </c>
      <c r="AC37" s="118" t="s">
        <v>1719</v>
      </c>
      <c r="AD37" s="180">
        <v>11</v>
      </c>
    </row>
    <row r="38" spans="1:31" x14ac:dyDescent="0.25">
      <c r="B38" s="188">
        <v>0.46228009259259262</v>
      </c>
      <c r="C38" s="19">
        <v>45835</v>
      </c>
      <c r="D38" s="118">
        <v>250627</v>
      </c>
      <c r="E38" s="118">
        <v>0</v>
      </c>
      <c r="F38" s="118">
        <v>740.8</v>
      </c>
      <c r="G38" s="118">
        <v>440.4</v>
      </c>
      <c r="H38" s="118">
        <v>406</v>
      </c>
      <c r="I38" s="118">
        <v>264</v>
      </c>
      <c r="J38" s="118">
        <v>0.19</v>
      </c>
      <c r="K38" s="118">
        <v>402.2</v>
      </c>
      <c r="L38" s="118">
        <v>0.48199999999999998</v>
      </c>
      <c r="M38" s="118">
        <v>0.55500000000000005</v>
      </c>
      <c r="N38" s="118">
        <v>0.68300000000000005</v>
      </c>
      <c r="O38" s="118">
        <v>190.5</v>
      </c>
      <c r="P38" s="118">
        <v>14.52</v>
      </c>
      <c r="Q38" s="118">
        <v>194.7</v>
      </c>
      <c r="R38" s="118">
        <v>40.711799999999997</v>
      </c>
      <c r="S38" s="118">
        <v>-85.951329999999999</v>
      </c>
      <c r="T38" s="118">
        <v>220.8</v>
      </c>
      <c r="U38" s="118">
        <v>126.3</v>
      </c>
      <c r="V38" s="118">
        <v>8.8000000000000007</v>
      </c>
      <c r="W38" s="118">
        <v>-142.9</v>
      </c>
      <c r="X38" s="118">
        <v>12</v>
      </c>
      <c r="Y38" s="118">
        <v>0</v>
      </c>
      <c r="Z38" s="118">
        <v>29.437999999999999</v>
      </c>
      <c r="AA38" s="118">
        <v>10.63</v>
      </c>
      <c r="AB38" s="118">
        <v>0</v>
      </c>
      <c r="AC38" s="118" t="s">
        <v>1720</v>
      </c>
      <c r="AD38" s="180">
        <v>12</v>
      </c>
    </row>
    <row r="39" spans="1:31" x14ac:dyDescent="0.25">
      <c r="B39" s="188">
        <v>0.36055555555555557</v>
      </c>
      <c r="C39" s="19">
        <v>45835</v>
      </c>
      <c r="D39" s="118">
        <v>250627</v>
      </c>
      <c r="E39" s="118">
        <v>0</v>
      </c>
      <c r="F39" s="118">
        <v>741.1</v>
      </c>
      <c r="G39" s="118">
        <v>485.1</v>
      </c>
      <c r="H39" s="118">
        <v>443.1</v>
      </c>
      <c r="I39" s="118">
        <v>288</v>
      </c>
      <c r="J39" s="118">
        <v>0.21</v>
      </c>
      <c r="K39" s="118">
        <v>438.5</v>
      </c>
      <c r="L39" s="118">
        <v>0.33500000000000002</v>
      </c>
      <c r="M39" s="118">
        <v>0.34899999999999998</v>
      </c>
      <c r="N39" s="118">
        <v>0.47499999999999998</v>
      </c>
      <c r="O39" s="118">
        <v>161.6</v>
      </c>
      <c r="P39" s="118">
        <v>12.21</v>
      </c>
      <c r="Q39" s="118">
        <v>165.2</v>
      </c>
      <c r="R39" s="118">
        <v>40.672669999999997</v>
      </c>
      <c r="S39" s="118">
        <v>-85.841539999999995</v>
      </c>
      <c r="T39" s="118">
        <v>218.9</v>
      </c>
      <c r="U39" s="118">
        <v>121.6</v>
      </c>
      <c r="V39" s="118">
        <v>8.6199999999999992</v>
      </c>
      <c r="W39" s="118">
        <v>-132.30000000000001</v>
      </c>
      <c r="X39" s="118">
        <v>12</v>
      </c>
      <c r="Y39" s="118">
        <v>0</v>
      </c>
      <c r="Z39" s="118">
        <v>29.957999999999998</v>
      </c>
      <c r="AA39" s="118">
        <v>8.91</v>
      </c>
      <c r="AB39" s="118">
        <v>0</v>
      </c>
      <c r="AC39" s="118" t="s">
        <v>1721</v>
      </c>
      <c r="AD39" s="180">
        <v>13</v>
      </c>
    </row>
    <row r="40" spans="1:31" x14ac:dyDescent="0.25">
      <c r="A40" s="120" t="s">
        <v>698</v>
      </c>
      <c r="B40" s="188">
        <v>0.37725694444444446</v>
      </c>
      <c r="C40" s="19">
        <v>45846</v>
      </c>
      <c r="D40" s="118">
        <v>250708</v>
      </c>
      <c r="E40" s="118">
        <v>0</v>
      </c>
      <c r="F40" s="118">
        <v>745.9</v>
      </c>
      <c r="G40" s="118">
        <v>418.8</v>
      </c>
      <c r="H40" s="118">
        <v>386.6</v>
      </c>
      <c r="I40" s="118">
        <v>251</v>
      </c>
      <c r="J40" s="118">
        <v>0.18</v>
      </c>
      <c r="K40" s="118">
        <v>383</v>
      </c>
      <c r="L40" s="118">
        <v>0.33</v>
      </c>
      <c r="M40" s="118">
        <v>0.32700000000000001</v>
      </c>
      <c r="N40" s="118">
        <v>0.46700000000000003</v>
      </c>
      <c r="O40" s="118">
        <v>95.4</v>
      </c>
      <c r="P40" s="118">
        <v>7.29</v>
      </c>
      <c r="Q40" s="118">
        <v>97.2</v>
      </c>
      <c r="R40" s="118">
        <v>39.748959999999997</v>
      </c>
      <c r="S40" s="118">
        <v>-87.073740000000001</v>
      </c>
      <c r="T40" s="118">
        <v>199.1</v>
      </c>
      <c r="U40" s="118">
        <v>219.3</v>
      </c>
      <c r="V40" s="118">
        <v>7.8</v>
      </c>
      <c r="W40" s="118">
        <v>-82.9</v>
      </c>
      <c r="X40" s="118">
        <v>12</v>
      </c>
      <c r="Y40" s="118">
        <v>0</v>
      </c>
      <c r="Z40" s="118">
        <v>29.36</v>
      </c>
      <c r="AA40" s="118">
        <v>2.98</v>
      </c>
      <c r="AB40" s="118">
        <v>0</v>
      </c>
      <c r="AC40" s="118" t="s">
        <v>1729</v>
      </c>
      <c r="AD40" s="180" t="s">
        <v>1744</v>
      </c>
      <c r="AE40" s="120" t="s">
        <v>698</v>
      </c>
    </row>
    <row r="41" spans="1:31" x14ac:dyDescent="0.25">
      <c r="A41" s="120" t="s">
        <v>699</v>
      </c>
      <c r="B41" s="188">
        <v>0.39475694444444442</v>
      </c>
      <c r="C41" s="19">
        <v>45846</v>
      </c>
      <c r="D41" s="118">
        <v>250708</v>
      </c>
      <c r="E41" s="118">
        <v>0</v>
      </c>
      <c r="F41" s="118">
        <v>745.8</v>
      </c>
      <c r="G41" s="118">
        <v>424.4</v>
      </c>
      <c r="H41" s="118">
        <v>390.5</v>
      </c>
      <c r="I41" s="118">
        <v>254</v>
      </c>
      <c r="J41" s="118">
        <v>0.18</v>
      </c>
      <c r="K41" s="118">
        <v>386.7</v>
      </c>
      <c r="L41" s="118">
        <v>0.28699999999999998</v>
      </c>
      <c r="M41" s="118">
        <v>0.29799999999999999</v>
      </c>
      <c r="N41" s="118">
        <v>0.40699999999999997</v>
      </c>
      <c r="O41" s="118">
        <v>93</v>
      </c>
      <c r="P41" s="118">
        <v>7.08</v>
      </c>
      <c r="Q41" s="118">
        <v>94.8</v>
      </c>
      <c r="R41" s="118">
        <v>39.755240000000001</v>
      </c>
      <c r="S41" s="118">
        <v>-87.056730000000002</v>
      </c>
      <c r="T41" s="118">
        <v>206.1</v>
      </c>
      <c r="U41" s="118">
        <v>184</v>
      </c>
      <c r="V41" s="118">
        <v>7.76</v>
      </c>
      <c r="W41" s="118">
        <v>-80.400000000000006</v>
      </c>
      <c r="X41" s="118">
        <v>11.9</v>
      </c>
      <c r="Y41" s="118">
        <v>0</v>
      </c>
      <c r="Z41" s="118">
        <v>29.55</v>
      </c>
      <c r="AA41" s="118">
        <v>3.76</v>
      </c>
      <c r="AB41" s="118">
        <v>0</v>
      </c>
      <c r="AC41" s="118" t="s">
        <v>1730</v>
      </c>
      <c r="AD41" s="180" t="s">
        <v>1745</v>
      </c>
      <c r="AE41" s="120" t="s">
        <v>699</v>
      </c>
    </row>
    <row r="42" spans="1:31" x14ac:dyDescent="0.25">
      <c r="A42" s="120" t="s">
        <v>700</v>
      </c>
      <c r="B42" s="188">
        <v>0.41921296296296295</v>
      </c>
      <c r="C42" s="19">
        <v>45846</v>
      </c>
      <c r="D42" s="118">
        <v>250708</v>
      </c>
      <c r="E42" s="118">
        <v>0</v>
      </c>
      <c r="F42" s="118">
        <v>745.9</v>
      </c>
      <c r="G42" s="118">
        <v>376.5</v>
      </c>
      <c r="H42" s="118">
        <v>345.5</v>
      </c>
      <c r="I42" s="118">
        <v>225</v>
      </c>
      <c r="J42" s="118">
        <v>0.16</v>
      </c>
      <c r="K42" s="118">
        <v>342.1</v>
      </c>
      <c r="L42" s="118">
        <v>0.44600000000000001</v>
      </c>
      <c r="M42" s="118">
        <v>0.439</v>
      </c>
      <c r="N42" s="118">
        <v>0.63200000000000001</v>
      </c>
      <c r="O42" s="118">
        <v>113.2</v>
      </c>
      <c r="P42" s="118">
        <v>8.59</v>
      </c>
      <c r="Q42" s="118">
        <v>115.4</v>
      </c>
      <c r="R42" s="118">
        <v>39.720759999999999</v>
      </c>
      <c r="S42" s="118">
        <v>-87.070670000000007</v>
      </c>
      <c r="T42" s="118">
        <v>203.6</v>
      </c>
      <c r="U42" s="118">
        <v>175.5</v>
      </c>
      <c r="V42" s="118">
        <v>8.2899999999999991</v>
      </c>
      <c r="W42" s="118">
        <v>-112.3</v>
      </c>
      <c r="X42" s="118">
        <v>11.9</v>
      </c>
      <c r="Y42" s="118">
        <v>0</v>
      </c>
      <c r="Z42" s="118">
        <v>29.699000000000002</v>
      </c>
      <c r="AA42" s="118">
        <v>2.41</v>
      </c>
      <c r="AB42" s="118">
        <v>0</v>
      </c>
      <c r="AC42" s="118" t="s">
        <v>1731</v>
      </c>
      <c r="AD42" s="180" t="s">
        <v>1746</v>
      </c>
      <c r="AE42" s="120" t="s">
        <v>700</v>
      </c>
    </row>
    <row r="43" spans="1:31" x14ac:dyDescent="0.25">
      <c r="A43" s="120" t="s">
        <v>701</v>
      </c>
      <c r="B43" s="188">
        <v>0.44942129629629629</v>
      </c>
      <c r="C43" s="19">
        <v>45846</v>
      </c>
      <c r="D43" s="118">
        <v>250708</v>
      </c>
      <c r="E43" s="118">
        <v>0</v>
      </c>
      <c r="F43" s="118">
        <v>745.9</v>
      </c>
      <c r="G43" s="118">
        <v>368.6</v>
      </c>
      <c r="H43" s="118">
        <v>337.3</v>
      </c>
      <c r="I43" s="118">
        <v>219</v>
      </c>
      <c r="J43" s="118">
        <v>0.16</v>
      </c>
      <c r="K43" s="118">
        <v>333.8</v>
      </c>
      <c r="L43" s="118">
        <v>0.443</v>
      </c>
      <c r="M43" s="118">
        <v>0.44900000000000001</v>
      </c>
      <c r="N43" s="118">
        <v>0.628</v>
      </c>
      <c r="O43" s="118">
        <v>120.5</v>
      </c>
      <c r="P43" s="118">
        <v>9.1199999999999992</v>
      </c>
      <c r="Q43" s="118">
        <v>122.8</v>
      </c>
      <c r="R43" s="118">
        <v>39.737720000000003</v>
      </c>
      <c r="S43" s="118">
        <v>-87.083460000000002</v>
      </c>
      <c r="T43" s="118">
        <v>201.9</v>
      </c>
      <c r="U43" s="118">
        <v>186.6</v>
      </c>
      <c r="V43" s="118">
        <v>8.35</v>
      </c>
      <c r="W43" s="118">
        <v>-116.1</v>
      </c>
      <c r="X43" s="118">
        <v>11.9</v>
      </c>
      <c r="Y43" s="118">
        <v>0</v>
      </c>
      <c r="Z43" s="118">
        <v>29.855</v>
      </c>
      <c r="AA43" s="118">
        <v>2.57</v>
      </c>
      <c r="AB43" s="118">
        <v>0</v>
      </c>
      <c r="AC43" s="118" t="s">
        <v>1732</v>
      </c>
      <c r="AD43" s="180" t="s">
        <v>1747</v>
      </c>
      <c r="AE43" s="120" t="s">
        <v>701</v>
      </c>
    </row>
    <row r="44" spans="1:31" x14ac:dyDescent="0.25">
      <c r="A44" s="120" t="s">
        <v>702</v>
      </c>
      <c r="B44" s="188">
        <v>0.4699652777777778</v>
      </c>
      <c r="C44" s="19">
        <v>45846</v>
      </c>
      <c r="D44" s="118">
        <v>250708</v>
      </c>
      <c r="E44" s="118">
        <v>0</v>
      </c>
      <c r="F44" s="118">
        <v>745.8</v>
      </c>
      <c r="G44" s="118">
        <v>403.2</v>
      </c>
      <c r="H44" s="118">
        <v>368.1</v>
      </c>
      <c r="I44" s="118">
        <v>239</v>
      </c>
      <c r="J44" s="118">
        <v>0.17</v>
      </c>
      <c r="K44" s="118">
        <v>364.2</v>
      </c>
      <c r="L44" s="118">
        <v>0.38200000000000001</v>
      </c>
      <c r="M44" s="118">
        <v>0.39400000000000002</v>
      </c>
      <c r="N44" s="118">
        <v>0.54100000000000004</v>
      </c>
      <c r="O44" s="118">
        <v>113.5</v>
      </c>
      <c r="P44" s="118">
        <v>8.57</v>
      </c>
      <c r="Q44" s="118">
        <v>115.7</v>
      </c>
      <c r="R44" s="118">
        <v>39.732570000000003</v>
      </c>
      <c r="S44" s="118">
        <v>-87.065860000000001</v>
      </c>
      <c r="T44" s="118">
        <v>202.2</v>
      </c>
      <c r="U44" s="118">
        <v>172.8</v>
      </c>
      <c r="V44" s="118">
        <v>8.18</v>
      </c>
      <c r="W44" s="118">
        <v>-105.8</v>
      </c>
      <c r="X44" s="118">
        <v>11.9</v>
      </c>
      <c r="Y44" s="118">
        <v>0</v>
      </c>
      <c r="Z44" s="118">
        <v>29.986999999999998</v>
      </c>
      <c r="AA44" s="118">
        <v>2.2799999999999998</v>
      </c>
      <c r="AB44" s="118">
        <v>0</v>
      </c>
      <c r="AC44" s="118" t="s">
        <v>1733</v>
      </c>
      <c r="AD44" s="180" t="s">
        <v>1748</v>
      </c>
      <c r="AE44" s="120" t="s">
        <v>702</v>
      </c>
    </row>
    <row r="45" spans="1:31" x14ac:dyDescent="0.25">
      <c r="A45" s="120" t="s">
        <v>703</v>
      </c>
      <c r="B45" s="188">
        <v>0.49365740740740743</v>
      </c>
      <c r="C45" s="19">
        <v>45846</v>
      </c>
      <c r="D45" s="118">
        <v>250708</v>
      </c>
      <c r="E45" s="118">
        <v>0</v>
      </c>
      <c r="F45" s="118">
        <v>745.8</v>
      </c>
      <c r="G45" s="118">
        <v>420.7</v>
      </c>
      <c r="H45" s="118">
        <v>384</v>
      </c>
      <c r="I45" s="118">
        <v>250</v>
      </c>
      <c r="J45" s="118">
        <v>0.18</v>
      </c>
      <c r="K45" s="118">
        <v>379.9</v>
      </c>
      <c r="L45" s="118">
        <v>0.28899999999999998</v>
      </c>
      <c r="M45" s="118">
        <v>0.28999999999999998</v>
      </c>
      <c r="N45" s="118">
        <v>0.40899999999999997</v>
      </c>
      <c r="O45" s="118">
        <v>115.8</v>
      </c>
      <c r="P45" s="118">
        <v>8.74</v>
      </c>
      <c r="Q45" s="118">
        <v>118</v>
      </c>
      <c r="R45" s="118">
        <v>39.745519999999999</v>
      </c>
      <c r="S45" s="118">
        <v>-87.067070000000001</v>
      </c>
      <c r="T45" s="118">
        <v>201</v>
      </c>
      <c r="U45" s="118">
        <v>175.9</v>
      </c>
      <c r="V45" s="118">
        <v>8.1199999999999992</v>
      </c>
      <c r="W45" s="118">
        <v>-101.9</v>
      </c>
      <c r="X45" s="118">
        <v>11.9</v>
      </c>
      <c r="Y45" s="118">
        <v>0</v>
      </c>
      <c r="Z45" s="118">
        <v>30.010999999999999</v>
      </c>
      <c r="AA45" s="118">
        <v>3.21</v>
      </c>
      <c r="AB45" s="118">
        <v>0</v>
      </c>
      <c r="AC45" s="118" t="s">
        <v>1734</v>
      </c>
      <c r="AD45" s="180" t="s">
        <v>1749</v>
      </c>
      <c r="AE45" s="120" t="s">
        <v>703</v>
      </c>
    </row>
    <row r="46" spans="1:31" x14ac:dyDescent="0.25">
      <c r="A46" s="121" t="s">
        <v>704</v>
      </c>
      <c r="B46" s="188">
        <v>0.4748263888888889</v>
      </c>
      <c r="C46" s="19">
        <v>45852</v>
      </c>
      <c r="D46" s="118">
        <v>250714</v>
      </c>
      <c r="E46" s="118">
        <v>0</v>
      </c>
      <c r="F46" s="118">
        <v>745.8</v>
      </c>
      <c r="G46" s="118">
        <v>526.9</v>
      </c>
      <c r="H46" s="118">
        <v>484</v>
      </c>
      <c r="I46" s="118">
        <v>315</v>
      </c>
      <c r="J46" s="118">
        <v>0.23</v>
      </c>
      <c r="K46" s="118">
        <v>479.3</v>
      </c>
      <c r="L46" s="118">
        <v>0.39200000000000002</v>
      </c>
      <c r="M46" s="118">
        <v>0.4</v>
      </c>
      <c r="N46" s="118">
        <v>0.55600000000000005</v>
      </c>
      <c r="O46" s="118">
        <v>156.1</v>
      </c>
      <c r="P46" s="118">
        <v>11.86</v>
      </c>
      <c r="Q46" s="118">
        <v>159.30000000000001</v>
      </c>
      <c r="R46" s="118">
        <v>40.823860000000003</v>
      </c>
      <c r="S46" s="118">
        <v>-86.795879999999997</v>
      </c>
      <c r="T46" s="118">
        <v>195.2</v>
      </c>
      <c r="U46" s="118">
        <v>126.7</v>
      </c>
      <c r="V46" s="118">
        <v>8.2799999999999994</v>
      </c>
      <c r="W46" s="118">
        <v>-111.7</v>
      </c>
      <c r="X46" s="118">
        <v>12</v>
      </c>
      <c r="Y46" s="118">
        <v>0</v>
      </c>
      <c r="Z46" s="118">
        <v>29.632999999999999</v>
      </c>
      <c r="AA46" s="118">
        <v>5.54</v>
      </c>
      <c r="AB46" s="118">
        <v>0</v>
      </c>
      <c r="AC46" s="118" t="s">
        <v>1735</v>
      </c>
      <c r="AD46" s="180" t="s">
        <v>1748</v>
      </c>
      <c r="AE46" s="121" t="s">
        <v>704</v>
      </c>
    </row>
    <row r="47" spans="1:31" x14ac:dyDescent="0.25">
      <c r="A47" s="121" t="s">
        <v>705</v>
      </c>
      <c r="B47" s="188">
        <v>0.45851851851851849</v>
      </c>
      <c r="C47" s="19">
        <v>45852</v>
      </c>
      <c r="D47" s="118">
        <v>250714</v>
      </c>
      <c r="E47" s="118">
        <v>0</v>
      </c>
      <c r="F47" s="118">
        <v>745.7</v>
      </c>
      <c r="G47" s="118">
        <v>544.6</v>
      </c>
      <c r="H47" s="118">
        <v>513.70000000000005</v>
      </c>
      <c r="I47" s="118">
        <v>334</v>
      </c>
      <c r="J47" s="118">
        <v>0.25</v>
      </c>
      <c r="K47" s="118">
        <v>510.3</v>
      </c>
      <c r="L47" s="118">
        <v>0.41</v>
      </c>
      <c r="M47" s="118">
        <v>0.40300000000000002</v>
      </c>
      <c r="N47" s="118">
        <v>0.58099999999999996</v>
      </c>
      <c r="O47" s="118">
        <v>179</v>
      </c>
      <c r="P47" s="118">
        <v>13.96</v>
      </c>
      <c r="Q47" s="118">
        <v>182.6</v>
      </c>
      <c r="R47" s="118">
        <v>40.834989999999998</v>
      </c>
      <c r="S47" s="118">
        <v>-86.781850000000006</v>
      </c>
      <c r="T47" s="118">
        <v>197</v>
      </c>
      <c r="U47" s="118">
        <v>143.6</v>
      </c>
      <c r="V47" s="118">
        <v>8.44</v>
      </c>
      <c r="W47" s="118">
        <v>-121</v>
      </c>
      <c r="X47" s="118">
        <v>11.9</v>
      </c>
      <c r="Y47" s="118">
        <v>0</v>
      </c>
      <c r="Z47" s="118">
        <v>28.152000000000001</v>
      </c>
      <c r="AA47" s="118">
        <v>31.16</v>
      </c>
      <c r="AB47" s="118">
        <v>0</v>
      </c>
      <c r="AC47" s="118" t="s">
        <v>1736</v>
      </c>
      <c r="AD47" s="180" t="s">
        <v>1749</v>
      </c>
      <c r="AE47" s="121" t="s">
        <v>705</v>
      </c>
    </row>
    <row r="48" spans="1:31" x14ac:dyDescent="0.25">
      <c r="A48" s="121" t="s">
        <v>706</v>
      </c>
      <c r="B48" s="188">
        <v>0.4377314814814815</v>
      </c>
      <c r="C48" s="19">
        <v>45852</v>
      </c>
      <c r="D48" s="118">
        <v>250714</v>
      </c>
      <c r="E48" s="118">
        <v>0</v>
      </c>
      <c r="F48" s="118">
        <v>745.9</v>
      </c>
      <c r="G48" s="118">
        <v>535.6</v>
      </c>
      <c r="H48" s="118">
        <v>498.8</v>
      </c>
      <c r="I48" s="118">
        <v>324</v>
      </c>
      <c r="J48" s="118">
        <v>0.24</v>
      </c>
      <c r="K48" s="118">
        <v>494.7</v>
      </c>
      <c r="L48" s="118">
        <v>0.38400000000000001</v>
      </c>
      <c r="M48" s="118">
        <v>0.36399999999999999</v>
      </c>
      <c r="N48" s="118">
        <v>0.54400000000000004</v>
      </c>
      <c r="O48" s="118">
        <v>162.5</v>
      </c>
      <c r="P48" s="118">
        <v>12.51</v>
      </c>
      <c r="Q48" s="118">
        <v>165.8</v>
      </c>
      <c r="R48" s="118">
        <v>40.811140000000002</v>
      </c>
      <c r="S48" s="118">
        <v>-86.794380000000004</v>
      </c>
      <c r="T48" s="118">
        <v>198.8</v>
      </c>
      <c r="U48" s="118">
        <v>134.4</v>
      </c>
      <c r="V48" s="118">
        <v>8.35</v>
      </c>
      <c r="W48" s="118">
        <v>-115.5</v>
      </c>
      <c r="X48" s="118">
        <v>12</v>
      </c>
      <c r="Y48" s="118">
        <v>0</v>
      </c>
      <c r="Z48" s="118">
        <v>28.870999999999999</v>
      </c>
      <c r="AA48" s="118">
        <v>25.75</v>
      </c>
      <c r="AB48" s="118">
        <v>0</v>
      </c>
      <c r="AC48" s="118" t="s">
        <v>1737</v>
      </c>
      <c r="AD48" s="180" t="s">
        <v>1750</v>
      </c>
      <c r="AE48" s="121" t="s">
        <v>706</v>
      </c>
    </row>
    <row r="49" spans="1:31" x14ac:dyDescent="0.25">
      <c r="A49" s="121" t="s">
        <v>707</v>
      </c>
      <c r="B49" s="188">
        <v>0.41212962962962962</v>
      </c>
      <c r="C49" s="19">
        <v>45852</v>
      </c>
      <c r="D49" s="118">
        <v>250714</v>
      </c>
      <c r="E49" s="118">
        <v>0</v>
      </c>
      <c r="F49" s="118">
        <v>745.8</v>
      </c>
      <c r="G49" s="118">
        <v>553.20000000000005</v>
      </c>
      <c r="H49" s="118">
        <v>515</v>
      </c>
      <c r="I49" s="118">
        <v>335</v>
      </c>
      <c r="J49" s="118">
        <v>0.25</v>
      </c>
      <c r="K49" s="118">
        <v>510.8</v>
      </c>
      <c r="L49" s="118">
        <v>0.35299999999999998</v>
      </c>
      <c r="M49" s="118">
        <v>0.35099999999999998</v>
      </c>
      <c r="N49" s="118">
        <v>0.5</v>
      </c>
      <c r="O49" s="118">
        <v>129.19999999999999</v>
      </c>
      <c r="P49" s="118">
        <v>9.9499999999999993</v>
      </c>
      <c r="Q49" s="118">
        <v>131.80000000000001</v>
      </c>
      <c r="R49" s="118">
        <v>40.80415</v>
      </c>
      <c r="S49" s="118">
        <v>-86.774829999999994</v>
      </c>
      <c r="T49" s="118">
        <v>198.1</v>
      </c>
      <c r="U49" s="118">
        <v>122.2</v>
      </c>
      <c r="V49" s="118">
        <v>8.07</v>
      </c>
      <c r="W49" s="118">
        <v>-99</v>
      </c>
      <c r="X49" s="118">
        <v>11.9</v>
      </c>
      <c r="Y49" s="118">
        <v>0</v>
      </c>
      <c r="Z49" s="118">
        <v>28.888999999999999</v>
      </c>
      <c r="AA49" s="118">
        <v>11.67</v>
      </c>
      <c r="AB49" s="118">
        <v>0</v>
      </c>
      <c r="AC49" s="118" t="s">
        <v>1739</v>
      </c>
      <c r="AD49" s="180" t="s">
        <v>1751</v>
      </c>
      <c r="AE49" s="121" t="s">
        <v>707</v>
      </c>
    </row>
    <row r="50" spans="1:31" x14ac:dyDescent="0.25">
      <c r="A50" s="121" t="s">
        <v>708</v>
      </c>
      <c r="B50" s="188">
        <v>0.38542824074074072</v>
      </c>
      <c r="C50" s="19">
        <v>45852</v>
      </c>
      <c r="D50" s="118">
        <v>250714</v>
      </c>
      <c r="E50" s="118">
        <v>0</v>
      </c>
      <c r="F50" s="118">
        <v>745.4</v>
      </c>
      <c r="G50" s="118">
        <v>545.6</v>
      </c>
      <c r="H50" s="118">
        <v>506.5</v>
      </c>
      <c r="I50" s="118">
        <v>329</v>
      </c>
      <c r="J50" s="118">
        <v>0.24</v>
      </c>
      <c r="K50" s="118">
        <v>502.2</v>
      </c>
      <c r="L50" s="118">
        <v>0.20200000000000001</v>
      </c>
      <c r="M50" s="118">
        <v>0.21199999999999999</v>
      </c>
      <c r="N50" s="118">
        <v>0.28699999999999998</v>
      </c>
      <c r="O50" s="118">
        <v>130.4</v>
      </c>
      <c r="P50" s="118">
        <v>10.01</v>
      </c>
      <c r="Q50" s="118">
        <v>133.1</v>
      </c>
      <c r="R50" s="118">
        <v>40.79468</v>
      </c>
      <c r="S50" s="118">
        <v>-86.774439999999998</v>
      </c>
      <c r="T50" s="118">
        <v>196.1</v>
      </c>
      <c r="U50" s="118">
        <v>135.19999999999999</v>
      </c>
      <c r="V50" s="118">
        <v>8.1199999999999992</v>
      </c>
      <c r="W50" s="118">
        <v>-102</v>
      </c>
      <c r="X50" s="118">
        <v>12</v>
      </c>
      <c r="Y50" s="118">
        <v>0</v>
      </c>
      <c r="Z50" s="118">
        <v>29.047999999999998</v>
      </c>
      <c r="AA50" s="118">
        <v>13.37</v>
      </c>
      <c r="AB50" s="118">
        <v>0</v>
      </c>
      <c r="AC50" s="118" t="s">
        <v>1741</v>
      </c>
      <c r="AD50" s="180">
        <v>10</v>
      </c>
      <c r="AE50" s="121" t="s">
        <v>708</v>
      </c>
    </row>
    <row r="51" spans="1:31" x14ac:dyDescent="0.25">
      <c r="A51" s="121" t="s">
        <v>709</v>
      </c>
      <c r="B51" s="188">
        <v>0.35517361111111112</v>
      </c>
      <c r="C51" s="19">
        <v>45852</v>
      </c>
      <c r="D51" s="118">
        <v>250714</v>
      </c>
      <c r="E51" s="118">
        <v>0</v>
      </c>
      <c r="F51" s="118">
        <v>745.6</v>
      </c>
      <c r="G51" s="118">
        <v>569.9</v>
      </c>
      <c r="H51" s="118">
        <v>532</v>
      </c>
      <c r="I51" s="118">
        <v>346</v>
      </c>
      <c r="J51" s="118">
        <v>0.25</v>
      </c>
      <c r="K51" s="118">
        <v>527.9</v>
      </c>
      <c r="L51" s="118">
        <v>0.312</v>
      </c>
      <c r="M51" s="118">
        <v>0.32500000000000001</v>
      </c>
      <c r="N51" s="118">
        <v>0.442</v>
      </c>
      <c r="O51" s="118">
        <v>153.19999999999999</v>
      </c>
      <c r="P51" s="118">
        <v>11.83</v>
      </c>
      <c r="Q51" s="118">
        <v>156.30000000000001</v>
      </c>
      <c r="R51" s="118">
        <v>40.78875</v>
      </c>
      <c r="S51" s="118">
        <v>-86.772220000000004</v>
      </c>
      <c r="T51" s="118">
        <v>196.2</v>
      </c>
      <c r="U51" s="118">
        <v>179.3</v>
      </c>
      <c r="V51" s="118">
        <v>8.17</v>
      </c>
      <c r="W51" s="118">
        <v>-104.9</v>
      </c>
      <c r="X51" s="118">
        <v>11.9</v>
      </c>
      <c r="Y51" s="118">
        <v>0</v>
      </c>
      <c r="Z51" s="118">
        <v>28.73</v>
      </c>
      <c r="AA51" s="118">
        <v>7.04</v>
      </c>
      <c r="AB51" s="118">
        <v>0</v>
      </c>
      <c r="AC51" s="118" t="s">
        <v>1742</v>
      </c>
      <c r="AD51" s="180">
        <v>11</v>
      </c>
      <c r="AE51" s="121" t="s">
        <v>709</v>
      </c>
    </row>
    <row r="52" spans="1:31" x14ac:dyDescent="0.25">
      <c r="A52" s="121" t="s">
        <v>710</v>
      </c>
      <c r="B52" s="188">
        <v>0.36962962962962964</v>
      </c>
      <c r="C52" s="19">
        <v>45852</v>
      </c>
      <c r="D52" s="118">
        <v>250714</v>
      </c>
      <c r="E52" s="118">
        <v>0</v>
      </c>
      <c r="F52" s="118">
        <v>745.6</v>
      </c>
      <c r="G52" s="118">
        <v>575.1</v>
      </c>
      <c r="H52" s="118">
        <v>536.1</v>
      </c>
      <c r="I52" s="118">
        <v>348</v>
      </c>
      <c r="J52" s="118">
        <v>0.26</v>
      </c>
      <c r="K52" s="118">
        <v>531.79999999999995</v>
      </c>
      <c r="L52" s="118">
        <v>0.32200000000000001</v>
      </c>
      <c r="M52" s="118">
        <v>0.33100000000000002</v>
      </c>
      <c r="N52" s="118">
        <v>0.45600000000000002</v>
      </c>
      <c r="O52" s="118">
        <v>131.5</v>
      </c>
      <c r="P52" s="118">
        <v>10.130000000000001</v>
      </c>
      <c r="Q52" s="118">
        <v>134.19999999999999</v>
      </c>
      <c r="R52" s="118">
        <v>40.782510000000002</v>
      </c>
      <c r="S52" s="118">
        <v>-86.762129999999999</v>
      </c>
      <c r="T52" s="118">
        <v>198</v>
      </c>
      <c r="U52" s="118">
        <v>89.4</v>
      </c>
      <c r="V52" s="118">
        <v>8.11</v>
      </c>
      <c r="W52" s="118">
        <v>-101.2</v>
      </c>
      <c r="X52" s="118">
        <v>11.9</v>
      </c>
      <c r="Y52" s="118">
        <v>0</v>
      </c>
      <c r="Z52" s="118">
        <v>28.81</v>
      </c>
      <c r="AA52" s="118">
        <v>5.77</v>
      </c>
      <c r="AB52" s="118">
        <v>0</v>
      </c>
      <c r="AC52" s="118" t="s">
        <v>1743</v>
      </c>
      <c r="AD52" s="180">
        <v>12</v>
      </c>
      <c r="AE52" s="121" t="s">
        <v>710</v>
      </c>
    </row>
    <row r="53" spans="1:31" x14ac:dyDescent="0.25">
      <c r="A53" s="121" t="s">
        <v>711</v>
      </c>
      <c r="B53" s="188">
        <v>0.42702546296296295</v>
      </c>
      <c r="C53" s="19">
        <v>45852</v>
      </c>
      <c r="D53" s="118">
        <v>250714</v>
      </c>
      <c r="E53" s="118">
        <v>0</v>
      </c>
      <c r="F53" s="118">
        <v>745.8</v>
      </c>
      <c r="G53" s="118">
        <v>540.29999999999995</v>
      </c>
      <c r="H53" s="118">
        <v>506.6</v>
      </c>
      <c r="I53" s="118">
        <v>329</v>
      </c>
      <c r="J53" s="118">
        <v>0.24</v>
      </c>
      <c r="K53" s="118">
        <v>502.9</v>
      </c>
      <c r="L53" s="118">
        <v>0.27</v>
      </c>
      <c r="M53" s="118">
        <v>0.28499999999999998</v>
      </c>
      <c r="N53" s="118">
        <v>0.38200000000000001</v>
      </c>
      <c r="O53" s="118">
        <v>108.2</v>
      </c>
      <c r="P53" s="118">
        <v>8.39</v>
      </c>
      <c r="Q53" s="118">
        <v>110.4</v>
      </c>
      <c r="R53" s="118">
        <v>40.807360000000003</v>
      </c>
      <c r="S53" s="118">
        <v>-86.785309999999996</v>
      </c>
      <c r="T53" s="118">
        <v>196.6</v>
      </c>
      <c r="U53" s="118">
        <v>120</v>
      </c>
      <c r="V53" s="118">
        <v>7.93</v>
      </c>
      <c r="W53" s="118">
        <v>-90</v>
      </c>
      <c r="X53" s="118">
        <v>11.9</v>
      </c>
      <c r="Y53" s="118">
        <v>0</v>
      </c>
      <c r="Z53" s="118">
        <v>28.478999999999999</v>
      </c>
      <c r="AA53" s="118">
        <v>25.25</v>
      </c>
      <c r="AB53" s="118">
        <v>0</v>
      </c>
      <c r="AC53" s="118" t="s">
        <v>1738</v>
      </c>
      <c r="AD53" s="180">
        <v>14</v>
      </c>
      <c r="AE53" s="121" t="s">
        <v>711</v>
      </c>
    </row>
    <row r="54" spans="1:31" x14ac:dyDescent="0.25">
      <c r="A54" s="121" t="s">
        <v>712</v>
      </c>
      <c r="B54" s="188">
        <v>0.39743055555555556</v>
      </c>
      <c r="C54" s="19">
        <v>45852</v>
      </c>
      <c r="D54" s="118">
        <v>250714</v>
      </c>
      <c r="E54" s="118">
        <v>0</v>
      </c>
      <c r="F54" s="118">
        <v>745.6</v>
      </c>
      <c r="G54" s="118">
        <v>542.9</v>
      </c>
      <c r="H54" s="118">
        <v>506.2</v>
      </c>
      <c r="I54" s="118">
        <v>329</v>
      </c>
      <c r="J54" s="118">
        <v>0.24</v>
      </c>
      <c r="K54" s="118">
        <v>502.2</v>
      </c>
      <c r="L54" s="118">
        <v>0.39900000000000002</v>
      </c>
      <c r="M54" s="118">
        <v>0.38100000000000001</v>
      </c>
      <c r="N54" s="118">
        <v>0.56499999999999995</v>
      </c>
      <c r="O54" s="118">
        <v>122.1</v>
      </c>
      <c r="P54" s="118">
        <v>9.41</v>
      </c>
      <c r="Q54" s="118">
        <v>124.5</v>
      </c>
      <c r="R54" s="118">
        <v>40.799219999999998</v>
      </c>
      <c r="S54" s="118">
        <v>-86.777739999999994</v>
      </c>
      <c r="T54" s="118">
        <v>193.8</v>
      </c>
      <c r="U54" s="118">
        <v>143.9</v>
      </c>
      <c r="V54" s="118">
        <v>8.0500000000000007</v>
      </c>
      <c r="W54" s="118">
        <v>-97.5</v>
      </c>
      <c r="X54" s="118">
        <v>12</v>
      </c>
      <c r="Y54" s="118">
        <v>0</v>
      </c>
      <c r="Z54" s="118">
        <v>28.79</v>
      </c>
      <c r="AA54" s="118">
        <v>15.31</v>
      </c>
      <c r="AB54" s="118">
        <v>0</v>
      </c>
      <c r="AC54" s="118" t="s">
        <v>1740</v>
      </c>
      <c r="AD54" s="180">
        <v>15</v>
      </c>
      <c r="AE54" s="121" t="s">
        <v>712</v>
      </c>
    </row>
    <row r="55" spans="1:31" x14ac:dyDescent="0.25">
      <c r="A55" s="119" t="s">
        <v>713</v>
      </c>
      <c r="B55" s="188">
        <v>0.51621527777777776</v>
      </c>
      <c r="C55" s="19">
        <v>45867</v>
      </c>
      <c r="D55" s="118">
        <v>250729</v>
      </c>
      <c r="E55" s="118">
        <v>0</v>
      </c>
      <c r="F55" s="118">
        <v>743.9</v>
      </c>
      <c r="G55" s="118">
        <v>389.9</v>
      </c>
      <c r="H55" s="118">
        <v>346.1</v>
      </c>
      <c r="I55" s="118">
        <v>225</v>
      </c>
      <c r="J55" s="118">
        <v>0.16</v>
      </c>
      <c r="K55" s="118">
        <v>341.1</v>
      </c>
      <c r="L55" s="118">
        <v>0.28899999999999998</v>
      </c>
      <c r="M55" s="118">
        <v>0.28399999999999997</v>
      </c>
      <c r="N55" s="118">
        <v>0.40899999999999997</v>
      </c>
      <c r="O55" s="118">
        <v>205.5</v>
      </c>
      <c r="P55" s="118">
        <v>15.09</v>
      </c>
      <c r="Q55" s="118">
        <v>209.2</v>
      </c>
      <c r="R55" s="118">
        <v>40.68141</v>
      </c>
      <c r="S55" s="118">
        <v>-85.888509999999997</v>
      </c>
      <c r="T55" s="118">
        <v>223.4</v>
      </c>
      <c r="U55" s="118">
        <v>97.2</v>
      </c>
      <c r="V55" s="118">
        <v>8.9</v>
      </c>
      <c r="W55" s="118">
        <v>-158.30000000000001</v>
      </c>
      <c r="X55" s="118">
        <v>12</v>
      </c>
      <c r="Y55" s="118">
        <v>0</v>
      </c>
      <c r="Z55" s="118">
        <v>31.632999999999999</v>
      </c>
      <c r="AA55" s="118">
        <v>26.61</v>
      </c>
      <c r="AB55" s="118">
        <v>0</v>
      </c>
      <c r="AC55" s="118" t="s">
        <v>1717</v>
      </c>
      <c r="AD55" s="180" t="s">
        <v>1744</v>
      </c>
      <c r="AE55" s="119" t="s">
        <v>713</v>
      </c>
    </row>
    <row r="56" spans="1:31" x14ac:dyDescent="0.25">
      <c r="A56" s="119" t="s">
        <v>714</v>
      </c>
      <c r="B56" s="188">
        <v>0.52935185185185185</v>
      </c>
      <c r="C56" s="19">
        <v>45867</v>
      </c>
      <c r="D56" s="118">
        <v>250729</v>
      </c>
      <c r="E56" s="118">
        <v>0</v>
      </c>
      <c r="F56" s="118">
        <v>743.8</v>
      </c>
      <c r="G56" s="118">
        <v>391.6</v>
      </c>
      <c r="H56" s="118">
        <v>347</v>
      </c>
      <c r="I56" s="118">
        <v>226</v>
      </c>
      <c r="J56" s="118">
        <v>0.16</v>
      </c>
      <c r="K56" s="118">
        <v>342</v>
      </c>
      <c r="L56" s="118">
        <v>0.223</v>
      </c>
      <c r="M56" s="118">
        <v>0.23499999999999999</v>
      </c>
      <c r="N56" s="118">
        <v>0.316</v>
      </c>
      <c r="O56" s="118">
        <v>260.89999999999998</v>
      </c>
      <c r="P56" s="118">
        <v>19.13</v>
      </c>
      <c r="Q56" s="118">
        <v>265.5</v>
      </c>
      <c r="R56" s="118">
        <v>40.676760000000002</v>
      </c>
      <c r="S56" s="118">
        <v>-85.877080000000007</v>
      </c>
      <c r="T56" s="118">
        <v>223.4</v>
      </c>
      <c r="U56" s="118">
        <v>85.6</v>
      </c>
      <c r="V56" s="118">
        <v>9.06</v>
      </c>
      <c r="W56" s="118">
        <v>-168.8</v>
      </c>
      <c r="X56" s="118">
        <v>12</v>
      </c>
      <c r="Y56" s="118">
        <v>0</v>
      </c>
      <c r="Z56" s="118">
        <v>31.73</v>
      </c>
      <c r="AA56" s="118">
        <v>37.090000000000003</v>
      </c>
      <c r="AB56" s="118">
        <v>0</v>
      </c>
      <c r="AC56" s="118" t="s">
        <v>1716</v>
      </c>
      <c r="AD56" s="180" t="s">
        <v>1745</v>
      </c>
      <c r="AE56" s="119" t="s">
        <v>714</v>
      </c>
    </row>
    <row r="57" spans="1:31" x14ac:dyDescent="0.25">
      <c r="A57" s="119" t="s">
        <v>715</v>
      </c>
      <c r="B57" s="188">
        <v>0.54212962962962963</v>
      </c>
      <c r="C57" s="19">
        <v>45867</v>
      </c>
      <c r="D57" s="118">
        <v>250729</v>
      </c>
      <c r="E57" s="118">
        <v>0</v>
      </c>
      <c r="F57" s="118">
        <v>743.8</v>
      </c>
      <c r="G57" s="118">
        <v>417.6</v>
      </c>
      <c r="H57" s="118">
        <v>371.7</v>
      </c>
      <c r="I57" s="118">
        <v>242</v>
      </c>
      <c r="J57" s="118">
        <v>0.17</v>
      </c>
      <c r="K57" s="118">
        <v>366.5</v>
      </c>
      <c r="L57" s="118">
        <v>0.28499999999999998</v>
      </c>
      <c r="M57" s="118">
        <v>0.29299999999999998</v>
      </c>
      <c r="N57" s="118">
        <v>0.40400000000000003</v>
      </c>
      <c r="O57" s="118">
        <v>257.89999999999998</v>
      </c>
      <c r="P57" s="118">
        <v>18.989999999999998</v>
      </c>
      <c r="Q57" s="118">
        <v>262.5</v>
      </c>
      <c r="R57" s="118">
        <v>40.670529999999999</v>
      </c>
      <c r="S57" s="118">
        <v>-85.8703</v>
      </c>
      <c r="T57" s="118">
        <v>224.3</v>
      </c>
      <c r="U57" s="118">
        <v>129.9</v>
      </c>
      <c r="V57" s="118">
        <v>8.9600000000000009</v>
      </c>
      <c r="W57" s="118">
        <v>-162.6</v>
      </c>
      <c r="X57" s="118">
        <v>12</v>
      </c>
      <c r="Y57" s="118">
        <v>0</v>
      </c>
      <c r="Z57" s="118">
        <v>31.465</v>
      </c>
      <c r="AA57" s="118">
        <v>31.53</v>
      </c>
      <c r="AB57" s="118">
        <v>0</v>
      </c>
      <c r="AC57" s="118" t="s">
        <v>1715</v>
      </c>
      <c r="AD57" s="180" t="s">
        <v>1746</v>
      </c>
      <c r="AE57" s="119" t="s">
        <v>715</v>
      </c>
    </row>
    <row r="58" spans="1:31" x14ac:dyDescent="0.25">
      <c r="A58" s="119" t="s">
        <v>716</v>
      </c>
      <c r="B58" s="188">
        <v>0.55318287037037039</v>
      </c>
      <c r="C58" s="19">
        <v>45867</v>
      </c>
      <c r="D58" s="118">
        <v>250729</v>
      </c>
      <c r="E58" s="118">
        <v>0</v>
      </c>
      <c r="F58" s="118">
        <v>743.8</v>
      </c>
      <c r="G58" s="118">
        <v>431.9</v>
      </c>
      <c r="H58" s="118">
        <v>380.9</v>
      </c>
      <c r="I58" s="118">
        <v>248</v>
      </c>
      <c r="J58" s="118">
        <v>0.18</v>
      </c>
      <c r="K58" s="118">
        <v>375.1</v>
      </c>
      <c r="L58" s="118">
        <v>0.248</v>
      </c>
      <c r="M58" s="118">
        <v>0.252</v>
      </c>
      <c r="N58" s="118">
        <v>0.35199999999999998</v>
      </c>
      <c r="O58" s="118">
        <v>324.5</v>
      </c>
      <c r="P58" s="118">
        <v>23.69</v>
      </c>
      <c r="Q58" s="118">
        <v>330.2</v>
      </c>
      <c r="R58" s="118">
        <v>40.662990000000001</v>
      </c>
      <c r="S58" s="118">
        <v>-85.866550000000004</v>
      </c>
      <c r="T58" s="118">
        <v>222.9</v>
      </c>
      <c r="U58" s="118">
        <v>111.9</v>
      </c>
      <c r="V58" s="118">
        <v>9.1</v>
      </c>
      <c r="W58" s="118">
        <v>-171.2</v>
      </c>
      <c r="X58" s="118">
        <v>11.9</v>
      </c>
      <c r="Y58" s="118">
        <v>0</v>
      </c>
      <c r="Z58" s="118">
        <v>32.011000000000003</v>
      </c>
      <c r="AA58" s="118">
        <v>44.4</v>
      </c>
      <c r="AB58" s="118">
        <v>0</v>
      </c>
      <c r="AC58" s="118" t="s">
        <v>1714</v>
      </c>
      <c r="AD58" s="180" t="s">
        <v>1747</v>
      </c>
      <c r="AE58" s="119" t="s">
        <v>716</v>
      </c>
    </row>
    <row r="59" spans="1:31" x14ac:dyDescent="0.25">
      <c r="A59" s="119" t="s">
        <v>717</v>
      </c>
      <c r="B59" s="188">
        <v>0.57125000000000004</v>
      </c>
      <c r="C59" s="19">
        <v>45867</v>
      </c>
      <c r="D59" s="118">
        <v>250729</v>
      </c>
      <c r="E59" s="118">
        <v>0</v>
      </c>
      <c r="F59" s="118">
        <v>743.8</v>
      </c>
      <c r="G59" s="118">
        <v>422.6</v>
      </c>
      <c r="H59" s="118">
        <v>376.5</v>
      </c>
      <c r="I59" s="118">
        <v>245</v>
      </c>
      <c r="J59" s="118">
        <v>0.18</v>
      </c>
      <c r="K59" s="118">
        <v>371.3</v>
      </c>
      <c r="L59" s="118">
        <v>0.23799999999999999</v>
      </c>
      <c r="M59" s="118">
        <v>0.25</v>
      </c>
      <c r="N59" s="118">
        <v>0.33700000000000002</v>
      </c>
      <c r="O59" s="118">
        <v>301.7</v>
      </c>
      <c r="P59" s="118">
        <v>22.24</v>
      </c>
      <c r="Q59" s="118">
        <v>307</v>
      </c>
      <c r="R59" s="118">
        <v>40.668489999999998</v>
      </c>
      <c r="S59" s="118">
        <v>-85.848150000000004</v>
      </c>
      <c r="T59" s="118">
        <v>225.1</v>
      </c>
      <c r="U59" s="118">
        <v>120.7</v>
      </c>
      <c r="V59" s="118">
        <v>9.08</v>
      </c>
      <c r="W59" s="118">
        <v>-170</v>
      </c>
      <c r="X59" s="118">
        <v>11.9</v>
      </c>
      <c r="Y59" s="118">
        <v>0</v>
      </c>
      <c r="Z59" s="118">
        <v>31.411999999999999</v>
      </c>
      <c r="AA59" s="118">
        <v>62.51</v>
      </c>
      <c r="AB59" s="118">
        <v>0</v>
      </c>
      <c r="AC59" s="118" t="s">
        <v>1713</v>
      </c>
      <c r="AD59" s="180" t="s">
        <v>1748</v>
      </c>
      <c r="AE59" s="119" t="s">
        <v>717</v>
      </c>
    </row>
    <row r="60" spans="1:31" x14ac:dyDescent="0.25">
      <c r="A60" s="119" t="s">
        <v>718</v>
      </c>
      <c r="B60" s="188">
        <v>0.59843749999999996</v>
      </c>
      <c r="C60" s="19">
        <v>45867</v>
      </c>
      <c r="D60" s="118">
        <v>250729</v>
      </c>
      <c r="E60" s="118">
        <v>0</v>
      </c>
      <c r="F60" s="118">
        <v>743.9</v>
      </c>
      <c r="G60" s="118">
        <v>443.8</v>
      </c>
      <c r="H60" s="118">
        <v>392.5</v>
      </c>
      <c r="I60" s="118">
        <v>255</v>
      </c>
      <c r="J60" s="118">
        <v>0.18</v>
      </c>
      <c r="K60" s="118">
        <v>386.7</v>
      </c>
      <c r="L60" s="118">
        <v>0.20399999999999999</v>
      </c>
      <c r="M60" s="118">
        <v>0.192</v>
      </c>
      <c r="N60" s="118">
        <v>0.28899999999999998</v>
      </c>
      <c r="O60" s="118">
        <v>354.1</v>
      </c>
      <c r="P60" s="118">
        <v>25.92</v>
      </c>
      <c r="Q60" s="118">
        <v>360.4</v>
      </c>
      <c r="R60" s="118">
        <v>40.67371</v>
      </c>
      <c r="S60" s="118">
        <v>-85.831890000000001</v>
      </c>
      <c r="T60" s="118">
        <v>222.1</v>
      </c>
      <c r="U60" s="118">
        <v>98.5</v>
      </c>
      <c r="V60" s="118">
        <v>9.14</v>
      </c>
      <c r="W60" s="118">
        <v>-173.9</v>
      </c>
      <c r="X60" s="118">
        <v>12</v>
      </c>
      <c r="Y60" s="118">
        <v>0</v>
      </c>
      <c r="Z60" s="118">
        <v>31.838999999999999</v>
      </c>
      <c r="AA60" s="118">
        <v>70.2</v>
      </c>
      <c r="AB60" s="118">
        <v>0</v>
      </c>
      <c r="AC60" s="118" t="s">
        <v>1712</v>
      </c>
      <c r="AD60" s="180" t="s">
        <v>1749</v>
      </c>
      <c r="AE60" s="119" t="s">
        <v>718</v>
      </c>
    </row>
    <row r="61" spans="1:31" x14ac:dyDescent="0.25">
      <c r="A61" s="119" t="s">
        <v>719</v>
      </c>
      <c r="B61" s="188">
        <v>0.38885416666666667</v>
      </c>
      <c r="C61" s="19">
        <v>45867</v>
      </c>
      <c r="D61" s="118">
        <v>250729</v>
      </c>
      <c r="E61" s="118">
        <v>0</v>
      </c>
      <c r="F61" s="118">
        <v>744.3</v>
      </c>
      <c r="G61" s="118">
        <v>382.1</v>
      </c>
      <c r="H61" s="118">
        <v>346.7</v>
      </c>
      <c r="I61" s="118">
        <v>225</v>
      </c>
      <c r="J61" s="118">
        <v>0.16</v>
      </c>
      <c r="K61" s="118">
        <v>342.8</v>
      </c>
      <c r="L61" s="118">
        <v>0.24099999999999999</v>
      </c>
      <c r="M61" s="118">
        <v>0.23400000000000001</v>
      </c>
      <c r="N61" s="118">
        <v>0.34100000000000003</v>
      </c>
      <c r="O61" s="118">
        <v>198.1</v>
      </c>
      <c r="P61" s="118">
        <v>14.87</v>
      </c>
      <c r="Q61" s="118">
        <v>201.6</v>
      </c>
      <c r="R61" s="118">
        <v>40.687800000000003</v>
      </c>
      <c r="S61" s="118">
        <v>-85.896519999999995</v>
      </c>
      <c r="T61" s="118">
        <v>220.6</v>
      </c>
      <c r="U61" s="118">
        <v>222.6</v>
      </c>
      <c r="V61" s="118">
        <v>8.77</v>
      </c>
      <c r="W61" s="118">
        <v>-149.9</v>
      </c>
      <c r="X61" s="118">
        <v>12</v>
      </c>
      <c r="Y61" s="118">
        <v>0</v>
      </c>
      <c r="Z61" s="118">
        <v>30.338000000000001</v>
      </c>
      <c r="AA61" s="118">
        <v>26.58</v>
      </c>
      <c r="AB61" s="118">
        <v>0</v>
      </c>
      <c r="AC61" s="118" t="s">
        <v>1724</v>
      </c>
      <c r="AD61" s="180" t="s">
        <v>1752</v>
      </c>
      <c r="AE61" s="119" t="s">
        <v>719</v>
      </c>
    </row>
    <row r="62" spans="1:31" x14ac:dyDescent="0.25">
      <c r="A62" s="119" t="s">
        <v>720</v>
      </c>
      <c r="B62" s="188">
        <v>0.40739583333333335</v>
      </c>
      <c r="C62" s="19">
        <v>45867</v>
      </c>
      <c r="D62" s="118">
        <v>250729</v>
      </c>
      <c r="E62" s="118">
        <v>0</v>
      </c>
      <c r="F62" s="118">
        <v>744.1</v>
      </c>
      <c r="G62" s="118">
        <v>380.5</v>
      </c>
      <c r="H62" s="118">
        <v>345.4</v>
      </c>
      <c r="I62" s="118">
        <v>225</v>
      </c>
      <c r="J62" s="118">
        <v>0.16</v>
      </c>
      <c r="K62" s="118">
        <v>341.5</v>
      </c>
      <c r="L62" s="118">
        <v>0.316</v>
      </c>
      <c r="M62" s="118">
        <v>0.32600000000000001</v>
      </c>
      <c r="N62" s="118">
        <v>0.44700000000000001</v>
      </c>
      <c r="O62" s="118">
        <v>174.3</v>
      </c>
      <c r="P62" s="118">
        <v>13.1</v>
      </c>
      <c r="Q62" s="118">
        <v>177.4</v>
      </c>
      <c r="R62" s="118">
        <v>40.69173</v>
      </c>
      <c r="S62" s="118">
        <v>-85.908259999999999</v>
      </c>
      <c r="T62" s="118">
        <v>229.4</v>
      </c>
      <c r="U62" s="118">
        <v>162.1</v>
      </c>
      <c r="V62" s="118">
        <v>8.7799999999999994</v>
      </c>
      <c r="W62" s="118">
        <v>-150.69999999999999</v>
      </c>
      <c r="X62" s="118">
        <v>12</v>
      </c>
      <c r="Y62" s="118">
        <v>0</v>
      </c>
      <c r="Z62" s="118">
        <v>30.317</v>
      </c>
      <c r="AA62" s="118">
        <v>18.95</v>
      </c>
      <c r="AB62" s="118">
        <v>0</v>
      </c>
      <c r="AC62" s="118" t="s">
        <v>1722</v>
      </c>
      <c r="AD62" s="180" t="s">
        <v>1750</v>
      </c>
      <c r="AE62" s="119" t="s">
        <v>720</v>
      </c>
    </row>
    <row r="63" spans="1:31" x14ac:dyDescent="0.25">
      <c r="A63" s="119" t="s">
        <v>721</v>
      </c>
      <c r="B63" s="188">
        <v>0.43927083333333333</v>
      </c>
      <c r="C63" s="19">
        <v>45867</v>
      </c>
      <c r="D63" s="118">
        <v>250729</v>
      </c>
      <c r="E63" s="118">
        <v>0</v>
      </c>
      <c r="F63" s="118">
        <v>743.2</v>
      </c>
      <c r="G63" s="118">
        <v>372.2</v>
      </c>
      <c r="H63" s="118">
        <v>336.1</v>
      </c>
      <c r="I63" s="118">
        <v>218</v>
      </c>
      <c r="J63" s="118">
        <v>0.16</v>
      </c>
      <c r="K63" s="118">
        <v>332.1</v>
      </c>
      <c r="L63" s="118">
        <v>0.20699999999999999</v>
      </c>
      <c r="M63" s="118">
        <v>0.192</v>
      </c>
      <c r="N63" s="118">
        <v>0.29299999999999998</v>
      </c>
      <c r="O63" s="118">
        <v>169.9</v>
      </c>
      <c r="P63" s="118">
        <v>12.69</v>
      </c>
      <c r="Q63" s="118">
        <v>172.9</v>
      </c>
      <c r="R63" s="118">
        <v>40.704459999999997</v>
      </c>
      <c r="S63" s="118">
        <v>-85.930430000000001</v>
      </c>
      <c r="T63" s="118">
        <v>220.6</v>
      </c>
      <c r="U63" s="118">
        <v>134.19999999999999</v>
      </c>
      <c r="V63" s="118">
        <v>8.8800000000000008</v>
      </c>
      <c r="W63" s="118">
        <v>-156.80000000000001</v>
      </c>
      <c r="X63" s="118">
        <v>11.9</v>
      </c>
      <c r="Y63" s="118">
        <v>0</v>
      </c>
      <c r="Z63" s="118">
        <v>30.617999999999999</v>
      </c>
      <c r="AA63" s="118">
        <v>15.56</v>
      </c>
      <c r="AB63" s="118">
        <v>0</v>
      </c>
      <c r="AC63" s="118" t="s">
        <v>1718</v>
      </c>
      <c r="AD63" s="180" t="s">
        <v>1751</v>
      </c>
      <c r="AE63" s="119" t="s">
        <v>721</v>
      </c>
    </row>
    <row r="64" spans="1:31" x14ac:dyDescent="0.25">
      <c r="A64" s="119" t="s">
        <v>722</v>
      </c>
      <c r="B64" s="188">
        <v>0.42021990740740739</v>
      </c>
      <c r="C64" s="19">
        <v>45867</v>
      </c>
      <c r="D64" s="118">
        <v>250729</v>
      </c>
      <c r="E64" s="118">
        <v>0</v>
      </c>
      <c r="F64" s="118">
        <v>743.8</v>
      </c>
      <c r="G64" s="118">
        <v>380.4</v>
      </c>
      <c r="H64" s="118">
        <v>346.1</v>
      </c>
      <c r="I64" s="118">
        <v>225</v>
      </c>
      <c r="J64" s="118">
        <v>0.16</v>
      </c>
      <c r="K64" s="118">
        <v>342.3</v>
      </c>
      <c r="L64" s="118">
        <v>0.14299999999999999</v>
      </c>
      <c r="M64" s="118">
        <v>0.13800000000000001</v>
      </c>
      <c r="N64" s="118">
        <v>0.20300000000000001</v>
      </c>
      <c r="O64" s="118">
        <v>167.6</v>
      </c>
      <c r="P64" s="118">
        <v>12.62</v>
      </c>
      <c r="Q64" s="118">
        <v>170.6</v>
      </c>
      <c r="R64" s="118">
        <v>40.693289999999998</v>
      </c>
      <c r="S64" s="118">
        <v>-85.920230000000004</v>
      </c>
      <c r="T64" s="118">
        <v>220.9</v>
      </c>
      <c r="U64" s="118">
        <v>153.19999999999999</v>
      </c>
      <c r="V64" s="118">
        <v>8.77</v>
      </c>
      <c r="W64" s="118">
        <v>-149.80000000000001</v>
      </c>
      <c r="X64" s="118">
        <v>12</v>
      </c>
      <c r="Y64" s="118">
        <v>0</v>
      </c>
      <c r="Z64" s="118">
        <v>30.183</v>
      </c>
      <c r="AA64" s="118">
        <v>18.72</v>
      </c>
      <c r="AB64" s="118">
        <v>0</v>
      </c>
      <c r="AC64" s="118" t="s">
        <v>1725</v>
      </c>
      <c r="AD64" s="180">
        <v>10</v>
      </c>
      <c r="AE64" s="119" t="s">
        <v>722</v>
      </c>
    </row>
    <row r="65" spans="1:31" x14ac:dyDescent="0.25">
      <c r="A65" s="119" t="s">
        <v>723</v>
      </c>
      <c r="B65" s="188">
        <v>0.44982638888888887</v>
      </c>
      <c r="C65" s="19">
        <v>45867</v>
      </c>
      <c r="D65" s="118">
        <v>250729</v>
      </c>
      <c r="E65" s="118">
        <v>0</v>
      </c>
      <c r="F65" s="118">
        <v>743.5</v>
      </c>
      <c r="G65" s="118">
        <v>374.7</v>
      </c>
      <c r="H65" s="118">
        <v>339.7</v>
      </c>
      <c r="I65" s="118">
        <v>221</v>
      </c>
      <c r="J65" s="118">
        <v>0.16</v>
      </c>
      <c r="K65" s="118">
        <v>335.8</v>
      </c>
      <c r="L65" s="118">
        <v>0.17499999999999999</v>
      </c>
      <c r="M65" s="118">
        <v>0.158</v>
      </c>
      <c r="N65" s="118">
        <v>0.247</v>
      </c>
      <c r="O65" s="118">
        <v>165.6</v>
      </c>
      <c r="P65" s="118">
        <v>12.42</v>
      </c>
      <c r="Q65" s="118">
        <v>168.5</v>
      </c>
      <c r="R65" s="118">
        <v>40.710889999999999</v>
      </c>
      <c r="S65" s="118">
        <v>-85.938289999999995</v>
      </c>
      <c r="T65" s="118">
        <v>224.3</v>
      </c>
      <c r="U65" s="118">
        <v>136</v>
      </c>
      <c r="V65" s="118">
        <v>8.84</v>
      </c>
      <c r="W65" s="118">
        <v>-154</v>
      </c>
      <c r="X65" s="118">
        <v>12</v>
      </c>
      <c r="Y65" s="118">
        <v>0</v>
      </c>
      <c r="Z65" s="118">
        <v>30.39</v>
      </c>
      <c r="AA65" s="118">
        <v>17.260000000000002</v>
      </c>
      <c r="AB65" s="118">
        <v>0</v>
      </c>
      <c r="AC65" s="118" t="s">
        <v>1719</v>
      </c>
      <c r="AD65" s="180">
        <v>11</v>
      </c>
      <c r="AE65" s="119" t="s">
        <v>723</v>
      </c>
    </row>
    <row r="66" spans="1:31" x14ac:dyDescent="0.25">
      <c r="A66" s="119" t="s">
        <v>724</v>
      </c>
      <c r="B66" s="188">
        <v>0.46525462962962966</v>
      </c>
      <c r="C66" s="19">
        <v>45867</v>
      </c>
      <c r="D66" s="118">
        <v>250729</v>
      </c>
      <c r="E66" s="118">
        <v>0</v>
      </c>
      <c r="F66" s="118">
        <v>743.5</v>
      </c>
      <c r="G66" s="118">
        <v>371.7</v>
      </c>
      <c r="H66" s="118">
        <v>340.4</v>
      </c>
      <c r="I66" s="118">
        <v>221</v>
      </c>
      <c r="J66" s="118">
        <v>0.16</v>
      </c>
      <c r="K66" s="118">
        <v>336.9</v>
      </c>
      <c r="L66" s="118">
        <v>0.36199999999999999</v>
      </c>
      <c r="M66" s="118">
        <v>0.36499999999999999</v>
      </c>
      <c r="N66" s="118">
        <v>0.51300000000000001</v>
      </c>
      <c r="O66" s="118">
        <v>169.2</v>
      </c>
      <c r="P66" s="118">
        <v>12.81</v>
      </c>
      <c r="Q66" s="118">
        <v>172.2</v>
      </c>
      <c r="R66" s="118">
        <v>40.711689999999997</v>
      </c>
      <c r="S66" s="118">
        <v>-85.951260000000005</v>
      </c>
      <c r="T66" s="118">
        <v>221.9</v>
      </c>
      <c r="U66" s="118">
        <v>130.80000000000001</v>
      </c>
      <c r="V66" s="118">
        <v>8.8699999999999992</v>
      </c>
      <c r="W66" s="118">
        <v>-156.19999999999999</v>
      </c>
      <c r="X66" s="118">
        <v>12</v>
      </c>
      <c r="Y66" s="118">
        <v>0</v>
      </c>
      <c r="Z66" s="118">
        <v>29.809000000000001</v>
      </c>
      <c r="AA66" s="118">
        <v>17.18</v>
      </c>
      <c r="AB66" s="118">
        <v>0</v>
      </c>
      <c r="AC66" s="118" t="s">
        <v>1720</v>
      </c>
      <c r="AD66" s="180">
        <v>12</v>
      </c>
      <c r="AE66" s="119" t="s">
        <v>724</v>
      </c>
    </row>
    <row r="67" spans="1:31" x14ac:dyDescent="0.25">
      <c r="A67" s="119" t="s">
        <v>725</v>
      </c>
      <c r="B67" s="188">
        <v>0.58478009259259256</v>
      </c>
      <c r="C67" s="19">
        <v>45867</v>
      </c>
      <c r="D67" s="118">
        <v>250729</v>
      </c>
      <c r="E67" s="118">
        <v>0</v>
      </c>
      <c r="F67" s="118">
        <v>743.8</v>
      </c>
      <c r="G67" s="118">
        <v>452.2</v>
      </c>
      <c r="H67" s="118">
        <v>403.5</v>
      </c>
      <c r="I67" s="118">
        <v>262</v>
      </c>
      <c r="J67" s="118">
        <v>0.19</v>
      </c>
      <c r="K67" s="118">
        <v>398</v>
      </c>
      <c r="L67" s="118">
        <v>0.26700000000000002</v>
      </c>
      <c r="M67" s="118">
        <v>0.26300000000000001</v>
      </c>
      <c r="N67" s="118">
        <v>0.378</v>
      </c>
      <c r="O67" s="118">
        <v>302.60000000000002</v>
      </c>
      <c r="P67" s="118">
        <v>22.35</v>
      </c>
      <c r="Q67" s="118">
        <v>308</v>
      </c>
      <c r="R67" s="118">
        <v>40.672339999999998</v>
      </c>
      <c r="S67" s="118">
        <v>-85.8416</v>
      </c>
      <c r="T67" s="118">
        <v>228.2</v>
      </c>
      <c r="U67" s="118">
        <v>96</v>
      </c>
      <c r="V67" s="118">
        <v>8.98</v>
      </c>
      <c r="W67" s="118">
        <v>-163.4</v>
      </c>
      <c r="X67" s="118">
        <v>11.9</v>
      </c>
      <c r="Y67" s="118">
        <v>0</v>
      </c>
      <c r="Z67" s="118">
        <v>31.33</v>
      </c>
      <c r="AA67" s="118">
        <v>52.23</v>
      </c>
      <c r="AB67" s="118">
        <v>0</v>
      </c>
      <c r="AC67" s="118" t="s">
        <v>1721</v>
      </c>
      <c r="AD67" s="180">
        <v>13</v>
      </c>
      <c r="AE67" s="119" t="s">
        <v>725</v>
      </c>
    </row>
    <row r="68" spans="1:31" x14ac:dyDescent="0.25">
      <c r="A68" s="122" t="s">
        <v>726</v>
      </c>
      <c r="B68" s="188">
        <v>0.52818287037037037</v>
      </c>
      <c r="C68" s="19">
        <v>45874</v>
      </c>
      <c r="D68" s="118">
        <v>250805</v>
      </c>
      <c r="E68" s="118">
        <v>0</v>
      </c>
      <c r="F68" s="118">
        <v>749.2</v>
      </c>
      <c r="G68" s="118">
        <v>541.5</v>
      </c>
      <c r="H68" s="118">
        <v>526.29999999999995</v>
      </c>
      <c r="I68" s="118">
        <v>342</v>
      </c>
      <c r="J68" s="118">
        <v>0.25</v>
      </c>
      <c r="K68" s="118">
        <v>524.70000000000005</v>
      </c>
      <c r="L68" s="118">
        <v>0.33300000000000002</v>
      </c>
      <c r="M68" s="118">
        <v>0.32600000000000001</v>
      </c>
      <c r="N68" s="118">
        <v>0.47299999999999998</v>
      </c>
      <c r="O68" s="118">
        <v>191.5</v>
      </c>
      <c r="P68" s="118">
        <v>15.37</v>
      </c>
      <c r="Q68" s="118">
        <v>194.4</v>
      </c>
      <c r="R68" s="118">
        <v>40.824129999999997</v>
      </c>
      <c r="S68" s="118">
        <v>-86.796130000000005</v>
      </c>
      <c r="T68" s="118">
        <v>195.9</v>
      </c>
      <c r="U68" s="118">
        <v>134.80000000000001</v>
      </c>
      <c r="V68" s="118">
        <v>8.5500000000000007</v>
      </c>
      <c r="W68" s="118">
        <v>-126.9</v>
      </c>
      <c r="X68" s="118">
        <v>11.9</v>
      </c>
      <c r="Y68" s="118">
        <v>0</v>
      </c>
      <c r="Z68" s="118">
        <v>26.513000000000002</v>
      </c>
      <c r="AA68" s="118">
        <v>8.2899999999999991</v>
      </c>
      <c r="AB68" s="118">
        <v>0</v>
      </c>
      <c r="AC68" s="118" t="s">
        <v>1735</v>
      </c>
      <c r="AD68" s="180" t="s">
        <v>1748</v>
      </c>
      <c r="AE68" s="122" t="s">
        <v>726</v>
      </c>
    </row>
    <row r="69" spans="1:31" x14ac:dyDescent="0.25">
      <c r="A69" s="122" t="s">
        <v>727</v>
      </c>
      <c r="B69" s="188">
        <v>0.51245370370370369</v>
      </c>
      <c r="C69" s="19">
        <v>45874</v>
      </c>
      <c r="D69" s="118">
        <v>250805</v>
      </c>
      <c r="E69" s="118">
        <v>0</v>
      </c>
      <c r="F69" s="118">
        <v>749</v>
      </c>
      <c r="G69" s="118">
        <v>634.20000000000005</v>
      </c>
      <c r="H69" s="118">
        <v>631.20000000000005</v>
      </c>
      <c r="I69" s="118">
        <v>410</v>
      </c>
      <c r="J69" s="118">
        <v>0.31</v>
      </c>
      <c r="K69" s="118">
        <v>630.9</v>
      </c>
      <c r="L69" s="118">
        <v>0.46800000000000003</v>
      </c>
      <c r="M69" s="118">
        <v>0.47599999999999998</v>
      </c>
      <c r="N69" s="118">
        <v>0.66400000000000003</v>
      </c>
      <c r="O69" s="118">
        <v>100.1</v>
      </c>
      <c r="P69" s="118">
        <v>8.2200000000000006</v>
      </c>
      <c r="Q69" s="118">
        <v>101.7</v>
      </c>
      <c r="R69" s="118">
        <v>40.835070000000002</v>
      </c>
      <c r="S69" s="118">
        <v>-86.781970000000001</v>
      </c>
      <c r="T69" s="118">
        <v>193.8</v>
      </c>
      <c r="U69" s="118">
        <v>167.9</v>
      </c>
      <c r="V69" s="118">
        <v>8.06</v>
      </c>
      <c r="W69" s="118">
        <v>-97.1</v>
      </c>
      <c r="X69" s="118">
        <v>11.9</v>
      </c>
      <c r="Y69" s="118">
        <v>0</v>
      </c>
      <c r="Z69" s="118">
        <v>25.248000000000001</v>
      </c>
      <c r="AA69" s="118">
        <v>2.8</v>
      </c>
      <c r="AB69" s="118">
        <v>0</v>
      </c>
      <c r="AC69" s="118" t="s">
        <v>1736</v>
      </c>
      <c r="AD69" s="180" t="s">
        <v>1749</v>
      </c>
      <c r="AE69" s="122" t="s">
        <v>727</v>
      </c>
    </row>
    <row r="70" spans="1:31" x14ac:dyDescent="0.25">
      <c r="A70" s="122" t="s">
        <v>728</v>
      </c>
      <c r="B70" s="188">
        <v>0.49406250000000002</v>
      </c>
      <c r="C70" s="19">
        <v>45874</v>
      </c>
      <c r="D70" s="118">
        <v>250805</v>
      </c>
      <c r="E70" s="118">
        <v>0</v>
      </c>
      <c r="F70" s="118">
        <v>749.2</v>
      </c>
      <c r="G70" s="118">
        <v>611.9</v>
      </c>
      <c r="H70" s="118">
        <v>599.9</v>
      </c>
      <c r="I70" s="118">
        <v>390</v>
      </c>
      <c r="J70" s="118">
        <v>0.28999999999999998</v>
      </c>
      <c r="K70" s="118">
        <v>598.70000000000005</v>
      </c>
      <c r="L70" s="118">
        <v>0.29399999999999998</v>
      </c>
      <c r="M70" s="118">
        <v>0.31</v>
      </c>
      <c r="N70" s="118">
        <v>0.41699999999999998</v>
      </c>
      <c r="O70" s="118">
        <v>116.9</v>
      </c>
      <c r="P70" s="118">
        <v>9.4600000000000009</v>
      </c>
      <c r="Q70" s="118">
        <v>118.7</v>
      </c>
      <c r="R70" s="118">
        <v>40.811199999999999</v>
      </c>
      <c r="S70" s="118">
        <v>-86.794460000000001</v>
      </c>
      <c r="T70" s="118">
        <v>199.3</v>
      </c>
      <c r="U70" s="118">
        <v>160.1</v>
      </c>
      <c r="V70" s="118">
        <v>8.07</v>
      </c>
      <c r="W70" s="118">
        <v>-97.8</v>
      </c>
      <c r="X70" s="118">
        <v>11.9</v>
      </c>
      <c r="Y70" s="118">
        <v>0</v>
      </c>
      <c r="Z70" s="118">
        <v>26.044</v>
      </c>
      <c r="AA70" s="118">
        <v>5.68</v>
      </c>
      <c r="AB70" s="118">
        <v>0</v>
      </c>
      <c r="AC70" s="118" t="s">
        <v>1737</v>
      </c>
      <c r="AD70" s="180" t="s">
        <v>1750</v>
      </c>
      <c r="AE70" s="122" t="s">
        <v>728</v>
      </c>
    </row>
    <row r="71" spans="1:31" x14ac:dyDescent="0.25">
      <c r="A71" s="122" t="s">
        <v>729</v>
      </c>
      <c r="B71" s="188">
        <v>0.43707175925925928</v>
      </c>
      <c r="C71" s="19">
        <v>45874</v>
      </c>
      <c r="D71" s="118">
        <v>250805</v>
      </c>
      <c r="E71" s="118">
        <v>0</v>
      </c>
      <c r="F71" s="118">
        <v>749.5</v>
      </c>
      <c r="G71" s="118">
        <v>594.4</v>
      </c>
      <c r="H71" s="118">
        <v>585</v>
      </c>
      <c r="I71" s="118">
        <v>380</v>
      </c>
      <c r="J71" s="118">
        <v>0.28000000000000003</v>
      </c>
      <c r="K71" s="118">
        <v>584.1</v>
      </c>
      <c r="L71" s="118">
        <v>0.39300000000000002</v>
      </c>
      <c r="M71" s="118">
        <v>0.39900000000000002</v>
      </c>
      <c r="N71" s="118">
        <v>0.55800000000000005</v>
      </c>
      <c r="O71" s="118">
        <v>155.30000000000001</v>
      </c>
      <c r="P71" s="118">
        <v>12.62</v>
      </c>
      <c r="Q71" s="118">
        <v>157.69999999999999</v>
      </c>
      <c r="R71" s="118">
        <v>40.804259999999999</v>
      </c>
      <c r="S71" s="118">
        <v>-86.774799999999999</v>
      </c>
      <c r="T71" s="118">
        <v>197</v>
      </c>
      <c r="U71" s="118">
        <v>152.80000000000001</v>
      </c>
      <c r="V71" s="118">
        <v>8.4</v>
      </c>
      <c r="W71" s="118">
        <v>-117.6</v>
      </c>
      <c r="X71" s="118">
        <v>11.9</v>
      </c>
      <c r="Y71" s="118">
        <v>0</v>
      </c>
      <c r="Z71" s="118">
        <v>25.837</v>
      </c>
      <c r="AA71" s="118">
        <v>4.99</v>
      </c>
      <c r="AB71" s="118">
        <v>0</v>
      </c>
      <c r="AC71" s="118" t="s">
        <v>1739</v>
      </c>
      <c r="AD71" s="180" t="s">
        <v>1751</v>
      </c>
      <c r="AE71" s="122" t="s">
        <v>729</v>
      </c>
    </row>
    <row r="72" spans="1:31" x14ac:dyDescent="0.25">
      <c r="A72" s="122" t="s">
        <v>730</v>
      </c>
      <c r="B72" s="188">
        <v>0.40949074074074077</v>
      </c>
      <c r="C72" s="19">
        <v>45874</v>
      </c>
      <c r="D72" s="118">
        <v>250805</v>
      </c>
      <c r="E72" s="118">
        <v>0</v>
      </c>
      <c r="F72" s="118">
        <v>749.4</v>
      </c>
      <c r="G72" s="118">
        <v>601.5</v>
      </c>
      <c r="H72" s="118">
        <v>590.29999999999995</v>
      </c>
      <c r="I72" s="118">
        <v>384</v>
      </c>
      <c r="J72" s="118">
        <v>0.28000000000000003</v>
      </c>
      <c r="K72" s="118">
        <v>589.1</v>
      </c>
      <c r="L72" s="118">
        <v>0.40400000000000003</v>
      </c>
      <c r="M72" s="118">
        <v>0.41799999999999998</v>
      </c>
      <c r="N72" s="118">
        <v>0.57199999999999995</v>
      </c>
      <c r="O72" s="118">
        <v>157.80000000000001</v>
      </c>
      <c r="P72" s="118">
        <v>12.78</v>
      </c>
      <c r="Q72" s="118">
        <v>160.19999999999999</v>
      </c>
      <c r="R72" s="118">
        <v>40.79477</v>
      </c>
      <c r="S72" s="118">
        <v>-86.774969999999996</v>
      </c>
      <c r="T72" s="118">
        <v>198.5</v>
      </c>
      <c r="U72" s="118">
        <v>159.69999999999999</v>
      </c>
      <c r="V72" s="118">
        <v>8.39</v>
      </c>
      <c r="W72" s="118">
        <v>-117.1</v>
      </c>
      <c r="X72" s="118">
        <v>12</v>
      </c>
      <c r="Y72" s="118">
        <v>0</v>
      </c>
      <c r="Z72" s="118">
        <v>25.994</v>
      </c>
      <c r="AA72" s="118">
        <v>5.16</v>
      </c>
      <c r="AB72" s="118">
        <v>0</v>
      </c>
      <c r="AC72" s="118" t="s">
        <v>1741</v>
      </c>
      <c r="AD72" s="180">
        <v>10</v>
      </c>
      <c r="AE72" s="122" t="s">
        <v>730</v>
      </c>
    </row>
    <row r="73" spans="1:31" x14ac:dyDescent="0.25">
      <c r="A73" s="122" t="s">
        <v>731</v>
      </c>
      <c r="B73" s="188">
        <v>0.37253472222222223</v>
      </c>
      <c r="C73" s="19">
        <v>45874</v>
      </c>
      <c r="D73" s="118">
        <v>250805</v>
      </c>
      <c r="E73" s="118">
        <v>0</v>
      </c>
      <c r="F73" s="118">
        <v>749.1</v>
      </c>
      <c r="G73" s="118">
        <v>609.6</v>
      </c>
      <c r="H73" s="118">
        <v>599.1</v>
      </c>
      <c r="I73" s="118">
        <v>389</v>
      </c>
      <c r="J73" s="118">
        <v>0.28999999999999998</v>
      </c>
      <c r="K73" s="118">
        <v>598</v>
      </c>
      <c r="L73" s="118">
        <v>0.40400000000000003</v>
      </c>
      <c r="M73" s="118">
        <v>0.4</v>
      </c>
      <c r="N73" s="118">
        <v>0.57299999999999995</v>
      </c>
      <c r="O73" s="118">
        <v>118.2</v>
      </c>
      <c r="P73" s="118">
        <v>9.59</v>
      </c>
      <c r="Q73" s="118">
        <v>120</v>
      </c>
      <c r="R73" s="118">
        <v>40.788620000000002</v>
      </c>
      <c r="S73" s="118">
        <v>-86.772189999999995</v>
      </c>
      <c r="T73" s="118">
        <v>197.1</v>
      </c>
      <c r="U73" s="118">
        <v>222.9</v>
      </c>
      <c r="V73" s="118">
        <v>8.0299999999999994</v>
      </c>
      <c r="W73" s="118">
        <v>-95.2</v>
      </c>
      <c r="X73" s="118">
        <v>11.9</v>
      </c>
      <c r="Y73" s="118">
        <v>0</v>
      </c>
      <c r="Z73" s="118">
        <v>25.922000000000001</v>
      </c>
      <c r="AA73" s="118">
        <v>5.44</v>
      </c>
      <c r="AB73" s="118">
        <v>0</v>
      </c>
      <c r="AC73" s="118" t="s">
        <v>1742</v>
      </c>
      <c r="AD73" s="180">
        <v>11</v>
      </c>
      <c r="AE73" s="122" t="s">
        <v>731</v>
      </c>
    </row>
    <row r="74" spans="1:31" x14ac:dyDescent="0.25">
      <c r="A74" s="122" t="s">
        <v>732</v>
      </c>
      <c r="B74" s="188">
        <v>0.39146990740740739</v>
      </c>
      <c r="C74" s="19">
        <v>45874</v>
      </c>
      <c r="D74" s="118">
        <v>250805</v>
      </c>
      <c r="E74" s="118">
        <v>0</v>
      </c>
      <c r="F74" s="118">
        <v>749.2</v>
      </c>
      <c r="G74" s="118">
        <v>610.1</v>
      </c>
      <c r="H74" s="118">
        <v>600.79999999999995</v>
      </c>
      <c r="I74" s="118">
        <v>391</v>
      </c>
      <c r="J74" s="118">
        <v>0.28999999999999998</v>
      </c>
      <c r="K74" s="118">
        <v>599.9</v>
      </c>
      <c r="L74" s="118">
        <v>0.43</v>
      </c>
      <c r="M74" s="118">
        <v>0.41799999999999998</v>
      </c>
      <c r="N74" s="118">
        <v>0.61</v>
      </c>
      <c r="O74" s="118">
        <v>112.2</v>
      </c>
      <c r="P74" s="118">
        <v>9.1199999999999992</v>
      </c>
      <c r="Q74" s="118">
        <v>113.9</v>
      </c>
      <c r="R74" s="118">
        <v>40.782400000000003</v>
      </c>
      <c r="S74" s="118">
        <v>-86.762469999999993</v>
      </c>
      <c r="T74" s="118">
        <v>197</v>
      </c>
      <c r="U74" s="118">
        <v>193.6</v>
      </c>
      <c r="V74" s="118">
        <v>7.96</v>
      </c>
      <c r="W74" s="118">
        <v>-91.3</v>
      </c>
      <c r="X74" s="118">
        <v>11.9</v>
      </c>
      <c r="Y74" s="118">
        <v>0</v>
      </c>
      <c r="Z74" s="118">
        <v>25.81</v>
      </c>
      <c r="AA74" s="118">
        <v>4.04</v>
      </c>
      <c r="AB74" s="118">
        <v>0</v>
      </c>
      <c r="AC74" s="118" t="s">
        <v>1743</v>
      </c>
      <c r="AD74" s="180">
        <v>12</v>
      </c>
      <c r="AE74" s="122" t="s">
        <v>732</v>
      </c>
    </row>
    <row r="75" spans="1:31" x14ac:dyDescent="0.25">
      <c r="A75" s="122" t="s">
        <v>733</v>
      </c>
      <c r="B75" s="188">
        <v>0.45210648148148147</v>
      </c>
      <c r="C75" s="19">
        <v>45874</v>
      </c>
      <c r="D75" s="118">
        <v>250805</v>
      </c>
      <c r="E75" s="118">
        <v>0</v>
      </c>
      <c r="F75" s="118">
        <v>749.4</v>
      </c>
      <c r="G75" s="118">
        <v>598.9</v>
      </c>
      <c r="H75" s="118">
        <v>590.70000000000005</v>
      </c>
      <c r="I75" s="118">
        <v>384</v>
      </c>
      <c r="J75" s="118">
        <v>0.28000000000000003</v>
      </c>
      <c r="K75" s="118">
        <v>589.9</v>
      </c>
      <c r="L75" s="118">
        <v>0.33500000000000002</v>
      </c>
      <c r="M75" s="118">
        <v>0.34399999999999997</v>
      </c>
      <c r="N75" s="118">
        <v>0.47399999999999998</v>
      </c>
      <c r="O75" s="118">
        <v>130.5</v>
      </c>
      <c r="P75" s="118">
        <v>10.62</v>
      </c>
      <c r="Q75" s="118">
        <v>132.4</v>
      </c>
      <c r="R75" s="118">
        <v>40.80742</v>
      </c>
      <c r="S75" s="118">
        <v>-86.785690000000002</v>
      </c>
      <c r="T75" s="118">
        <v>196.9</v>
      </c>
      <c r="U75" s="118">
        <v>143.80000000000001</v>
      </c>
      <c r="V75" s="118">
        <v>8.19</v>
      </c>
      <c r="W75" s="118">
        <v>-104.7</v>
      </c>
      <c r="X75" s="118">
        <v>11.9</v>
      </c>
      <c r="Y75" s="118">
        <v>0</v>
      </c>
      <c r="Z75" s="118">
        <v>25.725000000000001</v>
      </c>
      <c r="AA75" s="118">
        <v>5.62</v>
      </c>
      <c r="AB75" s="118">
        <v>0</v>
      </c>
      <c r="AC75" s="118" t="s">
        <v>1738</v>
      </c>
      <c r="AD75" s="180">
        <v>14</v>
      </c>
      <c r="AE75" s="122" t="s">
        <v>733</v>
      </c>
    </row>
    <row r="76" spans="1:31" x14ac:dyDescent="0.25">
      <c r="A76" s="122" t="s">
        <v>734</v>
      </c>
      <c r="B76" s="188">
        <v>0.42295138888888889</v>
      </c>
      <c r="C76" s="19">
        <v>45874</v>
      </c>
      <c r="D76" s="118">
        <v>250805</v>
      </c>
      <c r="E76" s="118">
        <v>0</v>
      </c>
      <c r="F76" s="118">
        <v>749.4</v>
      </c>
      <c r="G76" s="118">
        <v>600.70000000000005</v>
      </c>
      <c r="H76" s="118">
        <v>591.70000000000005</v>
      </c>
      <c r="I76" s="118">
        <v>385</v>
      </c>
      <c r="J76" s="118">
        <v>0.28999999999999998</v>
      </c>
      <c r="K76" s="118">
        <v>590.79999999999995</v>
      </c>
      <c r="L76" s="118">
        <v>0.42499999999999999</v>
      </c>
      <c r="M76" s="118">
        <v>0.434</v>
      </c>
      <c r="N76" s="118">
        <v>0.60299999999999998</v>
      </c>
      <c r="O76" s="118">
        <v>138.5</v>
      </c>
      <c r="P76" s="118">
        <v>11.26</v>
      </c>
      <c r="Q76" s="118">
        <v>140.6</v>
      </c>
      <c r="R76" s="118">
        <v>40.799349999999997</v>
      </c>
      <c r="S76" s="118">
        <v>-86.777889999999999</v>
      </c>
      <c r="T76" s="118">
        <v>200.8</v>
      </c>
      <c r="U76" s="118">
        <v>120.5</v>
      </c>
      <c r="V76" s="118">
        <v>8.24</v>
      </c>
      <c r="W76" s="118">
        <v>-108.1</v>
      </c>
      <c r="X76" s="118">
        <v>12</v>
      </c>
      <c r="Y76" s="118">
        <v>0</v>
      </c>
      <c r="Z76" s="118">
        <v>25.79</v>
      </c>
      <c r="AA76" s="118">
        <v>7.52</v>
      </c>
      <c r="AB76" s="118">
        <v>0</v>
      </c>
      <c r="AC76" s="118" t="s">
        <v>1740</v>
      </c>
      <c r="AD76" s="180">
        <v>15</v>
      </c>
      <c r="AE76" s="122" t="s">
        <v>734</v>
      </c>
    </row>
    <row r="77" spans="1:31" x14ac:dyDescent="0.25">
      <c r="A77" s="122" t="s">
        <v>735</v>
      </c>
      <c r="AE77" s="122" t="s">
        <v>735</v>
      </c>
    </row>
    <row r="78" spans="1:31" x14ac:dyDescent="0.25">
      <c r="A78" s="119" t="s">
        <v>736</v>
      </c>
      <c r="B78" s="188">
        <v>0.51550925925925928</v>
      </c>
      <c r="C78" s="19">
        <v>45875</v>
      </c>
      <c r="D78" s="118">
        <v>250806</v>
      </c>
      <c r="E78" s="118">
        <v>0</v>
      </c>
      <c r="F78" s="118">
        <v>747.4</v>
      </c>
      <c r="G78" s="118">
        <v>416.6</v>
      </c>
      <c r="H78" s="118">
        <v>397.7</v>
      </c>
      <c r="I78" s="118">
        <v>259</v>
      </c>
      <c r="J78" s="118">
        <v>0.19</v>
      </c>
      <c r="K78" s="118">
        <v>395.7</v>
      </c>
      <c r="L78" s="118">
        <v>0.33</v>
      </c>
      <c r="M78" s="118">
        <v>0.32100000000000001</v>
      </c>
      <c r="N78" s="118">
        <v>0.46700000000000003</v>
      </c>
      <c r="O78" s="118">
        <v>86.5</v>
      </c>
      <c r="P78" s="118">
        <v>6.82</v>
      </c>
      <c r="Q78" s="118">
        <v>87.6</v>
      </c>
      <c r="R78" s="118">
        <v>40.681690000000003</v>
      </c>
      <c r="S78" s="118">
        <v>-85.888819999999996</v>
      </c>
      <c r="T78" s="118">
        <v>228.2</v>
      </c>
      <c r="U78" s="118">
        <v>67.599999999999994</v>
      </c>
      <c r="V78" s="118">
        <v>8.0500000000000007</v>
      </c>
      <c r="W78" s="118">
        <v>-98.4</v>
      </c>
      <c r="X78" s="118">
        <v>11.9</v>
      </c>
      <c r="Y78" s="118">
        <v>0</v>
      </c>
      <c r="Z78" s="118">
        <v>27.489000000000001</v>
      </c>
      <c r="AA78" s="118">
        <v>9.5</v>
      </c>
      <c r="AB78" s="118">
        <v>0</v>
      </c>
      <c r="AC78" s="118" t="s">
        <v>1717</v>
      </c>
      <c r="AD78" s="180" t="s">
        <v>1744</v>
      </c>
      <c r="AE78" s="119" t="s">
        <v>736</v>
      </c>
    </row>
    <row r="79" spans="1:31" x14ac:dyDescent="0.25">
      <c r="A79" s="119" t="s">
        <v>737</v>
      </c>
      <c r="B79" s="188">
        <v>0.53166666666666662</v>
      </c>
      <c r="C79" s="19">
        <v>45875</v>
      </c>
      <c r="D79" s="118">
        <v>250806</v>
      </c>
      <c r="E79" s="118">
        <v>0</v>
      </c>
      <c r="F79" s="118">
        <v>747.4</v>
      </c>
      <c r="G79" s="118">
        <v>406.1</v>
      </c>
      <c r="H79" s="118">
        <v>394.8</v>
      </c>
      <c r="I79" s="118">
        <v>257</v>
      </c>
      <c r="J79" s="118">
        <v>0.19</v>
      </c>
      <c r="K79" s="118">
        <v>393.6</v>
      </c>
      <c r="L79" s="118">
        <v>0.73599999999999999</v>
      </c>
      <c r="M79" s="118">
        <v>0.74399999999999999</v>
      </c>
      <c r="N79" s="118">
        <v>1.044</v>
      </c>
      <c r="O79" s="118">
        <v>101.8</v>
      </c>
      <c r="P79" s="118">
        <v>8.17</v>
      </c>
      <c r="Q79" s="118">
        <v>103.2</v>
      </c>
      <c r="R79" s="118">
        <v>40.67689</v>
      </c>
      <c r="S79" s="118">
        <v>-85.877089999999995</v>
      </c>
      <c r="T79" s="118">
        <v>220.3</v>
      </c>
      <c r="U79" s="118">
        <v>118.7</v>
      </c>
      <c r="V79" s="118">
        <v>8.17</v>
      </c>
      <c r="W79" s="118">
        <v>-105.7</v>
      </c>
      <c r="X79" s="118">
        <v>11.9</v>
      </c>
      <c r="Y79" s="118">
        <v>0</v>
      </c>
      <c r="Z79" s="118">
        <v>26.501000000000001</v>
      </c>
      <c r="AA79" s="118">
        <v>9.8000000000000007</v>
      </c>
      <c r="AB79" s="118">
        <v>0</v>
      </c>
      <c r="AC79" s="118" t="s">
        <v>1716</v>
      </c>
      <c r="AD79" s="180" t="s">
        <v>1745</v>
      </c>
      <c r="AE79" s="119" t="s">
        <v>737</v>
      </c>
    </row>
    <row r="80" spans="1:31" x14ac:dyDescent="0.25">
      <c r="A80" s="119" t="s">
        <v>738</v>
      </c>
      <c r="B80" s="188">
        <v>0.54459490740740746</v>
      </c>
      <c r="C80" s="19">
        <v>45875</v>
      </c>
      <c r="D80" s="118">
        <v>250806</v>
      </c>
      <c r="E80" s="118">
        <v>0</v>
      </c>
      <c r="F80" s="118">
        <v>747.4</v>
      </c>
      <c r="G80" s="118">
        <v>396.7</v>
      </c>
      <c r="H80" s="118">
        <v>374.8</v>
      </c>
      <c r="I80" s="118">
        <v>244</v>
      </c>
      <c r="J80" s="118">
        <v>0.18</v>
      </c>
      <c r="K80" s="118">
        <v>372.5</v>
      </c>
      <c r="L80" s="118">
        <v>0.496</v>
      </c>
      <c r="M80" s="118">
        <v>0.48699999999999999</v>
      </c>
      <c r="N80" s="118">
        <v>0.70299999999999996</v>
      </c>
      <c r="O80" s="118">
        <v>196.9</v>
      </c>
      <c r="P80" s="118">
        <v>15.38</v>
      </c>
      <c r="Q80" s="118">
        <v>199.6</v>
      </c>
      <c r="R80" s="118">
        <v>40.670870000000001</v>
      </c>
      <c r="S80" s="118">
        <v>-85.870350000000002</v>
      </c>
      <c r="T80" s="118">
        <v>220.9</v>
      </c>
      <c r="U80" s="118">
        <v>113.4</v>
      </c>
      <c r="V80" s="118">
        <v>8.89</v>
      </c>
      <c r="W80" s="118">
        <v>-149.6</v>
      </c>
      <c r="X80" s="118">
        <v>12</v>
      </c>
      <c r="Y80" s="118">
        <v>0</v>
      </c>
      <c r="Z80" s="118">
        <v>28.06</v>
      </c>
      <c r="AA80" s="118">
        <v>19.440000000000001</v>
      </c>
      <c r="AB80" s="118">
        <v>0</v>
      </c>
      <c r="AC80" s="118" t="s">
        <v>1715</v>
      </c>
      <c r="AD80" s="180" t="s">
        <v>1746</v>
      </c>
      <c r="AE80" s="119" t="s">
        <v>738</v>
      </c>
    </row>
    <row r="81" spans="1:31" x14ac:dyDescent="0.25">
      <c r="A81" s="119" t="s">
        <v>739</v>
      </c>
      <c r="B81" s="188">
        <v>0.56322916666666667</v>
      </c>
      <c r="C81" s="19">
        <v>45875</v>
      </c>
      <c r="D81" s="118">
        <v>250806</v>
      </c>
      <c r="E81" s="118">
        <v>0</v>
      </c>
      <c r="F81" s="118">
        <v>747.3</v>
      </c>
      <c r="G81" s="118">
        <v>388.5</v>
      </c>
      <c r="H81" s="118">
        <v>361.3</v>
      </c>
      <c r="I81" s="118">
        <v>235</v>
      </c>
      <c r="J81" s="118">
        <v>0.17</v>
      </c>
      <c r="K81" s="118">
        <v>358.4</v>
      </c>
      <c r="L81" s="118">
        <v>0.47599999999999998</v>
      </c>
      <c r="M81" s="118">
        <v>0.49399999999999999</v>
      </c>
      <c r="N81" s="118">
        <v>0.67500000000000004</v>
      </c>
      <c r="O81" s="118">
        <v>235.7</v>
      </c>
      <c r="P81" s="118">
        <v>18.14</v>
      </c>
      <c r="Q81" s="118">
        <v>239</v>
      </c>
      <c r="R81" s="118">
        <v>40.663409999999999</v>
      </c>
      <c r="S81" s="118">
        <v>-85.866100000000003</v>
      </c>
      <c r="T81" s="118">
        <v>217.4</v>
      </c>
      <c r="U81" s="118">
        <v>108</v>
      </c>
      <c r="V81" s="118">
        <v>9.11</v>
      </c>
      <c r="W81" s="118">
        <v>-162.80000000000001</v>
      </c>
      <c r="X81" s="118">
        <v>12</v>
      </c>
      <c r="Y81" s="118">
        <v>0</v>
      </c>
      <c r="Z81" s="118">
        <v>28.934999999999999</v>
      </c>
      <c r="AA81" s="118">
        <v>22.32</v>
      </c>
      <c r="AB81" s="118">
        <v>0</v>
      </c>
      <c r="AC81" s="118" t="s">
        <v>1714</v>
      </c>
      <c r="AD81" s="180" t="s">
        <v>1747</v>
      </c>
      <c r="AE81" s="119" t="s">
        <v>739</v>
      </c>
    </row>
    <row r="82" spans="1:31" x14ac:dyDescent="0.25">
      <c r="A82" s="119" t="s">
        <v>740</v>
      </c>
      <c r="B82" s="188">
        <v>0.60628472222222218</v>
      </c>
      <c r="C82" s="19">
        <v>45875</v>
      </c>
      <c r="D82" s="118">
        <v>250806</v>
      </c>
      <c r="E82" s="118">
        <v>0</v>
      </c>
      <c r="F82" s="118">
        <v>746.8</v>
      </c>
      <c r="G82" s="118">
        <v>369.7</v>
      </c>
      <c r="H82" s="118">
        <v>354.9</v>
      </c>
      <c r="I82" s="118">
        <v>231</v>
      </c>
      <c r="J82" s="118">
        <v>0.17</v>
      </c>
      <c r="K82" s="118">
        <v>353.3</v>
      </c>
      <c r="L82" s="118">
        <v>0.48199999999999998</v>
      </c>
      <c r="M82" s="118">
        <v>0.48699999999999999</v>
      </c>
      <c r="N82" s="118">
        <v>0.68300000000000005</v>
      </c>
      <c r="O82" s="118">
        <v>209.3</v>
      </c>
      <c r="P82" s="118">
        <v>16.61</v>
      </c>
      <c r="Q82" s="118">
        <v>212.2</v>
      </c>
      <c r="R82" s="118">
        <v>40.668640000000003</v>
      </c>
      <c r="S82" s="118">
        <v>-85.847740000000002</v>
      </c>
      <c r="T82" s="118">
        <v>222.4</v>
      </c>
      <c r="U82" s="118">
        <v>113.9</v>
      </c>
      <c r="V82" s="118">
        <v>9.0399999999999991</v>
      </c>
      <c r="W82" s="118">
        <v>-158</v>
      </c>
      <c r="X82" s="118">
        <v>11.9</v>
      </c>
      <c r="Y82" s="118">
        <v>0</v>
      </c>
      <c r="Z82" s="118">
        <v>27.189</v>
      </c>
      <c r="AA82" s="118">
        <v>26.39</v>
      </c>
      <c r="AB82" s="118">
        <v>0</v>
      </c>
      <c r="AC82" s="118" t="s">
        <v>1713</v>
      </c>
      <c r="AD82" s="180" t="s">
        <v>1748</v>
      </c>
      <c r="AE82" s="119" t="s">
        <v>740</v>
      </c>
    </row>
    <row r="83" spans="1:31" x14ac:dyDescent="0.25">
      <c r="A83" s="119" t="s">
        <v>741</v>
      </c>
      <c r="B83" s="188">
        <v>0.64549768518518513</v>
      </c>
      <c r="C83" s="19">
        <v>45875</v>
      </c>
      <c r="D83" s="118">
        <v>250806</v>
      </c>
      <c r="E83" s="118">
        <v>0</v>
      </c>
      <c r="F83" s="118">
        <v>746.4</v>
      </c>
      <c r="G83" s="118">
        <v>359.9</v>
      </c>
      <c r="H83" s="118">
        <v>332</v>
      </c>
      <c r="I83" s="118">
        <v>216</v>
      </c>
      <c r="J83" s="118">
        <v>0.16</v>
      </c>
      <c r="K83" s="118">
        <v>328.9</v>
      </c>
      <c r="L83" s="118">
        <v>0.41499999999999998</v>
      </c>
      <c r="M83" s="118">
        <v>0.40300000000000002</v>
      </c>
      <c r="N83" s="118">
        <v>0.58799999999999997</v>
      </c>
      <c r="O83" s="118">
        <v>315.3</v>
      </c>
      <c r="P83" s="118">
        <v>24.06</v>
      </c>
      <c r="Q83" s="118">
        <v>319.60000000000002</v>
      </c>
      <c r="R83" s="118">
        <v>40.673740000000002</v>
      </c>
      <c r="S83" s="118">
        <v>-85.831599999999995</v>
      </c>
      <c r="T83" s="118">
        <v>226</v>
      </c>
      <c r="U83" s="118">
        <v>73.8</v>
      </c>
      <c r="V83" s="118">
        <v>9.44</v>
      </c>
      <c r="W83" s="118">
        <v>-183.4</v>
      </c>
      <c r="X83" s="118">
        <v>12</v>
      </c>
      <c r="Y83" s="118">
        <v>0</v>
      </c>
      <c r="Z83" s="118">
        <v>29.402999999999999</v>
      </c>
      <c r="AA83" s="118">
        <v>39.520000000000003</v>
      </c>
      <c r="AB83" s="118">
        <v>0</v>
      </c>
      <c r="AC83" s="118" t="s">
        <v>1712</v>
      </c>
      <c r="AD83" s="180" t="s">
        <v>1749</v>
      </c>
      <c r="AE83" s="119" t="s">
        <v>741</v>
      </c>
    </row>
    <row r="84" spans="1:31" x14ac:dyDescent="0.25">
      <c r="A84" s="119" t="s">
        <v>742</v>
      </c>
      <c r="B84" s="188">
        <v>0.38340277777777776</v>
      </c>
      <c r="C84" s="19">
        <v>45875</v>
      </c>
      <c r="D84" s="118">
        <v>250806</v>
      </c>
      <c r="E84" s="118">
        <v>0</v>
      </c>
      <c r="F84" s="118">
        <v>748</v>
      </c>
      <c r="G84" s="118">
        <v>405.9</v>
      </c>
      <c r="H84" s="118">
        <v>394.6</v>
      </c>
      <c r="I84" s="118">
        <v>257</v>
      </c>
      <c r="J84" s="118">
        <v>0.19</v>
      </c>
      <c r="K84" s="118">
        <v>393.4</v>
      </c>
      <c r="L84" s="118">
        <v>0.58699999999999997</v>
      </c>
      <c r="M84" s="118">
        <v>0.59</v>
      </c>
      <c r="N84" s="118">
        <v>0.83299999999999996</v>
      </c>
      <c r="O84" s="118">
        <v>89.9</v>
      </c>
      <c r="P84" s="118">
        <v>7.22</v>
      </c>
      <c r="Q84" s="118">
        <v>91.1</v>
      </c>
      <c r="R84" s="118">
        <v>40.68779</v>
      </c>
      <c r="S84" s="118">
        <v>-85.896730000000005</v>
      </c>
      <c r="T84" s="118">
        <v>221.3</v>
      </c>
      <c r="U84" s="118">
        <v>206</v>
      </c>
      <c r="V84" s="118">
        <v>8.07</v>
      </c>
      <c r="W84" s="118">
        <v>-99.4</v>
      </c>
      <c r="X84" s="118">
        <v>12</v>
      </c>
      <c r="Y84" s="118">
        <v>0</v>
      </c>
      <c r="Z84" s="118">
        <v>26.498000000000001</v>
      </c>
      <c r="AA84" s="118">
        <v>10.16</v>
      </c>
      <c r="AB84" s="118">
        <v>0</v>
      </c>
      <c r="AC84" s="118" t="s">
        <v>1724</v>
      </c>
      <c r="AD84" s="180" t="s">
        <v>1752</v>
      </c>
      <c r="AE84" s="119" t="s">
        <v>742</v>
      </c>
    </row>
    <row r="85" spans="1:31" x14ac:dyDescent="0.25">
      <c r="A85" s="119" t="s">
        <v>743</v>
      </c>
      <c r="B85" s="188">
        <v>0.39868055555555554</v>
      </c>
      <c r="C85" s="19">
        <v>45875</v>
      </c>
      <c r="D85" s="118">
        <v>250806</v>
      </c>
      <c r="E85" s="118">
        <v>0</v>
      </c>
      <c r="F85" s="118">
        <v>747.7</v>
      </c>
      <c r="G85" s="118">
        <v>407.9</v>
      </c>
      <c r="H85" s="118">
        <v>394</v>
      </c>
      <c r="I85" s="118">
        <v>256</v>
      </c>
      <c r="J85" s="118">
        <v>0.19</v>
      </c>
      <c r="K85" s="118">
        <v>392.6</v>
      </c>
      <c r="L85" s="118">
        <v>0.49099999999999999</v>
      </c>
      <c r="M85" s="118">
        <v>0.499</v>
      </c>
      <c r="N85" s="118">
        <v>0.69599999999999995</v>
      </c>
      <c r="O85" s="118">
        <v>109.1</v>
      </c>
      <c r="P85" s="118">
        <v>8.7100000000000009</v>
      </c>
      <c r="Q85" s="118">
        <v>110.7</v>
      </c>
      <c r="R85" s="118">
        <v>40.691760000000002</v>
      </c>
      <c r="S85" s="118">
        <v>-85.908410000000003</v>
      </c>
      <c r="T85" s="118">
        <v>226.3</v>
      </c>
      <c r="U85" s="118">
        <v>117.3</v>
      </c>
      <c r="V85" s="118">
        <v>8.14</v>
      </c>
      <c r="W85" s="118">
        <v>-103.6</v>
      </c>
      <c r="X85" s="118">
        <v>12</v>
      </c>
      <c r="Y85" s="118">
        <v>0</v>
      </c>
      <c r="Z85" s="118">
        <v>26.844999999999999</v>
      </c>
      <c r="AA85" s="118">
        <v>10.98</v>
      </c>
      <c r="AB85" s="118">
        <v>0</v>
      </c>
      <c r="AC85" s="118" t="s">
        <v>1722</v>
      </c>
      <c r="AD85" s="180" t="s">
        <v>1750</v>
      </c>
      <c r="AE85" s="119" t="s">
        <v>743</v>
      </c>
    </row>
    <row r="86" spans="1:31" x14ac:dyDescent="0.25">
      <c r="A86" s="119" t="s">
        <v>744</v>
      </c>
      <c r="B86" s="188">
        <v>0.42429398148148151</v>
      </c>
      <c r="C86" s="19">
        <v>45875</v>
      </c>
      <c r="D86" s="118">
        <v>250806</v>
      </c>
      <c r="E86" s="118">
        <v>0</v>
      </c>
      <c r="F86" s="118">
        <v>747.6</v>
      </c>
      <c r="G86" s="118">
        <v>396.1</v>
      </c>
      <c r="H86" s="118">
        <v>380</v>
      </c>
      <c r="I86" s="118">
        <v>247</v>
      </c>
      <c r="J86" s="118">
        <v>0.18</v>
      </c>
      <c r="K86" s="118">
        <v>378.3</v>
      </c>
      <c r="L86" s="118">
        <v>0.48099999999999998</v>
      </c>
      <c r="M86" s="118">
        <v>0.497</v>
      </c>
      <c r="N86" s="118">
        <v>0.68200000000000005</v>
      </c>
      <c r="O86" s="118">
        <v>123.4</v>
      </c>
      <c r="P86" s="118">
        <v>9.7799999999999994</v>
      </c>
      <c r="Q86" s="118">
        <v>125.1</v>
      </c>
      <c r="R86" s="118">
        <v>40.7042</v>
      </c>
      <c r="S86" s="118">
        <v>-85.930080000000004</v>
      </c>
      <c r="T86" s="118">
        <v>225.1</v>
      </c>
      <c r="U86" s="118">
        <v>119.2</v>
      </c>
      <c r="V86" s="118">
        <v>8.5299999999999994</v>
      </c>
      <c r="W86" s="118">
        <v>-127.2</v>
      </c>
      <c r="X86" s="118">
        <v>11.9</v>
      </c>
      <c r="Y86" s="118">
        <v>0</v>
      </c>
      <c r="Z86" s="118">
        <v>27.216000000000001</v>
      </c>
      <c r="AA86" s="118">
        <v>11.33</v>
      </c>
      <c r="AB86" s="118">
        <v>0</v>
      </c>
      <c r="AC86" s="118" t="s">
        <v>1718</v>
      </c>
      <c r="AD86" s="180" t="s">
        <v>1751</v>
      </c>
      <c r="AE86" s="119" t="s">
        <v>744</v>
      </c>
    </row>
    <row r="87" spans="1:31" x14ac:dyDescent="0.25">
      <c r="A87" s="119" t="s">
        <v>745</v>
      </c>
      <c r="B87" s="188">
        <v>0.40899305555555554</v>
      </c>
      <c r="C87" s="19">
        <v>45875</v>
      </c>
      <c r="D87" s="118">
        <v>250806</v>
      </c>
      <c r="E87" s="118">
        <v>0</v>
      </c>
      <c r="F87" s="118">
        <v>747.7</v>
      </c>
      <c r="G87" s="118">
        <v>402.4</v>
      </c>
      <c r="H87" s="118">
        <v>388.3</v>
      </c>
      <c r="I87" s="118">
        <v>252</v>
      </c>
      <c r="J87" s="118">
        <v>0.18</v>
      </c>
      <c r="K87" s="118">
        <v>386.8</v>
      </c>
      <c r="L87" s="118">
        <v>0.52800000000000002</v>
      </c>
      <c r="M87" s="118">
        <v>0.54200000000000004</v>
      </c>
      <c r="N87" s="118">
        <v>0.748</v>
      </c>
      <c r="O87" s="118">
        <v>107.9</v>
      </c>
      <c r="P87" s="118">
        <v>8.6</v>
      </c>
      <c r="Q87" s="118">
        <v>109.4</v>
      </c>
      <c r="R87" s="118">
        <v>40.693359999999998</v>
      </c>
      <c r="S87" s="118">
        <v>-85.920379999999994</v>
      </c>
      <c r="T87" s="118">
        <v>223.1</v>
      </c>
      <c r="U87" s="118">
        <v>119</v>
      </c>
      <c r="V87" s="118">
        <v>8.1999999999999993</v>
      </c>
      <c r="W87" s="118">
        <v>-107.3</v>
      </c>
      <c r="X87" s="118">
        <v>12</v>
      </c>
      <c r="Y87" s="118">
        <v>0</v>
      </c>
      <c r="Z87" s="118">
        <v>26.907</v>
      </c>
      <c r="AA87" s="118">
        <v>11.96</v>
      </c>
      <c r="AB87" s="118">
        <v>0</v>
      </c>
      <c r="AC87" s="118" t="s">
        <v>1725</v>
      </c>
      <c r="AD87" s="180">
        <v>10</v>
      </c>
      <c r="AE87" s="119" t="s">
        <v>745</v>
      </c>
    </row>
    <row r="88" spans="1:31" x14ac:dyDescent="0.25">
      <c r="A88" s="119" t="s">
        <v>746</v>
      </c>
      <c r="B88" s="188">
        <v>0.43648148148148147</v>
      </c>
      <c r="C88" s="19">
        <v>45875</v>
      </c>
      <c r="D88" s="118">
        <v>250806</v>
      </c>
      <c r="E88" s="118">
        <v>0</v>
      </c>
      <c r="F88" s="118">
        <v>747.7</v>
      </c>
      <c r="G88" s="118">
        <v>392.7</v>
      </c>
      <c r="H88" s="118">
        <v>376.1</v>
      </c>
      <c r="I88" s="118">
        <v>244</v>
      </c>
      <c r="J88" s="118">
        <v>0.18</v>
      </c>
      <c r="K88" s="118">
        <v>374.3</v>
      </c>
      <c r="L88" s="118">
        <v>0.48099999999999998</v>
      </c>
      <c r="M88" s="118">
        <v>0.501</v>
      </c>
      <c r="N88" s="118">
        <v>0.68200000000000005</v>
      </c>
      <c r="O88" s="118">
        <v>120.8</v>
      </c>
      <c r="P88" s="118">
        <v>9.57</v>
      </c>
      <c r="Q88" s="118">
        <v>122.5</v>
      </c>
      <c r="R88" s="118">
        <v>40.711069999999999</v>
      </c>
      <c r="S88" s="118">
        <v>-85.938760000000002</v>
      </c>
      <c r="T88" s="118">
        <v>219.5</v>
      </c>
      <c r="U88" s="118">
        <v>103</v>
      </c>
      <c r="V88" s="118">
        <v>8.5299999999999994</v>
      </c>
      <c r="W88" s="118">
        <v>-127.4</v>
      </c>
      <c r="X88" s="118">
        <v>12</v>
      </c>
      <c r="Y88" s="118">
        <v>0</v>
      </c>
      <c r="Z88" s="118">
        <v>27.311</v>
      </c>
      <c r="AA88" s="118">
        <v>11.6</v>
      </c>
      <c r="AB88" s="118">
        <v>0</v>
      </c>
      <c r="AC88" s="118" t="s">
        <v>1719</v>
      </c>
      <c r="AD88" s="180">
        <v>11</v>
      </c>
      <c r="AE88" s="119" t="s">
        <v>746</v>
      </c>
    </row>
    <row r="89" spans="1:31" x14ac:dyDescent="0.25">
      <c r="A89" s="119" t="s">
        <v>747</v>
      </c>
      <c r="B89" s="188">
        <v>0.46106481481481482</v>
      </c>
      <c r="C89" s="19">
        <v>45875</v>
      </c>
      <c r="D89" s="118">
        <v>250806</v>
      </c>
      <c r="E89" s="118">
        <v>0</v>
      </c>
      <c r="F89" s="118">
        <v>747.7</v>
      </c>
      <c r="G89" s="118">
        <v>26.5</v>
      </c>
      <c r="H89" s="118">
        <v>26.1</v>
      </c>
      <c r="I89" s="118">
        <v>17</v>
      </c>
      <c r="J89" s="118">
        <v>0.01</v>
      </c>
      <c r="K89" s="118">
        <v>26</v>
      </c>
      <c r="L89" s="118">
        <v>0.152</v>
      </c>
      <c r="M89" s="118">
        <v>0.16400000000000001</v>
      </c>
      <c r="N89" s="118">
        <v>0.215</v>
      </c>
      <c r="O89" s="118">
        <v>94.2</v>
      </c>
      <c r="P89" s="118">
        <v>7.68</v>
      </c>
      <c r="Q89" s="118">
        <v>95.5</v>
      </c>
      <c r="R89" s="118">
        <v>40.711709999999997</v>
      </c>
      <c r="S89" s="118">
        <v>-85.951179999999994</v>
      </c>
      <c r="T89" s="118">
        <v>226.4</v>
      </c>
      <c r="U89" s="118">
        <v>135.4</v>
      </c>
      <c r="V89" s="118">
        <v>8.64</v>
      </c>
      <c r="W89" s="118">
        <v>-133.69999999999999</v>
      </c>
      <c r="X89" s="118">
        <v>12</v>
      </c>
      <c r="Y89" s="118">
        <v>0</v>
      </c>
      <c r="Z89" s="118">
        <v>25.748999999999999</v>
      </c>
      <c r="AA89" s="118">
        <v>17.739999999999998</v>
      </c>
      <c r="AB89" s="118">
        <v>0</v>
      </c>
      <c r="AC89" s="118" t="s">
        <v>1720</v>
      </c>
      <c r="AD89" s="180">
        <v>12</v>
      </c>
      <c r="AE89" s="119" t="s">
        <v>747</v>
      </c>
    </row>
    <row r="90" spans="1:31" x14ac:dyDescent="0.25">
      <c r="A90" s="119" t="s">
        <v>748</v>
      </c>
      <c r="B90" s="188">
        <v>0.62141203703703707</v>
      </c>
      <c r="C90" s="19">
        <v>45875</v>
      </c>
      <c r="D90" s="118">
        <v>250806</v>
      </c>
      <c r="E90" s="118">
        <v>0</v>
      </c>
      <c r="F90" s="118">
        <v>746.6</v>
      </c>
      <c r="G90" s="118">
        <v>367.1</v>
      </c>
      <c r="H90" s="118">
        <v>336</v>
      </c>
      <c r="I90" s="118">
        <v>218</v>
      </c>
      <c r="J90" s="118">
        <v>0.16</v>
      </c>
      <c r="K90" s="118">
        <v>332.5</v>
      </c>
      <c r="L90" s="118">
        <v>0.45</v>
      </c>
      <c r="M90" s="118">
        <v>0.45100000000000001</v>
      </c>
      <c r="N90" s="118">
        <v>0.63700000000000001</v>
      </c>
      <c r="O90" s="118">
        <v>330.9</v>
      </c>
      <c r="P90" s="118">
        <v>25.05</v>
      </c>
      <c r="Q90" s="118">
        <v>335.5</v>
      </c>
      <c r="R90" s="118">
        <v>40.67295</v>
      </c>
      <c r="S90" s="118">
        <v>-85.841160000000002</v>
      </c>
      <c r="T90" s="118">
        <v>221.5</v>
      </c>
      <c r="U90" s="118">
        <v>55.7</v>
      </c>
      <c r="V90" s="118">
        <v>9.5</v>
      </c>
      <c r="W90" s="118">
        <v>-187.1</v>
      </c>
      <c r="X90" s="118">
        <v>11.9</v>
      </c>
      <c r="Y90" s="118">
        <v>0</v>
      </c>
      <c r="Z90" s="118">
        <v>29.853999999999999</v>
      </c>
      <c r="AA90" s="118">
        <v>48.09</v>
      </c>
      <c r="AB90" s="118">
        <v>0</v>
      </c>
      <c r="AC90" s="118" t="s">
        <v>1721</v>
      </c>
      <c r="AD90" s="180">
        <v>13</v>
      </c>
      <c r="AE90" s="119" t="s">
        <v>748</v>
      </c>
    </row>
    <row r="91" spans="1:31" x14ac:dyDescent="0.25">
      <c r="A91" s="119" t="s">
        <v>749</v>
      </c>
      <c r="B91" s="188">
        <v>0.44814814814814813</v>
      </c>
      <c r="C91" s="19">
        <v>45875</v>
      </c>
      <c r="D91" s="118">
        <v>250806</v>
      </c>
      <c r="E91" s="118">
        <v>0</v>
      </c>
      <c r="F91" s="118">
        <v>747.7</v>
      </c>
      <c r="G91" s="118">
        <v>389.1</v>
      </c>
      <c r="H91" s="118">
        <v>370.5</v>
      </c>
      <c r="I91" s="118">
        <v>241</v>
      </c>
      <c r="J91" s="118">
        <v>0.18</v>
      </c>
      <c r="K91" s="118">
        <v>368.5</v>
      </c>
      <c r="L91" s="118">
        <v>0.41699999999999998</v>
      </c>
      <c r="M91" s="118">
        <v>0.41299999999999998</v>
      </c>
      <c r="N91" s="118">
        <v>0.59099999999999997</v>
      </c>
      <c r="O91" s="118">
        <v>126.7</v>
      </c>
      <c r="P91" s="118">
        <v>9.9700000000000006</v>
      </c>
      <c r="Q91" s="118">
        <v>128.4</v>
      </c>
      <c r="R91" s="118">
        <v>40.715580000000003</v>
      </c>
      <c r="S91" s="118">
        <v>-85.950789999999998</v>
      </c>
      <c r="T91" s="118">
        <v>225.9</v>
      </c>
      <c r="U91" s="118">
        <v>161.80000000000001</v>
      </c>
      <c r="V91" s="118">
        <v>8.4700000000000006</v>
      </c>
      <c r="W91" s="118">
        <v>-123.7</v>
      </c>
      <c r="X91" s="118">
        <v>12</v>
      </c>
      <c r="Y91" s="118">
        <v>0</v>
      </c>
      <c r="Z91" s="118">
        <v>27.634</v>
      </c>
      <c r="AA91" s="118">
        <v>12.98</v>
      </c>
      <c r="AB91" s="118">
        <v>0</v>
      </c>
      <c r="AC91" s="118" t="s">
        <v>1726</v>
      </c>
      <c r="AD91" s="180">
        <v>14</v>
      </c>
      <c r="AE91" s="119" t="s">
        <v>749</v>
      </c>
    </row>
    <row r="92" spans="1:31" x14ac:dyDescent="0.25">
      <c r="A92" s="119" t="s">
        <v>750</v>
      </c>
      <c r="B92" s="188">
        <v>0.57785879629629633</v>
      </c>
      <c r="C92" s="19">
        <v>45875</v>
      </c>
      <c r="D92" s="118">
        <v>250806</v>
      </c>
      <c r="E92" s="118">
        <v>0</v>
      </c>
      <c r="F92" s="118">
        <v>747.3</v>
      </c>
      <c r="G92" s="118">
        <v>380.1</v>
      </c>
      <c r="H92" s="118">
        <v>359.5</v>
      </c>
      <c r="I92" s="118">
        <v>234</v>
      </c>
      <c r="J92" s="118">
        <v>0.17</v>
      </c>
      <c r="K92" s="118">
        <v>357.2</v>
      </c>
      <c r="L92" s="118">
        <v>0.498</v>
      </c>
      <c r="M92" s="118">
        <v>0.52800000000000002</v>
      </c>
      <c r="N92" s="118">
        <v>0.70599999999999996</v>
      </c>
      <c r="O92" s="118">
        <v>228.1</v>
      </c>
      <c r="P92" s="118">
        <v>17.829999999999998</v>
      </c>
      <c r="Q92" s="118">
        <v>231.2</v>
      </c>
      <c r="R92" s="118">
        <v>40.663760000000003</v>
      </c>
      <c r="S92" s="118">
        <v>-85.855019999999996</v>
      </c>
      <c r="T92" s="118">
        <v>221.9</v>
      </c>
      <c r="U92" s="118">
        <v>73.8</v>
      </c>
      <c r="V92" s="118">
        <v>9.06</v>
      </c>
      <c r="W92" s="118">
        <v>-159.5</v>
      </c>
      <c r="X92" s="118">
        <v>11.9</v>
      </c>
      <c r="Y92" s="118">
        <v>0</v>
      </c>
      <c r="Z92" s="118">
        <v>28.001000000000001</v>
      </c>
      <c r="AA92" s="118">
        <v>21.84</v>
      </c>
      <c r="AB92" s="118">
        <v>0</v>
      </c>
      <c r="AC92" s="118" t="s">
        <v>1727</v>
      </c>
      <c r="AD92" s="180">
        <v>15</v>
      </c>
      <c r="AE92" s="119" t="s">
        <v>750</v>
      </c>
    </row>
    <row r="93" spans="1:31" x14ac:dyDescent="0.25">
      <c r="A93" s="119" t="s">
        <v>751</v>
      </c>
      <c r="B93" s="188">
        <v>0.63658564814814811</v>
      </c>
      <c r="C93" s="19">
        <v>45875</v>
      </c>
      <c r="D93" s="118">
        <v>250806</v>
      </c>
      <c r="E93" s="118">
        <v>0</v>
      </c>
      <c r="F93" s="118">
        <v>746.5</v>
      </c>
      <c r="G93" s="118">
        <v>350.9</v>
      </c>
      <c r="H93" s="118">
        <v>337.1</v>
      </c>
      <c r="I93" s="118">
        <v>219</v>
      </c>
      <c r="J93" s="118">
        <v>0.16</v>
      </c>
      <c r="K93" s="118">
        <v>335.7</v>
      </c>
      <c r="L93" s="118">
        <v>0.46500000000000002</v>
      </c>
      <c r="M93" s="118">
        <v>0.46300000000000002</v>
      </c>
      <c r="N93" s="118">
        <v>0.66</v>
      </c>
      <c r="O93" s="118">
        <v>302.7</v>
      </c>
      <c r="P93" s="118">
        <v>24.03</v>
      </c>
      <c r="Q93" s="118">
        <v>306.8</v>
      </c>
      <c r="R93" s="118">
        <v>40.673180000000002</v>
      </c>
      <c r="S93" s="118">
        <v>-85.835279999999997</v>
      </c>
      <c r="T93" s="118">
        <v>217</v>
      </c>
      <c r="U93" s="118">
        <v>65.599999999999994</v>
      </c>
      <c r="V93" s="118">
        <v>9.41</v>
      </c>
      <c r="W93" s="118">
        <v>-180</v>
      </c>
      <c r="X93" s="118">
        <v>11.9</v>
      </c>
      <c r="Y93" s="118">
        <v>0</v>
      </c>
      <c r="Z93" s="118">
        <v>27.138000000000002</v>
      </c>
      <c r="AA93" s="118">
        <v>40.28</v>
      </c>
      <c r="AB93" s="118">
        <v>0</v>
      </c>
      <c r="AC93" s="118" t="s">
        <v>1728</v>
      </c>
      <c r="AD93" s="180">
        <v>16</v>
      </c>
      <c r="AE93" s="119" t="s">
        <v>751</v>
      </c>
    </row>
    <row r="94" spans="1:31" x14ac:dyDescent="0.25">
      <c r="B94" s="188">
        <v>0.53166666666666662</v>
      </c>
      <c r="C94" s="19">
        <v>45875</v>
      </c>
      <c r="D94" s="118">
        <v>250806</v>
      </c>
      <c r="E94" s="118">
        <v>0</v>
      </c>
      <c r="F94" s="118">
        <v>747.4</v>
      </c>
      <c r="G94" s="118">
        <v>406.1</v>
      </c>
      <c r="H94" s="118">
        <v>394.8</v>
      </c>
      <c r="I94" s="118">
        <v>257</v>
      </c>
      <c r="J94" s="118">
        <v>0.19</v>
      </c>
      <c r="K94" s="118">
        <v>393.6</v>
      </c>
      <c r="L94" s="118">
        <v>0.73599999999999999</v>
      </c>
      <c r="M94" s="118">
        <v>0.74399999999999999</v>
      </c>
      <c r="N94" s="118">
        <v>1.044</v>
      </c>
      <c r="O94" s="118">
        <v>101.8</v>
      </c>
      <c r="P94" s="118">
        <v>8.17</v>
      </c>
      <c r="Q94" s="118">
        <v>103.2</v>
      </c>
      <c r="R94" s="118">
        <v>40.67689</v>
      </c>
      <c r="S94" s="118">
        <v>-85.877089999999995</v>
      </c>
      <c r="T94" s="118">
        <v>220.3</v>
      </c>
      <c r="U94" s="118">
        <v>118.7</v>
      </c>
      <c r="V94" s="118">
        <v>8.17</v>
      </c>
      <c r="W94" s="118">
        <v>-105.7</v>
      </c>
      <c r="X94" s="118">
        <v>11.9</v>
      </c>
      <c r="Y94" s="118">
        <v>0</v>
      </c>
      <c r="Z94" s="118">
        <v>26.501000000000001</v>
      </c>
      <c r="AA94" s="118">
        <v>9.8000000000000007</v>
      </c>
      <c r="AB94" s="118">
        <v>0</v>
      </c>
      <c r="AC94" s="118" t="s">
        <v>1723</v>
      </c>
      <c r="AD94" s="180">
        <v>17</v>
      </c>
    </row>
    <row r="95" spans="1:31" x14ac:dyDescent="0.25">
      <c r="A95" s="124" t="s">
        <v>782</v>
      </c>
      <c r="B95" s="188">
        <v>0.38333333333333336</v>
      </c>
      <c r="C95" s="19">
        <v>45882</v>
      </c>
      <c r="D95" s="118">
        <v>250813</v>
      </c>
      <c r="E95" s="118">
        <v>0</v>
      </c>
      <c r="F95" s="118">
        <v>740.5</v>
      </c>
      <c r="G95" s="118">
        <v>368.3</v>
      </c>
      <c r="H95" s="118">
        <v>344.2</v>
      </c>
      <c r="I95" s="118">
        <v>223.73</v>
      </c>
      <c r="J95" s="118">
        <v>0.19</v>
      </c>
      <c r="K95" s="118"/>
      <c r="L95" s="118">
        <v>0.25</v>
      </c>
      <c r="M95" s="118">
        <v>0.25</v>
      </c>
      <c r="N95" s="118"/>
      <c r="O95" s="118">
        <v>160.1</v>
      </c>
      <c r="P95" s="118">
        <v>14.248900000000001</v>
      </c>
      <c r="Q95" s="118"/>
      <c r="R95" s="118">
        <v>40.681714999999997</v>
      </c>
      <c r="S95" s="118">
        <v>-85.888788000000005</v>
      </c>
      <c r="T95" s="118"/>
      <c r="U95" s="118"/>
      <c r="V95" s="118">
        <v>8.81</v>
      </c>
      <c r="W95" s="118"/>
      <c r="X95" s="118"/>
      <c r="Y95" s="118"/>
      <c r="Z95" s="118">
        <v>28.67</v>
      </c>
      <c r="AA95" s="118">
        <v>25.6</v>
      </c>
      <c r="AB95" s="118">
        <v>0</v>
      </c>
      <c r="AC95" s="118" t="s">
        <v>1717</v>
      </c>
      <c r="AD95" s="180" t="s">
        <v>1744</v>
      </c>
      <c r="AE95" s="124" t="s">
        <v>782</v>
      </c>
    </row>
    <row r="96" spans="1:31" x14ac:dyDescent="0.25">
      <c r="A96" s="124" t="s">
        <v>783</v>
      </c>
      <c r="B96" s="188">
        <v>0.40122685185185186</v>
      </c>
      <c r="C96" s="19">
        <v>45882</v>
      </c>
      <c r="D96" s="118">
        <v>250813</v>
      </c>
      <c r="E96" s="118">
        <v>0</v>
      </c>
      <c r="F96" s="118">
        <v>740.5</v>
      </c>
      <c r="G96" s="118">
        <v>358.9</v>
      </c>
      <c r="H96" s="118">
        <v>334.2</v>
      </c>
      <c r="I96" s="118">
        <v>217.23</v>
      </c>
      <c r="J96" s="118">
        <v>0.19</v>
      </c>
      <c r="K96" s="118"/>
      <c r="L96" s="118">
        <v>0.16800000000000001</v>
      </c>
      <c r="M96" s="118">
        <v>0.16800000000000001</v>
      </c>
      <c r="N96" s="118"/>
      <c r="O96" s="118">
        <v>186.1</v>
      </c>
      <c r="P96" s="118">
        <v>16.562899999999999</v>
      </c>
      <c r="Q96" s="118"/>
      <c r="R96" s="118">
        <v>40.677154000000002</v>
      </c>
      <c r="S96" s="118">
        <v>-85.877200999999999</v>
      </c>
      <c r="T96" s="118"/>
      <c r="U96" s="118"/>
      <c r="V96" s="118">
        <v>8.9700000000000006</v>
      </c>
      <c r="W96" s="118"/>
      <c r="X96" s="118"/>
      <c r="Y96" s="118"/>
      <c r="Z96" s="118">
        <v>28.861999999999998</v>
      </c>
      <c r="AA96" s="118">
        <v>27.84</v>
      </c>
      <c r="AB96" s="118">
        <v>0</v>
      </c>
      <c r="AC96" s="118" t="s">
        <v>1716</v>
      </c>
      <c r="AD96" s="180" t="s">
        <v>1745</v>
      </c>
      <c r="AE96" s="124" t="s">
        <v>783</v>
      </c>
    </row>
    <row r="97" spans="1:31" x14ac:dyDescent="0.25">
      <c r="A97" s="124" t="s">
        <v>784</v>
      </c>
      <c r="B97" s="188">
        <v>0.41111111111111109</v>
      </c>
      <c r="C97" s="19">
        <v>45882</v>
      </c>
      <c r="D97" s="118">
        <v>250813</v>
      </c>
      <c r="E97" s="118">
        <v>0</v>
      </c>
      <c r="F97" s="118">
        <v>740.5</v>
      </c>
      <c r="G97" s="118">
        <v>363.3</v>
      </c>
      <c r="H97" s="118">
        <v>338.9</v>
      </c>
      <c r="I97" s="118">
        <v>220.285</v>
      </c>
      <c r="J97" s="118">
        <v>0.19</v>
      </c>
      <c r="K97" s="118"/>
      <c r="L97" s="118">
        <v>0.25</v>
      </c>
      <c r="M97" s="118">
        <v>0.25</v>
      </c>
      <c r="N97" s="118"/>
      <c r="O97" s="118">
        <v>177.4</v>
      </c>
      <c r="P97" s="118">
        <v>15.788600000000001</v>
      </c>
      <c r="Q97" s="118"/>
      <c r="R97" s="118">
        <v>40.670718999999998</v>
      </c>
      <c r="S97" s="118">
        <v>-85.870287000000005</v>
      </c>
      <c r="T97" s="118"/>
      <c r="U97" s="118"/>
      <c r="V97" s="118">
        <v>8.93</v>
      </c>
      <c r="W97" s="118"/>
      <c r="X97" s="118"/>
      <c r="Y97" s="118"/>
      <c r="Z97" s="118">
        <v>28.77</v>
      </c>
      <c r="AA97" s="118">
        <v>28.17</v>
      </c>
      <c r="AB97" s="118">
        <v>0</v>
      </c>
      <c r="AC97" s="118" t="s">
        <v>1715</v>
      </c>
      <c r="AD97" s="180" t="s">
        <v>1746</v>
      </c>
      <c r="AE97" s="124" t="s">
        <v>784</v>
      </c>
    </row>
    <row r="98" spans="1:31" x14ac:dyDescent="0.25">
      <c r="A98" s="124" t="s">
        <v>785</v>
      </c>
      <c r="B98" s="188">
        <v>0.42152777777777778</v>
      </c>
      <c r="C98" s="19">
        <v>45882</v>
      </c>
      <c r="D98" s="118">
        <v>250813</v>
      </c>
      <c r="E98" s="118">
        <v>0</v>
      </c>
      <c r="F98" s="118">
        <v>740.5</v>
      </c>
      <c r="G98" s="118">
        <v>365.3</v>
      </c>
      <c r="H98" s="118">
        <v>343.1</v>
      </c>
      <c r="I98" s="118">
        <v>223.01499999999999</v>
      </c>
      <c r="J98" s="118">
        <v>0.19</v>
      </c>
      <c r="K98" s="118"/>
      <c r="L98" s="118">
        <v>0.12</v>
      </c>
      <c r="M98" s="118">
        <v>0.12</v>
      </c>
      <c r="N98" s="118"/>
      <c r="O98" s="118">
        <v>163.1</v>
      </c>
      <c r="P98" s="118">
        <v>14.5159</v>
      </c>
      <c r="Q98" s="118"/>
      <c r="R98" s="118">
        <v>40.663286999999997</v>
      </c>
      <c r="S98" s="118">
        <v>-85.866485999999995</v>
      </c>
      <c r="T98" s="118"/>
      <c r="U98" s="118"/>
      <c r="V98" s="118">
        <v>8.8699999999999992</v>
      </c>
      <c r="W98" s="118"/>
      <c r="X98" s="118"/>
      <c r="Y98" s="118"/>
      <c r="Z98" s="118">
        <v>28.39</v>
      </c>
      <c r="AA98" s="118">
        <v>18.149999999999999</v>
      </c>
      <c r="AB98" s="118">
        <v>0</v>
      </c>
      <c r="AC98" s="118" t="s">
        <v>1714</v>
      </c>
      <c r="AD98" s="180" t="s">
        <v>1747</v>
      </c>
      <c r="AE98" s="124" t="s">
        <v>785</v>
      </c>
    </row>
    <row r="99" spans="1:31" x14ac:dyDescent="0.25">
      <c r="A99" s="124" t="s">
        <v>786</v>
      </c>
      <c r="B99" s="188">
        <v>0.44583333333333336</v>
      </c>
      <c r="C99" s="19">
        <v>45882</v>
      </c>
      <c r="D99" s="118">
        <v>250813</v>
      </c>
      <c r="E99" s="118">
        <v>0</v>
      </c>
      <c r="F99" s="118">
        <v>740.5</v>
      </c>
      <c r="G99" s="118">
        <v>359.1</v>
      </c>
      <c r="H99" s="118">
        <v>333.6</v>
      </c>
      <c r="I99" s="118">
        <v>216.84</v>
      </c>
      <c r="J99" s="118">
        <v>0.19</v>
      </c>
      <c r="K99" s="118"/>
      <c r="L99" s="118">
        <v>0.21</v>
      </c>
      <c r="M99" s="118">
        <v>0.21</v>
      </c>
      <c r="N99" s="118"/>
      <c r="O99" s="118">
        <v>183.6</v>
      </c>
      <c r="P99" s="118">
        <v>16.340399999999999</v>
      </c>
      <c r="Q99" s="118"/>
      <c r="R99" s="118">
        <v>40.668571999999998</v>
      </c>
      <c r="S99" s="118">
        <v>-85.847962999999993</v>
      </c>
      <c r="T99" s="118"/>
      <c r="U99" s="118"/>
      <c r="V99" s="118">
        <v>8.9600000000000009</v>
      </c>
      <c r="W99" s="118"/>
      <c r="X99" s="118"/>
      <c r="Y99" s="118"/>
      <c r="Z99" s="118">
        <v>29</v>
      </c>
      <c r="AA99" s="118">
        <v>21.34</v>
      </c>
      <c r="AB99" s="118">
        <v>0</v>
      </c>
      <c r="AC99" s="118" t="s">
        <v>1713</v>
      </c>
      <c r="AD99" s="180" t="s">
        <v>1748</v>
      </c>
      <c r="AE99" s="124" t="s">
        <v>786</v>
      </c>
    </row>
    <row r="100" spans="1:31" x14ac:dyDescent="0.25">
      <c r="A100" s="124" t="s">
        <v>787</v>
      </c>
      <c r="B100" s="188">
        <v>0.46666666666666667</v>
      </c>
      <c r="C100" s="19">
        <v>45882</v>
      </c>
      <c r="D100" s="118"/>
      <c r="E100" s="118"/>
      <c r="F100" s="118"/>
      <c r="G100" s="118">
        <v>338.1</v>
      </c>
      <c r="H100" s="118">
        <v>312</v>
      </c>
      <c r="I100" s="118">
        <v>202.8</v>
      </c>
      <c r="J100" s="118">
        <v>0.19</v>
      </c>
      <c r="K100" s="118"/>
      <c r="L100" s="118">
        <v>0.21</v>
      </c>
      <c r="M100" s="118">
        <v>0.21</v>
      </c>
      <c r="N100" s="118"/>
      <c r="O100" s="118">
        <v>241.9</v>
      </c>
      <c r="P100" s="118">
        <v>21.5291</v>
      </c>
      <c r="Q100" s="118"/>
      <c r="R100" s="118">
        <v>40.673721999999998</v>
      </c>
      <c r="S100" s="118">
        <v>-85.831861000000004</v>
      </c>
      <c r="T100" s="118"/>
      <c r="U100" s="118"/>
      <c r="V100" s="118">
        <v>9.2100000000000009</v>
      </c>
      <c r="W100" s="118"/>
      <c r="X100" s="118"/>
      <c r="Y100" s="118"/>
      <c r="Z100" s="118">
        <v>29.38</v>
      </c>
      <c r="AA100" s="118">
        <v>49.6</v>
      </c>
      <c r="AB100" s="118">
        <v>0</v>
      </c>
      <c r="AC100" s="118" t="s">
        <v>1712</v>
      </c>
      <c r="AD100" s="180" t="s">
        <v>1749</v>
      </c>
      <c r="AE100" s="124" t="s">
        <v>787</v>
      </c>
    </row>
    <row r="101" spans="1:31" x14ac:dyDescent="0.25">
      <c r="A101" s="124" t="s">
        <v>788</v>
      </c>
      <c r="B101" s="188">
        <v>0.58194444444444449</v>
      </c>
      <c r="C101" s="19">
        <v>45882</v>
      </c>
      <c r="D101" s="118">
        <v>250813</v>
      </c>
      <c r="E101" s="118">
        <v>0</v>
      </c>
      <c r="F101" s="118">
        <v>740.5</v>
      </c>
      <c r="G101" s="118">
        <v>367.9</v>
      </c>
      <c r="H101" s="118">
        <v>340</v>
      </c>
      <c r="I101" s="118">
        <v>221</v>
      </c>
      <c r="J101" s="118">
        <v>0.19</v>
      </c>
      <c r="K101" s="118"/>
      <c r="L101" s="118">
        <v>0.2</v>
      </c>
      <c r="M101" s="118">
        <v>0.2</v>
      </c>
      <c r="N101" s="118"/>
      <c r="O101" s="118">
        <v>190</v>
      </c>
      <c r="P101" s="118">
        <v>16.91</v>
      </c>
      <c r="Q101" s="118"/>
      <c r="R101" s="118">
        <v>40.687837999999999</v>
      </c>
      <c r="S101" s="118">
        <v>-85.896393000000003</v>
      </c>
      <c r="T101" s="118"/>
      <c r="U101" s="118"/>
      <c r="V101" s="118">
        <v>8.9</v>
      </c>
      <c r="W101" s="118"/>
      <c r="X101" s="118"/>
      <c r="Y101" s="118"/>
      <c r="Z101" s="118">
        <v>29.3</v>
      </c>
      <c r="AA101" s="118">
        <v>28.7</v>
      </c>
      <c r="AB101" s="118">
        <v>0</v>
      </c>
      <c r="AC101" s="118" t="s">
        <v>1724</v>
      </c>
      <c r="AD101" s="180" t="s">
        <v>1752</v>
      </c>
      <c r="AE101" s="124" t="s">
        <v>788</v>
      </c>
    </row>
    <row r="102" spans="1:31" x14ac:dyDescent="0.25">
      <c r="A102" s="124" t="s">
        <v>789</v>
      </c>
      <c r="B102" s="188">
        <v>0.57152777777777775</v>
      </c>
      <c r="C102" s="19">
        <v>45882</v>
      </c>
      <c r="D102" s="118">
        <v>250813</v>
      </c>
      <c r="E102" s="118">
        <v>0</v>
      </c>
      <c r="F102" s="118">
        <v>740.5</v>
      </c>
      <c r="G102" s="118">
        <v>365.8</v>
      </c>
      <c r="H102" s="118">
        <v>338</v>
      </c>
      <c r="I102" s="118">
        <v>219.7</v>
      </c>
      <c r="J102" s="118">
        <v>0.19</v>
      </c>
      <c r="K102" s="118"/>
      <c r="L102" s="118">
        <v>0.31</v>
      </c>
      <c r="M102" s="118">
        <v>0.31</v>
      </c>
      <c r="N102" s="118"/>
      <c r="O102" s="118">
        <v>212</v>
      </c>
      <c r="P102" s="118">
        <v>18.867999999999999</v>
      </c>
      <c r="Q102" s="118"/>
      <c r="R102" s="118">
        <v>40.691437000000001</v>
      </c>
      <c r="S102" s="118">
        <v>-85.907788999999994</v>
      </c>
      <c r="T102" s="118"/>
      <c r="U102" s="118"/>
      <c r="V102" s="118">
        <v>9.1</v>
      </c>
      <c r="W102" s="118"/>
      <c r="X102" s="118"/>
      <c r="Y102" s="118"/>
      <c r="Z102" s="118">
        <v>29.3</v>
      </c>
      <c r="AA102" s="118">
        <v>29.6</v>
      </c>
      <c r="AB102" s="118">
        <v>0</v>
      </c>
      <c r="AC102" s="118" t="s">
        <v>1722</v>
      </c>
      <c r="AD102" s="180" t="s">
        <v>1750</v>
      </c>
      <c r="AE102" s="124" t="s">
        <v>789</v>
      </c>
    </row>
    <row r="103" spans="1:31" x14ac:dyDescent="0.25">
      <c r="A103" s="124" t="s">
        <v>790</v>
      </c>
      <c r="B103" s="188">
        <v>0.54652777777777772</v>
      </c>
      <c r="C103" s="19">
        <v>45882</v>
      </c>
      <c r="D103" s="118">
        <v>250813</v>
      </c>
      <c r="E103" s="118">
        <v>0</v>
      </c>
      <c r="F103" s="118">
        <v>740.5</v>
      </c>
      <c r="G103" s="118">
        <v>374.8</v>
      </c>
      <c r="H103" s="118">
        <v>347</v>
      </c>
      <c r="I103" s="118">
        <v>225.55</v>
      </c>
      <c r="J103" s="118">
        <v>0.19</v>
      </c>
      <c r="K103" s="118"/>
      <c r="L103" s="118">
        <v>0.28999999999999998</v>
      </c>
      <c r="M103" s="118">
        <v>0.28999999999999998</v>
      </c>
      <c r="N103" s="118"/>
      <c r="O103" s="118">
        <v>174</v>
      </c>
      <c r="P103" s="118">
        <v>15.486000000000001</v>
      </c>
      <c r="Q103" s="118"/>
      <c r="R103" s="118">
        <v>40.704236000000002</v>
      </c>
      <c r="S103" s="118">
        <v>-85.930099999999996</v>
      </c>
      <c r="T103" s="118"/>
      <c r="U103" s="118"/>
      <c r="V103" s="118">
        <v>8.9</v>
      </c>
      <c r="W103" s="118"/>
      <c r="X103" s="118"/>
      <c r="Y103" s="118"/>
      <c r="Z103" s="118">
        <v>29.2</v>
      </c>
      <c r="AA103" s="118">
        <v>21.8</v>
      </c>
      <c r="AB103" s="118">
        <v>0</v>
      </c>
      <c r="AC103" s="118" t="s">
        <v>1718</v>
      </c>
      <c r="AD103" s="180" t="s">
        <v>1751</v>
      </c>
      <c r="AE103" s="124" t="s">
        <v>790</v>
      </c>
    </row>
    <row r="104" spans="1:31" x14ac:dyDescent="0.25">
      <c r="A104" s="124" t="s">
        <v>791</v>
      </c>
      <c r="B104" s="188">
        <v>0.55555555555555558</v>
      </c>
      <c r="C104" s="19">
        <v>45882</v>
      </c>
      <c r="D104" s="118">
        <v>250813</v>
      </c>
      <c r="E104" s="118">
        <v>0</v>
      </c>
      <c r="F104" s="118">
        <v>740.5</v>
      </c>
      <c r="G104" s="118">
        <v>375.5</v>
      </c>
      <c r="H104" s="118">
        <v>347</v>
      </c>
      <c r="I104" s="118">
        <v>225.55</v>
      </c>
      <c r="J104" s="118">
        <v>0.19</v>
      </c>
      <c r="K104" s="118"/>
      <c r="L104" s="118">
        <v>0.27</v>
      </c>
      <c r="M104" s="118">
        <v>0.27</v>
      </c>
      <c r="N104" s="118"/>
      <c r="O104" s="118">
        <v>166</v>
      </c>
      <c r="P104" s="118">
        <v>14.773999999999999</v>
      </c>
      <c r="Q104" s="118"/>
      <c r="R104" s="118">
        <v>40.693064999999997</v>
      </c>
      <c r="S104" s="118">
        <v>-85.919984999999997</v>
      </c>
      <c r="T104" s="118"/>
      <c r="U104" s="118"/>
      <c r="V104" s="118">
        <v>8.8800000000000008</v>
      </c>
      <c r="W104" s="118"/>
      <c r="X104" s="118"/>
      <c r="Y104" s="118"/>
      <c r="Z104" s="118">
        <v>29.3</v>
      </c>
      <c r="AA104" s="118">
        <v>21.1</v>
      </c>
      <c r="AB104" s="118">
        <v>0</v>
      </c>
      <c r="AC104" s="118" t="s">
        <v>1725</v>
      </c>
      <c r="AD104" s="180">
        <v>10</v>
      </c>
      <c r="AE104" s="124" t="s">
        <v>791</v>
      </c>
    </row>
    <row r="105" spans="1:31" x14ac:dyDescent="0.25">
      <c r="A105" s="124" t="s">
        <v>792</v>
      </c>
      <c r="B105" s="188">
        <v>0.53263888888888888</v>
      </c>
      <c r="C105" s="19">
        <v>45882</v>
      </c>
      <c r="D105" s="118">
        <v>250813</v>
      </c>
      <c r="E105" s="118">
        <v>0</v>
      </c>
      <c r="F105" s="118">
        <v>740.5</v>
      </c>
      <c r="G105" s="118">
        <v>378.5</v>
      </c>
      <c r="H105" s="118">
        <v>351</v>
      </c>
      <c r="I105" s="118">
        <v>228.15</v>
      </c>
      <c r="J105" s="118">
        <v>0.19</v>
      </c>
      <c r="K105" s="118"/>
      <c r="L105" s="118">
        <v>0.24</v>
      </c>
      <c r="M105" s="118">
        <v>0.24</v>
      </c>
      <c r="N105" s="118"/>
      <c r="O105" s="118">
        <v>151</v>
      </c>
      <c r="P105" s="118">
        <v>13.439</v>
      </c>
      <c r="Q105" s="118"/>
      <c r="R105" s="118">
        <v>40.710979000000002</v>
      </c>
      <c r="S105" s="118">
        <v>-85.938685000000007</v>
      </c>
      <c r="T105" s="118"/>
      <c r="U105" s="118"/>
      <c r="V105" s="118">
        <v>8.86</v>
      </c>
      <c r="W105" s="118"/>
      <c r="X105" s="118"/>
      <c r="Y105" s="118"/>
      <c r="Z105" s="118">
        <v>29.1</v>
      </c>
      <c r="AA105" s="118">
        <v>16.8</v>
      </c>
      <c r="AB105" s="118">
        <v>0</v>
      </c>
      <c r="AC105" s="118" t="s">
        <v>1719</v>
      </c>
      <c r="AD105" s="180">
        <v>11</v>
      </c>
      <c r="AE105" s="124" t="s">
        <v>792</v>
      </c>
    </row>
    <row r="106" spans="1:31" x14ac:dyDescent="0.25">
      <c r="A106" s="124" t="s">
        <v>793</v>
      </c>
      <c r="AE106" s="124" t="s">
        <v>793</v>
      </c>
    </row>
    <row r="107" spans="1:31" x14ac:dyDescent="0.25">
      <c r="A107" s="124" t="s">
        <v>794</v>
      </c>
      <c r="B107" s="188">
        <v>0.45624999999999999</v>
      </c>
      <c r="C107" s="19">
        <v>45882</v>
      </c>
      <c r="D107" s="118"/>
      <c r="E107" s="118"/>
      <c r="F107" s="118"/>
      <c r="G107" s="118">
        <v>350.6</v>
      </c>
      <c r="H107" s="118">
        <v>325</v>
      </c>
      <c r="I107" s="118">
        <v>211.25</v>
      </c>
      <c r="J107" s="118">
        <v>0.19</v>
      </c>
      <c r="K107" s="118"/>
      <c r="L107" s="118">
        <v>0.36</v>
      </c>
      <c r="M107" s="118">
        <v>0.36</v>
      </c>
      <c r="N107" s="118"/>
      <c r="O107" s="118">
        <v>215</v>
      </c>
      <c r="P107" s="118">
        <v>19.135000000000002</v>
      </c>
      <c r="Q107" s="118"/>
      <c r="R107" s="118">
        <v>40.672573999999997</v>
      </c>
      <c r="S107" s="118">
        <v>-85.841449999999995</v>
      </c>
      <c r="T107" s="118"/>
      <c r="U107" s="118"/>
      <c r="V107" s="118">
        <v>9.1</v>
      </c>
      <c r="W107" s="118"/>
      <c r="X107" s="118"/>
      <c r="Y107" s="118"/>
      <c r="Z107" s="118">
        <v>29.12</v>
      </c>
      <c r="AA107" s="118">
        <v>32.299999999999997</v>
      </c>
      <c r="AB107" s="118">
        <v>0</v>
      </c>
      <c r="AC107" s="118" t="s">
        <v>1721</v>
      </c>
      <c r="AD107" s="180">
        <v>13</v>
      </c>
      <c r="AE107" s="124" t="s">
        <v>794</v>
      </c>
    </row>
    <row r="108" spans="1:31" x14ac:dyDescent="0.25">
      <c r="A108" s="124" t="s">
        <v>795</v>
      </c>
      <c r="B108" s="188">
        <v>0.4375</v>
      </c>
      <c r="C108" s="19">
        <v>45882</v>
      </c>
      <c r="D108" s="118">
        <v>250813</v>
      </c>
      <c r="E108" s="118">
        <v>0</v>
      </c>
      <c r="F108" s="118">
        <v>740.5</v>
      </c>
      <c r="G108" s="118">
        <v>361.6</v>
      </c>
      <c r="H108" s="118">
        <v>337.7</v>
      </c>
      <c r="I108" s="118">
        <v>219.505</v>
      </c>
      <c r="J108" s="118">
        <v>0.19</v>
      </c>
      <c r="K108" s="118"/>
      <c r="L108" s="118">
        <v>0.12</v>
      </c>
      <c r="M108" s="118">
        <v>0.12</v>
      </c>
      <c r="N108" s="118"/>
      <c r="O108" s="118">
        <v>179.6</v>
      </c>
      <c r="P108" s="118">
        <v>15.984400000000001</v>
      </c>
      <c r="Q108" s="118"/>
      <c r="R108" s="118">
        <v>40.663148999999997</v>
      </c>
      <c r="S108" s="118">
        <v>-85.855344000000002</v>
      </c>
      <c r="T108" s="118"/>
      <c r="U108" s="118"/>
      <c r="V108" s="118">
        <v>8.94</v>
      </c>
      <c r="W108" s="118"/>
      <c r="X108" s="118"/>
      <c r="Y108" s="118"/>
      <c r="Z108" s="118">
        <v>28.71</v>
      </c>
      <c r="AA108" s="118">
        <v>23.97</v>
      </c>
      <c r="AB108" s="118">
        <v>0</v>
      </c>
      <c r="AC108" s="118" t="s">
        <v>1727</v>
      </c>
      <c r="AD108" s="180">
        <v>15</v>
      </c>
      <c r="AE108" s="124" t="s">
        <v>795</v>
      </c>
    </row>
    <row r="109" spans="1:31" x14ac:dyDescent="0.25">
      <c r="A109" s="124" t="s">
        <v>796</v>
      </c>
      <c r="B109" s="188">
        <v>0.49305555555555558</v>
      </c>
      <c r="C109" s="19">
        <v>45882</v>
      </c>
      <c r="D109" s="118"/>
      <c r="E109" s="118"/>
      <c r="F109" s="118"/>
      <c r="G109" s="118">
        <v>360.6</v>
      </c>
      <c r="H109" s="118">
        <v>335</v>
      </c>
      <c r="I109" s="118">
        <v>217.75</v>
      </c>
      <c r="J109" s="118">
        <v>0.19</v>
      </c>
      <c r="K109" s="118"/>
      <c r="L109" s="118">
        <v>0.36</v>
      </c>
      <c r="M109" s="118">
        <v>0.36</v>
      </c>
      <c r="N109" s="118"/>
      <c r="O109" s="118">
        <v>203</v>
      </c>
      <c r="P109" s="118">
        <v>18.067</v>
      </c>
      <c r="Q109" s="118"/>
      <c r="R109" s="118">
        <v>40.677225999999997</v>
      </c>
      <c r="S109" s="118">
        <v>-85.876429000000002</v>
      </c>
      <c r="T109" s="118"/>
      <c r="U109" s="118"/>
      <c r="V109" s="118">
        <v>9.0500000000000007</v>
      </c>
      <c r="W109" s="118"/>
      <c r="X109" s="118"/>
      <c r="Y109" s="118"/>
      <c r="Z109" s="118">
        <v>29</v>
      </c>
      <c r="AA109" s="118">
        <v>32.159999999999997</v>
      </c>
      <c r="AB109" s="118">
        <v>0</v>
      </c>
      <c r="AC109" s="118" t="s">
        <v>1723</v>
      </c>
      <c r="AD109" s="180">
        <v>17</v>
      </c>
      <c r="AE109" s="124" t="s">
        <v>796</v>
      </c>
    </row>
    <row r="110" spans="1:31" x14ac:dyDescent="0.25">
      <c r="A110" s="123" t="s">
        <v>752</v>
      </c>
      <c r="B110" s="188">
        <v>0.50302083333333336</v>
      </c>
      <c r="C110" s="19">
        <v>45891</v>
      </c>
      <c r="D110" s="118">
        <v>250822</v>
      </c>
      <c r="E110" s="118">
        <v>0</v>
      </c>
      <c r="F110" s="118">
        <v>743.7</v>
      </c>
      <c r="G110" s="118">
        <v>377.5</v>
      </c>
      <c r="H110" s="118">
        <v>365.6</v>
      </c>
      <c r="I110" s="118">
        <v>238</v>
      </c>
      <c r="J110" s="118">
        <v>0.17</v>
      </c>
      <c r="K110" s="118">
        <v>364.4</v>
      </c>
      <c r="L110" s="118">
        <v>0.44500000000000001</v>
      </c>
      <c r="M110" s="118">
        <v>0.41699999999999998</v>
      </c>
      <c r="N110" s="118">
        <v>0.63</v>
      </c>
      <c r="O110" s="118">
        <v>80.8</v>
      </c>
      <c r="P110" s="118">
        <v>6.47</v>
      </c>
      <c r="Q110" s="118">
        <v>82.3</v>
      </c>
      <c r="R110" s="118">
        <v>40.681730000000002</v>
      </c>
      <c r="S110" s="118">
        <v>-85.888900000000007</v>
      </c>
      <c r="T110" s="118">
        <v>225.6</v>
      </c>
      <c r="U110" s="118">
        <v>121.4</v>
      </c>
      <c r="V110" s="118">
        <v>8.49</v>
      </c>
      <c r="W110" s="118">
        <v>-121.8</v>
      </c>
      <c r="X110" s="118">
        <v>11.9</v>
      </c>
      <c r="Y110" s="118">
        <v>0</v>
      </c>
      <c r="Z110" s="118">
        <v>26.7</v>
      </c>
      <c r="AA110" s="118">
        <v>15.65</v>
      </c>
      <c r="AB110" s="118">
        <v>0</v>
      </c>
      <c r="AC110" s="118" t="s">
        <v>1717</v>
      </c>
      <c r="AD110" s="180" t="s">
        <v>1744</v>
      </c>
      <c r="AE110" s="123" t="s">
        <v>752</v>
      </c>
    </row>
    <row r="111" spans="1:31" x14ac:dyDescent="0.25">
      <c r="A111" s="123" t="s">
        <v>753</v>
      </c>
      <c r="B111" s="188">
        <v>0.4635185185185185</v>
      </c>
      <c r="C111" s="19">
        <v>45891</v>
      </c>
      <c r="D111" s="118">
        <v>250822</v>
      </c>
      <c r="E111" s="118">
        <v>0</v>
      </c>
      <c r="F111" s="118">
        <v>743.8</v>
      </c>
      <c r="G111" s="118">
        <v>375.6</v>
      </c>
      <c r="H111" s="118">
        <v>364.5</v>
      </c>
      <c r="I111" s="118">
        <v>237</v>
      </c>
      <c r="J111" s="118">
        <v>0.17</v>
      </c>
      <c r="K111" s="118">
        <v>363.3</v>
      </c>
      <c r="L111" s="118">
        <v>0.36199999999999999</v>
      </c>
      <c r="M111" s="118">
        <v>0.36899999999999999</v>
      </c>
      <c r="N111" s="118">
        <v>0.51300000000000001</v>
      </c>
      <c r="O111" s="118">
        <v>80.099999999999994</v>
      </c>
      <c r="P111" s="118">
        <v>6.42</v>
      </c>
      <c r="Q111" s="118">
        <v>81.599999999999994</v>
      </c>
      <c r="R111" s="118">
        <v>40.676659999999998</v>
      </c>
      <c r="S111" s="118">
        <v>-85.877430000000004</v>
      </c>
      <c r="T111" s="118">
        <v>226.3</v>
      </c>
      <c r="U111" s="118">
        <v>160</v>
      </c>
      <c r="V111" s="118">
        <v>8.4499999999999993</v>
      </c>
      <c r="W111" s="118">
        <v>-119.4</v>
      </c>
      <c r="X111" s="118">
        <v>12</v>
      </c>
      <c r="Y111" s="118">
        <v>0</v>
      </c>
      <c r="Z111" s="118">
        <v>26.600999999999999</v>
      </c>
      <c r="AA111" s="118">
        <v>18.27</v>
      </c>
      <c r="AB111" s="118">
        <v>0</v>
      </c>
      <c r="AC111" s="118" t="s">
        <v>1716</v>
      </c>
      <c r="AD111" s="180" t="s">
        <v>1745</v>
      </c>
      <c r="AE111" s="123" t="s">
        <v>753</v>
      </c>
    </row>
    <row r="112" spans="1:31" x14ac:dyDescent="0.25">
      <c r="A112" s="123" t="s">
        <v>754</v>
      </c>
      <c r="B112" s="188">
        <v>0.45114583333333336</v>
      </c>
      <c r="C112" s="19">
        <v>45891</v>
      </c>
      <c r="D112" s="118">
        <v>250822</v>
      </c>
      <c r="E112" s="118">
        <v>0</v>
      </c>
      <c r="F112" s="118">
        <v>743.9</v>
      </c>
      <c r="G112" s="118">
        <v>370.2</v>
      </c>
      <c r="H112" s="118">
        <v>359.5</v>
      </c>
      <c r="I112" s="118">
        <v>234</v>
      </c>
      <c r="J112" s="118">
        <v>0.17</v>
      </c>
      <c r="K112" s="118">
        <v>358.4</v>
      </c>
      <c r="L112" s="118">
        <v>0.39900000000000002</v>
      </c>
      <c r="M112" s="118">
        <v>0.39400000000000002</v>
      </c>
      <c r="N112" s="118">
        <v>0.56599999999999995</v>
      </c>
      <c r="O112" s="118">
        <v>89.9</v>
      </c>
      <c r="P112" s="118">
        <v>7.21</v>
      </c>
      <c r="Q112" s="118">
        <v>91.6</v>
      </c>
      <c r="R112" s="118">
        <v>40.670760000000001</v>
      </c>
      <c r="S112" s="118">
        <v>-85.870580000000004</v>
      </c>
      <c r="T112" s="118">
        <v>218.8</v>
      </c>
      <c r="U112" s="118">
        <v>153</v>
      </c>
      <c r="V112" s="118">
        <v>8.6</v>
      </c>
      <c r="W112" s="118">
        <v>-128.19999999999999</v>
      </c>
      <c r="X112" s="118">
        <v>12</v>
      </c>
      <c r="Y112" s="118">
        <v>0</v>
      </c>
      <c r="Z112" s="118">
        <v>26.56</v>
      </c>
      <c r="AA112" s="118">
        <v>20.149999999999999</v>
      </c>
      <c r="AB112" s="118">
        <v>0</v>
      </c>
      <c r="AC112" s="118" t="s">
        <v>1715</v>
      </c>
      <c r="AD112" s="180" t="s">
        <v>1746</v>
      </c>
      <c r="AE112" s="123" t="s">
        <v>754</v>
      </c>
    </row>
    <row r="113" spans="1:31" x14ac:dyDescent="0.25">
      <c r="A113" s="123" t="s">
        <v>755</v>
      </c>
      <c r="B113" s="188">
        <v>0.43929398148148147</v>
      </c>
      <c r="C113" s="19">
        <v>45891</v>
      </c>
      <c r="D113" s="118">
        <v>250822</v>
      </c>
      <c r="E113" s="118">
        <v>0</v>
      </c>
      <c r="F113" s="118">
        <v>744</v>
      </c>
      <c r="G113" s="118">
        <v>369.7</v>
      </c>
      <c r="H113" s="118">
        <v>357.6</v>
      </c>
      <c r="I113" s="118">
        <v>232</v>
      </c>
      <c r="J113" s="118">
        <v>0.17</v>
      </c>
      <c r="K113" s="118">
        <v>356.3</v>
      </c>
      <c r="L113" s="118">
        <v>0.28599999999999998</v>
      </c>
      <c r="M113" s="118">
        <v>0.26300000000000001</v>
      </c>
      <c r="N113" s="118">
        <v>0.40600000000000003</v>
      </c>
      <c r="O113" s="118">
        <v>98</v>
      </c>
      <c r="P113" s="118">
        <v>7.83</v>
      </c>
      <c r="Q113" s="118">
        <v>99.8</v>
      </c>
      <c r="R113" s="118">
        <v>40.663110000000003</v>
      </c>
      <c r="S113" s="118">
        <v>-85.866550000000004</v>
      </c>
      <c r="T113" s="118">
        <v>215.5</v>
      </c>
      <c r="U113" s="118">
        <v>140.1</v>
      </c>
      <c r="V113" s="118">
        <v>8.67</v>
      </c>
      <c r="W113" s="118">
        <v>-132.5</v>
      </c>
      <c r="X113" s="118">
        <v>11.9</v>
      </c>
      <c r="Y113" s="118">
        <v>0</v>
      </c>
      <c r="Z113" s="118">
        <v>26.771000000000001</v>
      </c>
      <c r="AA113" s="118">
        <v>24.72</v>
      </c>
      <c r="AB113" s="118">
        <v>0</v>
      </c>
      <c r="AC113" s="118" t="s">
        <v>1714</v>
      </c>
      <c r="AD113" s="180" t="s">
        <v>1747</v>
      </c>
      <c r="AE113" s="123" t="s">
        <v>755</v>
      </c>
    </row>
    <row r="114" spans="1:31" x14ac:dyDescent="0.25">
      <c r="A114" s="123" t="s">
        <v>756</v>
      </c>
      <c r="B114" s="188">
        <v>0.40866898148148151</v>
      </c>
      <c r="C114" s="19">
        <v>45891</v>
      </c>
      <c r="D114" s="118">
        <v>250822</v>
      </c>
      <c r="E114" s="118">
        <v>0</v>
      </c>
      <c r="F114" s="118">
        <v>744.1</v>
      </c>
      <c r="G114" s="118">
        <v>380.2</v>
      </c>
      <c r="H114" s="118">
        <v>368.9</v>
      </c>
      <c r="I114" s="118">
        <v>240</v>
      </c>
      <c r="J114" s="118">
        <v>0.18</v>
      </c>
      <c r="K114" s="118">
        <v>367.7</v>
      </c>
      <c r="L114" s="118">
        <v>0.34</v>
      </c>
      <c r="M114" s="118">
        <v>0.34399999999999997</v>
      </c>
      <c r="N114" s="118">
        <v>0.48099999999999998</v>
      </c>
      <c r="O114" s="118">
        <v>97.6</v>
      </c>
      <c r="P114" s="118">
        <v>7.82</v>
      </c>
      <c r="Q114" s="118">
        <v>99.4</v>
      </c>
      <c r="R114" s="118">
        <v>40.668750000000003</v>
      </c>
      <c r="S114" s="118">
        <v>-85.847790000000003</v>
      </c>
      <c r="T114" s="118">
        <v>223.9</v>
      </c>
      <c r="U114" s="118">
        <v>126.5</v>
      </c>
      <c r="V114" s="118">
        <v>8.59</v>
      </c>
      <c r="W114" s="118">
        <v>-127.4</v>
      </c>
      <c r="X114" s="118">
        <v>11.9</v>
      </c>
      <c r="Y114" s="118">
        <v>0</v>
      </c>
      <c r="Z114" s="118">
        <v>26.603000000000002</v>
      </c>
      <c r="AA114" s="118">
        <v>25.56</v>
      </c>
      <c r="AB114" s="118">
        <v>0</v>
      </c>
      <c r="AC114" s="118" t="s">
        <v>1713</v>
      </c>
      <c r="AD114" s="180" t="s">
        <v>1748</v>
      </c>
      <c r="AE114" s="123" t="s">
        <v>756</v>
      </c>
    </row>
    <row r="115" spans="1:31" x14ac:dyDescent="0.25">
      <c r="A115" s="123" t="s">
        <v>757</v>
      </c>
      <c r="B115" s="188">
        <v>0.3903240740740741</v>
      </c>
      <c r="C115" s="19">
        <v>45891</v>
      </c>
      <c r="D115" s="118">
        <v>250822</v>
      </c>
      <c r="E115" s="118">
        <v>0</v>
      </c>
      <c r="F115" s="118">
        <v>743.9</v>
      </c>
      <c r="G115" s="118">
        <v>400.6</v>
      </c>
      <c r="H115" s="118">
        <v>389.1</v>
      </c>
      <c r="I115" s="118">
        <v>253</v>
      </c>
      <c r="J115" s="118">
        <v>0.18</v>
      </c>
      <c r="K115" s="118">
        <v>387.8</v>
      </c>
      <c r="L115" s="118">
        <v>0.37</v>
      </c>
      <c r="M115" s="118">
        <v>0.36799999999999999</v>
      </c>
      <c r="N115" s="118">
        <v>0.52500000000000002</v>
      </c>
      <c r="O115" s="118">
        <v>75.400000000000006</v>
      </c>
      <c r="P115" s="118">
        <v>6.05</v>
      </c>
      <c r="Q115" s="118">
        <v>76.8</v>
      </c>
      <c r="R115" s="118">
        <v>40.673499999999997</v>
      </c>
      <c r="S115" s="118">
        <v>-85.832070000000002</v>
      </c>
      <c r="T115" s="118">
        <v>222.2</v>
      </c>
      <c r="U115" s="118">
        <v>150.6</v>
      </c>
      <c r="V115" s="118">
        <v>8.2100000000000009</v>
      </c>
      <c r="W115" s="118">
        <v>-104.5</v>
      </c>
      <c r="X115" s="118">
        <v>11.9</v>
      </c>
      <c r="Y115" s="118">
        <v>0</v>
      </c>
      <c r="Z115" s="118">
        <v>26.558</v>
      </c>
      <c r="AA115" s="118">
        <v>28.4</v>
      </c>
      <c r="AB115" s="118">
        <v>0</v>
      </c>
      <c r="AC115" s="118" t="s">
        <v>1712</v>
      </c>
      <c r="AD115" s="180" t="s">
        <v>1749</v>
      </c>
      <c r="AE115" s="123" t="s">
        <v>757</v>
      </c>
    </row>
    <row r="116" spans="1:31" x14ac:dyDescent="0.25">
      <c r="A116" s="123" t="s">
        <v>758</v>
      </c>
      <c r="B116" s="188">
        <v>0.35283564814814816</v>
      </c>
      <c r="C116" s="19">
        <v>45891</v>
      </c>
      <c r="D116" s="118">
        <v>250822</v>
      </c>
      <c r="E116" s="118">
        <v>0</v>
      </c>
      <c r="F116" s="118">
        <v>744.1</v>
      </c>
      <c r="G116" s="118">
        <v>375.1</v>
      </c>
      <c r="H116" s="118">
        <v>366.3</v>
      </c>
      <c r="I116" s="118">
        <v>238</v>
      </c>
      <c r="J116" s="118">
        <v>0.17</v>
      </c>
      <c r="K116" s="118">
        <v>365.3</v>
      </c>
      <c r="L116" s="118">
        <v>0.26100000000000001</v>
      </c>
      <c r="M116" s="118">
        <v>0.25700000000000001</v>
      </c>
      <c r="N116" s="118">
        <v>0.37</v>
      </c>
      <c r="O116" s="118">
        <v>70.5</v>
      </c>
      <c r="P116" s="118">
        <v>5.68</v>
      </c>
      <c r="Q116" s="118">
        <v>71.8</v>
      </c>
      <c r="R116" s="118">
        <v>40.687359999999998</v>
      </c>
      <c r="S116" s="118">
        <v>-85.89716</v>
      </c>
      <c r="T116" s="118">
        <v>225.5</v>
      </c>
      <c r="U116" s="118">
        <v>206.7</v>
      </c>
      <c r="V116" s="118">
        <v>8.0299999999999994</v>
      </c>
      <c r="W116" s="118">
        <v>-94</v>
      </c>
      <c r="X116" s="118">
        <v>11.9</v>
      </c>
      <c r="Y116" s="118">
        <v>0</v>
      </c>
      <c r="Z116" s="118">
        <v>26.265999999999998</v>
      </c>
      <c r="AA116" s="118">
        <v>13.62</v>
      </c>
      <c r="AB116" s="118">
        <v>0</v>
      </c>
      <c r="AC116" s="118" t="s">
        <v>1724</v>
      </c>
      <c r="AD116" s="180" t="s">
        <v>1752</v>
      </c>
      <c r="AE116" s="123" t="s">
        <v>758</v>
      </c>
    </row>
    <row r="117" spans="1:31" x14ac:dyDescent="0.25">
      <c r="A117" s="123" t="s">
        <v>759</v>
      </c>
      <c r="B117" s="188">
        <v>0.52255787037037038</v>
      </c>
      <c r="C117" s="19">
        <v>45891</v>
      </c>
      <c r="D117" s="118">
        <v>250822</v>
      </c>
      <c r="E117" s="118">
        <v>0</v>
      </c>
      <c r="F117" s="118">
        <v>743.6</v>
      </c>
      <c r="G117" s="118">
        <v>376</v>
      </c>
      <c r="H117" s="118">
        <v>365.5</v>
      </c>
      <c r="I117" s="118">
        <v>238</v>
      </c>
      <c r="J117" s="118">
        <v>0.17</v>
      </c>
      <c r="K117" s="118">
        <v>364.4</v>
      </c>
      <c r="L117" s="118">
        <v>0.35199999999999998</v>
      </c>
      <c r="M117" s="118">
        <v>0.36399999999999999</v>
      </c>
      <c r="N117" s="118">
        <v>0.499</v>
      </c>
      <c r="O117" s="118">
        <v>84.8</v>
      </c>
      <c r="P117" s="118">
        <v>6.81</v>
      </c>
      <c r="Q117" s="118">
        <v>86.4</v>
      </c>
      <c r="R117" s="118">
        <v>40.691769999999998</v>
      </c>
      <c r="S117" s="118">
        <v>-85.908330000000007</v>
      </c>
      <c r="T117" s="118">
        <v>221.7</v>
      </c>
      <c r="U117" s="118">
        <v>130.69999999999999</v>
      </c>
      <c r="V117" s="118">
        <v>8.5500000000000007</v>
      </c>
      <c r="W117" s="118">
        <v>-125.2</v>
      </c>
      <c r="X117" s="118">
        <v>11.9</v>
      </c>
      <c r="Y117" s="118">
        <v>0</v>
      </c>
      <c r="Z117" s="118">
        <v>26.5</v>
      </c>
      <c r="AA117" s="118">
        <v>15.12</v>
      </c>
      <c r="AB117" s="118">
        <v>0</v>
      </c>
      <c r="AC117" s="118" t="s">
        <v>1722</v>
      </c>
      <c r="AD117" s="180" t="s">
        <v>1750</v>
      </c>
      <c r="AE117" s="123" t="s">
        <v>759</v>
      </c>
    </row>
    <row r="118" spans="1:31" x14ac:dyDescent="0.25">
      <c r="A118" s="123" t="s">
        <v>760</v>
      </c>
      <c r="B118" s="188">
        <v>0.56024305555555554</v>
      </c>
      <c r="C118" s="19">
        <v>45891</v>
      </c>
      <c r="D118" s="118">
        <v>250822</v>
      </c>
      <c r="E118" s="118">
        <v>0</v>
      </c>
      <c r="F118" s="118">
        <v>743.4</v>
      </c>
      <c r="G118" s="118">
        <v>374.6</v>
      </c>
      <c r="H118" s="118">
        <v>361.5</v>
      </c>
      <c r="I118" s="118">
        <v>235</v>
      </c>
      <c r="J118" s="118">
        <v>0.17</v>
      </c>
      <c r="K118" s="118">
        <v>360.1</v>
      </c>
      <c r="L118" s="118">
        <v>0.33300000000000002</v>
      </c>
      <c r="M118" s="118">
        <v>0.374</v>
      </c>
      <c r="N118" s="118">
        <v>0.47099999999999997</v>
      </c>
      <c r="O118" s="118">
        <v>105.6</v>
      </c>
      <c r="P118" s="118">
        <v>8.43</v>
      </c>
      <c r="Q118" s="118">
        <v>107.6</v>
      </c>
      <c r="R118" s="118">
        <v>40.704219999999999</v>
      </c>
      <c r="S118" s="118">
        <v>-85.929969999999997</v>
      </c>
      <c r="T118" s="118">
        <v>220.8</v>
      </c>
      <c r="U118" s="118">
        <v>80.8</v>
      </c>
      <c r="V118" s="118">
        <v>8.76</v>
      </c>
      <c r="W118" s="118">
        <v>-138.1</v>
      </c>
      <c r="X118" s="118">
        <v>11.9</v>
      </c>
      <c r="Y118" s="118">
        <v>0</v>
      </c>
      <c r="Z118" s="118">
        <v>26.89</v>
      </c>
      <c r="AA118" s="118">
        <v>16.899999999999999</v>
      </c>
      <c r="AB118" s="118">
        <v>0</v>
      </c>
      <c r="AC118" s="118" t="s">
        <v>1718</v>
      </c>
      <c r="AD118" s="180" t="s">
        <v>1751</v>
      </c>
      <c r="AE118" s="123" t="s">
        <v>760</v>
      </c>
    </row>
    <row r="119" spans="1:31" x14ac:dyDescent="0.25">
      <c r="A119" s="123" t="s">
        <v>761</v>
      </c>
      <c r="B119" s="188">
        <v>0.53844907407407405</v>
      </c>
      <c r="C119" s="19">
        <v>45891</v>
      </c>
      <c r="D119" s="118">
        <v>250822</v>
      </c>
      <c r="E119" s="118">
        <v>0</v>
      </c>
      <c r="F119" s="118">
        <v>743.4</v>
      </c>
      <c r="G119" s="118">
        <v>374.7</v>
      </c>
      <c r="H119" s="118">
        <v>361.9</v>
      </c>
      <c r="I119" s="118">
        <v>235</v>
      </c>
      <c r="J119" s="118">
        <v>0.17</v>
      </c>
      <c r="K119" s="118">
        <v>360.5</v>
      </c>
      <c r="L119" s="118">
        <v>0.32700000000000001</v>
      </c>
      <c r="M119" s="118">
        <v>0.34300000000000003</v>
      </c>
      <c r="N119" s="118">
        <v>0.46400000000000002</v>
      </c>
      <c r="O119" s="118">
        <v>96.6</v>
      </c>
      <c r="P119" s="118">
        <v>7.71</v>
      </c>
      <c r="Q119" s="118">
        <v>98.4</v>
      </c>
      <c r="R119" s="118">
        <v>40.693460000000002</v>
      </c>
      <c r="S119" s="118">
        <v>-85.920270000000002</v>
      </c>
      <c r="T119" s="118">
        <v>224.3</v>
      </c>
      <c r="U119" s="118">
        <v>149</v>
      </c>
      <c r="V119" s="118">
        <v>8.6</v>
      </c>
      <c r="W119" s="118">
        <v>-128.6</v>
      </c>
      <c r="X119" s="118">
        <v>12</v>
      </c>
      <c r="Y119" s="118">
        <v>0</v>
      </c>
      <c r="Z119" s="118">
        <v>26.861000000000001</v>
      </c>
      <c r="AA119" s="118">
        <v>22.26</v>
      </c>
      <c r="AB119" s="118">
        <v>0</v>
      </c>
      <c r="AC119" s="118" t="s">
        <v>1725</v>
      </c>
      <c r="AD119" s="180">
        <v>10</v>
      </c>
      <c r="AE119" s="123" t="s">
        <v>761</v>
      </c>
    </row>
    <row r="120" spans="1:31" x14ac:dyDescent="0.25">
      <c r="A120" s="123" t="s">
        <v>762</v>
      </c>
      <c r="B120" s="188">
        <v>0.57420138888888894</v>
      </c>
      <c r="C120" s="19">
        <v>45891</v>
      </c>
      <c r="D120" s="118">
        <v>250822</v>
      </c>
      <c r="E120" s="118">
        <v>0</v>
      </c>
      <c r="F120" s="118">
        <v>743.2</v>
      </c>
      <c r="G120" s="118">
        <v>381.2</v>
      </c>
      <c r="H120" s="118">
        <v>366.4</v>
      </c>
      <c r="I120" s="118">
        <v>238</v>
      </c>
      <c r="J120" s="118">
        <v>0.17</v>
      </c>
      <c r="K120" s="118">
        <v>364.8</v>
      </c>
      <c r="L120" s="118">
        <v>0.38900000000000001</v>
      </c>
      <c r="M120" s="118">
        <v>0.39400000000000002</v>
      </c>
      <c r="N120" s="118">
        <v>0.55100000000000005</v>
      </c>
      <c r="O120" s="118">
        <v>95.4</v>
      </c>
      <c r="P120" s="118">
        <v>7.58</v>
      </c>
      <c r="Q120" s="118">
        <v>97.2</v>
      </c>
      <c r="R120" s="118">
        <v>40.710859999999997</v>
      </c>
      <c r="S120" s="118">
        <v>-85.938559999999995</v>
      </c>
      <c r="T120" s="118">
        <v>218.8</v>
      </c>
      <c r="U120" s="118">
        <v>73</v>
      </c>
      <c r="V120" s="118">
        <v>8.65</v>
      </c>
      <c r="W120" s="118">
        <v>-131.19999999999999</v>
      </c>
      <c r="X120" s="118">
        <v>11.9</v>
      </c>
      <c r="Y120" s="118">
        <v>0</v>
      </c>
      <c r="Z120" s="118">
        <v>27.120999999999999</v>
      </c>
      <c r="AA120" s="118">
        <v>13.71</v>
      </c>
      <c r="AB120" s="118">
        <v>0</v>
      </c>
      <c r="AC120" s="118" t="s">
        <v>1719</v>
      </c>
      <c r="AD120" s="180">
        <v>11</v>
      </c>
      <c r="AE120" s="123" t="s">
        <v>762</v>
      </c>
    </row>
    <row r="121" spans="1:31" x14ac:dyDescent="0.25">
      <c r="A121" s="123" t="s">
        <v>763</v>
      </c>
      <c r="B121" s="188">
        <v>0.59285879629629634</v>
      </c>
      <c r="C121" s="19">
        <v>45891</v>
      </c>
      <c r="D121" s="118">
        <v>250822</v>
      </c>
      <c r="E121" s="118">
        <v>0</v>
      </c>
      <c r="F121" s="118">
        <v>743.1</v>
      </c>
      <c r="G121" s="118">
        <v>379.3</v>
      </c>
      <c r="H121" s="118">
        <v>364.8</v>
      </c>
      <c r="I121" s="118">
        <v>237</v>
      </c>
      <c r="J121" s="118">
        <v>0.17</v>
      </c>
      <c r="K121" s="118">
        <v>363.3</v>
      </c>
      <c r="L121" s="118">
        <v>0.29799999999999999</v>
      </c>
      <c r="M121" s="118">
        <v>0.312</v>
      </c>
      <c r="N121" s="118">
        <v>0.42199999999999999</v>
      </c>
      <c r="O121" s="118">
        <v>101.5</v>
      </c>
      <c r="P121" s="118">
        <v>8.07</v>
      </c>
      <c r="Q121" s="118">
        <v>103.4</v>
      </c>
      <c r="R121" s="118">
        <v>40.711620000000003</v>
      </c>
      <c r="S121" s="118">
        <v>-85.950739999999996</v>
      </c>
      <c r="T121" s="118">
        <v>226.5</v>
      </c>
      <c r="U121" s="118">
        <v>91.4</v>
      </c>
      <c r="V121" s="118">
        <v>8.6999999999999993</v>
      </c>
      <c r="W121" s="118">
        <v>-134.5</v>
      </c>
      <c r="X121" s="118">
        <v>11.9</v>
      </c>
      <c r="Y121" s="118">
        <v>0</v>
      </c>
      <c r="Z121" s="118">
        <v>27.074999999999999</v>
      </c>
      <c r="AA121" s="118">
        <v>13.75</v>
      </c>
      <c r="AB121" s="118">
        <v>0</v>
      </c>
      <c r="AC121" s="118" t="s">
        <v>1720</v>
      </c>
      <c r="AD121" s="180">
        <v>12</v>
      </c>
      <c r="AE121" s="123" t="s">
        <v>763</v>
      </c>
    </row>
    <row r="122" spans="1:31" x14ac:dyDescent="0.25">
      <c r="A122" s="123" t="s">
        <v>764</v>
      </c>
      <c r="B122" s="188">
        <v>0.42196759259259259</v>
      </c>
      <c r="C122" s="19">
        <v>45891</v>
      </c>
      <c r="D122" s="118">
        <v>250822</v>
      </c>
      <c r="E122" s="118">
        <v>0</v>
      </c>
      <c r="F122" s="118">
        <v>744</v>
      </c>
      <c r="G122" s="118">
        <v>391.2</v>
      </c>
      <c r="H122" s="118">
        <v>379.1</v>
      </c>
      <c r="I122" s="118">
        <v>246</v>
      </c>
      <c r="J122" s="118">
        <v>0.18</v>
      </c>
      <c r="K122" s="118">
        <v>377.8</v>
      </c>
      <c r="L122" s="118">
        <v>0.23899999999999999</v>
      </c>
      <c r="M122" s="118">
        <v>0.253</v>
      </c>
      <c r="N122" s="118">
        <v>0.33900000000000002</v>
      </c>
      <c r="O122" s="118">
        <v>97.4</v>
      </c>
      <c r="P122" s="118">
        <v>7.8</v>
      </c>
      <c r="Q122" s="118">
        <v>99.3</v>
      </c>
      <c r="R122" s="118">
        <v>40.672559999999997</v>
      </c>
      <c r="S122" s="118">
        <v>-85.841610000000003</v>
      </c>
      <c r="T122" s="118">
        <v>220.7</v>
      </c>
      <c r="U122" s="118">
        <v>152.4</v>
      </c>
      <c r="V122" s="118">
        <v>8.49</v>
      </c>
      <c r="W122" s="118">
        <v>-121.8</v>
      </c>
      <c r="X122" s="118">
        <v>12</v>
      </c>
      <c r="Y122" s="118">
        <v>0</v>
      </c>
      <c r="Z122" s="118">
        <v>26.681000000000001</v>
      </c>
      <c r="AA122" s="118">
        <v>26.73</v>
      </c>
      <c r="AB122" s="118">
        <v>0</v>
      </c>
      <c r="AC122" s="118" t="s">
        <v>1721</v>
      </c>
      <c r="AD122" s="180">
        <v>13</v>
      </c>
      <c r="AE122" s="123" t="s">
        <v>764</v>
      </c>
    </row>
    <row r="123" spans="1:31" x14ac:dyDescent="0.25">
      <c r="B123" s="188">
        <v>0.52255787037037038</v>
      </c>
      <c r="C123" s="19">
        <v>45891</v>
      </c>
      <c r="D123" s="118">
        <v>250822</v>
      </c>
      <c r="E123" s="118">
        <v>0</v>
      </c>
      <c r="F123" s="118">
        <v>743.6</v>
      </c>
      <c r="G123" s="118">
        <v>376</v>
      </c>
      <c r="H123" s="118">
        <v>365.5</v>
      </c>
      <c r="I123" s="118">
        <v>238</v>
      </c>
      <c r="J123" s="118">
        <v>0.17</v>
      </c>
      <c r="K123" s="118">
        <v>364.4</v>
      </c>
      <c r="L123" s="118">
        <v>0.35199999999999998</v>
      </c>
      <c r="M123" s="118">
        <v>0.36399999999999999</v>
      </c>
      <c r="N123" s="118">
        <v>0.499</v>
      </c>
      <c r="O123" s="118">
        <v>84.8</v>
      </c>
      <c r="P123" s="118">
        <v>6.81</v>
      </c>
      <c r="Q123" s="118">
        <v>86.4</v>
      </c>
      <c r="R123" s="118">
        <v>40.691769999999998</v>
      </c>
      <c r="S123" s="118">
        <v>-85.908330000000007</v>
      </c>
      <c r="T123" s="118">
        <v>221.7</v>
      </c>
      <c r="U123" s="118">
        <v>130.69999999999999</v>
      </c>
      <c r="V123" s="118">
        <v>8.5500000000000007</v>
      </c>
      <c r="W123" s="118">
        <v>-125.2</v>
      </c>
      <c r="X123" s="118">
        <v>11.9</v>
      </c>
      <c r="Y123" s="118">
        <v>0</v>
      </c>
      <c r="Z123" s="118">
        <v>26.5</v>
      </c>
      <c r="AA123" s="118">
        <v>15.12</v>
      </c>
      <c r="AB123" s="118">
        <v>0</v>
      </c>
      <c r="AC123" s="118" t="s">
        <v>1726</v>
      </c>
      <c r="AD123" s="180">
        <v>14</v>
      </c>
    </row>
    <row r="124" spans="1:31" x14ac:dyDescent="0.25">
      <c r="A124" s="119" t="s">
        <v>765</v>
      </c>
      <c r="B124" s="188">
        <v>0.49682870370370369</v>
      </c>
      <c r="C124" s="19">
        <v>45915</v>
      </c>
      <c r="D124" s="118">
        <v>250915</v>
      </c>
      <c r="E124" s="118">
        <v>0</v>
      </c>
      <c r="F124" s="118">
        <v>745.8</v>
      </c>
      <c r="G124" s="118">
        <v>368.4</v>
      </c>
      <c r="H124" s="118">
        <v>381.6</v>
      </c>
      <c r="I124" s="118">
        <v>248</v>
      </c>
      <c r="J124" s="118">
        <v>0.18</v>
      </c>
      <c r="K124" s="118">
        <v>382.9</v>
      </c>
      <c r="L124" s="118">
        <v>0.41899999999999998</v>
      </c>
      <c r="M124" s="118">
        <v>0.46400000000000002</v>
      </c>
      <c r="N124" s="118">
        <v>0.59399999999999997</v>
      </c>
      <c r="O124" s="118">
        <v>137.1</v>
      </c>
      <c r="P124" s="118">
        <v>11.71</v>
      </c>
      <c r="Q124" s="118">
        <v>139.5</v>
      </c>
      <c r="R124" s="118">
        <v>40.681719999999999</v>
      </c>
      <c r="S124" s="118">
        <v>-85.888990000000007</v>
      </c>
      <c r="T124" s="118">
        <v>227.6</v>
      </c>
      <c r="U124" s="118">
        <v>145.6</v>
      </c>
      <c r="V124" s="118">
        <v>8.77</v>
      </c>
      <c r="W124" s="118">
        <v>-140.1</v>
      </c>
      <c r="X124" s="118">
        <v>11.9</v>
      </c>
      <c r="Y124" s="118">
        <v>0</v>
      </c>
      <c r="Z124" s="118">
        <v>23.184999999999999</v>
      </c>
      <c r="AA124" s="118">
        <v>17.05</v>
      </c>
      <c r="AB124" s="118">
        <v>0</v>
      </c>
      <c r="AC124" s="118" t="s">
        <v>1717</v>
      </c>
      <c r="AD124" s="180" t="s">
        <v>1744</v>
      </c>
      <c r="AE124" s="119" t="s">
        <v>765</v>
      </c>
    </row>
    <row r="125" spans="1:31" x14ac:dyDescent="0.25">
      <c r="A125" s="119" t="s">
        <v>766</v>
      </c>
      <c r="B125" s="188">
        <v>0.51194444444444442</v>
      </c>
      <c r="C125" s="19">
        <v>45915</v>
      </c>
      <c r="D125" s="118">
        <v>250915</v>
      </c>
      <c r="E125" s="118">
        <v>0</v>
      </c>
      <c r="F125" s="118">
        <v>745.6</v>
      </c>
      <c r="G125" s="118">
        <v>369.9</v>
      </c>
      <c r="H125" s="118">
        <v>377.1</v>
      </c>
      <c r="I125" s="118">
        <v>245</v>
      </c>
      <c r="J125" s="118">
        <v>0.18</v>
      </c>
      <c r="K125" s="118">
        <v>377.9</v>
      </c>
      <c r="L125" s="118">
        <v>0.29699999999999999</v>
      </c>
      <c r="M125" s="118">
        <v>0.30499999999999999</v>
      </c>
      <c r="N125" s="118">
        <v>0.42099999999999999</v>
      </c>
      <c r="O125" s="118">
        <v>174.9</v>
      </c>
      <c r="P125" s="118">
        <v>14.71</v>
      </c>
      <c r="Q125" s="118">
        <v>177.9</v>
      </c>
      <c r="R125" s="118">
        <v>40.67698</v>
      </c>
      <c r="S125" s="118">
        <v>-85.877269999999996</v>
      </c>
      <c r="T125" s="118">
        <v>226.1</v>
      </c>
      <c r="U125" s="118">
        <v>144.9</v>
      </c>
      <c r="V125" s="118">
        <v>9</v>
      </c>
      <c r="W125" s="118">
        <v>-154.4</v>
      </c>
      <c r="X125" s="118">
        <v>12</v>
      </c>
      <c r="Y125" s="118">
        <v>0</v>
      </c>
      <c r="Z125" s="118">
        <v>24</v>
      </c>
      <c r="AA125" s="118">
        <v>27.35</v>
      </c>
      <c r="AB125" s="118">
        <v>0</v>
      </c>
      <c r="AC125" s="118" t="s">
        <v>1716</v>
      </c>
      <c r="AD125" s="180" t="s">
        <v>1745</v>
      </c>
      <c r="AE125" s="119" t="s">
        <v>766</v>
      </c>
    </row>
    <row r="126" spans="1:31" x14ac:dyDescent="0.25">
      <c r="A126" s="119" t="s">
        <v>767</v>
      </c>
      <c r="B126" s="188">
        <v>0.52479166666666666</v>
      </c>
      <c r="C126" s="19">
        <v>45915</v>
      </c>
      <c r="D126" s="118">
        <v>250915</v>
      </c>
      <c r="E126" s="118">
        <v>0</v>
      </c>
      <c r="F126" s="118">
        <v>745.6</v>
      </c>
      <c r="G126" s="118">
        <v>365.2</v>
      </c>
      <c r="H126" s="118">
        <v>378.6</v>
      </c>
      <c r="I126" s="118">
        <v>246</v>
      </c>
      <c r="J126" s="118">
        <v>0.18</v>
      </c>
      <c r="K126" s="118">
        <v>379.9</v>
      </c>
      <c r="L126" s="118">
        <v>0.33300000000000002</v>
      </c>
      <c r="M126" s="118">
        <v>0.32700000000000001</v>
      </c>
      <c r="N126" s="118">
        <v>0.47299999999999998</v>
      </c>
      <c r="O126" s="118">
        <v>153.69999999999999</v>
      </c>
      <c r="P126" s="118">
        <v>13.13</v>
      </c>
      <c r="Q126" s="118">
        <v>156.4</v>
      </c>
      <c r="R126" s="118">
        <v>40.670549999999999</v>
      </c>
      <c r="S126" s="118">
        <v>-85.870670000000004</v>
      </c>
      <c r="T126" s="118">
        <v>222.4</v>
      </c>
      <c r="U126" s="118">
        <v>149.9</v>
      </c>
      <c r="V126" s="118">
        <v>8.89</v>
      </c>
      <c r="W126" s="118">
        <v>-147.30000000000001</v>
      </c>
      <c r="X126" s="118">
        <v>12</v>
      </c>
      <c r="Y126" s="118">
        <v>0</v>
      </c>
      <c r="Z126" s="118">
        <v>23.155000000000001</v>
      </c>
      <c r="AA126" s="118">
        <v>19.510000000000002</v>
      </c>
      <c r="AB126" s="118">
        <v>0</v>
      </c>
      <c r="AC126" s="118" t="s">
        <v>1715</v>
      </c>
      <c r="AD126" s="180" t="s">
        <v>1746</v>
      </c>
      <c r="AE126" s="119" t="s">
        <v>767</v>
      </c>
    </row>
    <row r="127" spans="1:31" x14ac:dyDescent="0.25">
      <c r="A127" s="119" t="s">
        <v>768</v>
      </c>
      <c r="B127" s="188">
        <v>0.53408564814814818</v>
      </c>
      <c r="C127" s="19">
        <v>45915</v>
      </c>
      <c r="D127" s="118">
        <v>250915</v>
      </c>
      <c r="E127" s="118">
        <v>0</v>
      </c>
      <c r="F127" s="118">
        <v>745.5</v>
      </c>
      <c r="G127" s="118">
        <v>374</v>
      </c>
      <c r="H127" s="118">
        <v>386.1</v>
      </c>
      <c r="I127" s="118">
        <v>251</v>
      </c>
      <c r="J127" s="118">
        <v>0.18</v>
      </c>
      <c r="K127" s="118">
        <v>387.4</v>
      </c>
      <c r="L127" s="118">
        <v>0.32500000000000001</v>
      </c>
      <c r="M127" s="118">
        <v>0.309</v>
      </c>
      <c r="N127" s="118">
        <v>0.46100000000000002</v>
      </c>
      <c r="O127" s="118">
        <v>148</v>
      </c>
      <c r="P127" s="118">
        <v>12.6</v>
      </c>
      <c r="Q127" s="118">
        <v>150.6</v>
      </c>
      <c r="R127" s="118">
        <v>40.663269999999997</v>
      </c>
      <c r="S127" s="118">
        <v>-85.866810000000001</v>
      </c>
      <c r="T127" s="118">
        <v>223.7</v>
      </c>
      <c r="U127" s="118">
        <v>174</v>
      </c>
      <c r="V127" s="118">
        <v>8.8699999999999992</v>
      </c>
      <c r="W127" s="118">
        <v>-146</v>
      </c>
      <c r="X127" s="118">
        <v>12</v>
      </c>
      <c r="Y127" s="118">
        <v>0</v>
      </c>
      <c r="Z127" s="118">
        <v>23.355</v>
      </c>
      <c r="AA127" s="118">
        <v>20.04</v>
      </c>
      <c r="AB127" s="118">
        <v>0</v>
      </c>
      <c r="AC127" s="118" t="s">
        <v>1714</v>
      </c>
      <c r="AD127" s="180" t="s">
        <v>1747</v>
      </c>
      <c r="AE127" s="119" t="s">
        <v>768</v>
      </c>
    </row>
    <row r="128" spans="1:31" x14ac:dyDescent="0.25">
      <c r="A128" s="119" t="s">
        <v>769</v>
      </c>
      <c r="B128" s="188">
        <v>0.55596064814814816</v>
      </c>
      <c r="C128" s="19">
        <v>45915</v>
      </c>
      <c r="D128" s="118">
        <v>250915</v>
      </c>
      <c r="E128" s="118">
        <v>0</v>
      </c>
      <c r="F128" s="118">
        <v>745.2</v>
      </c>
      <c r="G128" s="118">
        <v>384.7</v>
      </c>
      <c r="H128" s="118">
        <v>395.9</v>
      </c>
      <c r="I128" s="118">
        <v>257</v>
      </c>
      <c r="J128" s="118">
        <v>0.19</v>
      </c>
      <c r="K128" s="118">
        <v>397</v>
      </c>
      <c r="L128" s="118">
        <v>0.438</v>
      </c>
      <c r="M128" s="118">
        <v>0.47199999999999998</v>
      </c>
      <c r="N128" s="118">
        <v>0.622</v>
      </c>
      <c r="O128" s="118">
        <v>161.6</v>
      </c>
      <c r="P128" s="118">
        <v>13.72</v>
      </c>
      <c r="Q128" s="118">
        <v>164.5</v>
      </c>
      <c r="R128" s="118">
        <v>40.668039999999998</v>
      </c>
      <c r="S128" s="118">
        <v>-85.848079999999996</v>
      </c>
      <c r="T128" s="118">
        <v>223.6</v>
      </c>
      <c r="U128" s="118">
        <v>125</v>
      </c>
      <c r="V128" s="118">
        <v>8.92</v>
      </c>
      <c r="W128" s="118">
        <v>-149.4</v>
      </c>
      <c r="X128" s="118">
        <v>11.9</v>
      </c>
      <c r="Y128" s="118">
        <v>0</v>
      </c>
      <c r="Z128" s="118">
        <v>23.52</v>
      </c>
      <c r="AA128" s="118">
        <v>27.16</v>
      </c>
      <c r="AB128" s="118">
        <v>0</v>
      </c>
      <c r="AC128" s="118" t="s">
        <v>1713</v>
      </c>
      <c r="AD128" s="180" t="s">
        <v>1748</v>
      </c>
      <c r="AE128" s="119" t="s">
        <v>769</v>
      </c>
    </row>
    <row r="129" spans="1:31" x14ac:dyDescent="0.25">
      <c r="A129" s="119" t="s">
        <v>770</v>
      </c>
      <c r="B129" s="188">
        <v>0.58282407407407411</v>
      </c>
      <c r="C129" s="19">
        <v>45915</v>
      </c>
      <c r="D129" s="118">
        <v>250915</v>
      </c>
      <c r="E129" s="118">
        <v>0</v>
      </c>
      <c r="F129" s="118">
        <v>745</v>
      </c>
      <c r="G129" s="118">
        <v>378.9</v>
      </c>
      <c r="H129" s="118">
        <v>394.1</v>
      </c>
      <c r="I129" s="118">
        <v>256</v>
      </c>
      <c r="J129" s="118">
        <v>0.19</v>
      </c>
      <c r="K129" s="118">
        <v>395.6</v>
      </c>
      <c r="L129" s="118">
        <v>0.39600000000000002</v>
      </c>
      <c r="M129" s="118">
        <v>0.374</v>
      </c>
      <c r="N129" s="118">
        <v>0.56299999999999994</v>
      </c>
      <c r="O129" s="118">
        <v>172.1</v>
      </c>
      <c r="P129" s="118">
        <v>14.75</v>
      </c>
      <c r="Q129" s="118">
        <v>175.1</v>
      </c>
      <c r="R129" s="118">
        <v>40.673540000000003</v>
      </c>
      <c r="S129" s="118">
        <v>-85.832179999999994</v>
      </c>
      <c r="T129" s="118">
        <v>227</v>
      </c>
      <c r="U129" s="118">
        <v>130.69999999999999</v>
      </c>
      <c r="V129" s="118">
        <v>8.99</v>
      </c>
      <c r="W129" s="118">
        <v>-153.19999999999999</v>
      </c>
      <c r="X129" s="118">
        <v>12</v>
      </c>
      <c r="Y129" s="118">
        <v>0</v>
      </c>
      <c r="Z129" s="118">
        <v>22.99</v>
      </c>
      <c r="AA129" s="118">
        <v>27.75</v>
      </c>
      <c r="AB129" s="118">
        <v>0</v>
      </c>
      <c r="AC129" s="118" t="s">
        <v>1712</v>
      </c>
      <c r="AD129" s="180" t="s">
        <v>1749</v>
      </c>
      <c r="AE129" s="119" t="s">
        <v>770</v>
      </c>
    </row>
    <row r="130" spans="1:31" x14ac:dyDescent="0.25">
      <c r="A130" s="119" t="s">
        <v>771</v>
      </c>
      <c r="B130" s="188">
        <v>0.36648148148148146</v>
      </c>
      <c r="C130" s="19">
        <v>45915</v>
      </c>
      <c r="D130" s="118">
        <v>250915</v>
      </c>
      <c r="E130" s="118">
        <v>0</v>
      </c>
      <c r="F130" s="118">
        <v>745.7</v>
      </c>
      <c r="G130" s="118">
        <v>366.5</v>
      </c>
      <c r="H130" s="118">
        <v>389</v>
      </c>
      <c r="I130" s="118">
        <v>253</v>
      </c>
      <c r="J130" s="118">
        <v>0.19</v>
      </c>
      <c r="K130" s="118">
        <v>391.1</v>
      </c>
      <c r="L130" s="118">
        <v>0.46300000000000002</v>
      </c>
      <c r="M130" s="118">
        <v>0.46300000000000002</v>
      </c>
      <c r="N130" s="118">
        <v>0.65600000000000003</v>
      </c>
      <c r="O130" s="118">
        <v>67.599999999999994</v>
      </c>
      <c r="P130" s="118">
        <v>5.91</v>
      </c>
      <c r="Q130" s="118">
        <v>68.8</v>
      </c>
      <c r="R130" s="118">
        <v>40.687640000000002</v>
      </c>
      <c r="S130" s="118">
        <v>-85.89716</v>
      </c>
      <c r="T130" s="118">
        <v>222.6</v>
      </c>
      <c r="U130" s="118">
        <v>218</v>
      </c>
      <c r="V130" s="118">
        <v>7.34</v>
      </c>
      <c r="W130" s="118">
        <v>-54.5</v>
      </c>
      <c r="X130" s="118">
        <v>11.9</v>
      </c>
      <c r="Y130" s="118">
        <v>0</v>
      </c>
      <c r="Z130" s="118">
        <v>21.977</v>
      </c>
      <c r="AA130" s="118">
        <v>5.09</v>
      </c>
      <c r="AB130" s="118">
        <v>0</v>
      </c>
      <c r="AC130" s="118" t="s">
        <v>1724</v>
      </c>
      <c r="AD130" s="180" t="s">
        <v>1752</v>
      </c>
      <c r="AE130" s="119" t="s">
        <v>771</v>
      </c>
    </row>
    <row r="131" spans="1:31" x14ac:dyDescent="0.25">
      <c r="A131" s="119" t="s">
        <v>772</v>
      </c>
      <c r="AE131" s="119" t="s">
        <v>772</v>
      </c>
    </row>
    <row r="132" spans="1:31" x14ac:dyDescent="0.25">
      <c r="A132" s="119" t="s">
        <v>773</v>
      </c>
      <c r="B132" s="188">
        <v>0.40969907407407408</v>
      </c>
      <c r="C132" s="19">
        <v>45915</v>
      </c>
      <c r="D132" s="118">
        <v>250915</v>
      </c>
      <c r="E132" s="118">
        <v>0</v>
      </c>
      <c r="F132" s="118">
        <v>745.8</v>
      </c>
      <c r="G132" s="118">
        <v>367.1</v>
      </c>
      <c r="H132" s="118">
        <v>384.9</v>
      </c>
      <c r="I132" s="118">
        <v>250</v>
      </c>
      <c r="J132" s="118">
        <v>0.18</v>
      </c>
      <c r="K132" s="118">
        <v>386.6</v>
      </c>
      <c r="L132" s="118">
        <v>0.40699999999999997</v>
      </c>
      <c r="M132" s="118">
        <v>0.41499999999999998</v>
      </c>
      <c r="N132" s="118">
        <v>0.57799999999999996</v>
      </c>
      <c r="O132" s="118">
        <v>97.6</v>
      </c>
      <c r="P132" s="118">
        <v>8.44</v>
      </c>
      <c r="Q132" s="118">
        <v>99.4</v>
      </c>
      <c r="R132" s="118">
        <v>40.704149999999998</v>
      </c>
      <c r="S132" s="118">
        <v>-85.930189999999996</v>
      </c>
      <c r="T132" s="118">
        <v>227.5</v>
      </c>
      <c r="U132" s="118">
        <v>156.19999999999999</v>
      </c>
      <c r="V132" s="118">
        <v>8.2100000000000009</v>
      </c>
      <c r="W132" s="118">
        <v>-106.2</v>
      </c>
      <c r="X132" s="118">
        <v>12</v>
      </c>
      <c r="Y132" s="118">
        <v>0</v>
      </c>
      <c r="Z132" s="118">
        <v>22.574000000000002</v>
      </c>
      <c r="AA132" s="118">
        <v>4.53</v>
      </c>
      <c r="AB132" s="118">
        <v>0</v>
      </c>
      <c r="AC132" s="118" t="s">
        <v>1718</v>
      </c>
      <c r="AD132" s="180" t="s">
        <v>1751</v>
      </c>
      <c r="AE132" s="119" t="s">
        <v>773</v>
      </c>
    </row>
    <row r="133" spans="1:31" x14ac:dyDescent="0.25">
      <c r="A133" s="119" t="s">
        <v>774</v>
      </c>
      <c r="B133" s="188">
        <v>0.39359953703703704</v>
      </c>
      <c r="C133" s="19">
        <v>45915</v>
      </c>
      <c r="D133" s="118">
        <v>250915</v>
      </c>
      <c r="E133" s="118">
        <v>0</v>
      </c>
      <c r="F133" s="118">
        <v>745.7</v>
      </c>
      <c r="G133" s="118">
        <v>367.1</v>
      </c>
      <c r="H133" s="118">
        <v>388.1</v>
      </c>
      <c r="I133" s="118">
        <v>252</v>
      </c>
      <c r="J133" s="118">
        <v>0.19</v>
      </c>
      <c r="K133" s="118">
        <v>390.2</v>
      </c>
      <c r="L133" s="118">
        <v>0.35299999999999998</v>
      </c>
      <c r="M133" s="118">
        <v>0.35899999999999999</v>
      </c>
      <c r="N133" s="118">
        <v>0.502</v>
      </c>
      <c r="O133" s="118">
        <v>76.400000000000006</v>
      </c>
      <c r="P133" s="118">
        <v>6.65</v>
      </c>
      <c r="Q133" s="118">
        <v>77.8</v>
      </c>
      <c r="R133" s="118">
        <v>40.693359999999998</v>
      </c>
      <c r="S133" s="118">
        <v>-85.920649999999995</v>
      </c>
      <c r="T133" s="118">
        <v>224.9</v>
      </c>
      <c r="U133" s="118">
        <v>169.2</v>
      </c>
      <c r="V133" s="118">
        <v>7.86</v>
      </c>
      <c r="W133" s="118">
        <v>-85.4</v>
      </c>
      <c r="X133" s="118">
        <v>12</v>
      </c>
      <c r="Y133" s="118">
        <v>0</v>
      </c>
      <c r="Z133" s="118">
        <v>22.170999999999999</v>
      </c>
      <c r="AA133" s="118">
        <v>5.45</v>
      </c>
      <c r="AB133" s="118">
        <v>0</v>
      </c>
      <c r="AC133" s="118" t="s">
        <v>1725</v>
      </c>
      <c r="AD133" s="180">
        <v>10</v>
      </c>
      <c r="AE133" s="119" t="s">
        <v>774</v>
      </c>
    </row>
    <row r="134" spans="1:31" x14ac:dyDescent="0.25">
      <c r="A134" s="119" t="s">
        <v>775</v>
      </c>
      <c r="B134" s="188">
        <v>0.42269675925925926</v>
      </c>
      <c r="C134" s="19">
        <v>45915</v>
      </c>
      <c r="D134" s="118">
        <v>250915</v>
      </c>
      <c r="E134" s="118">
        <v>0</v>
      </c>
      <c r="F134" s="118">
        <v>745.8</v>
      </c>
      <c r="G134" s="118">
        <v>366</v>
      </c>
      <c r="H134" s="118">
        <v>380.7</v>
      </c>
      <c r="I134" s="118">
        <v>247</v>
      </c>
      <c r="J134" s="118">
        <v>0.18</v>
      </c>
      <c r="K134" s="118">
        <v>382.1</v>
      </c>
      <c r="L134" s="118">
        <v>0.438</v>
      </c>
      <c r="M134" s="118">
        <v>0.45700000000000002</v>
      </c>
      <c r="N134" s="118">
        <v>0.621</v>
      </c>
      <c r="O134" s="118">
        <v>119.9</v>
      </c>
      <c r="P134" s="118">
        <v>10.28</v>
      </c>
      <c r="Q134" s="118">
        <v>122</v>
      </c>
      <c r="R134" s="118">
        <v>40.710990000000002</v>
      </c>
      <c r="S134" s="118">
        <v>-85.938969999999998</v>
      </c>
      <c r="T134" s="118">
        <v>222.9</v>
      </c>
      <c r="U134" s="118">
        <v>162.6</v>
      </c>
      <c r="V134" s="118">
        <v>8.52</v>
      </c>
      <c r="W134" s="118">
        <v>-125.3</v>
      </c>
      <c r="X134" s="118">
        <v>12</v>
      </c>
      <c r="Y134" s="118">
        <v>0</v>
      </c>
      <c r="Z134" s="118">
        <v>22.984000000000002</v>
      </c>
      <c r="AA134" s="118">
        <v>6.62</v>
      </c>
      <c r="AB134" s="118">
        <v>0</v>
      </c>
      <c r="AC134" s="118" t="s">
        <v>1719</v>
      </c>
      <c r="AD134" s="180">
        <v>11</v>
      </c>
      <c r="AE134" s="119" t="s">
        <v>775</v>
      </c>
    </row>
    <row r="135" spans="1:31" x14ac:dyDescent="0.25">
      <c r="A135" s="119" t="s">
        <v>776</v>
      </c>
      <c r="B135" s="188">
        <v>0.45729166666666665</v>
      </c>
      <c r="C135" s="19">
        <v>45915</v>
      </c>
      <c r="D135" s="118">
        <v>250915</v>
      </c>
      <c r="E135" s="118">
        <v>0</v>
      </c>
      <c r="F135" s="118">
        <v>745.8</v>
      </c>
      <c r="G135" s="118">
        <v>369.7</v>
      </c>
      <c r="H135" s="118">
        <v>380.4</v>
      </c>
      <c r="I135" s="118">
        <v>247</v>
      </c>
      <c r="J135" s="118">
        <v>0.18</v>
      </c>
      <c r="K135" s="118">
        <v>381.5</v>
      </c>
      <c r="L135" s="118">
        <v>0.36</v>
      </c>
      <c r="M135" s="118">
        <v>0.36399999999999999</v>
      </c>
      <c r="N135" s="118">
        <v>0.51100000000000001</v>
      </c>
      <c r="O135" s="118">
        <v>125.9</v>
      </c>
      <c r="P135" s="118">
        <v>10.68</v>
      </c>
      <c r="Q135" s="118">
        <v>128.1</v>
      </c>
      <c r="R135" s="118">
        <v>40.711640000000003</v>
      </c>
      <c r="S135" s="118">
        <v>-85.95147</v>
      </c>
      <c r="T135" s="118">
        <v>226</v>
      </c>
      <c r="U135" s="118">
        <v>126.1</v>
      </c>
      <c r="V135" s="118">
        <v>8.59</v>
      </c>
      <c r="W135" s="118">
        <v>-129.80000000000001</v>
      </c>
      <c r="X135" s="118">
        <v>11.9</v>
      </c>
      <c r="Y135" s="118">
        <v>0</v>
      </c>
      <c r="Z135" s="118">
        <v>23.526</v>
      </c>
      <c r="AA135" s="118">
        <v>7.34</v>
      </c>
      <c r="AB135" s="118">
        <v>0</v>
      </c>
      <c r="AC135" s="118" t="s">
        <v>1720</v>
      </c>
      <c r="AD135" s="180">
        <v>12</v>
      </c>
      <c r="AE135" s="119" t="s">
        <v>776</v>
      </c>
    </row>
    <row r="136" spans="1:31" x14ac:dyDescent="0.25">
      <c r="A136" s="119" t="s">
        <v>777</v>
      </c>
      <c r="B136" s="188">
        <v>0.56967592592592597</v>
      </c>
      <c r="C136" s="19">
        <v>45915</v>
      </c>
      <c r="D136" s="118">
        <v>250915</v>
      </c>
      <c r="E136" s="118">
        <v>0</v>
      </c>
      <c r="F136" s="118">
        <v>745</v>
      </c>
      <c r="G136" s="118">
        <v>383.9</v>
      </c>
      <c r="H136" s="118">
        <v>394.6</v>
      </c>
      <c r="I136" s="118">
        <v>256</v>
      </c>
      <c r="J136" s="118">
        <v>0.19</v>
      </c>
      <c r="K136" s="118">
        <v>395.7</v>
      </c>
      <c r="L136" s="118">
        <v>0.499</v>
      </c>
      <c r="M136" s="118">
        <v>0.49399999999999999</v>
      </c>
      <c r="N136" s="118">
        <v>0.70699999999999996</v>
      </c>
      <c r="O136" s="118">
        <v>172.3</v>
      </c>
      <c r="P136" s="118">
        <v>14.6</v>
      </c>
      <c r="Q136" s="118">
        <v>175.3</v>
      </c>
      <c r="R136" s="118">
        <v>40.672449999999998</v>
      </c>
      <c r="S136" s="118">
        <v>-85.84205</v>
      </c>
      <c r="T136" s="118">
        <v>221</v>
      </c>
      <c r="U136" s="118">
        <v>151.6</v>
      </c>
      <c r="V136" s="118">
        <v>8.9700000000000006</v>
      </c>
      <c r="W136" s="118">
        <v>-152.4</v>
      </c>
      <c r="X136" s="118">
        <v>12</v>
      </c>
      <c r="Y136" s="118">
        <v>0</v>
      </c>
      <c r="Z136" s="118">
        <v>23.576000000000001</v>
      </c>
      <c r="AA136" s="118">
        <v>28.43</v>
      </c>
      <c r="AB136" s="118">
        <v>0</v>
      </c>
      <c r="AC136" s="118" t="s">
        <v>1721</v>
      </c>
      <c r="AD136" s="180">
        <v>13</v>
      </c>
      <c r="AE136" s="119" t="s">
        <v>777</v>
      </c>
    </row>
  </sheetData>
  <sortState xmlns:xlrd2="http://schemas.microsoft.com/office/spreadsheetml/2017/richdata2" ref="B2:AD133">
    <sortCondition ref="C2:C133"/>
    <sortCondition ref="AD2:AD133"/>
    <sortCondition ref="AC2:AC13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67234-EF3E-4C7C-9F25-321BD4929C20}">
  <dimension ref="A1:M8"/>
  <sheetViews>
    <sheetView workbookViewId="0">
      <selection activeCell="I23" sqref="I22:I23"/>
    </sheetView>
  </sheetViews>
  <sheetFormatPr defaultRowHeight="15" x14ac:dyDescent="0.25"/>
  <sheetData>
    <row r="1" spans="1:13" s="118" customFormat="1" ht="60.75" thickBot="1" x14ac:dyDescent="0.3">
      <c r="A1" s="182"/>
      <c r="B1" s="183"/>
      <c r="C1" s="183"/>
      <c r="D1" s="183"/>
      <c r="E1" s="184" t="s">
        <v>582</v>
      </c>
      <c r="F1" s="184" t="s">
        <v>583</v>
      </c>
      <c r="G1" s="184" t="s">
        <v>584</v>
      </c>
      <c r="H1" s="185" t="s">
        <v>585</v>
      </c>
      <c r="I1" s="186" t="s">
        <v>592</v>
      </c>
      <c r="J1" s="184" t="s">
        <v>629</v>
      </c>
      <c r="K1" s="184" t="s">
        <v>630</v>
      </c>
      <c r="L1" s="184" t="s">
        <v>679</v>
      </c>
      <c r="M1" s="187" t="s">
        <v>678</v>
      </c>
    </row>
    <row r="2" spans="1:13" ht="15" customHeight="1" x14ac:dyDescent="0.25">
      <c r="A2" s="190" t="s">
        <v>778</v>
      </c>
      <c r="B2" s="191"/>
      <c r="C2" s="192"/>
      <c r="D2" s="53" t="s">
        <v>644</v>
      </c>
      <c r="E2" s="89">
        <v>0</v>
      </c>
      <c r="F2" s="89">
        <v>0</v>
      </c>
      <c r="G2" s="89">
        <v>0</v>
      </c>
      <c r="H2" s="89">
        <v>0</v>
      </c>
      <c r="I2" s="167">
        <v>13</v>
      </c>
      <c r="J2" s="89">
        <v>0</v>
      </c>
      <c r="K2" s="89">
        <v>0</v>
      </c>
      <c r="L2" s="89">
        <v>108</v>
      </c>
      <c r="M2" s="90">
        <v>108</v>
      </c>
    </row>
    <row r="3" spans="1:13" x14ac:dyDescent="0.25">
      <c r="A3" s="193"/>
      <c r="B3" s="194"/>
      <c r="C3" s="195"/>
      <c r="D3" s="54" t="s">
        <v>645</v>
      </c>
      <c r="E3" s="91">
        <v>93</v>
      </c>
      <c r="F3" s="91">
        <v>93</v>
      </c>
      <c r="G3" s="91">
        <v>93</v>
      </c>
      <c r="H3" s="91">
        <v>93</v>
      </c>
      <c r="I3" s="168">
        <v>80</v>
      </c>
      <c r="J3" s="91">
        <v>93</v>
      </c>
      <c r="K3" s="92">
        <v>93</v>
      </c>
      <c r="L3" s="92"/>
      <c r="M3" s="92"/>
    </row>
    <row r="4" spans="1:13" ht="15.75" thickBot="1" x14ac:dyDescent="0.3">
      <c r="A4" s="193"/>
      <c r="B4" s="194"/>
      <c r="C4" s="195"/>
      <c r="D4" s="55" t="s">
        <v>642</v>
      </c>
      <c r="E4" s="93">
        <v>93</v>
      </c>
      <c r="F4" s="93">
        <v>93</v>
      </c>
      <c r="G4" s="93">
        <v>93</v>
      </c>
      <c r="H4" s="93">
        <v>93</v>
      </c>
      <c r="I4" s="169">
        <v>93</v>
      </c>
      <c r="J4" s="93">
        <v>93</v>
      </c>
      <c r="K4" s="93">
        <v>93</v>
      </c>
      <c r="L4" s="93">
        <v>93</v>
      </c>
      <c r="M4" s="94">
        <v>93</v>
      </c>
    </row>
    <row r="5" spans="1:13" ht="30.75" thickBot="1" x14ac:dyDescent="0.3">
      <c r="A5" s="193"/>
      <c r="B5" s="194"/>
      <c r="C5" s="195"/>
      <c r="D5" s="86" t="s">
        <v>648</v>
      </c>
      <c r="E5" s="87">
        <v>1</v>
      </c>
      <c r="F5" s="87">
        <v>1</v>
      </c>
      <c r="G5" s="87">
        <v>1</v>
      </c>
      <c r="H5" s="87">
        <v>1</v>
      </c>
      <c r="I5" s="170">
        <v>0.86021505376344087</v>
      </c>
      <c r="J5" s="87">
        <v>1</v>
      </c>
      <c r="K5" s="88">
        <v>1</v>
      </c>
      <c r="L5" s="88">
        <v>0</v>
      </c>
      <c r="M5" s="88">
        <v>0</v>
      </c>
    </row>
    <row r="6" spans="1:13" ht="30.75" thickBot="1" x14ac:dyDescent="0.3">
      <c r="A6" s="193"/>
      <c r="B6" s="194"/>
      <c r="C6" s="195"/>
      <c r="D6" s="57" t="s">
        <v>646</v>
      </c>
      <c r="E6" s="58"/>
      <c r="F6" s="58"/>
      <c r="G6" s="58"/>
      <c r="H6" s="58"/>
      <c r="I6" s="171"/>
      <c r="J6" s="58"/>
      <c r="K6" s="59"/>
      <c r="L6" s="59"/>
      <c r="M6" s="59"/>
    </row>
    <row r="7" spans="1:13" ht="15.75" thickBot="1" x14ac:dyDescent="0.3">
      <c r="A7" s="193"/>
      <c r="B7" s="194"/>
      <c r="C7" s="195"/>
      <c r="D7" s="60" t="s">
        <v>647</v>
      </c>
      <c r="E7" s="61">
        <v>0</v>
      </c>
      <c r="F7" s="61">
        <v>0</v>
      </c>
      <c r="G7" s="61">
        <v>0</v>
      </c>
      <c r="H7" s="61">
        <v>0</v>
      </c>
      <c r="I7" s="172">
        <v>0</v>
      </c>
      <c r="J7" s="61">
        <v>0</v>
      </c>
      <c r="K7" s="62">
        <v>0</v>
      </c>
      <c r="L7" s="62">
        <v>0</v>
      </c>
      <c r="M7" s="62">
        <v>0</v>
      </c>
    </row>
    <row r="8" spans="1:13" ht="30.75" thickBot="1" x14ac:dyDescent="0.3">
      <c r="A8" s="196"/>
      <c r="B8" s="197"/>
      <c r="C8" s="198"/>
      <c r="D8" s="99" t="s">
        <v>649</v>
      </c>
      <c r="E8" s="100">
        <v>93</v>
      </c>
      <c r="F8" s="100">
        <v>93</v>
      </c>
      <c r="G8" s="100">
        <v>93</v>
      </c>
      <c r="H8" s="100">
        <v>93</v>
      </c>
      <c r="I8" s="173">
        <v>80</v>
      </c>
      <c r="J8" s="100">
        <v>93</v>
      </c>
      <c r="K8" s="101">
        <v>93</v>
      </c>
      <c r="L8" s="101">
        <v>0</v>
      </c>
      <c r="M8" s="101">
        <v>0</v>
      </c>
    </row>
  </sheetData>
  <mergeCells count="1">
    <mergeCell ref="A2:C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DF3EE-E912-4238-B2EC-32C191662699}">
  <dimension ref="A1:K33"/>
  <sheetViews>
    <sheetView workbookViewId="0">
      <selection activeCell="N14" sqref="N14"/>
    </sheetView>
  </sheetViews>
  <sheetFormatPr defaultRowHeight="15" x14ac:dyDescent="0.25"/>
  <sheetData>
    <row r="1" spans="1:11" x14ac:dyDescent="0.25">
      <c r="A1" s="158" t="s">
        <v>1644</v>
      </c>
      <c r="B1" s="158" t="s">
        <v>1645</v>
      </c>
      <c r="C1" s="158"/>
      <c r="D1" s="158" t="s">
        <v>1644</v>
      </c>
      <c r="E1" s="158" t="s">
        <v>1645</v>
      </c>
      <c r="F1" s="158"/>
      <c r="G1" s="158" t="s">
        <v>1646</v>
      </c>
      <c r="H1" s="158" t="s">
        <v>1647</v>
      </c>
      <c r="I1" s="158"/>
      <c r="J1" s="158" t="s">
        <v>1646</v>
      </c>
      <c r="K1" s="158" t="s">
        <v>1647</v>
      </c>
    </row>
    <row r="2" spans="1:11" x14ac:dyDescent="0.25">
      <c r="A2" s="199">
        <v>45869</v>
      </c>
      <c r="B2" s="200"/>
      <c r="C2" s="27"/>
      <c r="D2" s="199">
        <v>45877</v>
      </c>
      <c r="E2" s="200"/>
      <c r="F2" s="27"/>
      <c r="G2" s="199">
        <v>45896</v>
      </c>
      <c r="H2" s="200"/>
      <c r="I2" s="27"/>
      <c r="J2" s="199">
        <v>45917</v>
      </c>
      <c r="K2" s="199"/>
    </row>
    <row r="3" spans="1:11" x14ac:dyDescent="0.25">
      <c r="A3" s="27" t="s">
        <v>1648</v>
      </c>
      <c r="B3" s="157">
        <v>0.22402208413351465</v>
      </c>
      <c r="C3" s="27"/>
      <c r="D3" s="27" t="s">
        <v>1649</v>
      </c>
      <c r="E3" s="157">
        <v>8.6565158546017013E-2</v>
      </c>
      <c r="F3" s="27"/>
      <c r="G3" s="27" t="s">
        <v>1650</v>
      </c>
      <c r="H3" s="159">
        <v>8.0011879444832292</v>
      </c>
      <c r="I3" s="27"/>
      <c r="J3" s="27" t="s">
        <v>1650</v>
      </c>
      <c r="K3" s="159">
        <v>1.6524895777997091</v>
      </c>
    </row>
    <row r="4" spans="1:11" x14ac:dyDescent="0.25">
      <c r="A4" s="27" t="s">
        <v>1651</v>
      </c>
      <c r="B4" s="157">
        <v>0.21002272021687676</v>
      </c>
      <c r="C4" s="27"/>
      <c r="D4" s="27" t="s">
        <v>1652</v>
      </c>
      <c r="E4" s="157">
        <v>0.10600338135726661</v>
      </c>
      <c r="F4" s="27"/>
      <c r="G4" s="27" t="s">
        <v>1653</v>
      </c>
      <c r="H4" s="159">
        <v>9.0868404622847763</v>
      </c>
      <c r="I4" s="27"/>
      <c r="J4" s="27" t="s">
        <v>1654</v>
      </c>
      <c r="K4" s="159">
        <v>1.6528653439756402</v>
      </c>
    </row>
    <row r="5" spans="1:11" x14ac:dyDescent="0.25">
      <c r="A5" s="27" t="s">
        <v>1655</v>
      </c>
      <c r="B5" s="157">
        <v>0.23801925111522509</v>
      </c>
      <c r="C5" s="27"/>
      <c r="D5" s="27" t="s">
        <v>1656</v>
      </c>
      <c r="E5" s="157">
        <v>0.12459179569057922</v>
      </c>
      <c r="F5" s="27"/>
      <c r="G5" s="27" t="s">
        <v>1657</v>
      </c>
      <c r="H5" s="159">
        <v>12.642950430707868</v>
      </c>
      <c r="I5" s="27"/>
      <c r="J5" s="27" t="s">
        <v>1653</v>
      </c>
      <c r="K5" s="159">
        <v>1.6156287861916412</v>
      </c>
    </row>
    <row r="6" spans="1:11" x14ac:dyDescent="0.25">
      <c r="A6" s="27" t="s">
        <v>1658</v>
      </c>
      <c r="B6" s="157">
        <v>0.22812475283512729</v>
      </c>
      <c r="C6" s="27"/>
      <c r="D6" s="27" t="s">
        <v>1659</v>
      </c>
      <c r="E6" s="157">
        <v>9.9759047696412945E-2</v>
      </c>
      <c r="F6" s="27"/>
      <c r="G6" s="27" t="s">
        <v>1660</v>
      </c>
      <c r="H6" s="159">
        <v>77.600044431279599</v>
      </c>
      <c r="I6" s="27"/>
      <c r="J6" s="27" t="s">
        <v>1657</v>
      </c>
      <c r="K6" s="159">
        <v>1.624851860685721</v>
      </c>
    </row>
    <row r="7" spans="1:11" x14ac:dyDescent="0.25">
      <c r="A7" s="27" t="s">
        <v>1661</v>
      </c>
      <c r="B7" s="157">
        <v>0.22542531461380969</v>
      </c>
      <c r="C7" s="27"/>
      <c r="D7" s="27" t="s">
        <v>1662</v>
      </c>
      <c r="E7" s="157">
        <v>4.8061729706757372E-2</v>
      </c>
      <c r="F7" s="27"/>
      <c r="G7" s="27" t="s">
        <v>1663</v>
      </c>
      <c r="H7" s="159">
        <v>8.9113968244513693</v>
      </c>
      <c r="I7" s="27"/>
      <c r="J7" s="27" t="s">
        <v>1660</v>
      </c>
      <c r="K7" s="159">
        <v>1.6307697200029669</v>
      </c>
    </row>
    <row r="8" spans="1:11" x14ac:dyDescent="0.25">
      <c r="A8" s="27" t="s">
        <v>1664</v>
      </c>
      <c r="B8" s="157">
        <v>0.2236629464686449</v>
      </c>
      <c r="C8" s="27"/>
      <c r="D8" s="27" t="s">
        <v>1665</v>
      </c>
      <c r="E8" s="157">
        <v>1.1205437841262735E-2</v>
      </c>
      <c r="F8" s="27"/>
      <c r="G8" s="27" t="s">
        <v>1666</v>
      </c>
      <c r="H8" s="159">
        <v>18.765361270474745</v>
      </c>
      <c r="I8" s="27"/>
      <c r="J8" s="27" t="s">
        <v>1663</v>
      </c>
      <c r="K8" s="159">
        <v>1.6463543265581251</v>
      </c>
    </row>
    <row r="9" spans="1:11" x14ac:dyDescent="0.25">
      <c r="A9" s="27" t="s">
        <v>1652</v>
      </c>
      <c r="B9" s="157">
        <v>0.20009214555477556</v>
      </c>
      <c r="C9" s="27"/>
      <c r="D9" s="27" t="s">
        <v>1667</v>
      </c>
      <c r="E9" s="157">
        <v>2.2101318552837895E-2</v>
      </c>
      <c r="F9" s="27"/>
      <c r="G9" s="27" t="s">
        <v>1668</v>
      </c>
      <c r="H9" s="159">
        <v>36.942343009478705</v>
      </c>
      <c r="I9" s="27"/>
      <c r="J9" s="27" t="s">
        <v>1669</v>
      </c>
      <c r="K9" s="159">
        <v>2.4990939440739828</v>
      </c>
    </row>
    <row r="10" spans="1:11" x14ac:dyDescent="0.25">
      <c r="A10" s="27" t="s">
        <v>1670</v>
      </c>
      <c r="B10" s="157">
        <v>0.19869153359422648</v>
      </c>
      <c r="C10" s="27"/>
      <c r="D10" s="27" t="s">
        <v>1671</v>
      </c>
      <c r="E10" s="157">
        <v>2.1606101635545535E-2</v>
      </c>
      <c r="F10" s="27"/>
      <c r="G10" s="27" t="s">
        <v>1672</v>
      </c>
      <c r="H10" s="159">
        <v>11.985002794193836</v>
      </c>
      <c r="I10" s="27"/>
      <c r="J10" s="27" t="s">
        <v>1668</v>
      </c>
      <c r="K10" s="159">
        <v>2.3816026053273145</v>
      </c>
    </row>
    <row r="11" spans="1:11" x14ac:dyDescent="0.25">
      <c r="A11" s="27" t="s">
        <v>1659</v>
      </c>
      <c r="B11" s="157">
        <v>0.23145600201519695</v>
      </c>
      <c r="C11" s="27"/>
      <c r="D11" s="27" t="s">
        <v>1673</v>
      </c>
      <c r="E11" s="157">
        <v>2.4054773503116262E-2</v>
      </c>
      <c r="F11" s="27"/>
      <c r="G11" s="27" t="s">
        <v>1674</v>
      </c>
      <c r="H11" s="159">
        <v>15.315237764120635</v>
      </c>
      <c r="I11" s="27"/>
      <c r="J11" s="27" t="s">
        <v>1672</v>
      </c>
      <c r="K11" s="159">
        <v>2.2515134035772446</v>
      </c>
    </row>
    <row r="12" spans="1:11" x14ac:dyDescent="0.25">
      <c r="A12" s="27" t="s">
        <v>1662</v>
      </c>
      <c r="B12" s="157">
        <v>0.20369248900200457</v>
      </c>
      <c r="C12" s="27"/>
      <c r="D12" s="27" t="s">
        <v>1675</v>
      </c>
      <c r="E12" s="157">
        <v>1.4352425024491869E-2</v>
      </c>
      <c r="F12" s="27"/>
      <c r="G12" s="27" t="s">
        <v>1669</v>
      </c>
      <c r="H12" s="159">
        <v>9.7943096225457005</v>
      </c>
      <c r="I12" s="27"/>
      <c r="J12" s="27" t="s">
        <v>1674</v>
      </c>
      <c r="K12" s="159">
        <v>2.0811452544483529</v>
      </c>
    </row>
    <row r="13" spans="1:11" x14ac:dyDescent="0.25">
      <c r="A13" s="27" t="s">
        <v>1665</v>
      </c>
      <c r="B13" s="157">
        <v>0.19175098466259977</v>
      </c>
      <c r="C13" s="27"/>
      <c r="D13" s="27" t="s">
        <v>1650</v>
      </c>
      <c r="E13" s="157">
        <v>0.86033688276884446</v>
      </c>
      <c r="F13" s="27"/>
      <c r="G13" s="27" t="s">
        <v>1676</v>
      </c>
      <c r="H13" s="159">
        <v>61.749651519375483</v>
      </c>
      <c r="I13" s="27"/>
      <c r="J13" s="27" t="s">
        <v>1666</v>
      </c>
      <c r="K13" s="159">
        <v>1.7950490097297731</v>
      </c>
    </row>
    <row r="14" spans="1:11" x14ac:dyDescent="0.25">
      <c r="A14" s="27" t="s">
        <v>1667</v>
      </c>
      <c r="B14" s="157">
        <v>0.20814581515688318</v>
      </c>
      <c r="C14" s="27"/>
      <c r="D14" s="27" t="s">
        <v>1654</v>
      </c>
      <c r="E14" s="157">
        <v>1.7680698419797252</v>
      </c>
      <c r="F14" s="27"/>
      <c r="G14" s="27" t="s">
        <v>1677</v>
      </c>
      <c r="H14" s="159">
        <v>33.967216062965448</v>
      </c>
      <c r="I14" s="27"/>
      <c r="J14" s="27" t="s">
        <v>1676</v>
      </c>
      <c r="K14" s="159">
        <v>1.8154174846398596</v>
      </c>
    </row>
    <row r="15" spans="1:11" x14ac:dyDescent="0.25">
      <c r="A15" s="27" t="s">
        <v>1671</v>
      </c>
      <c r="B15" s="157">
        <v>0.2122328005489108</v>
      </c>
      <c r="C15" s="27"/>
      <c r="D15" s="27" t="s">
        <v>1653</v>
      </c>
      <c r="E15" s="157">
        <v>4.2411015815085129</v>
      </c>
      <c r="F15" s="27"/>
      <c r="G15" s="27" t="s">
        <v>1654</v>
      </c>
      <c r="H15" s="159">
        <v>2.2134573069111489</v>
      </c>
      <c r="I15" s="27"/>
      <c r="J15" s="27" t="s">
        <v>1677</v>
      </c>
      <c r="K15" s="159">
        <v>1.6284328957916983</v>
      </c>
    </row>
    <row r="16" spans="1:11" x14ac:dyDescent="0.25">
      <c r="A16" s="27" t="s">
        <v>1673</v>
      </c>
      <c r="B16" s="157">
        <v>0.19863449005674516</v>
      </c>
      <c r="C16" s="27"/>
      <c r="D16" s="27" t="s">
        <v>1657</v>
      </c>
      <c r="E16" s="157">
        <v>5.5714740490006394</v>
      </c>
      <c r="F16" s="27"/>
      <c r="G16" s="27" t="s">
        <v>1669</v>
      </c>
      <c r="H16" s="159">
        <v>31.485576760324999</v>
      </c>
      <c r="I16" s="27"/>
      <c r="J16" s="27"/>
      <c r="K16" s="27"/>
    </row>
    <row r="17" spans="1:11" x14ac:dyDescent="0.25">
      <c r="A17" s="27" t="s">
        <v>1678</v>
      </c>
      <c r="B17" s="157">
        <v>0.18701800870362817</v>
      </c>
      <c r="C17" s="27"/>
      <c r="D17" s="27" t="s">
        <v>1660</v>
      </c>
      <c r="E17" s="157">
        <v>17.208245614035068</v>
      </c>
      <c r="F17" s="27"/>
      <c r="G17" s="27" t="s">
        <v>1650</v>
      </c>
      <c r="H17" s="159">
        <v>10.626481042654</v>
      </c>
      <c r="I17" s="27"/>
      <c r="J17" s="27"/>
      <c r="K17" s="27"/>
    </row>
    <row r="18" spans="1:11" x14ac:dyDescent="0.25">
      <c r="A18" s="27" t="s">
        <v>1650</v>
      </c>
      <c r="B18" s="157">
        <v>6.1273674800581563</v>
      </c>
      <c r="C18" s="27"/>
      <c r="D18" s="27" t="s">
        <v>1663</v>
      </c>
      <c r="E18" s="157">
        <v>2.7970289455246098</v>
      </c>
      <c r="F18" s="27"/>
      <c r="G18" s="27" t="s">
        <v>1654</v>
      </c>
      <c r="H18" s="159">
        <v>7.6487853822717575</v>
      </c>
      <c r="I18" s="27"/>
      <c r="J18" s="27"/>
      <c r="K18" s="27"/>
    </row>
    <row r="19" spans="1:11" x14ac:dyDescent="0.25">
      <c r="A19" s="27" t="s">
        <v>1654</v>
      </c>
      <c r="B19" s="157">
        <v>4.3226195981707001</v>
      </c>
      <c r="C19" s="27"/>
      <c r="D19" s="27" t="s">
        <v>1669</v>
      </c>
      <c r="E19" s="157">
        <v>1.3693918010752686</v>
      </c>
      <c r="F19" s="27"/>
      <c r="G19" s="27" t="s">
        <v>1653</v>
      </c>
      <c r="H19" s="159">
        <v>7.600441786987032</v>
      </c>
      <c r="I19" s="27"/>
      <c r="J19" s="27"/>
      <c r="K19" s="27"/>
    </row>
    <row r="20" spans="1:11" x14ac:dyDescent="0.25">
      <c r="A20" s="27" t="s">
        <v>1653</v>
      </c>
      <c r="B20" s="157">
        <v>3.7605838473957682</v>
      </c>
      <c r="C20" s="27"/>
      <c r="D20" s="27" t="s">
        <v>1668</v>
      </c>
      <c r="E20" s="157">
        <v>2.896629635598944</v>
      </c>
      <c r="F20" s="27"/>
      <c r="G20" s="27" t="s">
        <v>1657</v>
      </c>
      <c r="H20" s="159">
        <v>14.861617542809336</v>
      </c>
      <c r="I20" s="27"/>
      <c r="J20" s="27"/>
      <c r="K20" s="27"/>
    </row>
    <row r="21" spans="1:11" x14ac:dyDescent="0.25">
      <c r="A21" s="27" t="s">
        <v>1657</v>
      </c>
      <c r="B21" s="157">
        <v>4.0186423074459414</v>
      </c>
      <c r="C21" s="27"/>
      <c r="D21" s="27" t="s">
        <v>1672</v>
      </c>
      <c r="E21" s="157">
        <v>0.94858271687434892</v>
      </c>
      <c r="F21" s="27"/>
      <c r="G21" s="27" t="s">
        <v>1660</v>
      </c>
      <c r="H21" s="159">
        <v>34.663553271373097</v>
      </c>
      <c r="I21" s="27"/>
      <c r="J21" s="27"/>
      <c r="K21" s="27"/>
    </row>
    <row r="22" spans="1:11" x14ac:dyDescent="0.25">
      <c r="A22" s="27" t="s">
        <v>1660</v>
      </c>
      <c r="B22" s="157">
        <v>7.5066708620492992</v>
      </c>
      <c r="C22" s="27"/>
      <c r="D22" s="27" t="s">
        <v>1674</v>
      </c>
      <c r="E22" s="157">
        <v>0.88943773946360127</v>
      </c>
      <c r="F22" s="27"/>
      <c r="G22" s="27" t="s">
        <v>1663</v>
      </c>
      <c r="H22" s="159">
        <v>5.3597756888687318</v>
      </c>
      <c r="I22" s="27"/>
      <c r="J22" s="27"/>
      <c r="K22" s="27"/>
    </row>
    <row r="23" spans="1:11" x14ac:dyDescent="0.25">
      <c r="A23" s="27" t="s">
        <v>1663</v>
      </c>
      <c r="B23" s="157">
        <v>6.541611986778916</v>
      </c>
      <c r="C23" s="27"/>
      <c r="D23" s="27" t="s">
        <v>1666</v>
      </c>
      <c r="E23" s="157">
        <v>3.0986287053841499</v>
      </c>
      <c r="F23" s="27"/>
      <c r="G23" s="27" t="s">
        <v>1669</v>
      </c>
      <c r="H23" s="159">
        <v>6.2652703411983524</v>
      </c>
      <c r="I23" s="27"/>
      <c r="J23" s="27"/>
      <c r="K23" s="27"/>
    </row>
    <row r="24" spans="1:11" x14ac:dyDescent="0.25">
      <c r="A24" s="27" t="s">
        <v>1669</v>
      </c>
      <c r="B24" s="157">
        <v>6.5205117476864345</v>
      </c>
      <c r="C24" s="27"/>
      <c r="D24" s="27" t="s">
        <v>1676</v>
      </c>
      <c r="E24" s="157">
        <v>5.7449378444763912</v>
      </c>
      <c r="F24" s="27"/>
      <c r="G24" s="27" t="s">
        <v>1668</v>
      </c>
      <c r="H24" s="159">
        <v>6.447831562244204</v>
      </c>
      <c r="I24" s="27"/>
      <c r="J24" s="27"/>
      <c r="K24" s="27"/>
    </row>
    <row r="25" spans="1:11" x14ac:dyDescent="0.25">
      <c r="A25" s="27" t="s">
        <v>1668</v>
      </c>
      <c r="B25" s="157">
        <v>2.4275055617547205</v>
      </c>
      <c r="C25" s="27"/>
      <c r="D25" s="27" t="s">
        <v>1677</v>
      </c>
      <c r="E25" s="157">
        <v>2.68</v>
      </c>
      <c r="F25" s="27"/>
      <c r="G25" s="27" t="s">
        <v>1672</v>
      </c>
      <c r="H25" s="159">
        <v>21.856923684530333</v>
      </c>
      <c r="I25" s="27"/>
      <c r="J25" s="27"/>
      <c r="K25" s="27"/>
    </row>
    <row r="26" spans="1:11" x14ac:dyDescent="0.25">
      <c r="A26" s="27" t="s">
        <v>1672</v>
      </c>
      <c r="B26" s="157">
        <v>2.8003603807983963</v>
      </c>
      <c r="C26" s="27"/>
      <c r="D26" s="27" t="s">
        <v>1679</v>
      </c>
      <c r="E26" s="157">
        <v>0.57160256410256427</v>
      </c>
      <c r="F26" s="27"/>
      <c r="G26" s="27" t="s">
        <v>1674</v>
      </c>
      <c r="H26" s="159">
        <v>7.1267007025449516</v>
      </c>
      <c r="I26" s="27"/>
      <c r="J26" s="27"/>
      <c r="K26" s="27"/>
    </row>
    <row r="27" spans="1:11" x14ac:dyDescent="0.25">
      <c r="A27" s="27" t="s">
        <v>1674</v>
      </c>
      <c r="B27" s="157">
        <v>2.4692941734532896</v>
      </c>
      <c r="C27" s="27"/>
      <c r="D27" s="27" t="s">
        <v>1680</v>
      </c>
      <c r="E27" s="157">
        <v>1.9071859310656059</v>
      </c>
      <c r="F27" s="27"/>
      <c r="G27" s="27" t="s">
        <v>1666</v>
      </c>
      <c r="H27" s="159">
        <v>6.1885851167172001</v>
      </c>
      <c r="I27" s="27"/>
      <c r="J27" s="27"/>
      <c r="K27" s="27"/>
    </row>
    <row r="28" spans="1:11" x14ac:dyDescent="0.25">
      <c r="A28" s="27" t="s">
        <v>1666</v>
      </c>
      <c r="B28" s="157">
        <v>2.9700248876708955</v>
      </c>
      <c r="C28" s="27"/>
      <c r="D28" s="27" t="s">
        <v>1681</v>
      </c>
      <c r="E28" s="157">
        <v>12.49546071953009</v>
      </c>
      <c r="F28" s="27"/>
      <c r="G28" s="27" t="s">
        <v>1676</v>
      </c>
      <c r="H28" s="159">
        <v>5.9302892575756285</v>
      </c>
      <c r="I28" s="27"/>
      <c r="J28" s="27"/>
      <c r="K28" s="27"/>
    </row>
    <row r="29" spans="1:11" x14ac:dyDescent="0.25">
      <c r="A29" s="27" t="s">
        <v>1676</v>
      </c>
      <c r="B29" s="157">
        <v>3.5788915923308413</v>
      </c>
      <c r="C29" s="27"/>
      <c r="D29" s="27" t="s">
        <v>1682</v>
      </c>
      <c r="E29" s="157">
        <v>1.9863242009132414</v>
      </c>
      <c r="F29" s="27"/>
      <c r="G29" s="27" t="s">
        <v>1677</v>
      </c>
      <c r="H29" s="159">
        <v>8.6605883516711515</v>
      </c>
      <c r="I29" s="27"/>
      <c r="J29" s="27"/>
      <c r="K29" s="27"/>
    </row>
    <row r="30" spans="1:11" x14ac:dyDescent="0.25">
      <c r="A30" s="27" t="s">
        <v>1677</v>
      </c>
      <c r="B30" s="157">
        <v>3.699732798931195</v>
      </c>
      <c r="C30" s="27"/>
      <c r="D30" s="27" t="s">
        <v>1649</v>
      </c>
      <c r="E30" s="157">
        <v>-2.8621563917800939E-2</v>
      </c>
      <c r="F30" s="27"/>
      <c r="G30" s="27" t="s">
        <v>1680</v>
      </c>
      <c r="H30" s="159">
        <v>10.92005277324521</v>
      </c>
      <c r="I30" s="27"/>
      <c r="J30" s="27"/>
      <c r="K30" s="27"/>
    </row>
    <row r="31" spans="1:11" x14ac:dyDescent="0.25">
      <c r="A31" s="27" t="s">
        <v>1649</v>
      </c>
      <c r="B31" s="157">
        <v>0.20247031465087009</v>
      </c>
      <c r="C31" s="27"/>
      <c r="D31" s="27"/>
      <c r="E31" s="27"/>
      <c r="F31" s="27"/>
      <c r="G31" s="27" t="s">
        <v>1683</v>
      </c>
      <c r="H31" s="159">
        <v>5.9364592000499457</v>
      </c>
      <c r="I31" s="27"/>
      <c r="J31" s="27"/>
      <c r="K31" s="27"/>
    </row>
    <row r="32" spans="1:11" x14ac:dyDescent="0.25">
      <c r="A32" s="27" t="s">
        <v>1656</v>
      </c>
      <c r="B32" s="157">
        <v>0.18845327227478342</v>
      </c>
      <c r="C32" s="27"/>
      <c r="D32" s="27"/>
      <c r="E32" s="27"/>
      <c r="F32" s="27"/>
      <c r="G32" s="27"/>
      <c r="H32" s="27"/>
      <c r="I32" s="27"/>
      <c r="J32" s="27"/>
      <c r="K32" s="27"/>
    </row>
    <row r="33" spans="1:11" x14ac:dyDescent="0.25">
      <c r="A33" s="27"/>
      <c r="B33" s="27"/>
      <c r="C33" s="27"/>
      <c r="D33" s="27"/>
      <c r="E33" s="27"/>
      <c r="F33" s="27"/>
      <c r="G33" s="27"/>
      <c r="H33" s="27"/>
      <c r="I33" s="27"/>
      <c r="J33" s="27"/>
      <c r="K33" s="27"/>
    </row>
  </sheetData>
  <mergeCells count="4">
    <mergeCell ref="A2:B2"/>
    <mergeCell ref="D2:E2"/>
    <mergeCell ref="G2:H2"/>
    <mergeCell ref="J2:K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ACC0F-CE83-46BE-9D8F-EDB4E2044F1F}">
  <dimension ref="A1"/>
  <sheetViews>
    <sheetView workbookViewId="0">
      <selection activeCell="E10" sqref="E10"/>
    </sheetView>
  </sheetViews>
  <sheetFormatPr defaultRowHeight="15" x14ac:dyDescent="0.25"/>
  <sheetData/>
  <pageMargins left="0.7" right="0.7" top="0.75" bottom="0.75" header="0.3" footer="0.3"/>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3E0C6-F30C-4777-9CE3-5ACF1160912F}">
  <dimension ref="A1:H109"/>
  <sheetViews>
    <sheetView topLeftCell="A70" workbookViewId="0">
      <selection activeCell="A89" sqref="A89:G89"/>
    </sheetView>
  </sheetViews>
  <sheetFormatPr defaultRowHeight="15" x14ac:dyDescent="0.25"/>
  <cols>
    <col min="1" max="1" width="18.42578125" style="118" bestFit="1" customWidth="1"/>
    <col min="2" max="2" width="11.28515625" bestFit="1" customWidth="1"/>
    <col min="3" max="3" width="11.28515625" style="118" customWidth="1"/>
  </cols>
  <sheetData>
    <row r="1" spans="1:8" s="118" customFormat="1" x14ac:dyDescent="0.25">
      <c r="B1" s="118" t="s">
        <v>652</v>
      </c>
      <c r="D1" s="118" t="s">
        <v>653</v>
      </c>
      <c r="E1" s="118" t="s">
        <v>655</v>
      </c>
      <c r="F1" s="118" t="s">
        <v>654</v>
      </c>
      <c r="G1" s="118" t="s">
        <v>656</v>
      </c>
    </row>
    <row r="2" spans="1:8" x14ac:dyDescent="0.25">
      <c r="A2" s="131" t="s">
        <v>685</v>
      </c>
      <c r="B2" s="63" t="s">
        <v>847</v>
      </c>
      <c r="C2" s="63" t="str">
        <f t="shared" ref="C2:C10" si="0">RIGHT(B2,1)</f>
        <v>1</v>
      </c>
      <c r="D2" s="63" t="s">
        <v>797</v>
      </c>
      <c r="E2" s="63" t="s">
        <v>673</v>
      </c>
      <c r="F2" s="63">
        <v>0.105</v>
      </c>
      <c r="G2" s="63">
        <v>3.9188000000000001E-2</v>
      </c>
      <c r="H2">
        <v>1</v>
      </c>
    </row>
    <row r="3" spans="1:8" x14ac:dyDescent="0.25">
      <c r="A3" s="119" t="s">
        <v>686</v>
      </c>
      <c r="B3" s="63" t="s">
        <v>845</v>
      </c>
      <c r="C3" s="63" t="str">
        <f t="shared" si="0"/>
        <v>2</v>
      </c>
      <c r="D3" s="63" t="s">
        <v>797</v>
      </c>
      <c r="E3" s="63" t="s">
        <v>673</v>
      </c>
      <c r="F3" s="63">
        <v>4.7E-2</v>
      </c>
      <c r="G3" s="63">
        <v>2.1184000000000001E-2</v>
      </c>
      <c r="H3" s="63">
        <v>1</v>
      </c>
    </row>
    <row r="4" spans="1:8" x14ac:dyDescent="0.25">
      <c r="A4" s="119" t="s">
        <v>687</v>
      </c>
      <c r="B4" s="63" t="s">
        <v>843</v>
      </c>
      <c r="C4" s="63" t="str">
        <f t="shared" si="0"/>
        <v>3</v>
      </c>
      <c r="D4" s="63" t="s">
        <v>797</v>
      </c>
      <c r="E4" s="63" t="s">
        <v>673</v>
      </c>
      <c r="F4" s="63">
        <v>4.4999999999999998E-2</v>
      </c>
      <c r="G4" s="63">
        <v>2.053E-2</v>
      </c>
      <c r="H4" s="118">
        <v>1</v>
      </c>
    </row>
    <row r="5" spans="1:8" x14ac:dyDescent="0.25">
      <c r="A5" s="119" t="s">
        <v>688</v>
      </c>
      <c r="B5" s="63" t="s">
        <v>848</v>
      </c>
      <c r="C5" s="63" t="str">
        <f t="shared" si="0"/>
        <v>4</v>
      </c>
      <c r="D5" s="63" t="s">
        <v>797</v>
      </c>
      <c r="E5" s="63" t="s">
        <v>673</v>
      </c>
      <c r="F5" s="63">
        <v>5.8000000000000003E-2</v>
      </c>
      <c r="G5" s="63">
        <v>2.4719999999999999E-2</v>
      </c>
      <c r="H5" s="63">
        <v>1</v>
      </c>
    </row>
    <row r="6" spans="1:8" x14ac:dyDescent="0.25">
      <c r="A6" s="119" t="s">
        <v>689</v>
      </c>
      <c r="B6" s="63" t="s">
        <v>850</v>
      </c>
      <c r="C6" s="63" t="str">
        <f t="shared" si="0"/>
        <v>5</v>
      </c>
      <c r="D6" s="63" t="s">
        <v>797</v>
      </c>
      <c r="E6" s="63" t="s">
        <v>673</v>
      </c>
      <c r="F6" s="63">
        <v>9.8000000000000004E-2</v>
      </c>
      <c r="G6" s="63">
        <v>3.6895999999999998E-2</v>
      </c>
      <c r="H6" s="118">
        <v>1</v>
      </c>
    </row>
    <row r="7" spans="1:8" x14ac:dyDescent="0.25">
      <c r="A7" s="119" t="s">
        <v>690</v>
      </c>
      <c r="B7" s="63" t="s">
        <v>979</v>
      </c>
      <c r="C7" s="63" t="str">
        <f t="shared" si="0"/>
        <v>6</v>
      </c>
      <c r="D7" s="63" t="s">
        <v>797</v>
      </c>
      <c r="E7" s="63" t="s">
        <v>673</v>
      </c>
      <c r="F7" s="63">
        <v>0.08</v>
      </c>
      <c r="G7" s="63">
        <v>3.1451E-2</v>
      </c>
      <c r="H7" s="63">
        <v>1</v>
      </c>
    </row>
    <row r="8" spans="1:8" x14ac:dyDescent="0.25">
      <c r="A8" s="119" t="s">
        <v>691</v>
      </c>
      <c r="B8" s="63" t="s">
        <v>842</v>
      </c>
      <c r="C8" s="63" t="str">
        <f t="shared" si="0"/>
        <v>7</v>
      </c>
      <c r="D8" s="63" t="s">
        <v>797</v>
      </c>
      <c r="E8" s="63" t="s">
        <v>673</v>
      </c>
      <c r="F8" s="63">
        <v>0.13200000000000001</v>
      </c>
      <c r="G8" s="63">
        <v>4.7477999999999999E-2</v>
      </c>
      <c r="H8" s="118">
        <v>1</v>
      </c>
    </row>
    <row r="9" spans="1:8" x14ac:dyDescent="0.25">
      <c r="A9" s="119" t="s">
        <v>692</v>
      </c>
      <c r="B9" s="63" t="s">
        <v>851</v>
      </c>
      <c r="C9" s="63" t="str">
        <f t="shared" si="0"/>
        <v>8</v>
      </c>
      <c r="D9" s="63" t="s">
        <v>797</v>
      </c>
      <c r="E9" s="63" t="s">
        <v>673</v>
      </c>
      <c r="F9" s="63">
        <v>0.151</v>
      </c>
      <c r="G9" s="63">
        <v>5.3294000000000001E-2</v>
      </c>
      <c r="H9" s="63">
        <v>1</v>
      </c>
    </row>
    <row r="10" spans="1:8" x14ac:dyDescent="0.25">
      <c r="A10" s="119" t="s">
        <v>693</v>
      </c>
      <c r="B10" s="63" t="s">
        <v>978</v>
      </c>
      <c r="C10" s="63" t="str">
        <f t="shared" si="0"/>
        <v>9</v>
      </c>
      <c r="D10" s="63" t="s">
        <v>797</v>
      </c>
      <c r="E10" s="63" t="s">
        <v>673</v>
      </c>
      <c r="F10" s="63">
        <v>0.186</v>
      </c>
      <c r="G10" s="63">
        <v>6.4080999999999999E-2</v>
      </c>
      <c r="H10" s="118">
        <v>1</v>
      </c>
    </row>
    <row r="11" spans="1:8" x14ac:dyDescent="0.25">
      <c r="A11" s="119" t="s">
        <v>694</v>
      </c>
      <c r="B11" s="63" t="s">
        <v>977</v>
      </c>
      <c r="C11" s="63">
        <v>10</v>
      </c>
      <c r="D11" s="63" t="s">
        <v>797</v>
      </c>
      <c r="E11" s="63" t="s">
        <v>673</v>
      </c>
      <c r="F11" s="63">
        <v>0.16600000000000001</v>
      </c>
      <c r="G11" s="63">
        <v>5.7970000000000001E-2</v>
      </c>
      <c r="H11" s="63">
        <v>1</v>
      </c>
    </row>
    <row r="12" spans="1:8" x14ac:dyDescent="0.25">
      <c r="A12" s="119" t="s">
        <v>695</v>
      </c>
      <c r="B12" s="63" t="s">
        <v>844</v>
      </c>
      <c r="C12" s="63">
        <v>11</v>
      </c>
      <c r="D12" s="63" t="s">
        <v>797</v>
      </c>
      <c r="E12" s="63" t="s">
        <v>673</v>
      </c>
      <c r="F12" s="63">
        <v>0.20200000000000001</v>
      </c>
      <c r="G12" s="63">
        <v>6.9153000000000006E-2</v>
      </c>
      <c r="H12" s="118">
        <v>1</v>
      </c>
    </row>
    <row r="13" spans="1:8" x14ac:dyDescent="0.25">
      <c r="A13" s="119" t="s">
        <v>696</v>
      </c>
      <c r="B13" s="63" t="s">
        <v>849</v>
      </c>
      <c r="C13" s="63">
        <v>12</v>
      </c>
      <c r="D13" s="63" t="s">
        <v>797</v>
      </c>
      <c r="E13" s="63" t="s">
        <v>673</v>
      </c>
      <c r="F13" s="63">
        <v>0.20799999999999999</v>
      </c>
      <c r="G13" s="63">
        <v>7.0965E-2</v>
      </c>
      <c r="H13" s="63">
        <v>1</v>
      </c>
    </row>
    <row r="14" spans="1:8" x14ac:dyDescent="0.25">
      <c r="A14" s="119" t="s">
        <v>697</v>
      </c>
      <c r="B14" s="63" t="s">
        <v>846</v>
      </c>
      <c r="C14" s="63">
        <v>13</v>
      </c>
      <c r="D14" s="63" t="s">
        <v>797</v>
      </c>
      <c r="E14" s="63" t="s">
        <v>673</v>
      </c>
      <c r="F14" s="63">
        <v>8.2000000000000003E-2</v>
      </c>
      <c r="G14" s="63">
        <v>3.2216000000000002E-2</v>
      </c>
      <c r="H14" s="118">
        <v>1</v>
      </c>
    </row>
    <row r="15" spans="1:8" x14ac:dyDescent="0.25">
      <c r="A15" s="120" t="s">
        <v>698</v>
      </c>
      <c r="B15" s="118" t="s">
        <v>1009</v>
      </c>
      <c r="C15" s="63" t="str">
        <f t="shared" ref="C15:C24" si="1">RIGHT(B15,1)</f>
        <v>1</v>
      </c>
      <c r="D15" s="118" t="s">
        <v>797</v>
      </c>
      <c r="E15" s="118" t="s">
        <v>673</v>
      </c>
      <c r="F15" s="118">
        <v>1.9E-2</v>
      </c>
      <c r="G15" s="118">
        <v>1.2501999999999999E-2</v>
      </c>
      <c r="H15" s="63">
        <v>2</v>
      </c>
    </row>
    <row r="16" spans="1:8" x14ac:dyDescent="0.25">
      <c r="A16" s="120" t="s">
        <v>699</v>
      </c>
      <c r="B16" s="118" t="s">
        <v>1012</v>
      </c>
      <c r="C16" s="63" t="str">
        <f t="shared" si="1"/>
        <v>2</v>
      </c>
      <c r="D16" s="118" t="s">
        <v>797</v>
      </c>
      <c r="E16" s="118" t="s">
        <v>673</v>
      </c>
      <c r="F16" s="118">
        <v>2.8000000000000001E-2</v>
      </c>
      <c r="G16" s="118">
        <v>1.5519E-2</v>
      </c>
      <c r="H16" s="63">
        <v>2</v>
      </c>
    </row>
    <row r="17" spans="1:8" x14ac:dyDescent="0.25">
      <c r="A17" s="120" t="s">
        <v>700</v>
      </c>
      <c r="B17" s="118" t="s">
        <v>1013</v>
      </c>
      <c r="C17" s="63" t="str">
        <f t="shared" si="1"/>
        <v>3</v>
      </c>
      <c r="D17" s="118" t="s">
        <v>797</v>
      </c>
      <c r="E17" s="118" t="s">
        <v>673</v>
      </c>
      <c r="F17" s="118">
        <v>1.2E-2</v>
      </c>
      <c r="G17" s="118">
        <v>1.0579E-2</v>
      </c>
      <c r="H17" s="63">
        <v>2</v>
      </c>
    </row>
    <row r="18" spans="1:8" x14ac:dyDescent="0.25">
      <c r="A18" s="120" t="s">
        <v>701</v>
      </c>
      <c r="B18" s="118" t="s">
        <v>1008</v>
      </c>
      <c r="C18" s="63" t="str">
        <f t="shared" si="1"/>
        <v>4</v>
      </c>
      <c r="D18" s="118" t="s">
        <v>797</v>
      </c>
      <c r="E18" s="118" t="s">
        <v>673</v>
      </c>
      <c r="F18" s="118">
        <v>1.4E-2</v>
      </c>
      <c r="G18" s="118">
        <v>1.1050000000000001E-2</v>
      </c>
      <c r="H18" s="63">
        <v>2</v>
      </c>
    </row>
    <row r="19" spans="1:8" x14ac:dyDescent="0.25">
      <c r="A19" s="120" t="s">
        <v>702</v>
      </c>
      <c r="B19" s="118" t="s">
        <v>1011</v>
      </c>
      <c r="C19" s="63" t="str">
        <f t="shared" si="1"/>
        <v>5</v>
      </c>
      <c r="D19" s="118" t="s">
        <v>797</v>
      </c>
      <c r="E19" s="118" t="s">
        <v>673</v>
      </c>
      <c r="F19" s="118">
        <v>0.01</v>
      </c>
      <c r="G19" s="118">
        <v>1.0016000000000001E-2</v>
      </c>
      <c r="H19" s="63">
        <v>2</v>
      </c>
    </row>
    <row r="20" spans="1:8" x14ac:dyDescent="0.25">
      <c r="A20" s="120" t="s">
        <v>703</v>
      </c>
      <c r="B20" s="118" t="s">
        <v>1010</v>
      </c>
      <c r="C20" s="63" t="str">
        <f t="shared" si="1"/>
        <v>6</v>
      </c>
      <c r="D20" s="118" t="s">
        <v>797</v>
      </c>
      <c r="E20" s="118" t="s">
        <v>673</v>
      </c>
      <c r="F20" s="118">
        <v>2.4E-2</v>
      </c>
      <c r="G20" s="118">
        <v>1.4329E-2</v>
      </c>
      <c r="H20" s="63">
        <v>2</v>
      </c>
    </row>
    <row r="21" spans="1:8" x14ac:dyDescent="0.25">
      <c r="A21" s="121" t="s">
        <v>704</v>
      </c>
      <c r="B21" s="118" t="s">
        <v>992</v>
      </c>
      <c r="C21" s="63" t="str">
        <f t="shared" si="1"/>
        <v>5</v>
      </c>
      <c r="D21" s="118" t="s">
        <v>797</v>
      </c>
      <c r="E21" s="118" t="s">
        <v>673</v>
      </c>
      <c r="F21" s="118">
        <v>0.153</v>
      </c>
      <c r="G21" s="118">
        <v>5.3809000000000003E-2</v>
      </c>
      <c r="H21" s="63">
        <v>3</v>
      </c>
    </row>
    <row r="22" spans="1:8" x14ac:dyDescent="0.25">
      <c r="A22" s="121" t="s">
        <v>705</v>
      </c>
      <c r="B22" s="118" t="s">
        <v>994</v>
      </c>
      <c r="C22" s="63" t="str">
        <f t="shared" si="1"/>
        <v>6</v>
      </c>
      <c r="D22" s="118" t="s">
        <v>797</v>
      </c>
      <c r="E22" s="118" t="s">
        <v>673</v>
      </c>
      <c r="F22" s="118">
        <v>0.13400000000000001</v>
      </c>
      <c r="G22" s="118">
        <v>4.7951000000000001E-2</v>
      </c>
      <c r="H22" s="63">
        <v>3</v>
      </c>
    </row>
    <row r="23" spans="1:8" x14ac:dyDescent="0.25">
      <c r="A23" s="121" t="s">
        <v>706</v>
      </c>
      <c r="B23" s="118" t="s">
        <v>991</v>
      </c>
      <c r="C23" s="63" t="str">
        <f t="shared" si="1"/>
        <v>8</v>
      </c>
      <c r="D23" s="118" t="s">
        <v>797</v>
      </c>
      <c r="E23" s="118" t="s">
        <v>673</v>
      </c>
      <c r="F23" s="118">
        <v>0.16900000000000001</v>
      </c>
      <c r="G23" s="118">
        <v>5.8791999999999997E-2</v>
      </c>
      <c r="H23" s="63">
        <v>3</v>
      </c>
    </row>
    <row r="24" spans="1:8" x14ac:dyDescent="0.25">
      <c r="A24" s="121" t="s">
        <v>707</v>
      </c>
      <c r="B24" s="118" t="s">
        <v>993</v>
      </c>
      <c r="C24" s="63" t="str">
        <f t="shared" si="1"/>
        <v>9</v>
      </c>
      <c r="D24" s="118" t="s">
        <v>797</v>
      </c>
      <c r="E24" s="118" t="s">
        <v>673</v>
      </c>
      <c r="F24" s="118">
        <v>0.109</v>
      </c>
      <c r="G24" s="118">
        <v>4.0267999999999998E-2</v>
      </c>
      <c r="H24" s="63">
        <v>3</v>
      </c>
    </row>
    <row r="25" spans="1:8" x14ac:dyDescent="0.25">
      <c r="A25" s="121" t="s">
        <v>708</v>
      </c>
      <c r="B25" s="118" t="s">
        <v>989</v>
      </c>
      <c r="C25" s="63">
        <v>10</v>
      </c>
      <c r="D25" s="118" t="s">
        <v>797</v>
      </c>
      <c r="E25" s="118" t="s">
        <v>673</v>
      </c>
      <c r="F25" s="118">
        <v>0.158</v>
      </c>
      <c r="G25" s="118">
        <v>5.5487000000000002E-2</v>
      </c>
      <c r="H25" s="63">
        <v>3</v>
      </c>
    </row>
    <row r="26" spans="1:8" x14ac:dyDescent="0.25">
      <c r="A26" s="121" t="s">
        <v>709</v>
      </c>
      <c r="B26" s="118" t="s">
        <v>990</v>
      </c>
      <c r="C26" s="63">
        <v>11</v>
      </c>
      <c r="D26" s="118" t="s">
        <v>797</v>
      </c>
      <c r="E26" s="118" t="s">
        <v>673</v>
      </c>
      <c r="F26" s="118">
        <v>0.11600000000000001</v>
      </c>
      <c r="G26" s="118">
        <v>4.2589000000000002E-2</v>
      </c>
      <c r="H26" s="63">
        <v>3</v>
      </c>
    </row>
    <row r="27" spans="1:8" x14ac:dyDescent="0.25">
      <c r="A27" s="121" t="s">
        <v>710</v>
      </c>
      <c r="B27" s="118" t="s">
        <v>986</v>
      </c>
      <c r="C27" s="63">
        <v>12</v>
      </c>
      <c r="D27" s="118" t="s">
        <v>797</v>
      </c>
      <c r="E27" s="118" t="s">
        <v>673</v>
      </c>
      <c r="F27" s="118">
        <v>7.6999999999999999E-2</v>
      </c>
      <c r="G27" s="118">
        <v>3.0374999999999999E-2</v>
      </c>
      <c r="H27" s="63">
        <v>3</v>
      </c>
    </row>
    <row r="28" spans="1:8" x14ac:dyDescent="0.25">
      <c r="A28" s="121" t="s">
        <v>711</v>
      </c>
      <c r="B28" s="118" t="s">
        <v>988</v>
      </c>
      <c r="C28" s="63">
        <v>14</v>
      </c>
      <c r="D28" s="118" t="s">
        <v>797</v>
      </c>
      <c r="E28" s="118" t="s">
        <v>673</v>
      </c>
      <c r="F28" s="118">
        <v>0.17799999999999999</v>
      </c>
      <c r="G28" s="118">
        <v>6.1553999999999998E-2</v>
      </c>
      <c r="H28" s="63">
        <v>3</v>
      </c>
    </row>
    <row r="29" spans="1:8" x14ac:dyDescent="0.25">
      <c r="A29" s="121" t="s">
        <v>712</v>
      </c>
      <c r="B29" s="118" t="s">
        <v>987</v>
      </c>
      <c r="C29" s="63">
        <v>15</v>
      </c>
      <c r="D29" s="118" t="s">
        <v>797</v>
      </c>
      <c r="E29" s="118" t="s">
        <v>673</v>
      </c>
      <c r="F29" s="118">
        <v>0.14599999999999999</v>
      </c>
      <c r="G29" s="118">
        <v>5.1678000000000002E-2</v>
      </c>
      <c r="H29" s="63">
        <v>3</v>
      </c>
    </row>
    <row r="30" spans="1:8" x14ac:dyDescent="0.25">
      <c r="A30" s="119" t="s">
        <v>713</v>
      </c>
      <c r="B30" s="118" t="s">
        <v>996</v>
      </c>
      <c r="C30" s="63" t="str">
        <f t="shared" ref="C30:C38" si="2">RIGHT(B30,1)</f>
        <v>1</v>
      </c>
      <c r="D30" s="118" t="s">
        <v>797</v>
      </c>
      <c r="E30" s="118" t="s">
        <v>673</v>
      </c>
      <c r="F30" s="118">
        <v>4.5999999999999999E-2</v>
      </c>
      <c r="G30" s="118">
        <v>2.1104000000000001E-2</v>
      </c>
      <c r="H30" s="63">
        <v>4</v>
      </c>
    </row>
    <row r="31" spans="1:8" x14ac:dyDescent="0.25">
      <c r="A31" s="119" t="s">
        <v>714</v>
      </c>
      <c r="B31" s="118" t="s">
        <v>1007</v>
      </c>
      <c r="C31" s="63" t="str">
        <f t="shared" si="2"/>
        <v>2</v>
      </c>
      <c r="D31" s="118" t="s">
        <v>797</v>
      </c>
      <c r="E31" s="118" t="s">
        <v>673</v>
      </c>
      <c r="F31" s="118">
        <v>7.8E-2</v>
      </c>
      <c r="G31" s="118">
        <v>3.0693999999999999E-2</v>
      </c>
      <c r="H31" s="63">
        <v>4</v>
      </c>
    </row>
    <row r="32" spans="1:8" x14ac:dyDescent="0.25">
      <c r="A32" s="119" t="s">
        <v>715</v>
      </c>
      <c r="B32" s="118" t="s">
        <v>997</v>
      </c>
      <c r="C32" s="63" t="str">
        <f t="shared" si="2"/>
        <v>3</v>
      </c>
      <c r="D32" s="118" t="s">
        <v>797</v>
      </c>
      <c r="E32" s="118" t="s">
        <v>673</v>
      </c>
      <c r="F32" s="118">
        <v>9.1999999999999998E-2</v>
      </c>
      <c r="G32" s="118">
        <v>3.5182999999999999E-2</v>
      </c>
      <c r="H32" s="63">
        <v>4</v>
      </c>
    </row>
    <row r="33" spans="1:8" x14ac:dyDescent="0.25">
      <c r="A33" s="119" t="s">
        <v>716</v>
      </c>
      <c r="B33" s="118" t="s">
        <v>1003</v>
      </c>
      <c r="C33" s="63" t="str">
        <f t="shared" si="2"/>
        <v>4</v>
      </c>
      <c r="D33" s="118" t="s">
        <v>797</v>
      </c>
      <c r="E33" s="118" t="s">
        <v>673</v>
      </c>
      <c r="F33" s="118">
        <v>0.14699999999999999</v>
      </c>
      <c r="G33" s="118">
        <v>5.2170000000000001E-2</v>
      </c>
      <c r="H33" s="63">
        <v>4</v>
      </c>
    </row>
    <row r="34" spans="1:8" x14ac:dyDescent="0.25">
      <c r="A34" s="119" t="s">
        <v>717</v>
      </c>
      <c r="B34" s="118" t="s">
        <v>1000</v>
      </c>
      <c r="C34" s="63" t="str">
        <f t="shared" si="2"/>
        <v>5</v>
      </c>
      <c r="D34" s="118" t="s">
        <v>797</v>
      </c>
      <c r="E34" s="118" t="s">
        <v>673</v>
      </c>
      <c r="F34" s="118">
        <v>0.246</v>
      </c>
      <c r="G34" s="118">
        <v>8.2716999999999999E-2</v>
      </c>
      <c r="H34" s="63">
        <v>4</v>
      </c>
    </row>
    <row r="35" spans="1:8" x14ac:dyDescent="0.25">
      <c r="A35" s="119" t="s">
        <v>718</v>
      </c>
      <c r="B35" s="118" t="s">
        <v>999</v>
      </c>
      <c r="C35" s="63" t="str">
        <f t="shared" si="2"/>
        <v>6</v>
      </c>
      <c r="D35" s="118" t="s">
        <v>797</v>
      </c>
      <c r="E35" s="118" t="s">
        <v>673</v>
      </c>
      <c r="F35" s="118">
        <v>0.21199999999999999</v>
      </c>
      <c r="G35" s="118">
        <v>7.2237999999999997E-2</v>
      </c>
      <c r="H35" s="63">
        <v>4</v>
      </c>
    </row>
    <row r="36" spans="1:8" x14ac:dyDescent="0.25">
      <c r="A36" s="119" t="s">
        <v>719</v>
      </c>
      <c r="B36" s="118" t="s">
        <v>995</v>
      </c>
      <c r="C36" s="63" t="str">
        <f t="shared" si="2"/>
        <v>7</v>
      </c>
      <c r="D36" s="118" t="s">
        <v>797</v>
      </c>
      <c r="E36" s="118" t="s">
        <v>673</v>
      </c>
      <c r="F36" s="118">
        <v>4.8000000000000001E-2</v>
      </c>
      <c r="G36" s="118">
        <v>2.1475000000000001E-2</v>
      </c>
      <c r="H36" s="63">
        <v>4</v>
      </c>
    </row>
    <row r="37" spans="1:8" x14ac:dyDescent="0.25">
      <c r="A37" s="119" t="s">
        <v>720</v>
      </c>
      <c r="B37" s="118" t="s">
        <v>1004</v>
      </c>
      <c r="C37" s="63" t="str">
        <f t="shared" si="2"/>
        <v>8</v>
      </c>
      <c r="D37" s="118" t="s">
        <v>797</v>
      </c>
      <c r="E37" s="118" t="s">
        <v>673</v>
      </c>
      <c r="F37" s="118">
        <v>3.9E-2</v>
      </c>
      <c r="G37" s="118">
        <v>1.8735999999999999E-2</v>
      </c>
      <c r="H37" s="63">
        <v>4</v>
      </c>
    </row>
    <row r="38" spans="1:8" x14ac:dyDescent="0.25">
      <c r="A38" s="119" t="s">
        <v>721</v>
      </c>
      <c r="B38" s="118" t="s">
        <v>998</v>
      </c>
      <c r="C38" s="63" t="str">
        <f t="shared" si="2"/>
        <v>9</v>
      </c>
      <c r="D38" s="118" t="s">
        <v>797</v>
      </c>
      <c r="E38" s="118" t="s">
        <v>673</v>
      </c>
      <c r="F38" s="118">
        <v>2.7E-2</v>
      </c>
      <c r="G38" s="118">
        <v>1.5162E-2</v>
      </c>
      <c r="H38" s="63">
        <v>4</v>
      </c>
    </row>
    <row r="39" spans="1:8" x14ac:dyDescent="0.25">
      <c r="A39" s="119" t="s">
        <v>722</v>
      </c>
      <c r="B39" s="118" t="s">
        <v>1006</v>
      </c>
      <c r="C39" s="63">
        <v>10</v>
      </c>
      <c r="D39" s="118" t="s">
        <v>797</v>
      </c>
      <c r="E39" s="118" t="s">
        <v>673</v>
      </c>
      <c r="F39" s="118">
        <v>0.03</v>
      </c>
      <c r="G39" s="118">
        <v>1.6067000000000001E-2</v>
      </c>
      <c r="H39" s="63">
        <v>4</v>
      </c>
    </row>
    <row r="40" spans="1:8" x14ac:dyDescent="0.25">
      <c r="A40" s="119" t="s">
        <v>723</v>
      </c>
      <c r="B40" s="118" t="s">
        <v>1005</v>
      </c>
      <c r="C40" s="63">
        <v>11</v>
      </c>
      <c r="D40" s="118" t="s">
        <v>797</v>
      </c>
      <c r="E40" s="118" t="s">
        <v>673</v>
      </c>
      <c r="F40" s="118">
        <v>2.9000000000000001E-2</v>
      </c>
      <c r="G40" s="118">
        <v>1.5741000000000002E-2</v>
      </c>
      <c r="H40" s="63">
        <v>4</v>
      </c>
    </row>
    <row r="41" spans="1:8" x14ac:dyDescent="0.25">
      <c r="A41" s="119" t="s">
        <v>724</v>
      </c>
      <c r="B41" s="118" t="s">
        <v>1002</v>
      </c>
      <c r="C41" s="63">
        <v>12</v>
      </c>
      <c r="D41" s="118" t="s">
        <v>797</v>
      </c>
      <c r="E41" s="118" t="s">
        <v>673</v>
      </c>
      <c r="F41" s="118">
        <v>2.1000000000000001E-2</v>
      </c>
      <c r="G41" s="118">
        <v>1.3270000000000001E-2</v>
      </c>
      <c r="H41" s="63">
        <v>4</v>
      </c>
    </row>
    <row r="42" spans="1:8" x14ac:dyDescent="0.25">
      <c r="A42" s="119" t="s">
        <v>725</v>
      </c>
      <c r="B42" s="118" t="s">
        <v>1001</v>
      </c>
      <c r="C42" s="63">
        <v>13</v>
      </c>
      <c r="D42" s="118" t="s">
        <v>797</v>
      </c>
      <c r="E42" s="118" t="s">
        <v>673</v>
      </c>
      <c r="F42" s="118">
        <v>0.16500000000000001</v>
      </c>
      <c r="G42" s="118">
        <v>5.7625000000000003E-2</v>
      </c>
      <c r="H42" s="63">
        <v>4</v>
      </c>
    </row>
    <row r="43" spans="1:8" x14ac:dyDescent="0.25">
      <c r="A43" s="122" t="s">
        <v>726</v>
      </c>
      <c r="B43" s="118" t="s">
        <v>984</v>
      </c>
      <c r="C43" s="63" t="str">
        <f>RIGHT(B43,1)</f>
        <v>5</v>
      </c>
      <c r="D43" s="118" t="s">
        <v>797</v>
      </c>
      <c r="E43" s="118" t="s">
        <v>673</v>
      </c>
      <c r="F43" s="118">
        <v>0.13</v>
      </c>
      <c r="G43" s="118">
        <v>4.6729E-2</v>
      </c>
      <c r="H43" s="63">
        <v>5</v>
      </c>
    </row>
    <row r="44" spans="1:8" x14ac:dyDescent="0.25">
      <c r="A44" s="122" t="s">
        <v>727</v>
      </c>
      <c r="B44" s="118" t="s">
        <v>981</v>
      </c>
      <c r="C44" s="63" t="str">
        <f>RIGHT(B44,1)</f>
        <v>6</v>
      </c>
      <c r="D44" s="118" t="s">
        <v>797</v>
      </c>
      <c r="E44" s="118" t="s">
        <v>673</v>
      </c>
      <c r="F44" s="118">
        <v>5.1999999999999998E-2</v>
      </c>
      <c r="G44" s="118">
        <v>2.2852999999999998E-2</v>
      </c>
      <c r="H44" s="63">
        <v>5</v>
      </c>
    </row>
    <row r="45" spans="1:8" x14ac:dyDescent="0.25">
      <c r="A45" s="122" t="s">
        <v>728</v>
      </c>
      <c r="B45" s="118" t="s">
        <v>799</v>
      </c>
      <c r="C45" s="63" t="str">
        <f>RIGHT(B45,1)</f>
        <v>8</v>
      </c>
      <c r="D45" s="118" t="s">
        <v>797</v>
      </c>
      <c r="E45" s="118" t="s">
        <v>673</v>
      </c>
      <c r="F45" s="118">
        <v>0.106</v>
      </c>
      <c r="G45" s="118">
        <v>3.9428999999999999E-2</v>
      </c>
      <c r="H45" s="63">
        <v>5</v>
      </c>
    </row>
    <row r="46" spans="1:8" x14ac:dyDescent="0.25">
      <c r="A46" s="122" t="s">
        <v>729</v>
      </c>
      <c r="B46" s="118" t="s">
        <v>800</v>
      </c>
      <c r="C46" s="63" t="str">
        <f>RIGHT(B46,1)</f>
        <v>9</v>
      </c>
      <c r="D46" s="118" t="s">
        <v>797</v>
      </c>
      <c r="E46" s="118" t="s">
        <v>673</v>
      </c>
      <c r="F46" s="118">
        <v>0.106</v>
      </c>
      <c r="G46" s="118">
        <v>3.9476999999999998E-2</v>
      </c>
      <c r="H46" s="63">
        <v>5</v>
      </c>
    </row>
    <row r="47" spans="1:8" x14ac:dyDescent="0.25">
      <c r="A47" s="122" t="s">
        <v>730</v>
      </c>
      <c r="B47" s="118" t="s">
        <v>983</v>
      </c>
      <c r="C47" s="63">
        <v>10</v>
      </c>
      <c r="D47" s="118" t="s">
        <v>797</v>
      </c>
      <c r="E47" s="118" t="s">
        <v>673</v>
      </c>
      <c r="F47" s="118">
        <v>0.10299999999999999</v>
      </c>
      <c r="G47" s="118">
        <v>3.8670000000000003E-2</v>
      </c>
      <c r="H47" s="63">
        <v>5</v>
      </c>
    </row>
    <row r="48" spans="1:8" x14ac:dyDescent="0.25">
      <c r="A48" s="122" t="s">
        <v>731</v>
      </c>
      <c r="B48" s="118" t="s">
        <v>982</v>
      </c>
      <c r="C48" s="63">
        <v>11</v>
      </c>
      <c r="D48" s="118" t="s">
        <v>797</v>
      </c>
      <c r="E48" s="118" t="s">
        <v>673</v>
      </c>
      <c r="F48" s="118">
        <v>0.12</v>
      </c>
      <c r="G48" s="118">
        <v>4.3677000000000001E-2</v>
      </c>
      <c r="H48" s="63">
        <v>5</v>
      </c>
    </row>
    <row r="49" spans="1:8" x14ac:dyDescent="0.25">
      <c r="A49" s="122" t="s">
        <v>732</v>
      </c>
      <c r="B49" s="118" t="s">
        <v>985</v>
      </c>
      <c r="C49" s="63">
        <v>12</v>
      </c>
      <c r="D49" s="118" t="s">
        <v>797</v>
      </c>
      <c r="E49" s="118" t="s">
        <v>673</v>
      </c>
      <c r="F49" s="118">
        <v>9.4E-2</v>
      </c>
      <c r="G49" s="118">
        <v>3.5808E-2</v>
      </c>
      <c r="H49" s="63">
        <v>5</v>
      </c>
    </row>
    <row r="50" spans="1:8" x14ac:dyDescent="0.25">
      <c r="A50" s="122" t="s">
        <v>733</v>
      </c>
      <c r="B50" s="118" t="s">
        <v>801</v>
      </c>
      <c r="C50" s="63">
        <v>14</v>
      </c>
      <c r="D50" s="118" t="s">
        <v>797</v>
      </c>
      <c r="E50" s="118" t="s">
        <v>673</v>
      </c>
      <c r="F50" s="118">
        <v>0.11</v>
      </c>
      <c r="G50" s="118">
        <v>4.0744000000000002E-2</v>
      </c>
      <c r="H50" s="63">
        <v>5</v>
      </c>
    </row>
    <row r="51" spans="1:8" x14ac:dyDescent="0.25">
      <c r="A51" s="122" t="s">
        <v>734</v>
      </c>
      <c r="B51" s="118" t="s">
        <v>980</v>
      </c>
      <c r="C51" s="63">
        <v>15</v>
      </c>
      <c r="D51" s="118" t="s">
        <v>797</v>
      </c>
      <c r="E51" s="118" t="s">
        <v>673</v>
      </c>
      <c r="F51" s="118">
        <v>0.108</v>
      </c>
      <c r="G51" s="118">
        <v>3.9999E-2</v>
      </c>
      <c r="H51" s="63">
        <v>5</v>
      </c>
    </row>
    <row r="52" spans="1:8" x14ac:dyDescent="0.25">
      <c r="A52" s="122" t="s">
        <v>735</v>
      </c>
      <c r="B52" s="118" t="s">
        <v>798</v>
      </c>
      <c r="C52" s="63">
        <v>16</v>
      </c>
      <c r="D52" s="118" t="s">
        <v>797</v>
      </c>
      <c r="E52" s="118" t="s">
        <v>673</v>
      </c>
      <c r="F52" s="118">
        <v>9.0999999999999998E-2</v>
      </c>
      <c r="G52" s="118">
        <v>3.4765999999999998E-2</v>
      </c>
      <c r="H52" s="63">
        <v>5</v>
      </c>
    </row>
    <row r="53" spans="1:8" x14ac:dyDescent="0.25">
      <c r="A53" s="119" t="s">
        <v>736</v>
      </c>
      <c r="B53" s="118" t="s">
        <v>1018</v>
      </c>
      <c r="C53" s="63">
        <v>1</v>
      </c>
      <c r="D53" s="118" t="s">
        <v>797</v>
      </c>
      <c r="E53" s="118" t="s">
        <v>673</v>
      </c>
      <c r="F53" s="118">
        <v>5.2999999999999999E-2</v>
      </c>
      <c r="G53" s="118">
        <v>2.3061999999999999E-2</v>
      </c>
      <c r="H53" s="63">
        <v>6</v>
      </c>
    </row>
    <row r="54" spans="1:8" x14ac:dyDescent="0.25">
      <c r="A54" s="119" t="s">
        <v>737</v>
      </c>
      <c r="B54" s="118" t="s">
        <v>831</v>
      </c>
      <c r="C54" s="63" t="str">
        <f t="shared" ref="C54:C61" si="3">RIGHT(B54,1)</f>
        <v>2</v>
      </c>
      <c r="D54" s="118" t="s">
        <v>797</v>
      </c>
      <c r="E54" s="118" t="s">
        <v>673</v>
      </c>
      <c r="F54" s="118">
        <v>0.09</v>
      </c>
      <c r="G54" s="118">
        <v>3.4585999999999999E-2</v>
      </c>
      <c r="H54" s="63">
        <v>6</v>
      </c>
    </row>
    <row r="55" spans="1:8" x14ac:dyDescent="0.25">
      <c r="A55" s="119" t="s">
        <v>738</v>
      </c>
      <c r="B55" s="118" t="s">
        <v>829</v>
      </c>
      <c r="C55" s="63" t="str">
        <f t="shared" si="3"/>
        <v>3</v>
      </c>
      <c r="D55" s="118" t="s">
        <v>797</v>
      </c>
      <c r="E55" s="118" t="s">
        <v>673</v>
      </c>
      <c r="F55" s="118">
        <v>0.11</v>
      </c>
      <c r="G55" s="118">
        <v>4.0682999999999997E-2</v>
      </c>
      <c r="H55" s="63">
        <v>6</v>
      </c>
    </row>
    <row r="56" spans="1:8" x14ac:dyDescent="0.25">
      <c r="A56" s="119" t="s">
        <v>739</v>
      </c>
      <c r="B56" s="118" t="s">
        <v>839</v>
      </c>
      <c r="C56" s="63" t="str">
        <f t="shared" si="3"/>
        <v>4</v>
      </c>
      <c r="D56" s="118" t="s">
        <v>797</v>
      </c>
      <c r="E56" s="118" t="s">
        <v>673</v>
      </c>
      <c r="F56" s="118">
        <v>0.24199999999999999</v>
      </c>
      <c r="G56" s="118">
        <v>8.1478999999999996E-2</v>
      </c>
      <c r="H56" s="63">
        <v>6</v>
      </c>
    </row>
    <row r="57" spans="1:8" x14ac:dyDescent="0.25">
      <c r="A57" s="119" t="s">
        <v>740</v>
      </c>
      <c r="B57" s="118" t="s">
        <v>838</v>
      </c>
      <c r="C57" s="63" t="str">
        <f t="shared" si="3"/>
        <v>5</v>
      </c>
      <c r="D57" s="118" t="s">
        <v>797</v>
      </c>
      <c r="E57" s="118" t="s">
        <v>673</v>
      </c>
      <c r="F57" s="118">
        <v>0.17699999999999999</v>
      </c>
      <c r="G57" s="118">
        <v>6.1365000000000003E-2</v>
      </c>
      <c r="H57" s="63">
        <v>6</v>
      </c>
    </row>
    <row r="58" spans="1:8" x14ac:dyDescent="0.25">
      <c r="A58" s="119" t="s">
        <v>741</v>
      </c>
      <c r="B58" s="118" t="s">
        <v>835</v>
      </c>
      <c r="C58" s="63" t="str">
        <f t="shared" si="3"/>
        <v>6</v>
      </c>
      <c r="D58" s="118" t="s">
        <v>797</v>
      </c>
      <c r="E58" s="118" t="s">
        <v>673</v>
      </c>
      <c r="F58" s="118">
        <v>0.29299999999999998</v>
      </c>
      <c r="G58" s="118">
        <v>9.6975000000000006E-2</v>
      </c>
      <c r="H58" s="63">
        <v>6</v>
      </c>
    </row>
    <row r="59" spans="1:8" x14ac:dyDescent="0.25">
      <c r="A59" s="119" t="s">
        <v>742</v>
      </c>
      <c r="B59" s="118" t="s">
        <v>833</v>
      </c>
      <c r="C59" s="63" t="str">
        <f t="shared" si="3"/>
        <v>7</v>
      </c>
      <c r="D59" s="118" t="s">
        <v>797</v>
      </c>
      <c r="E59" s="118" t="s">
        <v>673</v>
      </c>
      <c r="F59" s="118">
        <v>5.2999999999999999E-2</v>
      </c>
      <c r="G59" s="118">
        <v>2.3066E-2</v>
      </c>
      <c r="H59" s="63">
        <v>6</v>
      </c>
    </row>
    <row r="60" spans="1:8" x14ac:dyDescent="0.25">
      <c r="A60" s="119" t="s">
        <v>743</v>
      </c>
      <c r="B60" s="118" t="s">
        <v>841</v>
      </c>
      <c r="C60" s="63" t="str">
        <f t="shared" si="3"/>
        <v>8</v>
      </c>
      <c r="D60" s="118" t="s">
        <v>797</v>
      </c>
      <c r="E60" s="118" t="s">
        <v>673</v>
      </c>
      <c r="F60" s="118">
        <v>6.8000000000000005E-2</v>
      </c>
      <c r="G60" s="118">
        <v>2.7649E-2</v>
      </c>
      <c r="H60" s="63">
        <v>6</v>
      </c>
    </row>
    <row r="61" spans="1:8" x14ac:dyDescent="0.25">
      <c r="A61" s="119" t="s">
        <v>744</v>
      </c>
      <c r="B61" s="118" t="s">
        <v>840</v>
      </c>
      <c r="C61" s="63" t="str">
        <f t="shared" si="3"/>
        <v>9</v>
      </c>
      <c r="D61" s="118" t="s">
        <v>797</v>
      </c>
      <c r="E61" s="118" t="s">
        <v>673</v>
      </c>
      <c r="F61" s="118">
        <v>3.2000000000000001E-2</v>
      </c>
      <c r="G61" s="118">
        <v>1.6694000000000001E-2</v>
      </c>
      <c r="H61" s="63">
        <v>6</v>
      </c>
    </row>
    <row r="62" spans="1:8" x14ac:dyDescent="0.25">
      <c r="A62" s="119" t="s">
        <v>745</v>
      </c>
      <c r="B62" s="118" t="s">
        <v>830</v>
      </c>
      <c r="C62" s="63">
        <v>10</v>
      </c>
      <c r="D62" s="118" t="s">
        <v>797</v>
      </c>
      <c r="E62" s="118" t="s">
        <v>673</v>
      </c>
      <c r="F62" s="118">
        <v>0.05</v>
      </c>
      <c r="G62" s="118">
        <v>2.2200999999999999E-2</v>
      </c>
      <c r="H62" s="63">
        <v>6</v>
      </c>
    </row>
    <row r="63" spans="1:8" x14ac:dyDescent="0.25">
      <c r="A63" s="119" t="s">
        <v>746</v>
      </c>
      <c r="B63" s="118" t="s">
        <v>834</v>
      </c>
      <c r="C63" s="63">
        <v>11</v>
      </c>
      <c r="D63" s="118" t="s">
        <v>797</v>
      </c>
      <c r="E63" s="118" t="s">
        <v>673</v>
      </c>
      <c r="F63" s="118">
        <v>3.5000000000000003E-2</v>
      </c>
      <c r="G63" s="118">
        <v>1.7655000000000001E-2</v>
      </c>
      <c r="H63" s="63">
        <v>6</v>
      </c>
    </row>
    <row r="64" spans="1:8" x14ac:dyDescent="0.25">
      <c r="A64" s="119" t="s">
        <v>747</v>
      </c>
      <c r="B64" s="118" t="s">
        <v>837</v>
      </c>
      <c r="C64" s="63">
        <v>12</v>
      </c>
      <c r="D64" s="118" t="s">
        <v>797</v>
      </c>
      <c r="E64" s="118" t="s">
        <v>673</v>
      </c>
      <c r="F64" s="118">
        <v>3.2000000000000001E-2</v>
      </c>
      <c r="G64" s="118">
        <v>1.6695000000000002E-2</v>
      </c>
      <c r="H64" s="63">
        <v>6</v>
      </c>
    </row>
    <row r="65" spans="1:8" x14ac:dyDescent="0.25">
      <c r="A65" s="119" t="s">
        <v>748</v>
      </c>
      <c r="B65" s="118" t="s">
        <v>802</v>
      </c>
      <c r="C65" s="63">
        <v>13</v>
      </c>
      <c r="D65" s="118" t="s">
        <v>797</v>
      </c>
      <c r="E65" s="118" t="s">
        <v>673</v>
      </c>
      <c r="F65" s="118">
        <v>0.39600000000000002</v>
      </c>
      <c r="G65" s="118">
        <v>0.12875600000000001</v>
      </c>
      <c r="H65" s="63">
        <v>6</v>
      </c>
    </row>
    <row r="66" spans="1:8" x14ac:dyDescent="0.25">
      <c r="A66" s="119" t="s">
        <v>749</v>
      </c>
      <c r="B66" s="118" t="s">
        <v>836</v>
      </c>
      <c r="C66" s="63">
        <v>14</v>
      </c>
      <c r="D66" s="118" t="s">
        <v>797</v>
      </c>
      <c r="E66" s="118" t="s">
        <v>673</v>
      </c>
      <c r="F66" s="118">
        <v>3.5000000000000003E-2</v>
      </c>
      <c r="G66" s="118">
        <v>1.7496000000000001E-2</v>
      </c>
      <c r="H66" s="63">
        <v>6</v>
      </c>
    </row>
    <row r="67" spans="1:8" x14ac:dyDescent="0.25">
      <c r="A67" s="119" t="s">
        <v>750</v>
      </c>
      <c r="B67" s="118" t="s">
        <v>832</v>
      </c>
      <c r="C67" s="63">
        <v>15</v>
      </c>
      <c r="D67" s="118" t="s">
        <v>797</v>
      </c>
      <c r="E67" s="118" t="s">
        <v>673</v>
      </c>
      <c r="F67" s="118">
        <v>0.114</v>
      </c>
      <c r="G67" s="118">
        <v>4.2056000000000003E-2</v>
      </c>
      <c r="H67" s="63">
        <v>6</v>
      </c>
    </row>
    <row r="68" spans="1:8" x14ac:dyDescent="0.25">
      <c r="A68" s="119" t="s">
        <v>751</v>
      </c>
      <c r="B68" s="118" t="s">
        <v>828</v>
      </c>
      <c r="C68" s="63">
        <v>16</v>
      </c>
      <c r="D68" s="118" t="s">
        <v>797</v>
      </c>
      <c r="E68" s="118" t="s">
        <v>673</v>
      </c>
      <c r="F68" s="118">
        <v>0.314</v>
      </c>
      <c r="G68" s="118">
        <v>0.103671</v>
      </c>
      <c r="H68" s="63">
        <v>6</v>
      </c>
    </row>
    <row r="69" spans="1:8" x14ac:dyDescent="0.25">
      <c r="A69" s="124" t="s">
        <v>782</v>
      </c>
      <c r="B69" s="118" t="s">
        <v>852</v>
      </c>
      <c r="C69" s="63" t="str">
        <f t="shared" ref="C69:C77" si="4">RIGHT(B69,1)</f>
        <v>1</v>
      </c>
      <c r="D69" s="118" t="s">
        <v>797</v>
      </c>
      <c r="E69" s="118" t="s">
        <v>673</v>
      </c>
      <c r="F69" s="118">
        <v>6.3E-2</v>
      </c>
      <c r="G69" s="118">
        <v>2.6272E-2</v>
      </c>
      <c r="H69" s="63">
        <v>7</v>
      </c>
    </row>
    <row r="70" spans="1:8" x14ac:dyDescent="0.25">
      <c r="A70" s="124" t="s">
        <v>783</v>
      </c>
      <c r="B70" s="118" t="s">
        <v>853</v>
      </c>
      <c r="C70" s="63" t="str">
        <f t="shared" si="4"/>
        <v>2</v>
      </c>
      <c r="D70" s="118" t="s">
        <v>797</v>
      </c>
      <c r="E70" s="118" t="s">
        <v>673</v>
      </c>
      <c r="F70" s="118">
        <v>0.06</v>
      </c>
      <c r="G70" s="118">
        <v>2.5177000000000001E-2</v>
      </c>
      <c r="H70" s="63">
        <v>7</v>
      </c>
    </row>
    <row r="71" spans="1:8" x14ac:dyDescent="0.25">
      <c r="A71" s="124" t="s">
        <v>784</v>
      </c>
      <c r="B71" s="118" t="s">
        <v>854</v>
      </c>
      <c r="C71" s="63" t="str">
        <f t="shared" si="4"/>
        <v>3</v>
      </c>
      <c r="D71" s="118" t="s">
        <v>797</v>
      </c>
      <c r="E71" s="118" t="s">
        <v>673</v>
      </c>
      <c r="F71" s="118">
        <v>6.3E-2</v>
      </c>
      <c r="G71" s="118">
        <v>2.6123E-2</v>
      </c>
      <c r="H71" s="63">
        <v>7</v>
      </c>
    </row>
    <row r="72" spans="1:8" x14ac:dyDescent="0.25">
      <c r="A72" s="124" t="s">
        <v>785</v>
      </c>
      <c r="B72" s="118" t="s">
        <v>855</v>
      </c>
      <c r="C72" s="63" t="str">
        <f t="shared" si="4"/>
        <v>4</v>
      </c>
      <c r="D72" s="118" t="s">
        <v>797</v>
      </c>
      <c r="E72" s="118" t="s">
        <v>673</v>
      </c>
      <c r="F72" s="118">
        <v>5.7000000000000002E-2</v>
      </c>
      <c r="G72" s="118">
        <v>2.4417000000000001E-2</v>
      </c>
      <c r="H72" s="63">
        <v>7</v>
      </c>
    </row>
    <row r="73" spans="1:8" x14ac:dyDescent="0.25">
      <c r="A73" s="124" t="s">
        <v>786</v>
      </c>
      <c r="B73" s="118" t="s">
        <v>856</v>
      </c>
      <c r="C73" s="63" t="str">
        <f t="shared" si="4"/>
        <v>5</v>
      </c>
      <c r="D73" s="118" t="s">
        <v>797</v>
      </c>
      <c r="E73" s="118" t="s">
        <v>673</v>
      </c>
      <c r="F73" s="118">
        <v>7.0000000000000007E-2</v>
      </c>
      <c r="G73" s="118">
        <v>2.8421999999999999E-2</v>
      </c>
      <c r="H73" s="63">
        <v>7</v>
      </c>
    </row>
    <row r="74" spans="1:8" x14ac:dyDescent="0.25">
      <c r="A74" s="124" t="s">
        <v>787</v>
      </c>
      <c r="B74" s="118" t="s">
        <v>857</v>
      </c>
      <c r="C74" s="63" t="str">
        <f t="shared" si="4"/>
        <v>6</v>
      </c>
      <c r="D74" s="118" t="s">
        <v>797</v>
      </c>
      <c r="E74" s="118" t="s">
        <v>673</v>
      </c>
      <c r="F74" s="118">
        <v>0.17</v>
      </c>
      <c r="G74" s="118">
        <v>5.9062000000000003E-2</v>
      </c>
      <c r="H74" s="63">
        <v>7</v>
      </c>
    </row>
    <row r="75" spans="1:8" x14ac:dyDescent="0.25">
      <c r="A75" s="124" t="s">
        <v>788</v>
      </c>
      <c r="B75" s="118" t="s">
        <v>858</v>
      </c>
      <c r="C75" s="63" t="str">
        <f t="shared" si="4"/>
        <v>7</v>
      </c>
      <c r="D75" s="118" t="s">
        <v>797</v>
      </c>
      <c r="E75" s="118" t="s">
        <v>673</v>
      </c>
      <c r="F75" s="118">
        <v>6.8000000000000005E-2</v>
      </c>
      <c r="G75" s="118">
        <v>2.7656E-2</v>
      </c>
      <c r="H75" s="63">
        <v>7</v>
      </c>
    </row>
    <row r="76" spans="1:8" x14ac:dyDescent="0.25">
      <c r="A76" s="124" t="s">
        <v>789</v>
      </c>
      <c r="B76" s="118" t="s">
        <v>859</v>
      </c>
      <c r="C76" s="63" t="str">
        <f t="shared" si="4"/>
        <v>8</v>
      </c>
      <c r="D76" s="118" t="s">
        <v>797</v>
      </c>
      <c r="E76" s="118" t="s">
        <v>673</v>
      </c>
      <c r="F76" s="118">
        <v>4.9000000000000002E-2</v>
      </c>
      <c r="G76" s="118">
        <v>2.1847999999999999E-2</v>
      </c>
      <c r="H76" s="63">
        <v>7</v>
      </c>
    </row>
    <row r="77" spans="1:8" x14ac:dyDescent="0.25">
      <c r="A77" s="124" t="s">
        <v>790</v>
      </c>
      <c r="B77" s="118" t="s">
        <v>860</v>
      </c>
      <c r="C77" s="63" t="str">
        <f t="shared" si="4"/>
        <v>9</v>
      </c>
      <c r="D77" s="118" t="s">
        <v>797</v>
      </c>
      <c r="E77" s="118" t="s">
        <v>673</v>
      </c>
      <c r="F77" s="118">
        <v>3.2000000000000001E-2</v>
      </c>
      <c r="G77" s="118">
        <v>1.6514000000000001E-2</v>
      </c>
      <c r="H77" s="63">
        <v>7</v>
      </c>
    </row>
    <row r="78" spans="1:8" x14ac:dyDescent="0.25">
      <c r="A78" s="124" t="s">
        <v>791</v>
      </c>
      <c r="B78" s="118" t="s">
        <v>861</v>
      </c>
      <c r="C78" s="63">
        <v>10</v>
      </c>
      <c r="D78" s="118" t="s">
        <v>797</v>
      </c>
      <c r="E78" s="118" t="s">
        <v>673</v>
      </c>
      <c r="F78" s="118">
        <v>5.8000000000000003E-2</v>
      </c>
      <c r="G78" s="118">
        <v>2.4570000000000002E-2</v>
      </c>
      <c r="H78" s="63">
        <v>7</v>
      </c>
    </row>
    <row r="79" spans="1:8" x14ac:dyDescent="0.25">
      <c r="A79" s="124" t="s">
        <v>792</v>
      </c>
      <c r="B79" s="118" t="s">
        <v>862</v>
      </c>
      <c r="C79" s="63">
        <v>11</v>
      </c>
      <c r="D79" s="118" t="s">
        <v>797</v>
      </c>
      <c r="E79" s="118" t="s">
        <v>673</v>
      </c>
      <c r="F79" s="118">
        <v>2.4E-2</v>
      </c>
      <c r="G79" s="118">
        <v>1.4260999999999999E-2</v>
      </c>
      <c r="H79" s="63">
        <v>7</v>
      </c>
    </row>
    <row r="80" spans="1:8" x14ac:dyDescent="0.25">
      <c r="A80" s="124" t="s">
        <v>793</v>
      </c>
      <c r="B80" s="118" t="s">
        <v>863</v>
      </c>
      <c r="C80" s="63">
        <v>12</v>
      </c>
      <c r="D80" s="118" t="s">
        <v>797</v>
      </c>
      <c r="E80" s="118" t="s">
        <v>673</v>
      </c>
      <c r="F80" s="118">
        <v>2.3E-2</v>
      </c>
      <c r="G80" s="118">
        <v>1.3794000000000001E-2</v>
      </c>
      <c r="H80" s="63">
        <v>7</v>
      </c>
    </row>
    <row r="81" spans="1:8" x14ac:dyDescent="0.25">
      <c r="A81" s="124" t="s">
        <v>794</v>
      </c>
      <c r="B81" s="118" t="s">
        <v>864</v>
      </c>
      <c r="C81" s="63">
        <v>13</v>
      </c>
      <c r="D81" s="118" t="s">
        <v>797</v>
      </c>
      <c r="E81" s="118" t="s">
        <v>673</v>
      </c>
      <c r="F81" s="118">
        <v>0.11600000000000001</v>
      </c>
      <c r="G81" s="118">
        <v>4.2487999999999998E-2</v>
      </c>
      <c r="H81" s="63">
        <v>7</v>
      </c>
    </row>
    <row r="82" spans="1:8" x14ac:dyDescent="0.25">
      <c r="A82" s="124" t="s">
        <v>795</v>
      </c>
      <c r="B82" s="118" t="s">
        <v>865</v>
      </c>
      <c r="C82" s="63">
        <v>15</v>
      </c>
      <c r="D82" s="118" t="s">
        <v>797</v>
      </c>
      <c r="E82" s="118" t="s">
        <v>673</v>
      </c>
      <c r="F82" s="118">
        <v>6.7000000000000004E-2</v>
      </c>
      <c r="G82" s="118">
        <v>2.7452000000000001E-2</v>
      </c>
      <c r="H82" s="63">
        <v>7</v>
      </c>
    </row>
    <row r="83" spans="1:8" x14ac:dyDescent="0.25">
      <c r="A83" s="124" t="s">
        <v>796</v>
      </c>
      <c r="B83" s="118" t="s">
        <v>866</v>
      </c>
      <c r="C83" s="63">
        <v>17</v>
      </c>
      <c r="D83" s="118" t="s">
        <v>797</v>
      </c>
      <c r="E83" s="118" t="s">
        <v>673</v>
      </c>
      <c r="F83" s="118">
        <v>0.128</v>
      </c>
      <c r="G83" s="118">
        <v>4.6200999999999999E-2</v>
      </c>
      <c r="H83" s="63">
        <v>7</v>
      </c>
    </row>
    <row r="84" spans="1:8" x14ac:dyDescent="0.25">
      <c r="A84" s="123" t="s">
        <v>752</v>
      </c>
      <c r="B84" s="118" t="s">
        <v>827</v>
      </c>
      <c r="C84" s="63" t="str">
        <f t="shared" ref="C84:C92" si="5">RIGHT(B84,1)</f>
        <v>1</v>
      </c>
      <c r="D84" s="118" t="s">
        <v>797</v>
      </c>
      <c r="E84" s="118" t="s">
        <v>673</v>
      </c>
      <c r="F84" s="118">
        <v>5.8999999999999997E-2</v>
      </c>
      <c r="G84" s="118">
        <v>2.4938999999999999E-2</v>
      </c>
      <c r="H84" s="63">
        <v>8</v>
      </c>
    </row>
    <row r="85" spans="1:8" x14ac:dyDescent="0.25">
      <c r="A85" s="123" t="s">
        <v>753</v>
      </c>
      <c r="B85" s="118" t="s">
        <v>813</v>
      </c>
      <c r="C85" s="63" t="str">
        <f t="shared" si="5"/>
        <v>1</v>
      </c>
      <c r="D85" s="118" t="s">
        <v>797</v>
      </c>
      <c r="E85" s="118" t="s">
        <v>673</v>
      </c>
      <c r="F85" s="118">
        <v>6.7000000000000004E-2</v>
      </c>
      <c r="G85" s="118">
        <v>2.734E-2</v>
      </c>
      <c r="H85" s="63">
        <v>8</v>
      </c>
    </row>
    <row r="86" spans="1:8" x14ac:dyDescent="0.25">
      <c r="A86" s="123" t="s">
        <v>754</v>
      </c>
      <c r="B86" s="118" t="s">
        <v>820</v>
      </c>
      <c r="C86" s="63" t="str">
        <f t="shared" si="5"/>
        <v>2</v>
      </c>
      <c r="D86" s="118" t="s">
        <v>797</v>
      </c>
      <c r="E86" s="118" t="s">
        <v>673</v>
      </c>
      <c r="F86" s="118">
        <v>5.8999999999999997E-2</v>
      </c>
      <c r="G86" s="118">
        <v>2.4996000000000001E-2</v>
      </c>
      <c r="H86" s="63">
        <v>8</v>
      </c>
    </row>
    <row r="87" spans="1:8" x14ac:dyDescent="0.25">
      <c r="A87" s="123" t="s">
        <v>755</v>
      </c>
      <c r="B87" s="118" t="s">
        <v>823</v>
      </c>
      <c r="C87" s="63" t="str">
        <f t="shared" si="5"/>
        <v>3</v>
      </c>
      <c r="D87" s="118" t="s">
        <v>797</v>
      </c>
      <c r="E87" s="118" t="s">
        <v>673</v>
      </c>
      <c r="F87" s="118">
        <v>7.8E-2</v>
      </c>
      <c r="G87" s="118">
        <v>3.0845999999999998E-2</v>
      </c>
      <c r="H87" s="63">
        <v>8</v>
      </c>
    </row>
    <row r="88" spans="1:8" x14ac:dyDescent="0.25">
      <c r="A88" s="123" t="s">
        <v>756</v>
      </c>
      <c r="B88" s="118" t="s">
        <v>804</v>
      </c>
      <c r="C88" s="63" t="str">
        <f t="shared" si="5"/>
        <v>4</v>
      </c>
      <c r="D88" s="118" t="s">
        <v>797</v>
      </c>
      <c r="E88" s="118" t="s">
        <v>673</v>
      </c>
      <c r="F88" s="118">
        <v>9.5000000000000001E-2</v>
      </c>
      <c r="G88" s="118">
        <v>3.6222999999999998E-2</v>
      </c>
      <c r="H88" s="63">
        <v>8</v>
      </c>
    </row>
    <row r="89" spans="1:8" x14ac:dyDescent="0.25">
      <c r="A89" s="123" t="s">
        <v>757</v>
      </c>
      <c r="B89" s="118" t="s">
        <v>803</v>
      </c>
      <c r="C89" s="63" t="str">
        <f t="shared" si="5"/>
        <v>6</v>
      </c>
      <c r="D89" s="118" t="s">
        <v>797</v>
      </c>
      <c r="E89" s="118" t="s">
        <v>673</v>
      </c>
      <c r="F89" s="118">
        <v>0.129</v>
      </c>
      <c r="G89" s="118">
        <v>4.6542E-2</v>
      </c>
      <c r="H89" s="63">
        <v>8</v>
      </c>
    </row>
    <row r="90" spans="1:8" x14ac:dyDescent="0.25">
      <c r="A90" s="123" t="s">
        <v>758</v>
      </c>
      <c r="B90" s="118" t="s">
        <v>826</v>
      </c>
      <c r="C90" s="63" t="str">
        <f t="shared" si="5"/>
        <v>7</v>
      </c>
      <c r="D90" s="118" t="s">
        <v>797</v>
      </c>
      <c r="E90" s="118" t="s">
        <v>673</v>
      </c>
      <c r="F90" s="118">
        <v>4.2000000000000003E-2</v>
      </c>
      <c r="G90" s="118">
        <v>1.985E-2</v>
      </c>
      <c r="H90" s="63">
        <v>8</v>
      </c>
    </row>
    <row r="91" spans="1:8" x14ac:dyDescent="0.25">
      <c r="A91" s="123" t="s">
        <v>759</v>
      </c>
      <c r="B91" s="118" t="s">
        <v>819</v>
      </c>
      <c r="C91" s="63" t="str">
        <f t="shared" si="5"/>
        <v>8</v>
      </c>
      <c r="D91" s="118" t="s">
        <v>797</v>
      </c>
      <c r="E91" s="118" t="s">
        <v>673</v>
      </c>
      <c r="F91" s="118">
        <v>4.7E-2</v>
      </c>
      <c r="G91" s="118">
        <v>2.1291999999999998E-2</v>
      </c>
      <c r="H91" s="63">
        <v>8</v>
      </c>
    </row>
    <row r="92" spans="1:8" x14ac:dyDescent="0.25">
      <c r="A92" s="123" t="s">
        <v>760</v>
      </c>
      <c r="B92" s="118" t="s">
        <v>805</v>
      </c>
      <c r="C92" s="63" t="str">
        <f t="shared" si="5"/>
        <v>9</v>
      </c>
      <c r="D92" s="118" t="s">
        <v>797</v>
      </c>
      <c r="E92" s="118" t="s">
        <v>673</v>
      </c>
      <c r="F92" s="118">
        <v>4.7E-2</v>
      </c>
      <c r="G92" s="118">
        <v>2.1246999999999999E-2</v>
      </c>
      <c r="H92" s="63">
        <v>8</v>
      </c>
    </row>
    <row r="93" spans="1:8" x14ac:dyDescent="0.25">
      <c r="A93" s="123" t="s">
        <v>761</v>
      </c>
      <c r="B93" s="118" t="s">
        <v>821</v>
      </c>
      <c r="C93" s="63">
        <v>10</v>
      </c>
      <c r="D93" s="118" t="s">
        <v>797</v>
      </c>
      <c r="E93" s="118" t="s">
        <v>673</v>
      </c>
      <c r="F93" s="118">
        <v>4.3999999999999997E-2</v>
      </c>
      <c r="G93" s="118">
        <v>2.0374E-2</v>
      </c>
      <c r="H93" s="63">
        <v>8</v>
      </c>
    </row>
    <row r="94" spans="1:8" x14ac:dyDescent="0.25">
      <c r="A94" s="123" t="s">
        <v>762</v>
      </c>
      <c r="B94" s="118" t="s">
        <v>825</v>
      </c>
      <c r="C94" s="63">
        <v>11</v>
      </c>
      <c r="D94" s="118" t="s">
        <v>797</v>
      </c>
      <c r="E94" s="118" t="s">
        <v>673</v>
      </c>
      <c r="F94" s="118">
        <v>4.8000000000000001E-2</v>
      </c>
      <c r="G94" s="118">
        <v>2.1576999999999999E-2</v>
      </c>
      <c r="H94" s="63">
        <v>8</v>
      </c>
    </row>
    <row r="95" spans="1:8" x14ac:dyDescent="0.25">
      <c r="A95" s="123" t="s">
        <v>763</v>
      </c>
      <c r="B95" s="118" t="s">
        <v>824</v>
      </c>
      <c r="C95" s="63">
        <v>12</v>
      </c>
      <c r="D95" s="118" t="s">
        <v>797</v>
      </c>
      <c r="E95" s="118" t="s">
        <v>673</v>
      </c>
      <c r="F95" s="118">
        <v>6.4000000000000001E-2</v>
      </c>
      <c r="G95" s="118">
        <v>2.6498000000000001E-2</v>
      </c>
      <c r="H95" s="63">
        <v>8</v>
      </c>
    </row>
    <row r="96" spans="1:8" x14ac:dyDescent="0.25">
      <c r="A96" s="123" t="s">
        <v>764</v>
      </c>
      <c r="B96" s="118" t="s">
        <v>822</v>
      </c>
      <c r="C96" s="63">
        <v>13</v>
      </c>
      <c r="D96" s="118" t="s">
        <v>797</v>
      </c>
      <c r="E96" s="118" t="s">
        <v>673</v>
      </c>
      <c r="F96" s="118">
        <v>0.115</v>
      </c>
      <c r="G96" s="118">
        <v>4.2132000000000003E-2</v>
      </c>
      <c r="H96" s="63">
        <v>8</v>
      </c>
    </row>
    <row r="97" spans="1:8" x14ac:dyDescent="0.25">
      <c r="A97" s="119" t="s">
        <v>765</v>
      </c>
      <c r="B97" s="118" t="s">
        <v>810</v>
      </c>
      <c r="C97" s="63" t="str">
        <f t="shared" ref="C97:C105" si="6">RIGHT(B97,1)</f>
        <v>2</v>
      </c>
      <c r="D97" s="118" t="s">
        <v>797</v>
      </c>
      <c r="E97" s="118" t="s">
        <v>673</v>
      </c>
      <c r="F97" s="118">
        <v>0.11799999999999999</v>
      </c>
      <c r="G97" s="118">
        <v>4.3215999999999997E-2</v>
      </c>
      <c r="H97" s="63">
        <v>9</v>
      </c>
    </row>
    <row r="98" spans="1:8" x14ac:dyDescent="0.25">
      <c r="A98" s="119" t="s">
        <v>766</v>
      </c>
      <c r="B98" s="118" t="s">
        <v>808</v>
      </c>
      <c r="C98" s="63" t="str">
        <f t="shared" si="6"/>
        <v>3</v>
      </c>
      <c r="D98" s="118" t="s">
        <v>797</v>
      </c>
      <c r="E98" s="118" t="s">
        <v>673</v>
      </c>
      <c r="F98" s="118">
        <v>7.2999999999999995E-2</v>
      </c>
      <c r="G98" s="118">
        <v>2.9294000000000001E-2</v>
      </c>
      <c r="H98" s="63">
        <v>9</v>
      </c>
    </row>
    <row r="99" spans="1:8" x14ac:dyDescent="0.25">
      <c r="A99" s="119" t="s">
        <v>767</v>
      </c>
      <c r="B99" s="118" t="s">
        <v>817</v>
      </c>
      <c r="C99" s="63" t="str">
        <f t="shared" si="6"/>
        <v>4</v>
      </c>
      <c r="D99" s="118" t="s">
        <v>797</v>
      </c>
      <c r="E99" s="118" t="s">
        <v>673</v>
      </c>
      <c r="F99" s="118">
        <v>7.0000000000000007E-2</v>
      </c>
      <c r="G99" s="118">
        <v>2.8426E-2</v>
      </c>
      <c r="H99" s="63">
        <v>9</v>
      </c>
    </row>
    <row r="100" spans="1:8" x14ac:dyDescent="0.25">
      <c r="A100" s="119" t="s">
        <v>768</v>
      </c>
      <c r="B100" s="118" t="s">
        <v>806</v>
      </c>
      <c r="C100" s="63" t="str">
        <f t="shared" si="6"/>
        <v>5</v>
      </c>
      <c r="D100" s="118" t="s">
        <v>797</v>
      </c>
      <c r="E100" s="118" t="s">
        <v>673</v>
      </c>
      <c r="F100" s="118">
        <v>0.11700000000000001</v>
      </c>
      <c r="G100" s="118">
        <v>4.2762000000000001E-2</v>
      </c>
      <c r="H100" s="63">
        <v>9</v>
      </c>
    </row>
    <row r="101" spans="1:8" x14ac:dyDescent="0.25">
      <c r="A101" s="119" t="s">
        <v>769</v>
      </c>
      <c r="B101" s="118" t="s">
        <v>806</v>
      </c>
      <c r="C101" s="63" t="str">
        <f t="shared" si="6"/>
        <v>5</v>
      </c>
      <c r="D101" s="118" t="s">
        <v>797</v>
      </c>
      <c r="E101" s="118" t="s">
        <v>673</v>
      </c>
      <c r="F101" s="118">
        <v>0.112</v>
      </c>
      <c r="G101" s="118">
        <v>4.1291000000000001E-2</v>
      </c>
      <c r="H101" s="63">
        <v>9</v>
      </c>
    </row>
    <row r="102" spans="1:8" x14ac:dyDescent="0.25">
      <c r="A102" s="119" t="s">
        <v>770</v>
      </c>
      <c r="B102" s="118" t="s">
        <v>812</v>
      </c>
      <c r="C102" s="63" t="str">
        <f t="shared" si="6"/>
        <v>6</v>
      </c>
      <c r="D102" s="118" t="s">
        <v>797</v>
      </c>
      <c r="E102" s="118" t="s">
        <v>673</v>
      </c>
      <c r="F102" s="118">
        <v>0.121</v>
      </c>
      <c r="G102" s="118">
        <v>4.4054000000000003E-2</v>
      </c>
      <c r="H102" s="63">
        <v>9</v>
      </c>
    </row>
    <row r="103" spans="1:8" x14ac:dyDescent="0.25">
      <c r="A103" s="119" t="s">
        <v>771</v>
      </c>
      <c r="B103" s="118" t="s">
        <v>818</v>
      </c>
      <c r="C103" s="63" t="str">
        <f t="shared" si="6"/>
        <v>7</v>
      </c>
      <c r="D103" s="118" t="s">
        <v>797</v>
      </c>
      <c r="E103" s="118" t="s">
        <v>673</v>
      </c>
      <c r="F103" s="118">
        <v>4.8000000000000001E-2</v>
      </c>
      <c r="G103" s="118">
        <v>2.1510000000000001E-2</v>
      </c>
      <c r="H103" s="63">
        <v>9</v>
      </c>
    </row>
    <row r="104" spans="1:8" x14ac:dyDescent="0.25">
      <c r="A104" s="119" t="s">
        <v>772</v>
      </c>
      <c r="B104" s="118" t="s">
        <v>811</v>
      </c>
      <c r="C104" s="63" t="str">
        <f t="shared" si="6"/>
        <v>8</v>
      </c>
      <c r="D104" s="118" t="s">
        <v>797</v>
      </c>
      <c r="E104" s="118" t="s">
        <v>673</v>
      </c>
      <c r="F104" s="118">
        <v>0.04</v>
      </c>
      <c r="G104" s="118">
        <v>1.9071000000000001E-2</v>
      </c>
      <c r="H104" s="63">
        <v>9</v>
      </c>
    </row>
    <row r="105" spans="1:8" x14ac:dyDescent="0.25">
      <c r="A105" s="119" t="s">
        <v>773</v>
      </c>
      <c r="B105" s="118" t="s">
        <v>816</v>
      </c>
      <c r="C105" s="63" t="str">
        <f t="shared" si="6"/>
        <v>9</v>
      </c>
      <c r="D105" s="118" t="s">
        <v>797</v>
      </c>
      <c r="E105" s="118" t="s">
        <v>673</v>
      </c>
      <c r="F105" s="118">
        <v>4.2000000000000003E-2</v>
      </c>
      <c r="G105" s="118">
        <v>1.9665999999999999E-2</v>
      </c>
      <c r="H105" s="63">
        <v>9</v>
      </c>
    </row>
    <row r="106" spans="1:8" x14ac:dyDescent="0.25">
      <c r="A106" s="119" t="s">
        <v>774</v>
      </c>
      <c r="B106" s="118" t="s">
        <v>814</v>
      </c>
      <c r="C106" s="63">
        <v>10</v>
      </c>
      <c r="D106" s="118" t="s">
        <v>797</v>
      </c>
      <c r="E106" s="118" t="s">
        <v>673</v>
      </c>
      <c r="F106" s="118">
        <v>3.7999999999999999E-2</v>
      </c>
      <c r="G106" s="118">
        <v>1.8544999999999999E-2</v>
      </c>
      <c r="H106" s="63">
        <v>9</v>
      </c>
    </row>
    <row r="107" spans="1:8" x14ac:dyDescent="0.25">
      <c r="A107" s="119" t="s">
        <v>775</v>
      </c>
      <c r="B107" s="118" t="s">
        <v>809</v>
      </c>
      <c r="C107" s="63">
        <v>11</v>
      </c>
      <c r="D107" s="118" t="s">
        <v>797</v>
      </c>
      <c r="E107" s="118" t="s">
        <v>673</v>
      </c>
      <c r="F107" s="118">
        <v>4.2000000000000003E-2</v>
      </c>
      <c r="G107" s="118">
        <v>1.9665999999999999E-2</v>
      </c>
      <c r="H107" s="63">
        <v>9</v>
      </c>
    </row>
    <row r="108" spans="1:8" x14ac:dyDescent="0.25">
      <c r="A108" s="119" t="s">
        <v>776</v>
      </c>
      <c r="B108" s="118" t="s">
        <v>815</v>
      </c>
      <c r="C108" s="63">
        <v>12</v>
      </c>
      <c r="D108" s="118" t="s">
        <v>797</v>
      </c>
      <c r="E108" s="118" t="s">
        <v>673</v>
      </c>
      <c r="F108" s="118">
        <v>4.4999999999999998E-2</v>
      </c>
      <c r="G108" s="118">
        <v>2.0618999999999998E-2</v>
      </c>
      <c r="H108" s="63">
        <v>9</v>
      </c>
    </row>
    <row r="109" spans="1:8" x14ac:dyDescent="0.25">
      <c r="A109" s="119" t="s">
        <v>777</v>
      </c>
      <c r="B109" s="118" t="s">
        <v>807</v>
      </c>
      <c r="C109" s="63">
        <v>13</v>
      </c>
      <c r="D109" s="118" t="s">
        <v>797</v>
      </c>
      <c r="E109" s="118" t="s">
        <v>673</v>
      </c>
      <c r="F109" s="118">
        <v>0.111</v>
      </c>
      <c r="G109" s="118">
        <v>4.0889000000000002E-2</v>
      </c>
      <c r="H109" s="63">
        <v>9</v>
      </c>
    </row>
  </sheetData>
  <sortState xmlns:xlrd2="http://schemas.microsoft.com/office/spreadsheetml/2017/richdata2" ref="B2:H109">
    <sortCondition ref="H2:H109"/>
    <sortCondition ref="C2:C109"/>
  </sortSt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B591F8-691E-4362-8B13-772786BE50C2}">
  <dimension ref="A7:T23"/>
  <sheetViews>
    <sheetView workbookViewId="0">
      <selection activeCell="K25" sqref="K25"/>
    </sheetView>
  </sheetViews>
  <sheetFormatPr defaultRowHeight="15" x14ac:dyDescent="0.25"/>
  <cols>
    <col min="1" max="2" width="9.140625" style="118"/>
  </cols>
  <sheetData>
    <row r="7" spans="1:20" x14ac:dyDescent="0.25">
      <c r="A7" s="118" t="s">
        <v>1014</v>
      </c>
      <c r="B7" s="118" t="s">
        <v>1015</v>
      </c>
      <c r="M7" s="201" t="s">
        <v>1017</v>
      </c>
      <c r="N7" s="201"/>
      <c r="O7" s="201"/>
      <c r="P7" s="201"/>
      <c r="Q7" s="201"/>
      <c r="R7" s="201"/>
      <c r="S7" s="201"/>
      <c r="T7" s="201"/>
    </row>
    <row r="8" spans="1:20" x14ac:dyDescent="0.25">
      <c r="A8" s="118">
        <v>1</v>
      </c>
      <c r="B8" s="118">
        <v>13</v>
      </c>
      <c r="C8" s="63" t="s">
        <v>802</v>
      </c>
      <c r="D8" s="63" t="s">
        <v>797</v>
      </c>
      <c r="E8" s="63" t="s">
        <v>673</v>
      </c>
      <c r="F8" s="63">
        <v>0.39600000000000002</v>
      </c>
      <c r="G8" s="63">
        <v>0.12875600000000001</v>
      </c>
      <c r="H8" s="137">
        <v>45930.415937500002</v>
      </c>
      <c r="I8" s="63">
        <v>1</v>
      </c>
      <c r="J8" s="63">
        <v>1</v>
      </c>
      <c r="L8" s="118"/>
      <c r="M8" s="201"/>
      <c r="N8" s="201"/>
      <c r="O8" s="201"/>
      <c r="P8" s="201"/>
      <c r="Q8" s="201"/>
      <c r="R8" s="201"/>
      <c r="S8" s="201"/>
      <c r="T8" s="201"/>
    </row>
    <row r="9" spans="1:20" x14ac:dyDescent="0.25">
      <c r="A9" s="118">
        <v>2</v>
      </c>
      <c r="B9" s="118">
        <v>13</v>
      </c>
      <c r="C9" s="63" t="s">
        <v>802</v>
      </c>
      <c r="D9" s="63" t="s">
        <v>797</v>
      </c>
      <c r="E9" s="63" t="s">
        <v>673</v>
      </c>
      <c r="F9" s="63">
        <v>5.2999999999999999E-2</v>
      </c>
      <c r="G9" s="63">
        <v>2.3061999999999999E-2</v>
      </c>
      <c r="H9" s="137">
        <v>45930.444282407407</v>
      </c>
      <c r="I9" s="63">
        <v>1</v>
      </c>
      <c r="J9" s="63">
        <v>1</v>
      </c>
      <c r="K9" t="s">
        <v>1016</v>
      </c>
      <c r="L9" s="118"/>
      <c r="M9" s="201"/>
      <c r="N9" s="201"/>
      <c r="O9" s="201"/>
      <c r="P9" s="201"/>
      <c r="Q9" s="201"/>
      <c r="R9" s="201"/>
      <c r="S9" s="201"/>
      <c r="T9" s="201"/>
    </row>
    <row r="10" spans="1:20" x14ac:dyDescent="0.25">
      <c r="A10" s="118">
        <v>3</v>
      </c>
      <c r="B10" s="118">
        <v>16</v>
      </c>
      <c r="C10" s="63" t="s">
        <v>828</v>
      </c>
      <c r="D10" s="63" t="s">
        <v>797</v>
      </c>
      <c r="E10" s="63" t="s">
        <v>673</v>
      </c>
      <c r="F10" s="63">
        <v>0.314</v>
      </c>
      <c r="G10" s="63">
        <v>0.103671</v>
      </c>
      <c r="H10" s="137">
        <v>45930.445196759261</v>
      </c>
      <c r="I10" s="63">
        <v>1</v>
      </c>
      <c r="J10" s="63">
        <v>1</v>
      </c>
      <c r="L10" s="118"/>
      <c r="M10" s="201"/>
      <c r="N10" s="201"/>
      <c r="O10" s="201"/>
      <c r="P10" s="201"/>
      <c r="Q10" s="201"/>
      <c r="R10" s="201"/>
      <c r="S10" s="201"/>
      <c r="T10" s="201"/>
    </row>
    <row r="11" spans="1:20" x14ac:dyDescent="0.25">
      <c r="A11" s="118">
        <v>4</v>
      </c>
      <c r="B11" s="118">
        <v>3</v>
      </c>
      <c r="C11" s="63" t="s">
        <v>829</v>
      </c>
      <c r="D11" s="63" t="s">
        <v>797</v>
      </c>
      <c r="E11" s="63" t="s">
        <v>673</v>
      </c>
      <c r="F11" s="63">
        <v>0.11</v>
      </c>
      <c r="G11" s="63">
        <v>4.0682999999999997E-2</v>
      </c>
      <c r="H11" s="137">
        <v>45930.446111111109</v>
      </c>
      <c r="I11" s="63">
        <v>1</v>
      </c>
      <c r="J11" s="63">
        <v>1</v>
      </c>
      <c r="L11" s="118"/>
      <c r="M11" s="201"/>
      <c r="N11" s="201"/>
      <c r="O11" s="201"/>
      <c r="P11" s="201"/>
      <c r="Q11" s="201"/>
      <c r="R11" s="201"/>
      <c r="S11" s="201"/>
      <c r="T11" s="201"/>
    </row>
    <row r="12" spans="1:20" x14ac:dyDescent="0.25">
      <c r="A12" s="118">
        <v>5</v>
      </c>
      <c r="B12" s="118">
        <v>10</v>
      </c>
      <c r="C12" s="63" t="s">
        <v>830</v>
      </c>
      <c r="D12" s="63" t="s">
        <v>797</v>
      </c>
      <c r="E12" s="63" t="s">
        <v>673</v>
      </c>
      <c r="F12" s="63">
        <v>0.05</v>
      </c>
      <c r="G12" s="63">
        <v>2.2200999999999999E-2</v>
      </c>
      <c r="H12" s="137">
        <v>45930.447048611109</v>
      </c>
      <c r="I12" s="63">
        <v>1</v>
      </c>
      <c r="J12" s="63">
        <v>1</v>
      </c>
      <c r="L12" s="118"/>
      <c r="M12" s="201"/>
      <c r="N12" s="201"/>
      <c r="O12" s="201"/>
      <c r="P12" s="201"/>
      <c r="Q12" s="201"/>
      <c r="R12" s="201"/>
      <c r="S12" s="201"/>
      <c r="T12" s="201"/>
    </row>
    <row r="13" spans="1:20" x14ac:dyDescent="0.25">
      <c r="A13" s="118">
        <v>6</v>
      </c>
      <c r="B13" s="118">
        <v>2</v>
      </c>
      <c r="C13" s="63" t="s">
        <v>831</v>
      </c>
      <c r="D13" s="63" t="s">
        <v>797</v>
      </c>
      <c r="E13" s="63" t="s">
        <v>673</v>
      </c>
      <c r="F13" s="63">
        <v>0.09</v>
      </c>
      <c r="G13" s="63">
        <v>3.4585999999999999E-2</v>
      </c>
      <c r="H13" s="137">
        <v>45930.447974537034</v>
      </c>
      <c r="I13" s="63">
        <v>1</v>
      </c>
      <c r="J13" s="63">
        <v>1</v>
      </c>
      <c r="L13" s="118"/>
      <c r="M13" s="201"/>
      <c r="N13" s="201"/>
      <c r="O13" s="201"/>
      <c r="P13" s="201"/>
      <c r="Q13" s="201"/>
      <c r="R13" s="201"/>
      <c r="S13" s="201"/>
      <c r="T13" s="201"/>
    </row>
    <row r="14" spans="1:20" x14ac:dyDescent="0.25">
      <c r="A14" s="118">
        <v>7</v>
      </c>
      <c r="B14" s="118">
        <v>15</v>
      </c>
      <c r="C14" s="63" t="s">
        <v>832</v>
      </c>
      <c r="D14" s="63" t="s">
        <v>797</v>
      </c>
      <c r="E14" s="63" t="s">
        <v>673</v>
      </c>
      <c r="F14" s="63">
        <v>0.114</v>
      </c>
      <c r="G14" s="63">
        <v>4.2056000000000003E-2</v>
      </c>
      <c r="H14" s="137">
        <v>45930.448888888888</v>
      </c>
      <c r="I14" s="63">
        <v>1</v>
      </c>
      <c r="J14" s="63">
        <v>1</v>
      </c>
      <c r="L14" s="118"/>
      <c r="M14" s="201"/>
      <c r="N14" s="201"/>
      <c r="O14" s="201"/>
      <c r="P14" s="201"/>
      <c r="Q14" s="201"/>
      <c r="R14" s="201"/>
      <c r="S14" s="201"/>
      <c r="T14" s="201"/>
    </row>
    <row r="15" spans="1:20" x14ac:dyDescent="0.25">
      <c r="A15" s="118">
        <v>8</v>
      </c>
      <c r="B15" s="118">
        <v>7</v>
      </c>
      <c r="C15" s="63" t="s">
        <v>833</v>
      </c>
      <c r="D15" s="63" t="s">
        <v>797</v>
      </c>
      <c r="E15" s="63" t="s">
        <v>673</v>
      </c>
      <c r="F15" s="63">
        <v>5.2999999999999999E-2</v>
      </c>
      <c r="G15" s="63">
        <v>2.3066E-2</v>
      </c>
      <c r="H15" s="137">
        <v>45930.449803240743</v>
      </c>
      <c r="I15" s="63">
        <v>1</v>
      </c>
      <c r="J15" s="63">
        <v>1</v>
      </c>
      <c r="L15" s="118"/>
      <c r="M15" s="201"/>
      <c r="N15" s="201"/>
      <c r="O15" s="201"/>
      <c r="P15" s="201"/>
      <c r="Q15" s="201"/>
      <c r="R15" s="201"/>
      <c r="S15" s="201"/>
      <c r="T15" s="201"/>
    </row>
    <row r="16" spans="1:20" x14ac:dyDescent="0.25">
      <c r="A16" s="118">
        <v>9</v>
      </c>
      <c r="B16" s="118">
        <v>11</v>
      </c>
      <c r="C16" s="63" t="s">
        <v>834</v>
      </c>
      <c r="D16" s="63" t="s">
        <v>797</v>
      </c>
      <c r="E16" s="63" t="s">
        <v>673</v>
      </c>
      <c r="F16" s="63">
        <v>3.5000000000000003E-2</v>
      </c>
      <c r="G16" s="63">
        <v>1.7655000000000001E-2</v>
      </c>
      <c r="H16" s="137">
        <v>45930.45071759259</v>
      </c>
      <c r="I16" s="63">
        <v>1</v>
      </c>
      <c r="J16" s="63">
        <v>1</v>
      </c>
      <c r="L16" s="118"/>
      <c r="M16" s="201"/>
      <c r="N16" s="201"/>
      <c r="O16" s="201"/>
      <c r="P16" s="201"/>
      <c r="Q16" s="201"/>
      <c r="R16" s="201"/>
      <c r="S16" s="201"/>
      <c r="T16" s="201"/>
    </row>
    <row r="17" spans="1:20" x14ac:dyDescent="0.25">
      <c r="A17" s="118">
        <v>10</v>
      </c>
      <c r="B17" s="118">
        <v>6</v>
      </c>
      <c r="C17" s="63" t="s">
        <v>835</v>
      </c>
      <c r="D17" s="63" t="s">
        <v>797</v>
      </c>
      <c r="E17" s="63" t="s">
        <v>673</v>
      </c>
      <c r="F17" s="63">
        <v>0.29299999999999998</v>
      </c>
      <c r="G17" s="63">
        <v>9.6975000000000006E-2</v>
      </c>
      <c r="H17" s="137">
        <v>45930.451631944445</v>
      </c>
      <c r="I17" s="63">
        <v>1</v>
      </c>
      <c r="J17" s="63">
        <v>1</v>
      </c>
      <c r="L17" s="118"/>
      <c r="M17" s="201"/>
      <c r="N17" s="201"/>
      <c r="O17" s="201"/>
      <c r="P17" s="201"/>
      <c r="Q17" s="201"/>
      <c r="R17" s="201"/>
      <c r="S17" s="201"/>
      <c r="T17" s="201"/>
    </row>
    <row r="18" spans="1:20" x14ac:dyDescent="0.25">
      <c r="A18" s="118">
        <v>11</v>
      </c>
      <c r="B18" s="118">
        <v>14</v>
      </c>
      <c r="C18" s="63" t="s">
        <v>836</v>
      </c>
      <c r="D18" s="63" t="s">
        <v>797</v>
      </c>
      <c r="E18" s="63" t="s">
        <v>673</v>
      </c>
      <c r="F18" s="63">
        <v>3.5000000000000003E-2</v>
      </c>
      <c r="G18" s="63">
        <v>1.7496000000000001E-2</v>
      </c>
      <c r="H18" s="137">
        <v>45930.452557870369</v>
      </c>
      <c r="I18" s="63">
        <v>1</v>
      </c>
      <c r="J18" s="63">
        <v>1</v>
      </c>
      <c r="L18" s="118"/>
      <c r="M18" s="201"/>
      <c r="N18" s="201"/>
      <c r="O18" s="201"/>
      <c r="P18" s="201"/>
      <c r="Q18" s="201"/>
      <c r="R18" s="201"/>
      <c r="S18" s="201"/>
      <c r="T18" s="201"/>
    </row>
    <row r="19" spans="1:20" x14ac:dyDescent="0.25">
      <c r="A19" s="118">
        <v>12</v>
      </c>
      <c r="B19" s="118">
        <v>12</v>
      </c>
      <c r="C19" s="63" t="s">
        <v>837</v>
      </c>
      <c r="D19" s="63" t="s">
        <v>797</v>
      </c>
      <c r="E19" s="63" t="s">
        <v>673</v>
      </c>
      <c r="F19" s="63">
        <v>3.2000000000000001E-2</v>
      </c>
      <c r="G19" s="63">
        <v>1.6695000000000002E-2</v>
      </c>
      <c r="H19" s="137">
        <v>45930.453472222223</v>
      </c>
      <c r="I19" s="63">
        <v>1</v>
      </c>
      <c r="J19" s="63">
        <v>1</v>
      </c>
      <c r="L19" s="118"/>
      <c r="M19" s="201"/>
      <c r="N19" s="201"/>
      <c r="O19" s="201"/>
      <c r="P19" s="201"/>
      <c r="Q19" s="201"/>
      <c r="R19" s="201"/>
      <c r="S19" s="201"/>
      <c r="T19" s="201"/>
    </row>
    <row r="20" spans="1:20" x14ac:dyDescent="0.25">
      <c r="A20" s="118">
        <v>13</v>
      </c>
      <c r="B20" s="118">
        <v>5</v>
      </c>
      <c r="C20" s="63" t="s">
        <v>838</v>
      </c>
      <c r="D20" s="63" t="s">
        <v>797</v>
      </c>
      <c r="E20" s="63" t="s">
        <v>673</v>
      </c>
      <c r="F20" s="63">
        <v>0.17699999999999999</v>
      </c>
      <c r="G20" s="63">
        <v>6.1365000000000003E-2</v>
      </c>
      <c r="H20" s="137">
        <v>45930.454386574071</v>
      </c>
      <c r="I20" s="63">
        <v>1</v>
      </c>
      <c r="J20" s="63">
        <v>1</v>
      </c>
      <c r="L20" s="118"/>
      <c r="M20" s="201"/>
      <c r="N20" s="201"/>
      <c r="O20" s="201"/>
      <c r="P20" s="201"/>
      <c r="Q20" s="201"/>
      <c r="R20" s="201"/>
      <c r="S20" s="201"/>
      <c r="T20" s="201"/>
    </row>
    <row r="21" spans="1:20" x14ac:dyDescent="0.25">
      <c r="A21" s="118">
        <v>14</v>
      </c>
      <c r="B21" s="118">
        <v>4</v>
      </c>
      <c r="C21" s="63" t="s">
        <v>839</v>
      </c>
      <c r="D21" s="63" t="s">
        <v>797</v>
      </c>
      <c r="E21" s="63" t="s">
        <v>673</v>
      </c>
      <c r="F21" s="63">
        <v>0.24199999999999999</v>
      </c>
      <c r="G21" s="63">
        <v>8.1478999999999996E-2</v>
      </c>
      <c r="H21" s="137">
        <v>45930.455312500002</v>
      </c>
      <c r="I21" s="63">
        <v>1</v>
      </c>
      <c r="J21" s="63">
        <v>1</v>
      </c>
      <c r="L21" s="118"/>
      <c r="M21" s="201"/>
      <c r="N21" s="201"/>
      <c r="O21" s="201"/>
      <c r="P21" s="201"/>
      <c r="Q21" s="201"/>
      <c r="R21" s="201"/>
      <c r="S21" s="201"/>
      <c r="T21" s="201"/>
    </row>
    <row r="22" spans="1:20" x14ac:dyDescent="0.25">
      <c r="A22" s="118">
        <v>15</v>
      </c>
      <c r="B22" s="118">
        <v>9</v>
      </c>
      <c r="C22" s="63" t="s">
        <v>840</v>
      </c>
      <c r="D22" s="63" t="s">
        <v>797</v>
      </c>
      <c r="E22" s="63" t="s">
        <v>673</v>
      </c>
      <c r="F22" s="63">
        <v>3.2000000000000001E-2</v>
      </c>
      <c r="G22" s="63">
        <v>1.6694000000000001E-2</v>
      </c>
      <c r="H22" s="137">
        <v>45930.456226851849</v>
      </c>
      <c r="I22" s="63">
        <v>1</v>
      </c>
      <c r="J22" s="63">
        <v>1</v>
      </c>
      <c r="L22" s="118"/>
      <c r="M22" s="201"/>
      <c r="N22" s="201"/>
      <c r="O22" s="201"/>
      <c r="P22" s="201"/>
      <c r="Q22" s="201"/>
      <c r="R22" s="201"/>
      <c r="S22" s="201"/>
      <c r="T22" s="201"/>
    </row>
    <row r="23" spans="1:20" x14ac:dyDescent="0.25">
      <c r="A23" s="118">
        <v>16</v>
      </c>
      <c r="B23" s="118">
        <v>8</v>
      </c>
      <c r="C23" s="63" t="s">
        <v>841</v>
      </c>
      <c r="D23" s="63" t="s">
        <v>797</v>
      </c>
      <c r="E23" s="63" t="s">
        <v>673</v>
      </c>
      <c r="F23" s="63">
        <v>6.8000000000000005E-2</v>
      </c>
      <c r="G23" s="63">
        <v>2.7649E-2</v>
      </c>
      <c r="H23" s="137">
        <v>45930.459016203706</v>
      </c>
      <c r="I23" s="63">
        <v>1</v>
      </c>
      <c r="J23" s="63">
        <v>1</v>
      </c>
      <c r="L23" s="118"/>
    </row>
  </sheetData>
  <sortState xmlns:xlrd2="http://schemas.microsoft.com/office/spreadsheetml/2017/richdata2" ref="L8:L23">
    <sortCondition ref="L8:L23"/>
  </sortState>
  <mergeCells count="1">
    <mergeCell ref="M7:T2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A01AC-1B2F-4E7E-B31C-2E49A408899B}">
  <dimension ref="A1:AA391"/>
  <sheetViews>
    <sheetView topLeftCell="A76" zoomScale="85" zoomScaleNormal="85" workbookViewId="0">
      <selection activeCell="V2" sqref="V2:V109"/>
    </sheetView>
  </sheetViews>
  <sheetFormatPr defaultRowHeight="15" x14ac:dyDescent="0.25"/>
  <cols>
    <col min="1" max="1" width="13.7109375" bestFit="1" customWidth="1"/>
    <col min="2" max="2" width="10.85546875" customWidth="1"/>
    <col min="6" max="6" width="14.85546875" bestFit="1" customWidth="1"/>
    <col min="22" max="22" width="18.42578125" bestFit="1" customWidth="1"/>
  </cols>
  <sheetData>
    <row r="1" spans="1:27" ht="30" x14ac:dyDescent="0.25">
      <c r="A1" s="118" t="s">
        <v>652</v>
      </c>
      <c r="B1" s="118" t="s">
        <v>653</v>
      </c>
      <c r="C1" s="118" t="s">
        <v>655</v>
      </c>
      <c r="D1" s="118" t="s">
        <v>654</v>
      </c>
      <c r="E1" s="118" t="s">
        <v>656</v>
      </c>
      <c r="F1" s="118" t="s">
        <v>657</v>
      </c>
      <c r="H1" s="118" t="s">
        <v>652</v>
      </c>
      <c r="I1" s="118" t="s">
        <v>653</v>
      </c>
      <c r="J1" s="118" t="s">
        <v>655</v>
      </c>
      <c r="K1" s="118" t="s">
        <v>654</v>
      </c>
      <c r="L1" s="118" t="s">
        <v>656</v>
      </c>
      <c r="M1" s="118" t="s">
        <v>657</v>
      </c>
      <c r="O1" s="118" t="s">
        <v>652</v>
      </c>
      <c r="P1" s="118" t="s">
        <v>653</v>
      </c>
      <c r="Q1" s="118" t="s">
        <v>655</v>
      </c>
      <c r="R1" s="118" t="s">
        <v>654</v>
      </c>
      <c r="S1" s="118" t="s">
        <v>656</v>
      </c>
      <c r="T1" s="118" t="s">
        <v>657</v>
      </c>
      <c r="X1" s="32" t="s">
        <v>582</v>
      </c>
      <c r="Y1" s="32" t="s">
        <v>583</v>
      </c>
      <c r="Z1" s="32" t="s">
        <v>584</v>
      </c>
      <c r="AA1" s="32" t="s">
        <v>585</v>
      </c>
    </row>
    <row r="2" spans="1:27" x14ac:dyDescent="0.25">
      <c r="A2" s="134" t="s">
        <v>868</v>
      </c>
      <c r="B2" s="134" t="s">
        <v>658</v>
      </c>
      <c r="C2" s="134" t="s">
        <v>659</v>
      </c>
      <c r="D2" s="134">
        <v>1.24E-2</v>
      </c>
      <c r="E2" s="134">
        <v>0.10084799999999999</v>
      </c>
      <c r="F2" s="135">
        <v>45925.698819444442</v>
      </c>
      <c r="G2" s="134">
        <v>1</v>
      </c>
      <c r="H2" s="134" t="s">
        <v>868</v>
      </c>
      <c r="I2" s="134" t="s">
        <v>867</v>
      </c>
      <c r="J2" s="134" t="s">
        <v>659</v>
      </c>
      <c r="K2" s="134">
        <v>3.266</v>
      </c>
      <c r="L2" s="134">
        <v>0.231682</v>
      </c>
      <c r="M2" s="135">
        <v>45925.771226851852</v>
      </c>
      <c r="N2" s="134"/>
      <c r="O2" s="134" t="s">
        <v>868</v>
      </c>
      <c r="P2" s="134" t="s">
        <v>902</v>
      </c>
      <c r="Q2" s="134" t="s">
        <v>673</v>
      </c>
      <c r="R2" s="134">
        <v>2.9000000000000001E-2</v>
      </c>
      <c r="S2" s="134">
        <v>1.1089999999999999E-2</v>
      </c>
      <c r="T2" s="135">
        <v>45926.409108796295</v>
      </c>
      <c r="V2" s="131" t="s">
        <v>685</v>
      </c>
      <c r="W2" s="134" t="s">
        <v>868</v>
      </c>
      <c r="X2" s="134">
        <v>1.24E-2</v>
      </c>
      <c r="Y2" s="134">
        <v>3.266</v>
      </c>
      <c r="Z2" s="134">
        <v>2.9000000000000001E-2</v>
      </c>
    </row>
    <row r="3" spans="1:27" x14ac:dyDescent="0.25">
      <c r="A3" s="134" t="s">
        <v>869</v>
      </c>
      <c r="B3" s="134" t="s">
        <v>658</v>
      </c>
      <c r="C3" s="134" t="s">
        <v>659</v>
      </c>
      <c r="D3" s="134">
        <v>-6.1999999999999998E-3</v>
      </c>
      <c r="E3" s="134">
        <v>9.1059000000000001E-2</v>
      </c>
      <c r="F3" s="135">
        <v>45925.700358796297</v>
      </c>
      <c r="G3" s="134" t="str">
        <f t="shared" ref="G3:G10" si="0">RIGHT(H3, 2)</f>
        <v xml:space="preserve"> 2</v>
      </c>
      <c r="H3" s="134" t="s">
        <v>869</v>
      </c>
      <c r="I3" s="134" t="s">
        <v>867</v>
      </c>
      <c r="J3" s="134" t="s">
        <v>659</v>
      </c>
      <c r="K3" s="134">
        <v>3.028</v>
      </c>
      <c r="L3" s="134">
        <v>0.216866</v>
      </c>
      <c r="M3" s="135">
        <v>45925.772835648146</v>
      </c>
      <c r="N3" s="134"/>
      <c r="O3" s="134" t="s">
        <v>869</v>
      </c>
      <c r="P3" s="134" t="s">
        <v>902</v>
      </c>
      <c r="Q3" s="134" t="s">
        <v>673</v>
      </c>
      <c r="R3" s="134">
        <v>3.0000000000000001E-3</v>
      </c>
      <c r="S3" s="134">
        <v>2.1580000000000002E-3</v>
      </c>
      <c r="T3" s="135">
        <v>45926.410046296296</v>
      </c>
      <c r="V3" s="119" t="s">
        <v>686</v>
      </c>
      <c r="W3" s="134" t="s">
        <v>869</v>
      </c>
      <c r="X3" s="134">
        <v>-6.1999999999999998E-3</v>
      </c>
      <c r="Y3" s="134">
        <v>3.028</v>
      </c>
      <c r="Z3" s="134">
        <v>3.0000000000000001E-3</v>
      </c>
    </row>
    <row r="4" spans="1:27" x14ac:dyDescent="0.25">
      <c r="A4" s="134" t="s">
        <v>870</v>
      </c>
      <c r="B4" s="134" t="s">
        <v>658</v>
      </c>
      <c r="C4" s="134" t="s">
        <v>659</v>
      </c>
      <c r="D4" s="134">
        <v>-1.29E-2</v>
      </c>
      <c r="E4" s="134">
        <v>8.7533E-2</v>
      </c>
      <c r="F4" s="135">
        <v>45925.701886574076</v>
      </c>
      <c r="G4" s="134" t="str">
        <f t="shared" si="0"/>
        <v xml:space="preserve"> 3</v>
      </c>
      <c r="H4" s="134" t="s">
        <v>870</v>
      </c>
      <c r="I4" s="134" t="s">
        <v>867</v>
      </c>
      <c r="J4" s="134" t="s">
        <v>659</v>
      </c>
      <c r="K4" s="134">
        <v>3.258</v>
      </c>
      <c r="L4" s="134">
        <v>0.23122500000000001</v>
      </c>
      <c r="M4" s="135">
        <v>45925.774444444447</v>
      </c>
      <c r="N4" s="134"/>
      <c r="O4" s="134" t="s">
        <v>870</v>
      </c>
      <c r="P4" s="134" t="s">
        <v>902</v>
      </c>
      <c r="Q4" s="134" t="s">
        <v>673</v>
      </c>
      <c r="R4" s="134">
        <v>2E-3</v>
      </c>
      <c r="S4" s="134">
        <v>1.7799999999999999E-3</v>
      </c>
      <c r="T4" s="135">
        <v>45926.410983796297</v>
      </c>
      <c r="V4" s="119" t="s">
        <v>687</v>
      </c>
      <c r="W4" s="134" t="s">
        <v>870</v>
      </c>
      <c r="X4" s="134">
        <v>-1.29E-2</v>
      </c>
      <c r="Y4" s="134">
        <v>3.258</v>
      </c>
      <c r="Z4" s="134">
        <v>2E-3</v>
      </c>
    </row>
    <row r="5" spans="1:27" x14ac:dyDescent="0.25">
      <c r="A5" s="134" t="s">
        <v>871</v>
      </c>
      <c r="B5" s="134" t="s">
        <v>658</v>
      </c>
      <c r="C5" s="134" t="s">
        <v>659</v>
      </c>
      <c r="D5" s="134">
        <v>-4.1000000000000003E-3</v>
      </c>
      <c r="E5" s="134">
        <v>9.2179999999999998E-2</v>
      </c>
      <c r="F5" s="135">
        <v>45925.703414351854</v>
      </c>
      <c r="G5" s="134" t="str">
        <f t="shared" si="0"/>
        <v xml:space="preserve"> 4</v>
      </c>
      <c r="H5" s="134" t="s">
        <v>871</v>
      </c>
      <c r="I5" s="134" t="s">
        <v>867</v>
      </c>
      <c r="J5" s="134" t="s">
        <v>659</v>
      </c>
      <c r="K5" s="134">
        <v>3.2730000000000001</v>
      </c>
      <c r="L5" s="134">
        <v>0.232153</v>
      </c>
      <c r="M5" s="135">
        <v>45925.776041666664</v>
      </c>
      <c r="N5" s="134"/>
      <c r="O5" s="134" t="s">
        <v>871</v>
      </c>
      <c r="P5" s="134" t="s">
        <v>902</v>
      </c>
      <c r="Q5" s="134" t="s">
        <v>673</v>
      </c>
      <c r="R5" s="134">
        <v>4.0000000000000001E-3</v>
      </c>
      <c r="S5" s="134">
        <v>2.428E-3</v>
      </c>
      <c r="T5" s="135">
        <v>45926.411909722221</v>
      </c>
      <c r="V5" s="119" t="s">
        <v>688</v>
      </c>
      <c r="W5" s="134" t="s">
        <v>871</v>
      </c>
      <c r="X5" s="134">
        <v>-4.1000000000000003E-3</v>
      </c>
      <c r="Y5" s="134">
        <v>3.2730000000000001</v>
      </c>
      <c r="Z5" s="134">
        <v>4.0000000000000001E-3</v>
      </c>
    </row>
    <row r="6" spans="1:27" x14ac:dyDescent="0.25">
      <c r="A6" s="134" t="s">
        <v>872</v>
      </c>
      <c r="B6" s="134" t="s">
        <v>658</v>
      </c>
      <c r="C6" s="134" t="s">
        <v>659</v>
      </c>
      <c r="D6" s="134">
        <v>1.24E-2</v>
      </c>
      <c r="E6" s="134">
        <v>0.10084799999999999</v>
      </c>
      <c r="F6" s="135">
        <v>45925.704953703702</v>
      </c>
      <c r="G6" s="134" t="str">
        <f t="shared" si="0"/>
        <v xml:space="preserve"> 5</v>
      </c>
      <c r="H6" s="134" t="s">
        <v>872</v>
      </c>
      <c r="I6" s="134" t="s">
        <v>867</v>
      </c>
      <c r="J6" s="134" t="s">
        <v>659</v>
      </c>
      <c r="K6" s="134">
        <v>3.7919999999999998</v>
      </c>
      <c r="L6" s="134">
        <v>0.26448899999999997</v>
      </c>
      <c r="M6" s="135">
        <v>45925.777650462966</v>
      </c>
      <c r="N6" s="134"/>
      <c r="O6" s="134" t="s">
        <v>872</v>
      </c>
      <c r="P6" s="134" t="s">
        <v>902</v>
      </c>
      <c r="Q6" s="134" t="s">
        <v>673</v>
      </c>
      <c r="R6" s="134">
        <v>8.0000000000000002E-3</v>
      </c>
      <c r="S6" s="134">
        <v>3.7729999999999999E-3</v>
      </c>
      <c r="T6" s="135">
        <v>45926.412847222222</v>
      </c>
      <c r="V6" s="119" t="s">
        <v>689</v>
      </c>
      <c r="W6" s="134" t="s">
        <v>872</v>
      </c>
      <c r="X6" s="134">
        <v>1.24E-2</v>
      </c>
      <c r="Y6" s="134">
        <v>3.7919999999999998</v>
      </c>
      <c r="Z6" s="134">
        <v>8.0000000000000002E-3</v>
      </c>
    </row>
    <row r="7" spans="1:27" x14ac:dyDescent="0.25">
      <c r="A7" s="134" t="s">
        <v>873</v>
      </c>
      <c r="B7" s="134" t="s">
        <v>658</v>
      </c>
      <c r="C7" s="134" t="s">
        <v>659</v>
      </c>
      <c r="D7" s="134">
        <v>-4.1999999999999997E-3</v>
      </c>
      <c r="E7" s="134">
        <v>9.2085E-2</v>
      </c>
      <c r="F7" s="135">
        <v>45925.70648148148</v>
      </c>
      <c r="G7" s="134" t="str">
        <f t="shared" si="0"/>
        <v xml:space="preserve"> 6</v>
      </c>
      <c r="H7" s="134" t="s">
        <v>873</v>
      </c>
      <c r="I7" s="134" t="s">
        <v>867</v>
      </c>
      <c r="J7" s="134" t="s">
        <v>659</v>
      </c>
      <c r="K7" s="134">
        <v>4.2949999999999999</v>
      </c>
      <c r="L7" s="134">
        <v>0.29593700000000001</v>
      </c>
      <c r="M7" s="135">
        <v>45925.77925925926</v>
      </c>
      <c r="N7" s="134"/>
      <c r="O7" s="134" t="s">
        <v>873</v>
      </c>
      <c r="P7" s="134" t="s">
        <v>902</v>
      </c>
      <c r="Q7" s="134" t="s">
        <v>673</v>
      </c>
      <c r="R7" s="134">
        <v>2.5000000000000001E-2</v>
      </c>
      <c r="S7" s="134">
        <v>9.6340000000000002E-3</v>
      </c>
      <c r="T7" s="135">
        <v>45926.4137962963</v>
      </c>
      <c r="V7" s="119" t="s">
        <v>690</v>
      </c>
      <c r="W7" s="134" t="s">
        <v>873</v>
      </c>
      <c r="X7" s="134">
        <v>-4.1999999999999997E-3</v>
      </c>
      <c r="Y7" s="134">
        <v>4.2949999999999999</v>
      </c>
      <c r="Z7" s="134">
        <v>2.5000000000000001E-2</v>
      </c>
    </row>
    <row r="8" spans="1:27" x14ac:dyDescent="0.25">
      <c r="A8" s="134" t="s">
        <v>874</v>
      </c>
      <c r="B8" s="134" t="s">
        <v>658</v>
      </c>
      <c r="C8" s="134" t="s">
        <v>659</v>
      </c>
      <c r="D8" s="134">
        <v>4.1799999999999997E-2</v>
      </c>
      <c r="E8" s="134">
        <v>0.11629399999999999</v>
      </c>
      <c r="F8" s="135">
        <v>45925.708009259259</v>
      </c>
      <c r="G8" s="134" t="str">
        <f t="shared" si="0"/>
        <v xml:space="preserve"> 7</v>
      </c>
      <c r="H8" s="134" t="s">
        <v>874</v>
      </c>
      <c r="I8" s="134" t="s">
        <v>867</v>
      </c>
      <c r="J8" s="134" t="s">
        <v>659</v>
      </c>
      <c r="K8" s="134">
        <v>3.1080000000000001</v>
      </c>
      <c r="L8" s="134">
        <v>0.22185199999999999</v>
      </c>
      <c r="M8" s="135">
        <v>45925.780891203707</v>
      </c>
      <c r="N8" s="134"/>
      <c r="O8" s="134" t="s">
        <v>874</v>
      </c>
      <c r="P8" s="134" t="s">
        <v>902</v>
      </c>
      <c r="Q8" s="134" t="s">
        <v>673</v>
      </c>
      <c r="R8" s="134">
        <v>5.1999999999999998E-2</v>
      </c>
      <c r="S8" s="134">
        <v>1.8929000000000001E-2</v>
      </c>
      <c r="T8" s="135">
        <v>45926.41474537037</v>
      </c>
      <c r="V8" s="119" t="s">
        <v>691</v>
      </c>
      <c r="W8" s="134" t="s">
        <v>874</v>
      </c>
      <c r="X8" s="134">
        <v>4.1799999999999997E-2</v>
      </c>
      <c r="Y8" s="134">
        <v>3.1080000000000001</v>
      </c>
      <c r="Z8" s="134">
        <v>5.1999999999999998E-2</v>
      </c>
    </row>
    <row r="9" spans="1:27" x14ac:dyDescent="0.25">
      <c r="A9" s="134" t="s">
        <v>875</v>
      </c>
      <c r="B9" s="134" t="s">
        <v>658</v>
      </c>
      <c r="C9" s="134" t="s">
        <v>659</v>
      </c>
      <c r="D9" s="134">
        <v>5.2699999999999997E-2</v>
      </c>
      <c r="E9" s="134">
        <v>0.121976</v>
      </c>
      <c r="F9" s="135">
        <v>45925.709537037037</v>
      </c>
      <c r="G9" s="134" t="str">
        <f t="shared" si="0"/>
        <v xml:space="preserve"> 8</v>
      </c>
      <c r="H9" s="134" t="s">
        <v>875</v>
      </c>
      <c r="I9" s="134" t="s">
        <v>867</v>
      </c>
      <c r="J9" s="134" t="s">
        <v>659</v>
      </c>
      <c r="K9" s="134">
        <v>3.0720000000000001</v>
      </c>
      <c r="L9" s="134">
        <v>0.21957399999999999</v>
      </c>
      <c r="M9" s="135">
        <v>45925.78396990741</v>
      </c>
      <c r="N9" s="134"/>
      <c r="O9" s="134" t="s">
        <v>875</v>
      </c>
      <c r="P9" s="134" t="s">
        <v>902</v>
      </c>
      <c r="Q9" s="134" t="s">
        <v>673</v>
      </c>
      <c r="R9" s="134">
        <v>8.2000000000000003E-2</v>
      </c>
      <c r="S9" s="134">
        <v>2.9041999999999998E-2</v>
      </c>
      <c r="T9" s="135">
        <v>45926.415671296294</v>
      </c>
      <c r="V9" s="119" t="s">
        <v>692</v>
      </c>
      <c r="W9" s="134" t="s">
        <v>875</v>
      </c>
      <c r="X9" s="134">
        <v>5.2699999999999997E-2</v>
      </c>
      <c r="Y9" s="134">
        <v>3.0720000000000001</v>
      </c>
      <c r="Z9" s="134">
        <v>8.2000000000000003E-2</v>
      </c>
    </row>
    <row r="10" spans="1:27" x14ac:dyDescent="0.25">
      <c r="A10" s="134" t="s">
        <v>876</v>
      </c>
      <c r="B10" s="134" t="s">
        <v>658</v>
      </c>
      <c r="C10" s="134" t="s">
        <v>659</v>
      </c>
      <c r="D10" s="134">
        <v>4.7100000000000003E-2</v>
      </c>
      <c r="E10" s="134">
        <v>0.119047</v>
      </c>
      <c r="F10" s="135">
        <v>45925.711076388892</v>
      </c>
      <c r="G10" s="134" t="str">
        <f t="shared" si="0"/>
        <v xml:space="preserve"> 9</v>
      </c>
      <c r="H10" s="134" t="s">
        <v>876</v>
      </c>
      <c r="I10" s="134" t="s">
        <v>867</v>
      </c>
      <c r="J10" s="134" t="s">
        <v>659</v>
      </c>
      <c r="K10" s="134">
        <v>3.3119999999999998</v>
      </c>
      <c r="L10" s="134">
        <v>0.234595</v>
      </c>
      <c r="M10" s="135">
        <v>45925.785578703704</v>
      </c>
      <c r="N10" s="134"/>
      <c r="O10" s="134" t="s">
        <v>876</v>
      </c>
      <c r="P10" s="134" t="s">
        <v>902</v>
      </c>
      <c r="Q10" s="134" t="s">
        <v>673</v>
      </c>
      <c r="R10" s="134">
        <v>0.11799999999999999</v>
      </c>
      <c r="S10" s="134">
        <v>4.1605000000000003E-2</v>
      </c>
      <c r="T10" s="135">
        <v>45926.416608796295</v>
      </c>
      <c r="V10" s="119" t="s">
        <v>693</v>
      </c>
      <c r="W10" s="134" t="s">
        <v>876</v>
      </c>
      <c r="X10" s="134">
        <v>4.7100000000000003E-2</v>
      </c>
      <c r="Y10" s="134">
        <v>3.3119999999999998</v>
      </c>
      <c r="Z10" s="134">
        <v>0.11799999999999999</v>
      </c>
    </row>
    <row r="11" spans="1:27" x14ac:dyDescent="0.25">
      <c r="A11" s="134" t="s">
        <v>877</v>
      </c>
      <c r="B11" s="134" t="s">
        <v>658</v>
      </c>
      <c r="C11" s="134" t="s">
        <v>659</v>
      </c>
      <c r="D11" s="134">
        <v>5.45E-2</v>
      </c>
      <c r="E11" s="134">
        <v>0.122964</v>
      </c>
      <c r="F11" s="135">
        <v>45925.71261574074</v>
      </c>
      <c r="G11" s="134">
        <v>10</v>
      </c>
      <c r="H11" s="134" t="s">
        <v>877</v>
      </c>
      <c r="I11" s="134" t="s">
        <v>867</v>
      </c>
      <c r="J11" s="134" t="s">
        <v>659</v>
      </c>
      <c r="K11" s="134">
        <v>3.2850000000000001</v>
      </c>
      <c r="L11" s="134">
        <v>0.232906</v>
      </c>
      <c r="M11" s="135">
        <v>45925.787187499998</v>
      </c>
      <c r="N11" s="134"/>
      <c r="O11" s="134" t="s">
        <v>877</v>
      </c>
      <c r="P11" s="134" t="s">
        <v>902</v>
      </c>
      <c r="Q11" s="134" t="s">
        <v>673</v>
      </c>
      <c r="R11" s="134">
        <v>0.125</v>
      </c>
      <c r="S11" s="134">
        <v>4.3955000000000001E-2</v>
      </c>
      <c r="T11" s="135">
        <v>45926.417546296296</v>
      </c>
      <c r="V11" s="119" t="s">
        <v>694</v>
      </c>
      <c r="W11" s="134" t="s">
        <v>877</v>
      </c>
      <c r="X11" s="134">
        <v>5.45E-2</v>
      </c>
      <c r="Y11" s="134">
        <v>3.2850000000000001</v>
      </c>
      <c r="Z11" s="134">
        <v>0.125</v>
      </c>
    </row>
    <row r="12" spans="1:27" x14ac:dyDescent="0.25">
      <c r="A12" s="134" t="s">
        <v>878</v>
      </c>
      <c r="B12" s="134" t="s">
        <v>658</v>
      </c>
      <c r="C12" s="134" t="s">
        <v>659</v>
      </c>
      <c r="D12" s="134">
        <v>5.4600000000000003E-2</v>
      </c>
      <c r="E12" s="134">
        <v>0.122998</v>
      </c>
      <c r="F12" s="135">
        <v>45925.714143518519</v>
      </c>
      <c r="G12" s="134">
        <v>11</v>
      </c>
      <c r="H12" s="134" t="s">
        <v>878</v>
      </c>
      <c r="I12" s="134" t="s">
        <v>867</v>
      </c>
      <c r="J12" s="134" t="s">
        <v>659</v>
      </c>
      <c r="K12" s="134">
        <v>3.4449999999999998</v>
      </c>
      <c r="L12" s="134">
        <v>0.24288999999999999</v>
      </c>
      <c r="M12" s="135">
        <v>45925.788807870369</v>
      </c>
      <c r="N12" s="134"/>
      <c r="O12" s="134" t="s">
        <v>878</v>
      </c>
      <c r="P12" s="134" t="s">
        <v>902</v>
      </c>
      <c r="Q12" s="134" t="s">
        <v>673</v>
      </c>
      <c r="R12" s="134">
        <v>0.127</v>
      </c>
      <c r="S12" s="134">
        <v>4.4767000000000001E-2</v>
      </c>
      <c r="T12" s="135">
        <v>45926.418483796297</v>
      </c>
      <c r="V12" s="119" t="s">
        <v>695</v>
      </c>
      <c r="W12" s="134" t="s">
        <v>878</v>
      </c>
      <c r="X12" s="134">
        <v>5.4600000000000003E-2</v>
      </c>
      <c r="Y12" s="134">
        <v>3.4449999999999998</v>
      </c>
      <c r="Z12" s="134">
        <v>0.127</v>
      </c>
    </row>
    <row r="13" spans="1:27" x14ac:dyDescent="0.25">
      <c r="A13" s="134" t="s">
        <v>879</v>
      </c>
      <c r="B13" s="134" t="s">
        <v>658</v>
      </c>
      <c r="C13" s="134" t="s">
        <v>659</v>
      </c>
      <c r="D13" s="134">
        <v>4.5699999999999998E-2</v>
      </c>
      <c r="E13" s="134">
        <v>0.118337</v>
      </c>
      <c r="F13" s="135">
        <v>45925.715671296297</v>
      </c>
      <c r="G13" s="134">
        <v>12</v>
      </c>
      <c r="H13" s="134" t="s">
        <v>879</v>
      </c>
      <c r="I13" s="134" t="s">
        <v>867</v>
      </c>
      <c r="J13" s="134" t="s">
        <v>659</v>
      </c>
      <c r="K13" s="134">
        <v>3.262</v>
      </c>
      <c r="L13" s="134">
        <v>0.231456</v>
      </c>
      <c r="M13" s="135">
        <v>45925.790416666663</v>
      </c>
      <c r="N13" s="134"/>
      <c r="O13" s="134" t="s">
        <v>879</v>
      </c>
      <c r="P13" s="134" t="s">
        <v>902</v>
      </c>
      <c r="Q13" s="134" t="s">
        <v>673</v>
      </c>
      <c r="R13" s="134">
        <v>0.126</v>
      </c>
      <c r="S13" s="134">
        <v>4.4344000000000001E-2</v>
      </c>
      <c r="T13" s="135">
        <v>45926.419409722221</v>
      </c>
      <c r="V13" s="119" t="s">
        <v>696</v>
      </c>
      <c r="W13" s="134" t="s">
        <v>879</v>
      </c>
      <c r="X13" s="134">
        <v>4.5699999999999998E-2</v>
      </c>
      <c r="Y13" s="134">
        <v>3.262</v>
      </c>
      <c r="Z13" s="134">
        <v>0.126</v>
      </c>
    </row>
    <row r="14" spans="1:27" x14ac:dyDescent="0.25">
      <c r="A14" s="134" t="s">
        <v>880</v>
      </c>
      <c r="B14" s="134" t="s">
        <v>658</v>
      </c>
      <c r="C14" s="134" t="s">
        <v>659</v>
      </c>
      <c r="D14" s="134">
        <v>-9.1000000000000004E-3</v>
      </c>
      <c r="E14" s="134">
        <v>8.9539999999999995E-2</v>
      </c>
      <c r="F14" s="135">
        <v>45925.717199074075</v>
      </c>
      <c r="G14" s="134">
        <v>13</v>
      </c>
      <c r="H14" s="134" t="s">
        <v>880</v>
      </c>
      <c r="I14" s="134" t="s">
        <v>867</v>
      </c>
      <c r="J14" s="134" t="s">
        <v>659</v>
      </c>
      <c r="K14" s="134">
        <v>4.0570000000000004</v>
      </c>
      <c r="L14" s="134">
        <v>0.28103299999999998</v>
      </c>
      <c r="M14" s="135">
        <v>45925.792025462964</v>
      </c>
      <c r="N14" s="134"/>
      <c r="O14" s="134" t="s">
        <v>880</v>
      </c>
      <c r="P14" s="134" t="s">
        <v>902</v>
      </c>
      <c r="Q14" s="134" t="s">
        <v>673</v>
      </c>
      <c r="R14" s="134">
        <v>0.01</v>
      </c>
      <c r="S14" s="134">
        <v>4.3920000000000001E-3</v>
      </c>
      <c r="T14" s="135">
        <v>45926.420347222222</v>
      </c>
      <c r="V14" s="119" t="s">
        <v>697</v>
      </c>
      <c r="W14" s="134" t="s">
        <v>880</v>
      </c>
      <c r="X14" s="134">
        <v>-9.1000000000000004E-3</v>
      </c>
      <c r="Y14" s="134">
        <v>4.0570000000000004</v>
      </c>
      <c r="Z14" s="134">
        <v>0.01</v>
      </c>
    </row>
    <row r="15" spans="1:27" x14ac:dyDescent="0.25">
      <c r="A15" s="26" t="s">
        <v>903</v>
      </c>
      <c r="B15" s="26" t="s">
        <v>658</v>
      </c>
      <c r="C15" s="26" t="s">
        <v>659</v>
      </c>
      <c r="D15" s="26">
        <v>-3.56E-2</v>
      </c>
      <c r="E15" s="26">
        <v>7.5622999999999996E-2</v>
      </c>
      <c r="F15" s="136">
        <v>45925.402824074074</v>
      </c>
      <c r="G15" s="26" t="str">
        <f t="shared" ref="G15:G46" si="1">RIGHT(H15, 2)</f>
        <v xml:space="preserve"> 1</v>
      </c>
      <c r="H15" s="26" t="s">
        <v>903</v>
      </c>
      <c r="I15" s="26" t="s">
        <v>867</v>
      </c>
      <c r="J15" s="26" t="s">
        <v>659</v>
      </c>
      <c r="K15" s="26">
        <v>3.9740000000000002</v>
      </c>
      <c r="L15" s="26">
        <v>0.27589200000000003</v>
      </c>
      <c r="M15" s="136">
        <v>45925.491678240738</v>
      </c>
      <c r="N15" s="26"/>
      <c r="O15" s="26" t="s">
        <v>903</v>
      </c>
      <c r="P15" s="26" t="s">
        <v>902</v>
      </c>
      <c r="Q15" s="26" t="s">
        <v>673</v>
      </c>
      <c r="R15" s="26">
        <v>-5.0000000000000001E-3</v>
      </c>
      <c r="S15" s="26">
        <v>9.0399999999999996E-4</v>
      </c>
      <c r="T15" s="136">
        <v>45925.572013888886</v>
      </c>
      <c r="V15" s="120" t="s">
        <v>698</v>
      </c>
      <c r="W15" s="105" t="s">
        <v>937</v>
      </c>
      <c r="X15" s="105">
        <v>3.1800000000000002E-2</v>
      </c>
      <c r="Y15" s="105">
        <v>2.5710000000000002</v>
      </c>
      <c r="Z15" s="105">
        <v>-1E-3</v>
      </c>
    </row>
    <row r="16" spans="1:27" x14ac:dyDescent="0.25">
      <c r="A16" s="26" t="s">
        <v>904</v>
      </c>
      <c r="B16" s="26" t="s">
        <v>658</v>
      </c>
      <c r="C16" s="26" t="s">
        <v>659</v>
      </c>
      <c r="D16" s="26">
        <v>-3.4099999999999998E-2</v>
      </c>
      <c r="E16" s="26">
        <v>7.6398999999999995E-2</v>
      </c>
      <c r="F16" s="136">
        <v>45925.404351851852</v>
      </c>
      <c r="G16" s="26" t="str">
        <f t="shared" si="1"/>
        <v xml:space="preserve"> 2</v>
      </c>
      <c r="H16" s="26" t="s">
        <v>904</v>
      </c>
      <c r="I16" s="26" t="s">
        <v>867</v>
      </c>
      <c r="J16" s="26" t="s">
        <v>659</v>
      </c>
      <c r="K16" s="26">
        <v>3.0569999999999999</v>
      </c>
      <c r="L16" s="26">
        <v>0.21862699999999999</v>
      </c>
      <c r="M16" s="136">
        <v>45925.493287037039</v>
      </c>
      <c r="N16" s="26"/>
      <c r="O16" s="26" t="s">
        <v>904</v>
      </c>
      <c r="P16" s="26" t="s">
        <v>902</v>
      </c>
      <c r="Q16" s="26" t="s">
        <v>673</v>
      </c>
      <c r="R16" s="26">
        <v>-4.0000000000000001E-3</v>
      </c>
      <c r="S16" s="26">
        <v>1.109E-3</v>
      </c>
      <c r="T16" s="136">
        <v>45925.572951388887</v>
      </c>
      <c r="V16" s="120" t="s">
        <v>699</v>
      </c>
      <c r="W16" s="105" t="s">
        <v>938</v>
      </c>
      <c r="X16" s="105">
        <v>0.1193</v>
      </c>
      <c r="Y16" s="105">
        <v>2.2709999999999999</v>
      </c>
      <c r="Z16" s="105">
        <v>1E-3</v>
      </c>
    </row>
    <row r="17" spans="1:26" x14ac:dyDescent="0.25">
      <c r="A17" s="26" t="s">
        <v>881</v>
      </c>
      <c r="B17" s="26" t="s">
        <v>658</v>
      </c>
      <c r="C17" s="26" t="s">
        <v>659</v>
      </c>
      <c r="D17" s="26">
        <v>-3.4099999999999998E-2</v>
      </c>
      <c r="E17" s="26">
        <v>7.6419000000000001E-2</v>
      </c>
      <c r="F17" s="136">
        <v>45925.718726851854</v>
      </c>
      <c r="G17" s="26" t="str">
        <f t="shared" si="1"/>
        <v xml:space="preserve"> 3</v>
      </c>
      <c r="H17" s="26" t="s">
        <v>881</v>
      </c>
      <c r="I17" s="26" t="s">
        <v>867</v>
      </c>
      <c r="J17" s="26" t="s">
        <v>659</v>
      </c>
      <c r="K17" s="26">
        <v>2.113</v>
      </c>
      <c r="L17" s="26">
        <v>0.159774</v>
      </c>
      <c r="M17" s="136">
        <v>45925.793645833335</v>
      </c>
      <c r="N17" s="26"/>
      <c r="O17" s="26" t="s">
        <v>881</v>
      </c>
      <c r="P17" s="26" t="s">
        <v>902</v>
      </c>
      <c r="Q17" s="26" t="s">
        <v>673</v>
      </c>
      <c r="R17" s="26">
        <v>0</v>
      </c>
      <c r="S17" s="26">
        <v>1.1540000000000001E-3</v>
      </c>
      <c r="T17" s="136">
        <v>45926.421273148146</v>
      </c>
      <c r="V17" s="120" t="s">
        <v>700</v>
      </c>
      <c r="W17" s="105" t="s">
        <v>939</v>
      </c>
      <c r="X17" s="105">
        <v>-2.4400000000000002E-2</v>
      </c>
      <c r="Y17" s="105">
        <v>1.92</v>
      </c>
      <c r="Z17" s="105">
        <v>-1E-3</v>
      </c>
    </row>
    <row r="18" spans="1:26" x14ac:dyDescent="0.25">
      <c r="A18" s="26" t="s">
        <v>905</v>
      </c>
      <c r="B18" s="26" t="s">
        <v>658</v>
      </c>
      <c r="C18" s="26" t="s">
        <v>659</v>
      </c>
      <c r="D18" s="26">
        <v>-3.8600000000000002E-2</v>
      </c>
      <c r="E18" s="26">
        <v>7.4045E-2</v>
      </c>
      <c r="F18" s="136">
        <v>45925.40587962963</v>
      </c>
      <c r="G18" s="26" t="str">
        <f t="shared" si="1"/>
        <v xml:space="preserve"> 4</v>
      </c>
      <c r="H18" s="26" t="s">
        <v>905</v>
      </c>
      <c r="I18" s="26" t="s">
        <v>867</v>
      </c>
      <c r="J18" s="26" t="s">
        <v>659</v>
      </c>
      <c r="K18" s="26">
        <v>1.4079999999999999</v>
      </c>
      <c r="L18" s="26">
        <v>0.115728</v>
      </c>
      <c r="M18" s="136">
        <v>45925.494884259257</v>
      </c>
      <c r="N18" s="26"/>
      <c r="O18" s="26" t="s">
        <v>905</v>
      </c>
      <c r="P18" s="26" t="s">
        <v>902</v>
      </c>
      <c r="Q18" s="26" t="s">
        <v>673</v>
      </c>
      <c r="R18" s="26">
        <v>-3.0000000000000001E-3</v>
      </c>
      <c r="S18" s="26">
        <v>1.5939999999999999E-3</v>
      </c>
      <c r="T18" s="136">
        <v>45925.573888888888</v>
      </c>
      <c r="V18" s="120" t="s">
        <v>701</v>
      </c>
      <c r="W18" s="105" t="s">
        <v>940</v>
      </c>
      <c r="X18" s="105">
        <v>-1.0200000000000001E-2</v>
      </c>
      <c r="Y18" s="105">
        <v>1.8029999999999999</v>
      </c>
      <c r="Z18" s="105">
        <v>-1E-3</v>
      </c>
    </row>
    <row r="19" spans="1:26" x14ac:dyDescent="0.25">
      <c r="A19" s="26" t="s">
        <v>882</v>
      </c>
      <c r="B19" s="26" t="s">
        <v>658</v>
      </c>
      <c r="C19" s="26" t="s">
        <v>659</v>
      </c>
      <c r="D19" s="26">
        <v>-3.4700000000000002E-2</v>
      </c>
      <c r="E19" s="26">
        <v>7.6072000000000001E-2</v>
      </c>
      <c r="F19" s="136">
        <v>45925.720243055555</v>
      </c>
      <c r="G19" s="26" t="str">
        <f t="shared" si="1"/>
        <v xml:space="preserve"> 5</v>
      </c>
      <c r="H19" s="26" t="s">
        <v>882</v>
      </c>
      <c r="I19" s="26" t="s">
        <v>867</v>
      </c>
      <c r="J19" s="26" t="s">
        <v>659</v>
      </c>
      <c r="K19" s="26">
        <v>0.80700000000000005</v>
      </c>
      <c r="L19" s="26">
        <v>7.8241000000000005E-2</v>
      </c>
      <c r="M19" s="136">
        <v>45925.798483796294</v>
      </c>
      <c r="N19" s="26"/>
      <c r="O19" s="26" t="s">
        <v>882</v>
      </c>
      <c r="P19" s="26" t="s">
        <v>902</v>
      </c>
      <c r="Q19" s="26" t="s">
        <v>673</v>
      </c>
      <c r="R19" s="26">
        <v>3.0000000000000001E-3</v>
      </c>
      <c r="S19" s="26">
        <v>2.2230000000000001E-3</v>
      </c>
      <c r="T19" s="136">
        <v>45926.422199074077</v>
      </c>
      <c r="V19" s="120" t="s">
        <v>702</v>
      </c>
      <c r="W19" s="105" t="s">
        <v>941</v>
      </c>
      <c r="X19" s="105">
        <v>-1.9699999999999999E-2</v>
      </c>
      <c r="Y19" s="105">
        <v>2.2029999999999998</v>
      </c>
      <c r="Z19" s="105">
        <v>-1E-3</v>
      </c>
    </row>
    <row r="20" spans="1:26" x14ac:dyDescent="0.25">
      <c r="A20" s="26" t="s">
        <v>883</v>
      </c>
      <c r="B20" s="26" t="s">
        <v>658</v>
      </c>
      <c r="C20" s="26" t="s">
        <v>659</v>
      </c>
      <c r="D20" s="26">
        <v>-3.6200000000000003E-2</v>
      </c>
      <c r="E20" s="26">
        <v>7.5306999999999999E-2</v>
      </c>
      <c r="F20" s="136">
        <v>45925.724814814814</v>
      </c>
      <c r="G20" s="26" t="str">
        <f t="shared" si="1"/>
        <v xml:space="preserve"> 6</v>
      </c>
      <c r="H20" s="26" t="s">
        <v>883</v>
      </c>
      <c r="I20" s="26" t="s">
        <v>867</v>
      </c>
      <c r="J20" s="26" t="s">
        <v>659</v>
      </c>
      <c r="K20" s="26">
        <v>0.436</v>
      </c>
      <c r="L20" s="26">
        <v>5.5100999999999997E-2</v>
      </c>
      <c r="M20" s="136">
        <v>45925.800092592595</v>
      </c>
      <c r="N20" s="26"/>
      <c r="O20" s="26" t="s">
        <v>883</v>
      </c>
      <c r="P20" s="26" t="s">
        <v>902</v>
      </c>
      <c r="Q20" s="26" t="s">
        <v>673</v>
      </c>
      <c r="R20" s="26">
        <v>2E-3</v>
      </c>
      <c r="S20" s="26">
        <v>1.5640000000000001E-3</v>
      </c>
      <c r="T20" s="136">
        <v>45926.424988425926</v>
      </c>
      <c r="V20" s="120" t="s">
        <v>703</v>
      </c>
      <c r="W20" s="105" t="s">
        <v>942</v>
      </c>
      <c r="X20" s="105">
        <v>-2.7000000000000001E-3</v>
      </c>
      <c r="Y20" s="105">
        <v>2.5750000000000002</v>
      </c>
      <c r="Z20" s="105">
        <v>-1E-3</v>
      </c>
    </row>
    <row r="21" spans="1:26" x14ac:dyDescent="0.25">
      <c r="A21" s="26" t="s">
        <v>906</v>
      </c>
      <c r="B21" s="26" t="s">
        <v>658</v>
      </c>
      <c r="C21" s="26" t="s">
        <v>659</v>
      </c>
      <c r="D21" s="26">
        <v>-2.35E-2</v>
      </c>
      <c r="E21" s="26">
        <v>8.1991999999999995E-2</v>
      </c>
      <c r="F21" s="136">
        <v>45925.407407407409</v>
      </c>
      <c r="G21" s="26" t="str">
        <f t="shared" si="1"/>
        <v xml:space="preserve"> 7</v>
      </c>
      <c r="H21" s="26" t="s">
        <v>906</v>
      </c>
      <c r="I21" s="26" t="s">
        <v>867</v>
      </c>
      <c r="J21" s="26" t="s">
        <v>659</v>
      </c>
      <c r="K21" s="26">
        <v>4.1449999999999996</v>
      </c>
      <c r="L21" s="26">
        <v>0.28653600000000001</v>
      </c>
      <c r="M21" s="136">
        <v>45925.496493055558</v>
      </c>
      <c r="N21" s="26"/>
      <c r="O21" s="26" t="s">
        <v>906</v>
      </c>
      <c r="P21" s="26" t="s">
        <v>902</v>
      </c>
      <c r="Q21" s="26" t="s">
        <v>673</v>
      </c>
      <c r="R21" s="26">
        <v>-4.0000000000000001E-3</v>
      </c>
      <c r="S21" s="26">
        <v>1.2279999999999999E-3</v>
      </c>
      <c r="T21" s="136">
        <v>45925.574826388889</v>
      </c>
      <c r="V21" s="121" t="s">
        <v>704</v>
      </c>
      <c r="W21" s="29" t="s">
        <v>943</v>
      </c>
      <c r="X21" s="29">
        <v>8.3099999999999993E-2</v>
      </c>
      <c r="Y21" s="29">
        <v>-0.13200000000000001</v>
      </c>
      <c r="Z21" s="29">
        <v>3.4000000000000002E-2</v>
      </c>
    </row>
    <row r="22" spans="1:26" x14ac:dyDescent="0.25">
      <c r="A22" s="26" t="s">
        <v>907</v>
      </c>
      <c r="B22" s="26" t="s">
        <v>658</v>
      </c>
      <c r="C22" s="26" t="s">
        <v>659</v>
      </c>
      <c r="D22" s="26">
        <v>-2.9600000000000001E-2</v>
      </c>
      <c r="E22" s="26">
        <v>7.8785999999999995E-2</v>
      </c>
      <c r="F22" s="136">
        <v>45925.408946759257</v>
      </c>
      <c r="G22" s="26" t="str">
        <f t="shared" si="1"/>
        <v xml:space="preserve"> 8</v>
      </c>
      <c r="H22" s="26" t="s">
        <v>907</v>
      </c>
      <c r="I22" s="26" t="s">
        <v>867</v>
      </c>
      <c r="J22" s="26" t="s">
        <v>659</v>
      </c>
      <c r="K22" s="26">
        <v>4.5599999999999996</v>
      </c>
      <c r="L22" s="26">
        <v>0.312471</v>
      </c>
      <c r="M22" s="136">
        <v>45925.498101851852</v>
      </c>
      <c r="N22" s="26"/>
      <c r="O22" s="26" t="s">
        <v>907</v>
      </c>
      <c r="P22" s="26" t="s">
        <v>902</v>
      </c>
      <c r="Q22" s="26" t="s">
        <v>673</v>
      </c>
      <c r="R22" s="26">
        <v>-5.0000000000000001E-3</v>
      </c>
      <c r="S22" s="26">
        <v>8.7200000000000005E-4</v>
      </c>
      <c r="T22" s="136">
        <v>45925.57576388889</v>
      </c>
      <c r="V22" s="121" t="s">
        <v>705</v>
      </c>
      <c r="W22" s="29" t="s">
        <v>944</v>
      </c>
      <c r="X22" s="29">
        <v>0.1138</v>
      </c>
      <c r="Y22" s="29">
        <v>-0.24</v>
      </c>
      <c r="Z22" s="29">
        <v>1E-3</v>
      </c>
    </row>
    <row r="23" spans="1:26" x14ac:dyDescent="0.25">
      <c r="A23" s="26" t="s">
        <v>884</v>
      </c>
      <c r="B23" s="26" t="s">
        <v>658</v>
      </c>
      <c r="C23" s="26" t="s">
        <v>659</v>
      </c>
      <c r="D23" s="26">
        <v>-3.4299999999999997E-2</v>
      </c>
      <c r="E23" s="26">
        <v>7.6307E-2</v>
      </c>
      <c r="F23" s="136">
        <v>45925.726331018515</v>
      </c>
      <c r="G23" s="26" t="str">
        <f t="shared" si="1"/>
        <v xml:space="preserve"> 9</v>
      </c>
      <c r="H23" s="26" t="s">
        <v>884</v>
      </c>
      <c r="I23" s="26" t="s">
        <v>867</v>
      </c>
      <c r="J23" s="26" t="s">
        <v>659</v>
      </c>
      <c r="K23" s="26">
        <v>4.7859999999999996</v>
      </c>
      <c r="L23" s="26">
        <v>0.32655299999999998</v>
      </c>
      <c r="M23" s="136">
        <v>45925.801701388889</v>
      </c>
      <c r="N23" s="26"/>
      <c r="O23" s="26" t="s">
        <v>884</v>
      </c>
      <c r="P23" s="26" t="s">
        <v>902</v>
      </c>
      <c r="Q23" s="26" t="s">
        <v>673</v>
      </c>
      <c r="R23" s="26">
        <v>1E-3</v>
      </c>
      <c r="S23" s="26">
        <v>1.5200000000000001E-3</v>
      </c>
      <c r="T23" s="136">
        <v>45926.42591435185</v>
      </c>
      <c r="V23" s="121" t="s">
        <v>706</v>
      </c>
      <c r="W23" s="29" t="s">
        <v>945</v>
      </c>
      <c r="X23" s="29">
        <v>-2.0299999999999999E-2</v>
      </c>
      <c r="Y23" s="29">
        <v>-0.224</v>
      </c>
      <c r="Z23" s="29">
        <v>1E-3</v>
      </c>
    </row>
    <row r="24" spans="1:26" x14ac:dyDescent="0.25">
      <c r="A24" s="26" t="s">
        <v>908</v>
      </c>
      <c r="B24" s="26" t="s">
        <v>658</v>
      </c>
      <c r="C24" s="26" t="s">
        <v>659</v>
      </c>
      <c r="D24" s="26">
        <v>-3.6499999999999998E-2</v>
      </c>
      <c r="E24" s="26">
        <v>7.5122999999999995E-2</v>
      </c>
      <c r="F24" s="136">
        <v>45925.410474537035</v>
      </c>
      <c r="G24" s="26" t="str">
        <f t="shared" si="1"/>
        <v>10</v>
      </c>
      <c r="H24" s="26" t="s">
        <v>908</v>
      </c>
      <c r="I24" s="26" t="s">
        <v>867</v>
      </c>
      <c r="J24" s="26" t="s">
        <v>659</v>
      </c>
      <c r="K24" s="26">
        <v>4.5819999999999999</v>
      </c>
      <c r="L24" s="26">
        <v>0.31382199999999999</v>
      </c>
      <c r="M24" s="136">
        <v>45925.4997337963</v>
      </c>
      <c r="N24" s="26"/>
      <c r="O24" s="26" t="s">
        <v>908</v>
      </c>
      <c r="P24" s="26" t="s">
        <v>902</v>
      </c>
      <c r="Q24" s="26" t="s">
        <v>673</v>
      </c>
      <c r="R24" s="26">
        <v>-5.0000000000000001E-3</v>
      </c>
      <c r="S24" s="26">
        <v>8.8199999999999997E-4</v>
      </c>
      <c r="T24" s="136">
        <v>45925.57671296296</v>
      </c>
      <c r="V24" s="121" t="s">
        <v>707</v>
      </c>
      <c r="W24" s="29" t="s">
        <v>946</v>
      </c>
      <c r="X24" s="29">
        <v>8.7499999999999994E-2</v>
      </c>
      <c r="Y24" s="29">
        <v>-0.13400000000000001</v>
      </c>
      <c r="Z24" s="29">
        <v>2E-3</v>
      </c>
    </row>
    <row r="25" spans="1:26" x14ac:dyDescent="0.25">
      <c r="A25" s="26" t="s">
        <v>885</v>
      </c>
      <c r="B25" s="26" t="s">
        <v>658</v>
      </c>
      <c r="C25" s="26" t="s">
        <v>659</v>
      </c>
      <c r="D25" s="26">
        <v>-2.2800000000000001E-2</v>
      </c>
      <c r="E25" s="26">
        <v>8.2334000000000004E-2</v>
      </c>
      <c r="F25" s="136">
        <v>45925.727847222224</v>
      </c>
      <c r="G25" s="26" t="str">
        <f t="shared" si="1"/>
        <v>11</v>
      </c>
      <c r="H25" s="26" t="s">
        <v>885</v>
      </c>
      <c r="I25" s="26" t="s">
        <v>867</v>
      </c>
      <c r="J25" s="26" t="s">
        <v>659</v>
      </c>
      <c r="K25" s="26">
        <v>4.3689999999999998</v>
      </c>
      <c r="L25" s="26">
        <v>0.30050100000000002</v>
      </c>
      <c r="M25" s="136">
        <v>45925.80332175926</v>
      </c>
      <c r="N25" s="26"/>
      <c r="O25" s="26" t="s">
        <v>885</v>
      </c>
      <c r="P25" s="26" t="s">
        <v>902</v>
      </c>
      <c r="Q25" s="26" t="s">
        <v>673</v>
      </c>
      <c r="R25" s="26">
        <v>0</v>
      </c>
      <c r="S25" s="26">
        <v>9.59E-4</v>
      </c>
      <c r="T25" s="136">
        <v>45926.426828703705</v>
      </c>
      <c r="V25" s="121" t="s">
        <v>708</v>
      </c>
      <c r="W25" s="29" t="s">
        <v>947</v>
      </c>
      <c r="X25" s="29">
        <v>0.14699999999999999</v>
      </c>
      <c r="Y25" s="29">
        <v>-0.122</v>
      </c>
      <c r="Z25" s="29">
        <v>4.0000000000000001E-3</v>
      </c>
    </row>
    <row r="26" spans="1:26" x14ac:dyDescent="0.25">
      <c r="A26" s="26" t="s">
        <v>886</v>
      </c>
      <c r="B26" s="26" t="s">
        <v>658</v>
      </c>
      <c r="C26" s="26" t="s">
        <v>659</v>
      </c>
      <c r="D26" s="26">
        <v>-3.7499999999999999E-2</v>
      </c>
      <c r="E26" s="26">
        <v>7.4604000000000004E-2</v>
      </c>
      <c r="F26" s="136">
        <v>45925.729363425926</v>
      </c>
      <c r="G26" s="26" t="str">
        <f t="shared" si="1"/>
        <v>12</v>
      </c>
      <c r="H26" s="26" t="s">
        <v>886</v>
      </c>
      <c r="I26" s="26" t="s">
        <v>867</v>
      </c>
      <c r="J26" s="26" t="s">
        <v>659</v>
      </c>
      <c r="K26" s="26">
        <v>4.952</v>
      </c>
      <c r="L26" s="26">
        <v>0.33688299999999999</v>
      </c>
      <c r="M26" s="136">
        <v>45925.804930555554</v>
      </c>
      <c r="N26" s="26"/>
      <c r="O26" s="26" t="s">
        <v>886</v>
      </c>
      <c r="P26" s="26" t="s">
        <v>902</v>
      </c>
      <c r="Q26" s="26" t="s">
        <v>673</v>
      </c>
      <c r="R26" s="26">
        <v>0</v>
      </c>
      <c r="S26" s="26">
        <v>1.0349999999999999E-3</v>
      </c>
      <c r="T26" s="136">
        <v>45926.427754629629</v>
      </c>
      <c r="V26" s="121" t="s">
        <v>709</v>
      </c>
      <c r="W26" s="29" t="s">
        <v>948</v>
      </c>
      <c r="X26" s="29">
        <v>1.2E-2</v>
      </c>
      <c r="Y26" s="29">
        <v>-8.8999999999999996E-2</v>
      </c>
      <c r="Z26" s="29">
        <v>0.01</v>
      </c>
    </row>
    <row r="27" spans="1:26" x14ac:dyDescent="0.25">
      <c r="A27" s="26" t="s">
        <v>909</v>
      </c>
      <c r="B27" s="26" t="s">
        <v>658</v>
      </c>
      <c r="C27" s="26" t="s">
        <v>659</v>
      </c>
      <c r="D27" s="26">
        <v>-3.6600000000000001E-2</v>
      </c>
      <c r="E27" s="26">
        <v>7.5082999999999997E-2</v>
      </c>
      <c r="F27" s="136">
        <v>45925.412002314813</v>
      </c>
      <c r="G27" s="26" t="str">
        <f t="shared" si="1"/>
        <v>13</v>
      </c>
      <c r="H27" s="26" t="s">
        <v>909</v>
      </c>
      <c r="I27" s="26" t="s">
        <v>867</v>
      </c>
      <c r="J27" s="26" t="s">
        <v>659</v>
      </c>
      <c r="K27" s="26">
        <v>0.32700000000000001</v>
      </c>
      <c r="L27" s="26">
        <v>4.8295999999999999E-2</v>
      </c>
      <c r="M27" s="136">
        <v>45925.501354166663</v>
      </c>
      <c r="N27" s="26"/>
      <c r="O27" s="26" t="s">
        <v>909</v>
      </c>
      <c r="P27" s="26" t="s">
        <v>902</v>
      </c>
      <c r="Q27" s="26" t="s">
        <v>673</v>
      </c>
      <c r="R27" s="26">
        <v>-4.0000000000000001E-3</v>
      </c>
      <c r="S27" s="26">
        <v>1.1839999999999999E-3</v>
      </c>
      <c r="T27" s="136">
        <v>45925.577650462961</v>
      </c>
      <c r="V27" s="121" t="s">
        <v>710</v>
      </c>
      <c r="W27" s="29" t="s">
        <v>949</v>
      </c>
      <c r="X27" s="29">
        <v>0.05</v>
      </c>
      <c r="Y27" s="29">
        <v>3.6999999999999998E-2</v>
      </c>
      <c r="Z27" s="29">
        <v>1E-3</v>
      </c>
    </row>
    <row r="28" spans="1:26" x14ac:dyDescent="0.25">
      <c r="A28" s="63" t="s">
        <v>910</v>
      </c>
      <c r="B28" s="63" t="s">
        <v>658</v>
      </c>
      <c r="C28" s="63" t="s">
        <v>659</v>
      </c>
      <c r="D28" s="63">
        <v>-4.0099999999999997E-2</v>
      </c>
      <c r="E28" s="63">
        <v>7.3233000000000006E-2</v>
      </c>
      <c r="F28" s="137">
        <v>45925.413530092592</v>
      </c>
      <c r="G28" s="63" t="str">
        <f t="shared" si="1"/>
        <v xml:space="preserve"> 1</v>
      </c>
      <c r="H28" s="63" t="s">
        <v>910</v>
      </c>
      <c r="I28" s="63" t="s">
        <v>867</v>
      </c>
      <c r="J28" s="63" t="s">
        <v>659</v>
      </c>
      <c r="K28" s="63">
        <v>2.9489999999999998</v>
      </c>
      <c r="L28" s="63">
        <v>0.21191299999999999</v>
      </c>
      <c r="M28" s="137">
        <v>45925.502962962964</v>
      </c>
      <c r="N28" s="63"/>
      <c r="O28" s="63" t="s">
        <v>910</v>
      </c>
      <c r="P28" s="63" t="s">
        <v>902</v>
      </c>
      <c r="Q28" s="63" t="s">
        <v>673</v>
      </c>
      <c r="R28" s="63">
        <v>-1E-3</v>
      </c>
      <c r="S28" s="63">
        <v>2.0470000000000002E-3</v>
      </c>
      <c r="T28" s="137">
        <v>45925.578587962962</v>
      </c>
      <c r="V28" s="121" t="s">
        <v>711</v>
      </c>
      <c r="W28" s="29" t="s">
        <v>950</v>
      </c>
      <c r="X28" s="29">
        <v>1.84E-2</v>
      </c>
      <c r="Y28" s="29">
        <v>-0.14299999999999999</v>
      </c>
      <c r="Z28" s="29">
        <v>1E-3</v>
      </c>
    </row>
    <row r="29" spans="1:26" x14ac:dyDescent="0.25">
      <c r="A29" s="63" t="s">
        <v>887</v>
      </c>
      <c r="B29" s="63" t="s">
        <v>658</v>
      </c>
      <c r="C29" s="63" t="s">
        <v>659</v>
      </c>
      <c r="D29" s="63">
        <v>-4.2000000000000003E-2</v>
      </c>
      <c r="E29" s="63">
        <v>7.2260000000000005E-2</v>
      </c>
      <c r="F29" s="137">
        <v>45925.730879629627</v>
      </c>
      <c r="G29" s="63" t="str">
        <f t="shared" si="1"/>
        <v xml:space="preserve"> 2</v>
      </c>
      <c r="H29" s="63" t="s">
        <v>887</v>
      </c>
      <c r="I29" s="63" t="s">
        <v>867</v>
      </c>
      <c r="J29" s="63" t="s">
        <v>659</v>
      </c>
      <c r="K29" s="63">
        <v>2.0310000000000001</v>
      </c>
      <c r="L29" s="63">
        <v>0.154636</v>
      </c>
      <c r="M29" s="137">
        <v>45925.806539351855</v>
      </c>
      <c r="N29" s="63"/>
      <c r="O29" s="63" t="s">
        <v>887</v>
      </c>
      <c r="P29" s="63" t="s">
        <v>902</v>
      </c>
      <c r="Q29" s="63" t="s">
        <v>673</v>
      </c>
      <c r="R29" s="63">
        <v>4.0000000000000001E-3</v>
      </c>
      <c r="S29" s="63">
        <v>2.4060000000000002E-3</v>
      </c>
      <c r="T29" s="137">
        <v>45926.428668981483</v>
      </c>
      <c r="V29" s="121" t="s">
        <v>712</v>
      </c>
      <c r="W29" s="29" t="s">
        <v>951</v>
      </c>
      <c r="X29" s="29">
        <v>0.13650000000000001</v>
      </c>
      <c r="Y29" s="29">
        <v>-0.14899999999999999</v>
      </c>
      <c r="Z29" s="29">
        <v>8.0000000000000002E-3</v>
      </c>
    </row>
    <row r="30" spans="1:26" x14ac:dyDescent="0.25">
      <c r="A30" s="63" t="s">
        <v>911</v>
      </c>
      <c r="B30" s="63" t="s">
        <v>658</v>
      </c>
      <c r="C30" s="63" t="s">
        <v>659</v>
      </c>
      <c r="D30" s="63">
        <v>-3.6999999999999998E-2</v>
      </c>
      <c r="E30" s="63">
        <v>7.4910000000000004E-2</v>
      </c>
      <c r="F30" s="137">
        <v>45925.415081018517</v>
      </c>
      <c r="G30" s="63" t="str">
        <f t="shared" si="1"/>
        <v xml:space="preserve"> 3</v>
      </c>
      <c r="H30" s="63" t="s">
        <v>911</v>
      </c>
      <c r="I30" s="63" t="s">
        <v>867</v>
      </c>
      <c r="J30" s="63" t="s">
        <v>659</v>
      </c>
      <c r="K30" s="63">
        <v>2.036</v>
      </c>
      <c r="L30" s="63">
        <v>0.154919</v>
      </c>
      <c r="M30" s="137">
        <v>45925.504571759258</v>
      </c>
      <c r="N30" s="63"/>
      <c r="O30" s="63" t="s">
        <v>911</v>
      </c>
      <c r="P30" s="63" t="s">
        <v>902</v>
      </c>
      <c r="Q30" s="63" t="s">
        <v>673</v>
      </c>
      <c r="R30" s="63">
        <v>-1E-3</v>
      </c>
      <c r="S30" s="63">
        <v>2.232E-3</v>
      </c>
      <c r="T30" s="137">
        <v>45925.579525462963</v>
      </c>
      <c r="V30" s="119" t="s">
        <v>713</v>
      </c>
      <c r="W30" s="26" t="s">
        <v>903</v>
      </c>
      <c r="X30" s="26">
        <v>-3.56E-2</v>
      </c>
      <c r="Y30" s="26">
        <v>3.9740000000000002</v>
      </c>
      <c r="Z30" s="26">
        <v>-5.0000000000000001E-3</v>
      </c>
    </row>
    <row r="31" spans="1:26" x14ac:dyDescent="0.25">
      <c r="A31" s="63" t="s">
        <v>888</v>
      </c>
      <c r="B31" s="63" t="s">
        <v>658</v>
      </c>
      <c r="C31" s="63" t="s">
        <v>659</v>
      </c>
      <c r="D31" s="63">
        <v>-2.92E-2</v>
      </c>
      <c r="E31" s="63">
        <v>7.8980999999999996E-2</v>
      </c>
      <c r="F31" s="137">
        <v>45925.732395833336</v>
      </c>
      <c r="G31" s="63" t="str">
        <f t="shared" si="1"/>
        <v xml:space="preserve"> 4</v>
      </c>
      <c r="H31" s="63" t="s">
        <v>888</v>
      </c>
      <c r="I31" s="63" t="s">
        <v>867</v>
      </c>
      <c r="J31" s="63" t="s">
        <v>659</v>
      </c>
      <c r="K31" s="63">
        <v>1.4870000000000001</v>
      </c>
      <c r="L31" s="63">
        <v>0.120661</v>
      </c>
      <c r="M31" s="137">
        <v>45925.808159722219</v>
      </c>
      <c r="N31" s="63"/>
      <c r="O31" s="63" t="s">
        <v>888</v>
      </c>
      <c r="P31" s="63" t="s">
        <v>902</v>
      </c>
      <c r="Q31" s="63" t="s">
        <v>673</v>
      </c>
      <c r="R31" s="63">
        <v>6.0000000000000001E-3</v>
      </c>
      <c r="S31" s="63">
        <v>3.0890000000000002E-3</v>
      </c>
      <c r="T31" s="137">
        <v>45926.429618055554</v>
      </c>
      <c r="V31" s="119" t="s">
        <v>714</v>
      </c>
      <c r="W31" s="26" t="s">
        <v>904</v>
      </c>
      <c r="X31" s="26">
        <v>-3.4099999999999998E-2</v>
      </c>
      <c r="Y31" s="26">
        <v>3.0569999999999999</v>
      </c>
      <c r="Z31" s="26">
        <v>-4.0000000000000001E-3</v>
      </c>
    </row>
    <row r="32" spans="1:26" x14ac:dyDescent="0.25">
      <c r="A32" s="63" t="s">
        <v>912</v>
      </c>
      <c r="B32" s="63" t="s">
        <v>658</v>
      </c>
      <c r="C32" s="63" t="s">
        <v>659</v>
      </c>
      <c r="D32" s="63">
        <v>-4.3900000000000002E-2</v>
      </c>
      <c r="E32" s="63">
        <v>7.1279999999999996E-2</v>
      </c>
      <c r="F32" s="137">
        <v>45925.416620370372</v>
      </c>
      <c r="G32" s="63" t="str">
        <f t="shared" si="1"/>
        <v xml:space="preserve"> 5</v>
      </c>
      <c r="H32" s="63" t="s">
        <v>912</v>
      </c>
      <c r="I32" s="63" t="s">
        <v>867</v>
      </c>
      <c r="J32" s="63" t="s">
        <v>659</v>
      </c>
      <c r="K32" s="63">
        <v>1.528</v>
      </c>
      <c r="L32" s="63">
        <v>0.123225</v>
      </c>
      <c r="M32" s="137">
        <v>45925.506180555552</v>
      </c>
      <c r="N32" s="63"/>
      <c r="O32" s="63" t="s">
        <v>912</v>
      </c>
      <c r="P32" s="63" t="s">
        <v>902</v>
      </c>
      <c r="Q32" s="63" t="s">
        <v>673</v>
      </c>
      <c r="R32" s="63">
        <v>6.0000000000000001E-3</v>
      </c>
      <c r="S32" s="63">
        <v>4.7359999999999998E-3</v>
      </c>
      <c r="T32" s="137">
        <v>45925.580451388887</v>
      </c>
      <c r="V32" s="119" t="s">
        <v>715</v>
      </c>
      <c r="W32" s="26" t="s">
        <v>881</v>
      </c>
      <c r="X32" s="26">
        <v>-3.4099999999999998E-2</v>
      </c>
      <c r="Y32" s="26">
        <v>2.113</v>
      </c>
      <c r="Z32" s="26">
        <v>0</v>
      </c>
    </row>
    <row r="33" spans="1:26" x14ac:dyDescent="0.25">
      <c r="A33" s="63" t="s">
        <v>913</v>
      </c>
      <c r="B33" s="63" t="s">
        <v>658</v>
      </c>
      <c r="C33" s="63" t="s">
        <v>659</v>
      </c>
      <c r="D33" s="63">
        <v>-3.4799999999999998E-2</v>
      </c>
      <c r="E33" s="63">
        <v>7.6040999999999997E-2</v>
      </c>
      <c r="F33" s="137">
        <v>45925.41814814815</v>
      </c>
      <c r="G33" s="63" t="str">
        <f t="shared" si="1"/>
        <v xml:space="preserve"> 6</v>
      </c>
      <c r="H33" s="63" t="s">
        <v>913</v>
      </c>
      <c r="I33" s="63" t="s">
        <v>867</v>
      </c>
      <c r="J33" s="63" t="s">
        <v>659</v>
      </c>
      <c r="K33" s="63">
        <v>1.7609999999999999</v>
      </c>
      <c r="L33" s="63">
        <v>0.13781299999999999</v>
      </c>
      <c r="M33" s="137">
        <v>45925.507789351854</v>
      </c>
      <c r="N33" s="63"/>
      <c r="O33" s="63" t="s">
        <v>913</v>
      </c>
      <c r="P33" s="63" t="s">
        <v>902</v>
      </c>
      <c r="Q33" s="63" t="s">
        <v>673</v>
      </c>
      <c r="R33" s="63">
        <v>8.9999999999999993E-3</v>
      </c>
      <c r="S33" s="63">
        <v>5.6940000000000003E-3</v>
      </c>
      <c r="T33" s="137">
        <v>45925.581388888888</v>
      </c>
      <c r="V33" s="119" t="s">
        <v>716</v>
      </c>
      <c r="W33" s="26" t="s">
        <v>905</v>
      </c>
      <c r="X33" s="26">
        <v>-3.8600000000000002E-2</v>
      </c>
      <c r="Y33" s="26">
        <v>1.4079999999999999</v>
      </c>
      <c r="Z33" s="26">
        <v>-3.0000000000000001E-3</v>
      </c>
    </row>
    <row r="34" spans="1:26" x14ac:dyDescent="0.25">
      <c r="A34" s="63" t="s">
        <v>914</v>
      </c>
      <c r="B34" s="63" t="s">
        <v>658</v>
      </c>
      <c r="C34" s="63" t="s">
        <v>659</v>
      </c>
      <c r="D34" s="63">
        <v>-3.8300000000000001E-2</v>
      </c>
      <c r="E34" s="63">
        <v>7.4207999999999996E-2</v>
      </c>
      <c r="F34" s="137">
        <v>45925.419675925928</v>
      </c>
      <c r="G34" s="63" t="str">
        <f t="shared" si="1"/>
        <v xml:space="preserve"> 7</v>
      </c>
      <c r="H34" s="63" t="s">
        <v>914</v>
      </c>
      <c r="I34" s="63" t="s">
        <v>867</v>
      </c>
      <c r="J34" s="63" t="s">
        <v>659</v>
      </c>
      <c r="K34" s="63">
        <v>2.9569999999999999</v>
      </c>
      <c r="L34" s="63">
        <v>0.21241399999999999</v>
      </c>
      <c r="M34" s="137">
        <v>45925.509398148148</v>
      </c>
      <c r="N34" s="63"/>
      <c r="O34" s="63" t="s">
        <v>914</v>
      </c>
      <c r="P34" s="63" t="s">
        <v>902</v>
      </c>
      <c r="Q34" s="63" t="s">
        <v>673</v>
      </c>
      <c r="R34" s="63">
        <v>-3.0000000000000001E-3</v>
      </c>
      <c r="S34" s="63">
        <v>1.4760000000000001E-3</v>
      </c>
      <c r="T34" s="137">
        <v>45925.582314814812</v>
      </c>
      <c r="V34" s="119" t="s">
        <v>717</v>
      </c>
      <c r="W34" s="26" t="s">
        <v>882</v>
      </c>
      <c r="X34" s="26">
        <v>-3.4700000000000002E-2</v>
      </c>
      <c r="Y34" s="26">
        <v>0.80700000000000005</v>
      </c>
      <c r="Z34" s="26">
        <v>3.0000000000000001E-3</v>
      </c>
    </row>
    <row r="35" spans="1:26" x14ac:dyDescent="0.25">
      <c r="A35" s="63" t="s">
        <v>915</v>
      </c>
      <c r="B35" s="63" t="s">
        <v>658</v>
      </c>
      <c r="C35" s="63" t="s">
        <v>659</v>
      </c>
      <c r="D35" s="63">
        <v>-3.7600000000000001E-2</v>
      </c>
      <c r="E35" s="63">
        <v>7.4542999999999998E-2</v>
      </c>
      <c r="F35" s="137">
        <v>45925.421203703707</v>
      </c>
      <c r="G35" s="63" t="str">
        <f t="shared" si="1"/>
        <v xml:space="preserve"> 8</v>
      </c>
      <c r="H35" s="63" t="s">
        <v>915</v>
      </c>
      <c r="I35" s="63" t="s">
        <v>867</v>
      </c>
      <c r="J35" s="63" t="s">
        <v>659</v>
      </c>
      <c r="K35" s="63">
        <v>2.8109999999999999</v>
      </c>
      <c r="L35" s="63">
        <v>0.20329700000000001</v>
      </c>
      <c r="M35" s="137">
        <v>45925.511006944442</v>
      </c>
      <c r="N35" s="63"/>
      <c r="O35" s="63" t="s">
        <v>915</v>
      </c>
      <c r="P35" s="63" t="s">
        <v>902</v>
      </c>
      <c r="Q35" s="63" t="s">
        <v>673</v>
      </c>
      <c r="R35" s="63">
        <v>-4.0000000000000001E-3</v>
      </c>
      <c r="S35" s="63">
        <v>1.152E-3</v>
      </c>
      <c r="T35" s="137">
        <v>45925.583252314813</v>
      </c>
      <c r="V35" s="119" t="s">
        <v>718</v>
      </c>
      <c r="W35" s="26" t="s">
        <v>883</v>
      </c>
      <c r="X35" s="26">
        <v>-3.6200000000000003E-2</v>
      </c>
      <c r="Y35" s="26">
        <v>0.436</v>
      </c>
      <c r="Z35" s="26">
        <v>2E-3</v>
      </c>
    </row>
    <row r="36" spans="1:26" x14ac:dyDescent="0.25">
      <c r="A36" s="63" t="s">
        <v>916</v>
      </c>
      <c r="B36" s="63" t="s">
        <v>658</v>
      </c>
      <c r="C36" s="63" t="s">
        <v>659</v>
      </c>
      <c r="D36" s="63">
        <v>-3.6999999999999998E-2</v>
      </c>
      <c r="E36" s="63">
        <v>7.4879000000000001E-2</v>
      </c>
      <c r="F36" s="137">
        <v>45925.422731481478</v>
      </c>
      <c r="G36" s="63" t="str">
        <f t="shared" si="1"/>
        <v xml:space="preserve"> 9</v>
      </c>
      <c r="H36" s="63" t="s">
        <v>916</v>
      </c>
      <c r="I36" s="63" t="s">
        <v>867</v>
      </c>
      <c r="J36" s="63" t="s">
        <v>659</v>
      </c>
      <c r="K36" s="63">
        <v>3.8530000000000002</v>
      </c>
      <c r="L36" s="63">
        <v>0.268322</v>
      </c>
      <c r="M36" s="137">
        <v>45925.512615740743</v>
      </c>
      <c r="N36" s="63"/>
      <c r="O36" s="63" t="s">
        <v>916</v>
      </c>
      <c r="P36" s="63" t="s">
        <v>902</v>
      </c>
      <c r="Q36" s="63" t="s">
        <v>673</v>
      </c>
      <c r="R36" s="63">
        <v>-4.0000000000000001E-3</v>
      </c>
      <c r="S36" s="63">
        <v>1.227E-3</v>
      </c>
      <c r="T36" s="137">
        <v>45925.584178240744</v>
      </c>
      <c r="V36" s="119" t="s">
        <v>719</v>
      </c>
      <c r="W36" s="26" t="s">
        <v>906</v>
      </c>
      <c r="X36" s="26">
        <v>-2.35E-2</v>
      </c>
      <c r="Y36" s="26">
        <v>4.1449999999999996</v>
      </c>
      <c r="Z36" s="26">
        <v>-4.0000000000000001E-3</v>
      </c>
    </row>
    <row r="37" spans="1:26" x14ac:dyDescent="0.25">
      <c r="A37" s="63" t="s">
        <v>917</v>
      </c>
      <c r="B37" s="63" t="s">
        <v>658</v>
      </c>
      <c r="C37" s="63" t="s">
        <v>659</v>
      </c>
      <c r="D37" s="63">
        <v>-3.49E-2</v>
      </c>
      <c r="E37" s="63">
        <v>7.5990000000000002E-2</v>
      </c>
      <c r="F37" s="137">
        <v>45925.424259259256</v>
      </c>
      <c r="G37" s="63" t="str">
        <f t="shared" si="1"/>
        <v>10</v>
      </c>
      <c r="H37" s="63" t="s">
        <v>917</v>
      </c>
      <c r="I37" s="63" t="s">
        <v>867</v>
      </c>
      <c r="J37" s="63" t="s">
        <v>659</v>
      </c>
      <c r="K37" s="63">
        <v>3.15</v>
      </c>
      <c r="L37" s="63">
        <v>0.224436</v>
      </c>
      <c r="M37" s="137">
        <v>45925.517453703702</v>
      </c>
      <c r="N37" s="63"/>
      <c r="O37" s="63" t="s">
        <v>917</v>
      </c>
      <c r="P37" s="63" t="s">
        <v>902</v>
      </c>
      <c r="Q37" s="63" t="s">
        <v>673</v>
      </c>
      <c r="R37" s="63">
        <v>-4.0000000000000001E-3</v>
      </c>
      <c r="S37" s="63">
        <v>1.023E-3</v>
      </c>
      <c r="T37" s="137">
        <v>45925.585104166668</v>
      </c>
      <c r="V37" s="119" t="s">
        <v>720</v>
      </c>
      <c r="W37" s="26" t="s">
        <v>907</v>
      </c>
      <c r="X37" s="26">
        <v>-2.9600000000000001E-2</v>
      </c>
      <c r="Y37" s="26">
        <v>4.5599999999999996</v>
      </c>
      <c r="Z37" s="26">
        <v>-5.0000000000000001E-3</v>
      </c>
    </row>
    <row r="38" spans="1:26" x14ac:dyDescent="0.25">
      <c r="A38" s="63" t="s">
        <v>918</v>
      </c>
      <c r="B38" s="63" t="s">
        <v>658</v>
      </c>
      <c r="C38" s="63" t="s">
        <v>659</v>
      </c>
      <c r="D38" s="63">
        <v>-1.9800000000000002E-2</v>
      </c>
      <c r="E38" s="63">
        <v>8.3942000000000003E-2</v>
      </c>
      <c r="F38" s="137">
        <v>45925.428819444445</v>
      </c>
      <c r="G38" s="63" t="str">
        <f t="shared" si="1"/>
        <v>11</v>
      </c>
      <c r="H38" s="63" t="s">
        <v>918</v>
      </c>
      <c r="I38" s="63" t="s">
        <v>867</v>
      </c>
      <c r="J38" s="63" t="s">
        <v>659</v>
      </c>
      <c r="K38" s="63">
        <v>3.867</v>
      </c>
      <c r="L38" s="63">
        <v>0.26922400000000002</v>
      </c>
      <c r="M38" s="137">
        <v>45925.519074074073</v>
      </c>
      <c r="N38" s="63"/>
      <c r="O38" s="63" t="s">
        <v>918</v>
      </c>
      <c r="P38" s="63" t="s">
        <v>902</v>
      </c>
      <c r="Q38" s="63" t="s">
        <v>673</v>
      </c>
      <c r="R38" s="63">
        <v>-5.0000000000000001E-3</v>
      </c>
      <c r="S38" s="63">
        <v>9.3700000000000001E-4</v>
      </c>
      <c r="T38" s="137">
        <v>45925.587881944448</v>
      </c>
      <c r="V38" s="119" t="s">
        <v>721</v>
      </c>
      <c r="W38" s="26" t="s">
        <v>884</v>
      </c>
      <c r="X38" s="26">
        <v>-3.4299999999999997E-2</v>
      </c>
      <c r="Y38" s="26">
        <v>4.7859999999999996</v>
      </c>
      <c r="Z38" s="26">
        <v>1E-3</v>
      </c>
    </row>
    <row r="39" spans="1:26" x14ac:dyDescent="0.25">
      <c r="A39" s="63" t="s">
        <v>919</v>
      </c>
      <c r="B39" s="63" t="s">
        <v>658</v>
      </c>
      <c r="C39" s="63" t="s">
        <v>659</v>
      </c>
      <c r="D39" s="63">
        <v>-3.4700000000000002E-2</v>
      </c>
      <c r="E39" s="63">
        <v>7.6113E-2</v>
      </c>
      <c r="F39" s="137">
        <v>45925.430335648147</v>
      </c>
      <c r="G39" s="63" t="str">
        <f t="shared" si="1"/>
        <v>12</v>
      </c>
      <c r="H39" s="63" t="s">
        <v>919</v>
      </c>
      <c r="I39" s="63" t="s">
        <v>867</v>
      </c>
      <c r="J39" s="63" t="s">
        <v>659</v>
      </c>
      <c r="K39" s="63">
        <v>4.0540000000000003</v>
      </c>
      <c r="L39" s="63">
        <v>0.28085599999999999</v>
      </c>
      <c r="M39" s="137">
        <v>45925.520682870374</v>
      </c>
      <c r="N39" s="63"/>
      <c r="O39" s="63" t="s">
        <v>919</v>
      </c>
      <c r="P39" s="63" t="s">
        <v>902</v>
      </c>
      <c r="Q39" s="63" t="s">
        <v>673</v>
      </c>
      <c r="R39" s="63">
        <v>-4.0000000000000001E-3</v>
      </c>
      <c r="S39" s="63">
        <v>1.163E-3</v>
      </c>
      <c r="T39" s="137">
        <v>45925.588807870372</v>
      </c>
      <c r="V39" s="119" t="s">
        <v>722</v>
      </c>
      <c r="W39" s="26" t="s">
        <v>908</v>
      </c>
      <c r="X39" s="26">
        <v>-3.6499999999999998E-2</v>
      </c>
      <c r="Y39" s="26">
        <v>4.5819999999999999</v>
      </c>
      <c r="Z39" s="26">
        <v>-5.0000000000000001E-3</v>
      </c>
    </row>
    <row r="40" spans="1:26" x14ac:dyDescent="0.25">
      <c r="A40" s="63" t="s">
        <v>920</v>
      </c>
      <c r="B40" s="63" t="s">
        <v>658</v>
      </c>
      <c r="C40" s="63" t="s">
        <v>659</v>
      </c>
      <c r="D40" s="63">
        <v>-3.2800000000000003E-2</v>
      </c>
      <c r="E40" s="63">
        <v>7.7104000000000006E-2</v>
      </c>
      <c r="F40" s="137">
        <v>45925.431863425925</v>
      </c>
      <c r="G40" s="63" t="str">
        <f t="shared" si="1"/>
        <v>13</v>
      </c>
      <c r="H40" s="63" t="s">
        <v>920</v>
      </c>
      <c r="I40" s="63" t="s">
        <v>867</v>
      </c>
      <c r="J40" s="63" t="s">
        <v>659</v>
      </c>
      <c r="K40" s="63">
        <v>1.593</v>
      </c>
      <c r="L40" s="63">
        <v>0.12729799999999999</v>
      </c>
      <c r="M40" s="137">
        <v>45925.522291666668</v>
      </c>
      <c r="N40" s="63"/>
      <c r="O40" s="63" t="s">
        <v>920</v>
      </c>
      <c r="P40" s="63" t="s">
        <v>902</v>
      </c>
      <c r="Q40" s="63" t="s">
        <v>673</v>
      </c>
      <c r="R40" s="63">
        <v>1.2999999999999999E-2</v>
      </c>
      <c r="S40" s="63">
        <v>7.1780000000000004E-3</v>
      </c>
      <c r="T40" s="137">
        <v>45925.589733796296</v>
      </c>
      <c r="V40" s="119" t="s">
        <v>723</v>
      </c>
      <c r="W40" s="26" t="s">
        <v>885</v>
      </c>
      <c r="X40" s="26">
        <v>-2.2800000000000001E-2</v>
      </c>
      <c r="Y40" s="26">
        <v>4.3689999999999998</v>
      </c>
      <c r="Z40" s="26">
        <v>0</v>
      </c>
    </row>
    <row r="41" spans="1:26" x14ac:dyDescent="0.25">
      <c r="A41" s="63" t="s">
        <v>921</v>
      </c>
      <c r="B41" s="63" t="s">
        <v>658</v>
      </c>
      <c r="C41" s="63" t="s">
        <v>659</v>
      </c>
      <c r="D41" s="63">
        <v>-0.04</v>
      </c>
      <c r="E41" s="63">
        <v>7.3284000000000002E-2</v>
      </c>
      <c r="F41" s="137">
        <v>45925.433379629627</v>
      </c>
      <c r="G41" s="63" t="str">
        <f t="shared" si="1"/>
        <v>14</v>
      </c>
      <c r="H41" s="63" t="s">
        <v>921</v>
      </c>
      <c r="I41" s="63" t="s">
        <v>867</v>
      </c>
      <c r="J41" s="63" t="s">
        <v>659</v>
      </c>
      <c r="K41" s="63">
        <v>4.173</v>
      </c>
      <c r="L41" s="63">
        <v>0.288323</v>
      </c>
      <c r="M41" s="137">
        <v>45925.523912037039</v>
      </c>
      <c r="N41" s="63"/>
      <c r="O41" s="63" t="s">
        <v>921</v>
      </c>
      <c r="P41" s="63" t="s">
        <v>902</v>
      </c>
      <c r="Q41" s="63" t="s">
        <v>673</v>
      </c>
      <c r="R41" s="63">
        <v>-3.0000000000000001E-3</v>
      </c>
      <c r="S41" s="63">
        <v>1.325E-3</v>
      </c>
      <c r="T41" s="137">
        <v>45925.59065972222</v>
      </c>
      <c r="V41" s="119" t="s">
        <v>724</v>
      </c>
      <c r="W41" s="26" t="s">
        <v>886</v>
      </c>
      <c r="X41" s="26">
        <v>-3.7499999999999999E-2</v>
      </c>
      <c r="Y41" s="26">
        <v>4.952</v>
      </c>
      <c r="Z41" s="26">
        <v>0</v>
      </c>
    </row>
    <row r="42" spans="1:26" x14ac:dyDescent="0.25">
      <c r="A42" s="63" t="s">
        <v>922</v>
      </c>
      <c r="B42" s="63" t="s">
        <v>658</v>
      </c>
      <c r="C42" s="63" t="s">
        <v>659</v>
      </c>
      <c r="D42" s="63">
        <v>-3.3599999999999998E-2</v>
      </c>
      <c r="E42" s="63">
        <v>7.6644000000000004E-2</v>
      </c>
      <c r="F42" s="137">
        <v>45925.434895833336</v>
      </c>
      <c r="G42" s="63" t="str">
        <f t="shared" si="1"/>
        <v>15</v>
      </c>
      <c r="H42" s="63" t="s">
        <v>922</v>
      </c>
      <c r="I42" s="63" t="s">
        <v>867</v>
      </c>
      <c r="J42" s="63" t="s">
        <v>659</v>
      </c>
      <c r="K42" s="63">
        <v>1.833</v>
      </c>
      <c r="L42" s="63">
        <v>0.14229800000000001</v>
      </c>
      <c r="M42" s="137">
        <v>45925.525520833333</v>
      </c>
      <c r="N42" s="63"/>
      <c r="O42" s="63" t="s">
        <v>922</v>
      </c>
      <c r="P42" s="63" t="s">
        <v>902</v>
      </c>
      <c r="Q42" s="63" t="s">
        <v>673</v>
      </c>
      <c r="R42" s="63">
        <v>3.0000000000000001E-3</v>
      </c>
      <c r="S42" s="63">
        <v>3.7360000000000002E-3</v>
      </c>
      <c r="T42" s="137">
        <v>45925.591574074075</v>
      </c>
      <c r="V42" s="119" t="s">
        <v>725</v>
      </c>
      <c r="W42" s="26" t="s">
        <v>909</v>
      </c>
      <c r="X42" s="26">
        <v>-3.6600000000000001E-2</v>
      </c>
      <c r="Y42" s="26">
        <v>0.32700000000000001</v>
      </c>
      <c r="Z42" s="26">
        <v>-4.0000000000000001E-3</v>
      </c>
    </row>
    <row r="43" spans="1:26" x14ac:dyDescent="0.25">
      <c r="A43" s="63" t="s">
        <v>889</v>
      </c>
      <c r="B43" s="63" t="s">
        <v>658</v>
      </c>
      <c r="C43" s="63" t="s">
        <v>659</v>
      </c>
      <c r="D43" s="63">
        <v>-4.0800000000000003E-2</v>
      </c>
      <c r="E43" s="63">
        <v>7.2877999999999998E-2</v>
      </c>
      <c r="F43" s="137">
        <v>45925.733923611115</v>
      </c>
      <c r="G43" s="63" t="str">
        <f t="shared" si="1"/>
        <v>16</v>
      </c>
      <c r="H43" s="63" t="s">
        <v>889</v>
      </c>
      <c r="I43" s="63" t="s">
        <v>867</v>
      </c>
      <c r="J43" s="63" t="s">
        <v>659</v>
      </c>
      <c r="K43" s="63">
        <v>1.464</v>
      </c>
      <c r="L43" s="63">
        <v>0.119242</v>
      </c>
      <c r="M43" s="137">
        <v>45925.809791666667</v>
      </c>
      <c r="N43" s="63"/>
      <c r="O43" s="63" t="s">
        <v>889</v>
      </c>
      <c r="P43" s="63" t="s">
        <v>902</v>
      </c>
      <c r="Q43" s="63" t="s">
        <v>673</v>
      </c>
      <c r="R43" s="63">
        <v>1.7999999999999999E-2</v>
      </c>
      <c r="S43" s="63">
        <v>7.0429999999999998E-3</v>
      </c>
      <c r="T43" s="137">
        <v>45926.430567129632</v>
      </c>
      <c r="V43" s="122" t="s">
        <v>726</v>
      </c>
      <c r="W43" s="29" t="s">
        <v>952</v>
      </c>
      <c r="X43" s="29">
        <v>-3.5799999999999998E-2</v>
      </c>
      <c r="Y43" s="29">
        <v>-0.219</v>
      </c>
      <c r="Z43" s="29">
        <v>4.0000000000000001E-3</v>
      </c>
    </row>
    <row r="44" spans="1:26" x14ac:dyDescent="0.25">
      <c r="A44" s="29" t="s">
        <v>962</v>
      </c>
      <c r="B44" s="29" t="s">
        <v>658</v>
      </c>
      <c r="C44" s="29" t="s">
        <v>659</v>
      </c>
      <c r="D44" s="29">
        <v>-5.7000000000000002E-2</v>
      </c>
      <c r="E44" s="29">
        <v>8.3196999999999993E-2</v>
      </c>
      <c r="F44" s="138">
        <v>45930.725266203706</v>
      </c>
      <c r="G44" s="29" t="str">
        <f t="shared" si="1"/>
        <v xml:space="preserve"> 1</v>
      </c>
      <c r="H44" s="29" t="s">
        <v>962</v>
      </c>
      <c r="I44" s="29" t="s">
        <v>867</v>
      </c>
      <c r="J44" s="29" t="s">
        <v>659</v>
      </c>
      <c r="K44" s="29">
        <v>2.9279999999999999</v>
      </c>
      <c r="L44" s="29">
        <v>0.19833600000000001</v>
      </c>
      <c r="M44" s="138">
        <v>45930.782048611109</v>
      </c>
      <c r="N44" s="29"/>
      <c r="O44" s="29" t="s">
        <v>962</v>
      </c>
      <c r="P44" s="29" t="s">
        <v>902</v>
      </c>
      <c r="Q44" s="29" t="s">
        <v>673</v>
      </c>
      <c r="R44" s="29">
        <v>3.0000000000000001E-3</v>
      </c>
      <c r="S44" s="29">
        <v>9.0899999999999998E-4</v>
      </c>
      <c r="T44" s="138">
        <v>45930.822789351849</v>
      </c>
      <c r="V44" s="122" t="s">
        <v>727</v>
      </c>
      <c r="W44" s="29" t="s">
        <v>953</v>
      </c>
      <c r="X44" s="29">
        <v>-1.6400000000000001E-2</v>
      </c>
      <c r="Y44" s="29">
        <v>1.171</v>
      </c>
      <c r="Z44" s="29">
        <v>1.2999999999999999E-2</v>
      </c>
    </row>
    <row r="45" spans="1:26" x14ac:dyDescent="0.25">
      <c r="A45" s="29" t="s">
        <v>963</v>
      </c>
      <c r="B45" s="29" t="s">
        <v>658</v>
      </c>
      <c r="C45" s="29" t="s">
        <v>659</v>
      </c>
      <c r="D45" s="29">
        <v>-5.8799999999999998E-2</v>
      </c>
      <c r="E45" s="29">
        <v>8.2335000000000005E-2</v>
      </c>
      <c r="F45" s="138">
        <v>45930.726793981485</v>
      </c>
      <c r="G45" s="29" t="str">
        <f t="shared" si="1"/>
        <v xml:space="preserve"> 2</v>
      </c>
      <c r="H45" s="29" t="s">
        <v>963</v>
      </c>
      <c r="I45" s="29" t="s">
        <v>867</v>
      </c>
      <c r="J45" s="29" t="s">
        <v>659</v>
      </c>
      <c r="K45" s="29">
        <v>2.2400000000000002</v>
      </c>
      <c r="L45" s="29">
        <v>0.155809</v>
      </c>
      <c r="M45" s="138">
        <v>45930.783645833333</v>
      </c>
      <c r="N45" s="29"/>
      <c r="O45" s="29" t="s">
        <v>963</v>
      </c>
      <c r="P45" s="29" t="s">
        <v>902</v>
      </c>
      <c r="Q45" s="29" t="s">
        <v>673</v>
      </c>
      <c r="R45" s="29">
        <v>1.4E-2</v>
      </c>
      <c r="S45" s="29">
        <v>4.5970000000000004E-3</v>
      </c>
      <c r="T45" s="138">
        <v>45930.82371527778</v>
      </c>
      <c r="V45" s="122" t="s">
        <v>728</v>
      </c>
      <c r="W45" s="29" t="s">
        <v>954</v>
      </c>
      <c r="X45" s="29">
        <v>-7.0000000000000001E-3</v>
      </c>
      <c r="Y45" s="29">
        <v>1.1859999999999999</v>
      </c>
      <c r="Z45" s="29">
        <v>3.4000000000000002E-2</v>
      </c>
    </row>
    <row r="46" spans="1:26" x14ac:dyDescent="0.25">
      <c r="A46" s="29" t="s">
        <v>964</v>
      </c>
      <c r="B46" s="29" t="s">
        <v>658</v>
      </c>
      <c r="C46" s="29" t="s">
        <v>659</v>
      </c>
      <c r="D46" s="29">
        <v>-6.4299999999999996E-2</v>
      </c>
      <c r="E46" s="29">
        <v>7.9738000000000003E-2</v>
      </c>
      <c r="F46" s="138">
        <v>45930.728321759256</v>
      </c>
      <c r="G46" s="29" t="str">
        <f t="shared" si="1"/>
        <v xml:space="preserve"> 3</v>
      </c>
      <c r="H46" s="29" t="s">
        <v>964</v>
      </c>
      <c r="I46" s="29" t="s">
        <v>867</v>
      </c>
      <c r="J46" s="29" t="s">
        <v>659</v>
      </c>
      <c r="K46" s="29">
        <v>2.2080000000000002</v>
      </c>
      <c r="L46" s="29">
        <v>0.153804</v>
      </c>
      <c r="M46" s="138">
        <v>45930.785254629627</v>
      </c>
      <c r="N46" s="29"/>
      <c r="O46" s="29" t="s">
        <v>964</v>
      </c>
      <c r="P46" s="29" t="s">
        <v>902</v>
      </c>
      <c r="Q46" s="29" t="s">
        <v>673</v>
      </c>
      <c r="R46" s="29">
        <v>3.0000000000000001E-3</v>
      </c>
      <c r="S46" s="29">
        <v>8.34E-4</v>
      </c>
      <c r="T46" s="138">
        <v>45930.824641203704</v>
      </c>
      <c r="V46" s="122" t="s">
        <v>729</v>
      </c>
      <c r="W46" s="29" t="s">
        <v>955</v>
      </c>
      <c r="X46" s="29">
        <v>-3.3500000000000002E-2</v>
      </c>
      <c r="Y46" s="29">
        <v>0.755</v>
      </c>
      <c r="Z46" s="29">
        <v>6.0000000000000001E-3</v>
      </c>
    </row>
    <row r="47" spans="1:26" x14ac:dyDescent="0.25">
      <c r="A47" s="29" t="s">
        <v>965</v>
      </c>
      <c r="B47" s="29" t="s">
        <v>658</v>
      </c>
      <c r="C47" s="29" t="s">
        <v>659</v>
      </c>
      <c r="D47" s="29">
        <v>-4.3700000000000003E-2</v>
      </c>
      <c r="E47" s="29">
        <v>8.9480000000000004E-2</v>
      </c>
      <c r="F47" s="138">
        <v>45930.729861111111</v>
      </c>
      <c r="G47" s="29" t="str">
        <f t="shared" ref="G47:G78" si="2">RIGHT(H47, 2)</f>
        <v xml:space="preserve"> 4</v>
      </c>
      <c r="H47" s="29" t="s">
        <v>965</v>
      </c>
      <c r="I47" s="29" t="s">
        <v>867</v>
      </c>
      <c r="J47" s="29" t="s">
        <v>659</v>
      </c>
      <c r="K47" s="29">
        <v>1.9319999999999999</v>
      </c>
      <c r="L47" s="29">
        <v>0.13671900000000001</v>
      </c>
      <c r="M47" s="138">
        <v>45930.786863425928</v>
      </c>
      <c r="N47" s="29"/>
      <c r="O47" s="29" t="s">
        <v>965</v>
      </c>
      <c r="P47" s="29" t="s">
        <v>902</v>
      </c>
      <c r="Q47" s="29" t="s">
        <v>673</v>
      </c>
      <c r="R47" s="29">
        <v>4.0000000000000001E-3</v>
      </c>
      <c r="S47" s="29">
        <v>1.2880000000000001E-3</v>
      </c>
      <c r="T47" s="138">
        <v>45930.825567129628</v>
      </c>
      <c r="V47" s="122" t="s">
        <v>730</v>
      </c>
      <c r="W47" s="29" t="s">
        <v>956</v>
      </c>
      <c r="X47" s="29">
        <v>-2.8799999999999999E-2</v>
      </c>
      <c r="Y47" s="29">
        <v>0.78800000000000003</v>
      </c>
      <c r="Z47" s="29">
        <v>1.2E-2</v>
      </c>
    </row>
    <row r="48" spans="1:26" x14ac:dyDescent="0.25">
      <c r="A48" s="29" t="s">
        <v>966</v>
      </c>
      <c r="B48" s="29" t="s">
        <v>658</v>
      </c>
      <c r="C48" s="29" t="s">
        <v>659</v>
      </c>
      <c r="D48" s="29">
        <v>-6.4000000000000001E-2</v>
      </c>
      <c r="E48" s="29">
        <v>7.9862000000000002E-2</v>
      </c>
      <c r="F48" s="138">
        <v>45930.731388888889</v>
      </c>
      <c r="G48" s="29" t="str">
        <f t="shared" si="2"/>
        <v xml:space="preserve"> 5</v>
      </c>
      <c r="H48" s="29" t="s">
        <v>966</v>
      </c>
      <c r="I48" s="29" t="s">
        <v>867</v>
      </c>
      <c r="J48" s="29" t="s">
        <v>659</v>
      </c>
      <c r="K48" s="29">
        <v>1.5820000000000001</v>
      </c>
      <c r="L48" s="29">
        <v>0.115102</v>
      </c>
      <c r="M48" s="138">
        <v>45930.788460648146</v>
      </c>
      <c r="N48" s="29"/>
      <c r="O48" s="29" t="s">
        <v>966</v>
      </c>
      <c r="P48" s="29" t="s">
        <v>902</v>
      </c>
      <c r="Q48" s="29" t="s">
        <v>673</v>
      </c>
      <c r="R48" s="29">
        <v>3.0000000000000001E-3</v>
      </c>
      <c r="S48" s="29">
        <v>8.0099999999999995E-4</v>
      </c>
      <c r="T48" s="138">
        <v>45930.826493055552</v>
      </c>
      <c r="V48" s="122" t="s">
        <v>731</v>
      </c>
      <c r="W48" s="29" t="s">
        <v>957</v>
      </c>
      <c r="X48" s="29">
        <v>2.3300000000000001E-2</v>
      </c>
      <c r="Y48" s="29">
        <v>0.76300000000000001</v>
      </c>
      <c r="Z48" s="29">
        <v>2.9000000000000001E-2</v>
      </c>
    </row>
    <row r="49" spans="1:26" x14ac:dyDescent="0.25">
      <c r="A49" s="29" t="s">
        <v>967</v>
      </c>
      <c r="B49" s="29" t="s">
        <v>658</v>
      </c>
      <c r="C49" s="29" t="s">
        <v>659</v>
      </c>
      <c r="D49" s="29">
        <v>-6.6600000000000006E-2</v>
      </c>
      <c r="E49" s="29">
        <v>7.8635999999999998E-2</v>
      </c>
      <c r="F49" s="138">
        <v>45930.732916666668</v>
      </c>
      <c r="G49" s="29" t="str">
        <f t="shared" si="2"/>
        <v xml:space="preserve"> 6</v>
      </c>
      <c r="H49" s="29" t="s">
        <v>967</v>
      </c>
      <c r="I49" s="29" t="s">
        <v>867</v>
      </c>
      <c r="J49" s="29" t="s">
        <v>659</v>
      </c>
      <c r="K49" s="29">
        <v>1.5069999999999999</v>
      </c>
      <c r="L49" s="29">
        <v>0.110416</v>
      </c>
      <c r="M49" s="138">
        <v>45930.790092592593</v>
      </c>
      <c r="N49" s="29"/>
      <c r="O49" s="29" t="s">
        <v>967</v>
      </c>
      <c r="P49" s="29" t="s">
        <v>902</v>
      </c>
      <c r="Q49" s="29" t="s">
        <v>673</v>
      </c>
      <c r="R49" s="29">
        <v>6.0000000000000001E-3</v>
      </c>
      <c r="S49" s="29">
        <v>1.854E-3</v>
      </c>
      <c r="T49" s="138">
        <v>45930.82744212963</v>
      </c>
      <c r="V49" s="122" t="s">
        <v>732</v>
      </c>
      <c r="W49" s="29" t="s">
        <v>958</v>
      </c>
      <c r="X49" s="29">
        <v>-1.7500000000000002E-2</v>
      </c>
      <c r="Y49" s="29">
        <v>0.75800000000000001</v>
      </c>
      <c r="Z49" s="29">
        <v>1.7999999999999999E-2</v>
      </c>
    </row>
    <row r="50" spans="1:26" x14ac:dyDescent="0.25">
      <c r="A50" s="29" t="s">
        <v>968</v>
      </c>
      <c r="B50" s="29" t="s">
        <v>658</v>
      </c>
      <c r="C50" s="29" t="s">
        <v>659</v>
      </c>
      <c r="D50" s="29">
        <v>-5.9400000000000001E-2</v>
      </c>
      <c r="E50" s="29">
        <v>8.2064999999999999E-2</v>
      </c>
      <c r="F50" s="138">
        <v>45930.734456018516</v>
      </c>
      <c r="G50" s="29" t="str">
        <f t="shared" si="2"/>
        <v xml:space="preserve"> 7</v>
      </c>
      <c r="H50" s="29" t="s">
        <v>968</v>
      </c>
      <c r="I50" s="29" t="s">
        <v>867</v>
      </c>
      <c r="J50" s="29" t="s">
        <v>659</v>
      </c>
      <c r="K50" s="29">
        <v>2.964</v>
      </c>
      <c r="L50" s="29">
        <v>0.200595</v>
      </c>
      <c r="M50" s="138">
        <v>45930.791712962964</v>
      </c>
      <c r="N50" s="29"/>
      <c r="O50" s="29" t="s">
        <v>968</v>
      </c>
      <c r="P50" s="29" t="s">
        <v>902</v>
      </c>
      <c r="Q50" s="29" t="s">
        <v>673</v>
      </c>
      <c r="R50" s="29">
        <v>4.0000000000000001E-3</v>
      </c>
      <c r="S50" s="29">
        <v>1.224E-3</v>
      </c>
      <c r="T50" s="138">
        <v>45930.8283912037</v>
      </c>
      <c r="V50" s="122" t="s">
        <v>733</v>
      </c>
      <c r="W50" s="29" t="s">
        <v>959</v>
      </c>
      <c r="X50" s="29">
        <v>-2.8899999999999999E-2</v>
      </c>
      <c r="Y50" s="29">
        <v>0.88400000000000001</v>
      </c>
      <c r="Z50" s="29">
        <v>2.4E-2</v>
      </c>
    </row>
    <row r="51" spans="1:26" x14ac:dyDescent="0.25">
      <c r="A51" s="29" t="s">
        <v>969</v>
      </c>
      <c r="B51" s="29" t="s">
        <v>658</v>
      </c>
      <c r="C51" s="29" t="s">
        <v>659</v>
      </c>
      <c r="D51" s="29">
        <v>-6.54E-2</v>
      </c>
      <c r="E51" s="29">
        <v>7.9212000000000005E-2</v>
      </c>
      <c r="F51" s="138">
        <v>45930.735983796294</v>
      </c>
      <c r="G51" s="29" t="str">
        <f t="shared" si="2"/>
        <v xml:space="preserve"> 8</v>
      </c>
      <c r="H51" s="29" t="s">
        <v>969</v>
      </c>
      <c r="I51" s="29" t="s">
        <v>867</v>
      </c>
      <c r="J51" s="29" t="s">
        <v>659</v>
      </c>
      <c r="K51" s="29">
        <v>2.8679999999999999</v>
      </c>
      <c r="L51" s="29">
        <v>0.19463900000000001</v>
      </c>
      <c r="M51" s="138">
        <v>45930.793321759258</v>
      </c>
      <c r="N51" s="29"/>
      <c r="O51" s="29" t="s">
        <v>969</v>
      </c>
      <c r="P51" s="29" t="s">
        <v>902</v>
      </c>
      <c r="Q51" s="29" t="s">
        <v>673</v>
      </c>
      <c r="R51" s="29">
        <v>4.0000000000000001E-3</v>
      </c>
      <c r="S51" s="29">
        <v>1.072E-3</v>
      </c>
      <c r="T51" s="138">
        <v>45930.829317129632</v>
      </c>
      <c r="V51" s="122" t="s">
        <v>734</v>
      </c>
      <c r="W51" s="29" t="s">
        <v>960</v>
      </c>
      <c r="X51" s="29">
        <v>-2.4799999999999999E-2</v>
      </c>
      <c r="Y51" s="29">
        <v>0.78400000000000003</v>
      </c>
      <c r="Z51" s="29">
        <v>1.0999999999999999E-2</v>
      </c>
    </row>
    <row r="52" spans="1:26" x14ac:dyDescent="0.25">
      <c r="A52" s="29" t="s">
        <v>970</v>
      </c>
      <c r="B52" s="29" t="s">
        <v>658</v>
      </c>
      <c r="C52" s="29" t="s">
        <v>659</v>
      </c>
      <c r="D52" s="29">
        <v>-5.4100000000000002E-2</v>
      </c>
      <c r="E52" s="29">
        <v>8.4560999999999997E-2</v>
      </c>
      <c r="F52" s="138">
        <v>45930.737523148149</v>
      </c>
      <c r="G52" s="29" t="str">
        <f t="shared" si="2"/>
        <v xml:space="preserve"> 9</v>
      </c>
      <c r="H52" s="29" t="s">
        <v>970</v>
      </c>
      <c r="I52" s="29" t="s">
        <v>867</v>
      </c>
      <c r="J52" s="29" t="s">
        <v>659</v>
      </c>
      <c r="K52" s="29">
        <v>3.6619999999999999</v>
      </c>
      <c r="L52" s="29">
        <v>0.24379000000000001</v>
      </c>
      <c r="M52" s="138">
        <v>45930.794930555552</v>
      </c>
      <c r="N52" s="29"/>
      <c r="O52" s="29" t="s">
        <v>970</v>
      </c>
      <c r="P52" s="29" t="s">
        <v>902</v>
      </c>
      <c r="Q52" s="29" t="s">
        <v>673</v>
      </c>
      <c r="R52" s="29">
        <v>3.0000000000000001E-3</v>
      </c>
      <c r="S52" s="29">
        <v>8.9800000000000004E-4</v>
      </c>
      <c r="T52" s="138">
        <v>45930.830266203702</v>
      </c>
      <c r="V52" s="122" t="s">
        <v>735</v>
      </c>
      <c r="W52" s="29" t="s">
        <v>961</v>
      </c>
      <c r="X52" s="29">
        <v>-3.1899999999999998E-2</v>
      </c>
      <c r="Y52" s="29">
        <v>1.1120000000000001</v>
      </c>
      <c r="Z52" s="29">
        <v>1.4999999999999999E-2</v>
      </c>
    </row>
    <row r="53" spans="1:26" x14ac:dyDescent="0.25">
      <c r="A53" s="29" t="s">
        <v>971</v>
      </c>
      <c r="B53" s="29" t="s">
        <v>658</v>
      </c>
      <c r="C53" s="29" t="s">
        <v>659</v>
      </c>
      <c r="D53" s="29">
        <v>-6.1499999999999999E-2</v>
      </c>
      <c r="E53" s="29">
        <v>8.1070000000000003E-2</v>
      </c>
      <c r="F53" s="138">
        <v>45930.739062499997</v>
      </c>
      <c r="G53" s="29" t="str">
        <f t="shared" si="2"/>
        <v>10</v>
      </c>
      <c r="H53" s="29" t="s">
        <v>971</v>
      </c>
      <c r="I53" s="29" t="s">
        <v>867</v>
      </c>
      <c r="J53" s="29" t="s">
        <v>659</v>
      </c>
      <c r="K53" s="29">
        <v>3.2549999999999999</v>
      </c>
      <c r="L53" s="29">
        <v>0.21861800000000001</v>
      </c>
      <c r="M53" s="138">
        <v>45930.796550925923</v>
      </c>
      <c r="N53" s="29"/>
      <c r="O53" s="29" t="s">
        <v>971</v>
      </c>
      <c r="P53" s="29" t="s">
        <v>902</v>
      </c>
      <c r="Q53" s="29" t="s">
        <v>673</v>
      </c>
      <c r="R53" s="29">
        <v>3.0000000000000001E-3</v>
      </c>
      <c r="S53" s="29">
        <v>8.9899999999999995E-4</v>
      </c>
      <c r="T53" s="138">
        <v>45930.83121527778</v>
      </c>
      <c r="V53" s="119" t="s">
        <v>736</v>
      </c>
      <c r="W53" s="63" t="s">
        <v>910</v>
      </c>
      <c r="X53" s="63">
        <v>-4.0099999999999997E-2</v>
      </c>
      <c r="Y53" s="63">
        <v>2.9489999999999998</v>
      </c>
      <c r="Z53" s="63">
        <v>-1E-3</v>
      </c>
    </row>
    <row r="54" spans="1:26" x14ac:dyDescent="0.25">
      <c r="A54" s="29" t="s">
        <v>972</v>
      </c>
      <c r="B54" s="29" t="s">
        <v>658</v>
      </c>
      <c r="C54" s="29" t="s">
        <v>659</v>
      </c>
      <c r="D54" s="29">
        <v>-6.2E-2</v>
      </c>
      <c r="E54" s="29">
        <v>8.0833000000000002E-2</v>
      </c>
      <c r="F54" s="138">
        <v>45930.740590277775</v>
      </c>
      <c r="G54" s="29" t="str">
        <f t="shared" si="2"/>
        <v>11</v>
      </c>
      <c r="H54" s="29" t="s">
        <v>972</v>
      </c>
      <c r="I54" s="29" t="s">
        <v>867</v>
      </c>
      <c r="J54" s="29" t="s">
        <v>659</v>
      </c>
      <c r="K54" s="29">
        <v>3.3149999999999999</v>
      </c>
      <c r="L54" s="29">
        <v>0.22228200000000001</v>
      </c>
      <c r="M54" s="138">
        <v>45930.798182870371</v>
      </c>
      <c r="N54" s="29"/>
      <c r="O54" s="29" t="s">
        <v>972</v>
      </c>
      <c r="P54" s="29" t="s">
        <v>902</v>
      </c>
      <c r="Q54" s="29" t="s">
        <v>673</v>
      </c>
      <c r="R54" s="29">
        <v>2.5000000000000001E-2</v>
      </c>
      <c r="S54" s="29">
        <v>8.3599999999999994E-3</v>
      </c>
      <c r="T54" s="138">
        <v>45930.832013888888</v>
      </c>
      <c r="V54" s="119" t="s">
        <v>737</v>
      </c>
      <c r="W54" s="63" t="s">
        <v>887</v>
      </c>
      <c r="X54" s="63">
        <v>-4.2000000000000003E-2</v>
      </c>
      <c r="Y54" s="63">
        <v>2.0310000000000001</v>
      </c>
      <c r="Z54" s="63">
        <v>4.0000000000000001E-3</v>
      </c>
    </row>
    <row r="55" spans="1:26" x14ac:dyDescent="0.25">
      <c r="A55" s="29" t="s">
        <v>973</v>
      </c>
      <c r="B55" s="29" t="s">
        <v>658</v>
      </c>
      <c r="C55" s="29" t="s">
        <v>659</v>
      </c>
      <c r="D55" s="29">
        <v>-6.4500000000000002E-2</v>
      </c>
      <c r="E55" s="29">
        <v>7.9655000000000004E-2</v>
      </c>
      <c r="F55" s="138">
        <v>45930.7421412037</v>
      </c>
      <c r="G55" s="29" t="str">
        <f t="shared" si="2"/>
        <v>12</v>
      </c>
      <c r="H55" s="29" t="s">
        <v>973</v>
      </c>
      <c r="I55" s="29" t="s">
        <v>867</v>
      </c>
      <c r="J55" s="29" t="s">
        <v>659</v>
      </c>
      <c r="K55" s="29">
        <v>3.5489999999999999</v>
      </c>
      <c r="L55" s="29">
        <v>0.23675299999999999</v>
      </c>
      <c r="M55" s="138">
        <v>45930.798645833333</v>
      </c>
      <c r="N55" s="29"/>
      <c r="O55" s="29" t="s">
        <v>973</v>
      </c>
      <c r="P55" s="29" t="s">
        <v>902</v>
      </c>
      <c r="Q55" s="29" t="s">
        <v>673</v>
      </c>
      <c r="R55" s="29">
        <v>4.0000000000000001E-3</v>
      </c>
      <c r="S55" s="29">
        <v>1.1689999999999999E-3</v>
      </c>
      <c r="T55" s="138">
        <v>45930.832673611112</v>
      </c>
      <c r="V55" s="119" t="s">
        <v>738</v>
      </c>
      <c r="W55" s="63" t="s">
        <v>911</v>
      </c>
      <c r="X55" s="63">
        <v>-3.6999999999999998E-2</v>
      </c>
      <c r="Y55" s="63">
        <v>2.036</v>
      </c>
      <c r="Z55" s="63">
        <v>-1E-3</v>
      </c>
    </row>
    <row r="56" spans="1:26" x14ac:dyDescent="0.25">
      <c r="A56" s="29" t="s">
        <v>974</v>
      </c>
      <c r="B56" s="29" t="s">
        <v>658</v>
      </c>
      <c r="C56" s="29" t="s">
        <v>659</v>
      </c>
      <c r="D56" s="29">
        <v>-5.8599999999999999E-2</v>
      </c>
      <c r="E56" s="29">
        <v>8.2448999999999995E-2</v>
      </c>
      <c r="F56" s="138">
        <v>45930.743680555555</v>
      </c>
      <c r="G56" s="29" t="str">
        <f t="shared" si="2"/>
        <v>13</v>
      </c>
      <c r="H56" s="29" t="s">
        <v>974</v>
      </c>
      <c r="I56" s="29" t="s">
        <v>867</v>
      </c>
      <c r="J56" s="29" t="s">
        <v>659</v>
      </c>
      <c r="K56" s="29">
        <v>1.516</v>
      </c>
      <c r="L56" s="29">
        <v>0.11097600000000001</v>
      </c>
      <c r="M56" s="138">
        <v>45930.799513888887</v>
      </c>
      <c r="N56" s="29"/>
      <c r="O56" s="29" t="s">
        <v>974</v>
      </c>
      <c r="P56" s="29" t="s">
        <v>902</v>
      </c>
      <c r="Q56" s="29" t="s">
        <v>673</v>
      </c>
      <c r="R56" s="29">
        <v>2.1000000000000001E-2</v>
      </c>
      <c r="S56" s="29">
        <v>7.2059999999999997E-3</v>
      </c>
      <c r="T56" s="138">
        <v>45930.833321759259</v>
      </c>
      <c r="V56" s="119" t="s">
        <v>739</v>
      </c>
      <c r="W56" s="63" t="s">
        <v>888</v>
      </c>
      <c r="X56" s="63">
        <v>-2.92E-2</v>
      </c>
      <c r="Y56" s="63">
        <v>1.4870000000000001</v>
      </c>
      <c r="Z56" s="63">
        <v>6.0000000000000001E-3</v>
      </c>
    </row>
    <row r="57" spans="1:26" x14ac:dyDescent="0.25">
      <c r="A57" s="29" t="s">
        <v>975</v>
      </c>
      <c r="B57" s="29" t="s">
        <v>658</v>
      </c>
      <c r="C57" s="29" t="s">
        <v>659</v>
      </c>
      <c r="D57" s="29">
        <v>-5.67E-2</v>
      </c>
      <c r="E57" s="29">
        <v>8.3321000000000006E-2</v>
      </c>
      <c r="F57" s="138">
        <v>45930.744814814818</v>
      </c>
      <c r="G57" s="29" t="str">
        <f t="shared" si="2"/>
        <v>15</v>
      </c>
      <c r="H57" s="29" t="s">
        <v>975</v>
      </c>
      <c r="I57" s="29" t="s">
        <v>867</v>
      </c>
      <c r="J57" s="29" t="s">
        <v>659</v>
      </c>
      <c r="K57" s="29">
        <v>1.7789999999999999</v>
      </c>
      <c r="L57" s="29">
        <v>0.12728800000000001</v>
      </c>
      <c r="M57" s="138">
        <v>45930.800358796296</v>
      </c>
      <c r="N57" s="29"/>
      <c r="O57" s="29" t="s">
        <v>975</v>
      </c>
      <c r="P57" s="29" t="s">
        <v>902</v>
      </c>
      <c r="Q57" s="29" t="s">
        <v>673</v>
      </c>
      <c r="R57" s="29">
        <v>4.0000000000000001E-3</v>
      </c>
      <c r="S57" s="29">
        <v>1.018E-3</v>
      </c>
      <c r="T57" s="138">
        <v>45930.833981481483</v>
      </c>
      <c r="V57" s="119" t="s">
        <v>740</v>
      </c>
      <c r="W57" s="63" t="s">
        <v>912</v>
      </c>
      <c r="X57" s="63">
        <v>-4.3900000000000002E-2</v>
      </c>
      <c r="Y57" s="63">
        <v>1.528</v>
      </c>
      <c r="Z57" s="63">
        <v>6.0000000000000001E-3</v>
      </c>
    </row>
    <row r="58" spans="1:26" x14ac:dyDescent="0.25">
      <c r="A58" s="29" t="s">
        <v>976</v>
      </c>
      <c r="B58" s="29" t="s">
        <v>658</v>
      </c>
      <c r="C58" s="29" t="s">
        <v>659</v>
      </c>
      <c r="D58" s="29">
        <v>-5.5500000000000001E-2</v>
      </c>
      <c r="E58" s="29">
        <v>8.3904000000000006E-2</v>
      </c>
      <c r="F58" s="138">
        <v>45930.747847222221</v>
      </c>
      <c r="G58" s="29" t="str">
        <f t="shared" si="2"/>
        <v>17</v>
      </c>
      <c r="H58" s="29" t="s">
        <v>976</v>
      </c>
      <c r="I58" s="29" t="s">
        <v>867</v>
      </c>
      <c r="J58" s="29" t="s">
        <v>659</v>
      </c>
      <c r="K58" s="29">
        <v>2.3290000000000002</v>
      </c>
      <c r="L58" s="29">
        <v>0.16130800000000001</v>
      </c>
      <c r="M58" s="138">
        <v>45930.802974537037</v>
      </c>
      <c r="N58" s="29"/>
      <c r="O58" s="29" t="s">
        <v>976</v>
      </c>
      <c r="P58" s="29" t="s">
        <v>902</v>
      </c>
      <c r="Q58" s="29" t="s">
        <v>673</v>
      </c>
      <c r="R58" s="29">
        <v>4.0000000000000001E-3</v>
      </c>
      <c r="S58" s="29">
        <v>9.7400000000000004E-4</v>
      </c>
      <c r="T58" s="138">
        <v>45930.834641203706</v>
      </c>
      <c r="V58" s="119" t="s">
        <v>741</v>
      </c>
      <c r="W58" s="63" t="s">
        <v>913</v>
      </c>
      <c r="X58" s="63">
        <v>-3.4799999999999998E-2</v>
      </c>
      <c r="Y58" s="63">
        <v>1.7609999999999999</v>
      </c>
      <c r="Z58" s="63">
        <v>8.9999999999999993E-3</v>
      </c>
    </row>
    <row r="59" spans="1:26" x14ac:dyDescent="0.25">
      <c r="A59" s="26" t="s">
        <v>890</v>
      </c>
      <c r="B59" s="26" t="s">
        <v>658</v>
      </c>
      <c r="C59" s="26" t="s">
        <v>659</v>
      </c>
      <c r="D59" s="26">
        <v>-1.34E-2</v>
      </c>
      <c r="E59" s="26">
        <v>8.7291999999999995E-2</v>
      </c>
      <c r="F59" s="136">
        <v>45925.735439814816</v>
      </c>
      <c r="G59" s="26" t="str">
        <f t="shared" si="2"/>
        <v xml:space="preserve"> 1</v>
      </c>
      <c r="H59" s="26" t="s">
        <v>890</v>
      </c>
      <c r="I59" s="26" t="s">
        <v>867</v>
      </c>
      <c r="J59" s="26" t="s">
        <v>659</v>
      </c>
      <c r="K59" s="26">
        <v>2.3940000000000001</v>
      </c>
      <c r="L59" s="26">
        <v>0.17730099999999999</v>
      </c>
      <c r="M59" s="136">
        <v>45925.811400462961</v>
      </c>
      <c r="N59" s="26"/>
      <c r="O59" s="26" t="s">
        <v>890</v>
      </c>
      <c r="P59" s="26" t="s">
        <v>902</v>
      </c>
      <c r="Q59" s="26" t="s">
        <v>673</v>
      </c>
      <c r="R59" s="26">
        <v>0</v>
      </c>
      <c r="S59" s="26">
        <v>1.186E-3</v>
      </c>
      <c r="T59" s="136">
        <v>45926.431481481479</v>
      </c>
      <c r="V59" s="119" t="s">
        <v>742</v>
      </c>
      <c r="W59" s="63" t="s">
        <v>914</v>
      </c>
      <c r="X59" s="63">
        <v>-3.8300000000000001E-2</v>
      </c>
      <c r="Y59" s="63">
        <v>2.9569999999999999</v>
      </c>
      <c r="Z59" s="63">
        <v>-3.0000000000000001E-3</v>
      </c>
    </row>
    <row r="60" spans="1:26" x14ac:dyDescent="0.25">
      <c r="A60" s="26" t="s">
        <v>923</v>
      </c>
      <c r="B60" s="26" t="s">
        <v>658</v>
      </c>
      <c r="C60" s="26" t="s">
        <v>659</v>
      </c>
      <c r="D60" s="26">
        <v>-1.1900000000000001E-2</v>
      </c>
      <c r="E60" s="26">
        <v>8.8089000000000001E-2</v>
      </c>
      <c r="F60" s="136">
        <v>45925.436412037037</v>
      </c>
      <c r="G60" s="26" t="str">
        <f t="shared" si="2"/>
        <v xml:space="preserve"> 2</v>
      </c>
      <c r="H60" s="26" t="s">
        <v>923</v>
      </c>
      <c r="I60" s="26" t="s">
        <v>867</v>
      </c>
      <c r="J60" s="26" t="s">
        <v>659</v>
      </c>
      <c r="K60" s="26">
        <v>2.2719999999999998</v>
      </c>
      <c r="L60" s="26">
        <v>0.16969600000000001</v>
      </c>
      <c r="M60" s="136">
        <v>45925.52715277778</v>
      </c>
      <c r="N60" s="26"/>
      <c r="O60" s="26" t="s">
        <v>923</v>
      </c>
      <c r="P60" s="26" t="s">
        <v>902</v>
      </c>
      <c r="Q60" s="26" t="s">
        <v>673</v>
      </c>
      <c r="R60" s="26">
        <v>-5.0000000000000001E-3</v>
      </c>
      <c r="S60" s="26">
        <v>9.1500000000000001E-4</v>
      </c>
      <c r="T60" s="136">
        <v>45925.592523148145</v>
      </c>
      <c r="V60" s="119" t="s">
        <v>743</v>
      </c>
      <c r="W60" s="63" t="s">
        <v>915</v>
      </c>
      <c r="X60" s="63">
        <v>-3.7600000000000001E-2</v>
      </c>
      <c r="Y60" s="63">
        <v>2.8109999999999999</v>
      </c>
      <c r="Z60" s="63">
        <v>-4.0000000000000001E-3</v>
      </c>
    </row>
    <row r="61" spans="1:26" x14ac:dyDescent="0.25">
      <c r="A61" s="26" t="s">
        <v>924</v>
      </c>
      <c r="B61" s="26" t="s">
        <v>658</v>
      </c>
      <c r="C61" s="26" t="s">
        <v>659</v>
      </c>
      <c r="D61" s="26">
        <v>-2.4199999999999999E-2</v>
      </c>
      <c r="E61" s="26">
        <v>8.1588999999999995E-2</v>
      </c>
      <c r="F61" s="136">
        <v>45925.437928240739</v>
      </c>
      <c r="G61" s="26" t="str">
        <f t="shared" si="2"/>
        <v xml:space="preserve"> 3</v>
      </c>
      <c r="H61" s="26" t="s">
        <v>924</v>
      </c>
      <c r="I61" s="26" t="s">
        <v>867</v>
      </c>
      <c r="J61" s="26" t="s">
        <v>659</v>
      </c>
      <c r="K61" s="26">
        <v>2.044</v>
      </c>
      <c r="L61" s="26">
        <v>0.155414</v>
      </c>
      <c r="M61" s="136">
        <v>45925.528773148151</v>
      </c>
      <c r="N61" s="26"/>
      <c r="O61" s="26" t="s">
        <v>924</v>
      </c>
      <c r="P61" s="26" t="s">
        <v>902</v>
      </c>
      <c r="Q61" s="26" t="s">
        <v>673</v>
      </c>
      <c r="R61" s="26">
        <v>-5.0000000000000001E-3</v>
      </c>
      <c r="S61" s="26">
        <v>8.7200000000000005E-4</v>
      </c>
      <c r="T61" s="136">
        <v>45925.593472222223</v>
      </c>
      <c r="V61" s="119" t="s">
        <v>744</v>
      </c>
      <c r="W61" s="63" t="s">
        <v>916</v>
      </c>
      <c r="X61" s="63">
        <v>-3.6999999999999998E-2</v>
      </c>
      <c r="Y61" s="63">
        <v>3.8530000000000002</v>
      </c>
      <c r="Z61" s="63">
        <v>-4.0000000000000001E-3</v>
      </c>
    </row>
    <row r="62" spans="1:26" x14ac:dyDescent="0.25">
      <c r="A62" s="26" t="s">
        <v>925</v>
      </c>
      <c r="B62" s="26" t="s">
        <v>658</v>
      </c>
      <c r="C62" s="26" t="s">
        <v>659</v>
      </c>
      <c r="D62" s="26">
        <v>-2.0299999999999999E-2</v>
      </c>
      <c r="E62" s="26">
        <v>8.3629999999999996E-2</v>
      </c>
      <c r="F62" s="136">
        <v>45925.439444444448</v>
      </c>
      <c r="G62" s="26" t="str">
        <f t="shared" si="2"/>
        <v xml:space="preserve"> 4</v>
      </c>
      <c r="H62" s="26" t="s">
        <v>925</v>
      </c>
      <c r="I62" s="26" t="s">
        <v>867</v>
      </c>
      <c r="J62" s="26" t="s">
        <v>659</v>
      </c>
      <c r="K62" s="26">
        <v>1.829</v>
      </c>
      <c r="L62" s="26">
        <v>0.14200299999999999</v>
      </c>
      <c r="M62" s="136">
        <v>45925.530393518522</v>
      </c>
      <c r="N62" s="26"/>
      <c r="O62" s="26" t="s">
        <v>925</v>
      </c>
      <c r="P62" s="26" t="s">
        <v>902</v>
      </c>
      <c r="Q62" s="26" t="s">
        <v>673</v>
      </c>
      <c r="R62" s="26">
        <v>-4.0000000000000001E-3</v>
      </c>
      <c r="S62" s="26">
        <v>1.1410000000000001E-3</v>
      </c>
      <c r="T62" s="136">
        <v>45925.594386574077</v>
      </c>
      <c r="V62" s="119" t="s">
        <v>745</v>
      </c>
      <c r="W62" s="63" t="s">
        <v>917</v>
      </c>
      <c r="X62" s="63">
        <v>-3.49E-2</v>
      </c>
      <c r="Y62" s="63">
        <v>3.15</v>
      </c>
      <c r="Z62" s="63">
        <v>-4.0000000000000001E-3</v>
      </c>
    </row>
    <row r="63" spans="1:26" x14ac:dyDescent="0.25">
      <c r="A63" s="26" t="s">
        <v>926</v>
      </c>
      <c r="B63" s="26" t="s">
        <v>658</v>
      </c>
      <c r="C63" s="26" t="s">
        <v>659</v>
      </c>
      <c r="D63" s="26">
        <v>-5.8999999999999999E-3</v>
      </c>
      <c r="E63" s="26">
        <v>9.1228000000000004E-2</v>
      </c>
      <c r="F63" s="136">
        <v>45925.440983796296</v>
      </c>
      <c r="G63" s="26" t="str">
        <f t="shared" si="2"/>
        <v xml:space="preserve"> 5</v>
      </c>
      <c r="H63" s="26" t="s">
        <v>926</v>
      </c>
      <c r="I63" s="26" t="s">
        <v>867</v>
      </c>
      <c r="J63" s="26" t="s">
        <v>659</v>
      </c>
      <c r="K63" s="26">
        <v>1.4910000000000001</v>
      </c>
      <c r="L63" s="26">
        <v>0.120911</v>
      </c>
      <c r="M63" s="136">
        <v>45925.532002314816</v>
      </c>
      <c r="N63" s="26"/>
      <c r="O63" s="26" t="s">
        <v>926</v>
      </c>
      <c r="P63" s="26" t="s">
        <v>902</v>
      </c>
      <c r="Q63" s="26" t="s">
        <v>673</v>
      </c>
      <c r="R63" s="26">
        <v>-4.0000000000000001E-3</v>
      </c>
      <c r="S63" s="26">
        <v>1.0009999999999999E-3</v>
      </c>
      <c r="T63" s="136">
        <v>45925.595312500001</v>
      </c>
      <c r="V63" s="119" t="s">
        <v>746</v>
      </c>
      <c r="W63" s="63" t="s">
        <v>918</v>
      </c>
      <c r="X63" s="63">
        <v>-1.9800000000000002E-2</v>
      </c>
      <c r="Y63" s="63">
        <v>3.867</v>
      </c>
      <c r="Z63" s="63">
        <v>-5.0000000000000001E-3</v>
      </c>
    </row>
    <row r="64" spans="1:26" x14ac:dyDescent="0.25">
      <c r="A64" s="26" t="s">
        <v>891</v>
      </c>
      <c r="B64" s="26" t="s">
        <v>658</v>
      </c>
      <c r="C64" s="26" t="s">
        <v>659</v>
      </c>
      <c r="D64" s="26">
        <v>3.2800000000000003E-2</v>
      </c>
      <c r="E64" s="26">
        <v>0.111538</v>
      </c>
      <c r="F64" s="136">
        <v>45925.736979166664</v>
      </c>
      <c r="G64" s="26" t="str">
        <f t="shared" si="2"/>
        <v xml:space="preserve"> 6</v>
      </c>
      <c r="H64" s="26" t="s">
        <v>891</v>
      </c>
      <c r="I64" s="26" t="s">
        <v>867</v>
      </c>
      <c r="J64" s="26" t="s">
        <v>659</v>
      </c>
      <c r="K64" s="26">
        <v>1.409</v>
      </c>
      <c r="L64" s="26">
        <v>0.115827</v>
      </c>
      <c r="M64" s="136">
        <v>45925.812997685185</v>
      </c>
      <c r="N64" s="26"/>
      <c r="O64" s="26" t="s">
        <v>891</v>
      </c>
      <c r="P64" s="26" t="s">
        <v>902</v>
      </c>
      <c r="Q64" s="26" t="s">
        <v>673</v>
      </c>
      <c r="R64" s="26">
        <v>3.0000000000000001E-3</v>
      </c>
      <c r="S64" s="26">
        <v>2.0939999999999999E-3</v>
      </c>
      <c r="T64" s="136">
        <v>45926.43240740741</v>
      </c>
      <c r="V64" s="119" t="s">
        <v>747</v>
      </c>
      <c r="W64" s="63" t="s">
        <v>919</v>
      </c>
      <c r="X64" s="63">
        <v>-3.4700000000000002E-2</v>
      </c>
      <c r="Y64" s="63">
        <v>4.0540000000000003</v>
      </c>
      <c r="Z64" s="63">
        <v>-4.0000000000000001E-3</v>
      </c>
    </row>
    <row r="65" spans="1:26" x14ac:dyDescent="0.25">
      <c r="A65" s="26" t="s">
        <v>927</v>
      </c>
      <c r="B65" s="26" t="s">
        <v>658</v>
      </c>
      <c r="C65" s="26" t="s">
        <v>659</v>
      </c>
      <c r="D65" s="26">
        <v>2.3E-3</v>
      </c>
      <c r="E65" s="26">
        <v>9.5531000000000005E-2</v>
      </c>
      <c r="F65" s="136">
        <v>45925.442523148151</v>
      </c>
      <c r="G65" s="26" t="str">
        <f t="shared" si="2"/>
        <v xml:space="preserve"> 7</v>
      </c>
      <c r="H65" s="26" t="s">
        <v>927</v>
      </c>
      <c r="I65" s="26" t="s">
        <v>867</v>
      </c>
      <c r="J65" s="26" t="s">
        <v>659</v>
      </c>
      <c r="K65" s="26">
        <v>2.6240000000000001</v>
      </c>
      <c r="L65" s="26">
        <v>0.191633</v>
      </c>
      <c r="M65" s="136">
        <v>45925.533622685187</v>
      </c>
      <c r="N65" s="26"/>
      <c r="O65" s="26" t="s">
        <v>927</v>
      </c>
      <c r="P65" s="26" t="s">
        <v>902</v>
      </c>
      <c r="Q65" s="26" t="s">
        <v>673</v>
      </c>
      <c r="R65" s="26">
        <v>-5.0000000000000001E-3</v>
      </c>
      <c r="S65" s="26">
        <v>8.9400000000000005E-4</v>
      </c>
      <c r="T65" s="136">
        <v>45925.596238425926</v>
      </c>
      <c r="V65" s="119" t="s">
        <v>748</v>
      </c>
      <c r="W65" s="63" t="s">
        <v>920</v>
      </c>
      <c r="X65" s="63">
        <v>-3.2800000000000003E-2</v>
      </c>
      <c r="Y65" s="63">
        <v>1.593</v>
      </c>
      <c r="Z65" s="63">
        <v>1.2999999999999999E-2</v>
      </c>
    </row>
    <row r="66" spans="1:26" x14ac:dyDescent="0.25">
      <c r="A66" s="26" t="s">
        <v>892</v>
      </c>
      <c r="B66" s="26" t="s">
        <v>658</v>
      </c>
      <c r="C66" s="26" t="s">
        <v>659</v>
      </c>
      <c r="D66" s="26">
        <v>-8.6999999999999994E-3</v>
      </c>
      <c r="E66" s="26">
        <v>8.9749999999999996E-2</v>
      </c>
      <c r="F66" s="136">
        <v>45925.738518518519</v>
      </c>
      <c r="G66" s="26" t="str">
        <f t="shared" si="2"/>
        <v xml:space="preserve"> 8</v>
      </c>
      <c r="H66" s="26" t="s">
        <v>892</v>
      </c>
      <c r="I66" s="26" t="s">
        <v>867</v>
      </c>
      <c r="J66" s="26" t="s">
        <v>659</v>
      </c>
      <c r="K66" s="26">
        <v>2.5710000000000002</v>
      </c>
      <c r="L66" s="26">
        <v>0.18832499999999999</v>
      </c>
      <c r="M66" s="136">
        <v>45925.814606481479</v>
      </c>
      <c r="N66" s="26"/>
      <c r="O66" s="26" t="s">
        <v>892</v>
      </c>
      <c r="P66" s="26" t="s">
        <v>902</v>
      </c>
      <c r="Q66" s="26" t="s">
        <v>673</v>
      </c>
      <c r="R66" s="26">
        <v>1E-3</v>
      </c>
      <c r="S66" s="26">
        <v>1.4549999999999999E-3</v>
      </c>
      <c r="T66" s="136">
        <v>45926.433333333334</v>
      </c>
      <c r="V66" s="119" t="s">
        <v>749</v>
      </c>
      <c r="W66" s="63" t="s">
        <v>921</v>
      </c>
      <c r="X66" s="63">
        <v>-0.04</v>
      </c>
      <c r="Y66" s="63">
        <v>4.173</v>
      </c>
      <c r="Z66" s="63">
        <v>-3.0000000000000001E-3</v>
      </c>
    </row>
    <row r="67" spans="1:26" x14ac:dyDescent="0.25">
      <c r="A67" s="26" t="s">
        <v>893</v>
      </c>
      <c r="B67" s="26" t="s">
        <v>658</v>
      </c>
      <c r="C67" s="26" t="s">
        <v>659</v>
      </c>
      <c r="D67" s="26">
        <v>-1.78E-2</v>
      </c>
      <c r="E67" s="26">
        <v>8.4961999999999996E-2</v>
      </c>
      <c r="F67" s="136">
        <v>45925.740034722221</v>
      </c>
      <c r="G67" s="26" t="str">
        <f t="shared" si="2"/>
        <v xml:space="preserve"> 9</v>
      </c>
      <c r="H67" s="26" t="s">
        <v>893</v>
      </c>
      <c r="I67" s="26" t="s">
        <v>867</v>
      </c>
      <c r="J67" s="26" t="s">
        <v>659</v>
      </c>
      <c r="K67" s="26">
        <v>2.52</v>
      </c>
      <c r="L67" s="26">
        <v>0.18514</v>
      </c>
      <c r="M67" s="136">
        <v>45925.81621527778</v>
      </c>
      <c r="N67" s="26"/>
      <c r="O67" s="26" t="s">
        <v>893</v>
      </c>
      <c r="P67" s="26" t="s">
        <v>902</v>
      </c>
      <c r="Q67" s="26" t="s">
        <v>673</v>
      </c>
      <c r="R67" s="26">
        <v>0</v>
      </c>
      <c r="S67" s="26">
        <v>1.013E-3</v>
      </c>
      <c r="T67" s="136">
        <v>45926.434259259258</v>
      </c>
      <c r="V67" s="119" t="s">
        <v>750</v>
      </c>
      <c r="W67" s="63" t="s">
        <v>922</v>
      </c>
      <c r="X67" s="63">
        <v>-3.3599999999999998E-2</v>
      </c>
      <c r="Y67" s="63">
        <v>1.833</v>
      </c>
      <c r="Z67" s="63">
        <v>3.0000000000000001E-3</v>
      </c>
    </row>
    <row r="68" spans="1:26" x14ac:dyDescent="0.25">
      <c r="A68" s="26" t="s">
        <v>928</v>
      </c>
      <c r="B68" s="26" t="s">
        <v>658</v>
      </c>
      <c r="C68" s="26" t="s">
        <v>659</v>
      </c>
      <c r="D68" s="26">
        <v>0.30819999999999997</v>
      </c>
      <c r="E68" s="26">
        <v>0.12668699999999999</v>
      </c>
      <c r="F68" s="136">
        <v>45925.619016203702</v>
      </c>
      <c r="G68" s="26" t="str">
        <f t="shared" si="2"/>
        <v>10</v>
      </c>
      <c r="H68" s="26" t="s">
        <v>928</v>
      </c>
      <c r="I68" s="26" t="s">
        <v>867</v>
      </c>
      <c r="J68" s="26" t="s">
        <v>659</v>
      </c>
      <c r="K68" s="26">
        <v>2.7770000000000001</v>
      </c>
      <c r="L68" s="26">
        <v>0.20116700000000001</v>
      </c>
      <c r="M68" s="136">
        <v>45925.535231481481</v>
      </c>
      <c r="N68" s="26"/>
      <c r="O68" s="26" t="s">
        <v>928</v>
      </c>
      <c r="P68" s="26" t="s">
        <v>902</v>
      </c>
      <c r="Q68" s="26" t="s">
        <v>673</v>
      </c>
      <c r="R68" s="26">
        <v>-5.0000000000000001E-3</v>
      </c>
      <c r="S68" s="26">
        <v>9.4799999999999995E-4</v>
      </c>
      <c r="T68" s="136">
        <v>45925.59715277778</v>
      </c>
      <c r="V68" s="119" t="s">
        <v>751</v>
      </c>
      <c r="W68" s="63" t="s">
        <v>889</v>
      </c>
      <c r="X68" s="63">
        <v>-4.0800000000000003E-2</v>
      </c>
      <c r="Y68" s="63">
        <v>1.464</v>
      </c>
      <c r="Z68" s="63">
        <v>1.7999999999999999E-2</v>
      </c>
    </row>
    <row r="69" spans="1:26" x14ac:dyDescent="0.25">
      <c r="A69" s="26" t="s">
        <v>929</v>
      </c>
      <c r="B69" s="26" t="s">
        <v>658</v>
      </c>
      <c r="C69" s="26" t="s">
        <v>659</v>
      </c>
      <c r="D69" s="26">
        <v>8.6199999999999999E-2</v>
      </c>
      <c r="E69" s="26">
        <v>0.139575</v>
      </c>
      <c r="F69" s="136">
        <v>45925.445555555554</v>
      </c>
      <c r="G69" s="26" t="str">
        <f t="shared" si="2"/>
        <v>11</v>
      </c>
      <c r="H69" s="26" t="s">
        <v>929</v>
      </c>
      <c r="I69" s="26" t="s">
        <v>867</v>
      </c>
      <c r="J69" s="26" t="s">
        <v>659</v>
      </c>
      <c r="K69" s="26">
        <v>2.7080000000000002</v>
      </c>
      <c r="L69" s="26">
        <v>0.19689200000000001</v>
      </c>
      <c r="M69" s="136">
        <v>45925.536851851852</v>
      </c>
      <c r="N69" s="26"/>
      <c r="O69" s="26" t="s">
        <v>929</v>
      </c>
      <c r="P69" s="26" t="s">
        <v>902</v>
      </c>
      <c r="Q69" s="26" t="s">
        <v>673</v>
      </c>
      <c r="R69" s="26">
        <v>-4.0000000000000001E-3</v>
      </c>
      <c r="S69" s="26">
        <v>1.0549999999999999E-3</v>
      </c>
      <c r="T69" s="136">
        <v>45925.598078703704</v>
      </c>
      <c r="V69" s="124" t="s">
        <v>782</v>
      </c>
      <c r="W69" s="29" t="s">
        <v>962</v>
      </c>
      <c r="X69" s="29">
        <v>-5.7000000000000002E-2</v>
      </c>
      <c r="Y69" s="29">
        <v>2.9279999999999999</v>
      </c>
      <c r="Z69" s="29">
        <v>3.0000000000000001E-3</v>
      </c>
    </row>
    <row r="70" spans="1:26" x14ac:dyDescent="0.25">
      <c r="A70" s="26" t="s">
        <v>894</v>
      </c>
      <c r="B70" s="26" t="s">
        <v>658</v>
      </c>
      <c r="C70" s="26" t="s">
        <v>659</v>
      </c>
      <c r="D70" s="26">
        <v>-2.9100000000000001E-2</v>
      </c>
      <c r="E70" s="26">
        <v>7.9052999999999998E-2</v>
      </c>
      <c r="F70" s="136">
        <v>45925.741562499999</v>
      </c>
      <c r="G70" s="26" t="str">
        <f t="shared" si="2"/>
        <v>12</v>
      </c>
      <c r="H70" s="26" t="s">
        <v>894</v>
      </c>
      <c r="I70" s="26" t="s">
        <v>867</v>
      </c>
      <c r="J70" s="26" t="s">
        <v>659</v>
      </c>
      <c r="K70" s="26">
        <v>2.6150000000000002</v>
      </c>
      <c r="L70" s="26">
        <v>0.191054</v>
      </c>
      <c r="M70" s="136">
        <v>45925.817824074074</v>
      </c>
      <c r="N70" s="26"/>
      <c r="O70" s="26" t="s">
        <v>894</v>
      </c>
      <c r="P70" s="26" t="s">
        <v>902</v>
      </c>
      <c r="Q70" s="26" t="s">
        <v>673</v>
      </c>
      <c r="R70" s="26">
        <v>0</v>
      </c>
      <c r="S70" s="26">
        <v>1.186E-3</v>
      </c>
      <c r="T70" s="136">
        <v>45926.435185185182</v>
      </c>
      <c r="V70" s="124" t="s">
        <v>783</v>
      </c>
      <c r="W70" s="29" t="s">
        <v>963</v>
      </c>
      <c r="X70" s="29">
        <v>-5.8799999999999998E-2</v>
      </c>
      <c r="Y70" s="29">
        <v>2.2400000000000002</v>
      </c>
      <c r="Z70" s="29">
        <v>1.4E-2</v>
      </c>
    </row>
    <row r="71" spans="1:26" x14ac:dyDescent="0.25">
      <c r="A71" s="26" t="s">
        <v>930</v>
      </c>
      <c r="B71" s="26" t="s">
        <v>658</v>
      </c>
      <c r="C71" s="26" t="s">
        <v>659</v>
      </c>
      <c r="D71" s="26">
        <v>-5.4999999999999997E-3</v>
      </c>
      <c r="E71" s="26">
        <v>9.1417999999999999E-2</v>
      </c>
      <c r="F71" s="136">
        <v>45925.447083333333</v>
      </c>
      <c r="G71" s="26" t="str">
        <f t="shared" si="2"/>
        <v>13</v>
      </c>
      <c r="H71" s="26" t="s">
        <v>930</v>
      </c>
      <c r="I71" s="26" t="s">
        <v>867</v>
      </c>
      <c r="J71" s="26" t="s">
        <v>659</v>
      </c>
      <c r="K71" s="26">
        <v>1.4370000000000001</v>
      </c>
      <c r="L71" s="26">
        <v>0.117578</v>
      </c>
      <c r="M71" s="136">
        <v>45925.538460648146</v>
      </c>
      <c r="N71" s="26"/>
      <c r="O71" s="26" t="s">
        <v>930</v>
      </c>
      <c r="P71" s="26" t="s">
        <v>902</v>
      </c>
      <c r="Q71" s="26" t="s">
        <v>673</v>
      </c>
      <c r="R71" s="26">
        <v>-4.0000000000000001E-3</v>
      </c>
      <c r="S71" s="26">
        <v>1.1950000000000001E-3</v>
      </c>
      <c r="T71" s="136">
        <v>45925.599027777775</v>
      </c>
      <c r="V71" s="124" t="s">
        <v>784</v>
      </c>
      <c r="W71" s="29" t="s">
        <v>964</v>
      </c>
      <c r="X71" s="29">
        <v>-6.4299999999999996E-2</v>
      </c>
      <c r="Y71" s="29">
        <v>2.2080000000000002</v>
      </c>
      <c r="Z71" s="29">
        <v>3.0000000000000001E-3</v>
      </c>
    </row>
    <row r="72" spans="1:26" x14ac:dyDescent="0.25">
      <c r="A72" s="63" t="s">
        <v>895</v>
      </c>
      <c r="B72" s="63" t="s">
        <v>658</v>
      </c>
      <c r="C72" s="63" t="s">
        <v>659</v>
      </c>
      <c r="D72" s="63">
        <v>-1.1299999999999999E-2</v>
      </c>
      <c r="E72" s="63">
        <v>8.8383000000000003E-2</v>
      </c>
      <c r="F72" s="137">
        <v>45925.743078703701</v>
      </c>
      <c r="G72" s="63" t="str">
        <f t="shared" si="2"/>
        <v xml:space="preserve"> 1</v>
      </c>
      <c r="H72" s="63" t="s">
        <v>895</v>
      </c>
      <c r="I72" s="63" t="s">
        <v>867</v>
      </c>
      <c r="J72" s="63" t="s">
        <v>659</v>
      </c>
      <c r="K72" s="63">
        <v>1.2789999999999999</v>
      </c>
      <c r="L72" s="63">
        <v>0.107682</v>
      </c>
      <c r="M72" s="137">
        <v>45925.819421296299</v>
      </c>
      <c r="N72" s="63"/>
      <c r="O72" s="63" t="s">
        <v>895</v>
      </c>
      <c r="P72" s="63" t="s">
        <v>902</v>
      </c>
      <c r="Q72" s="63" t="s">
        <v>673</v>
      </c>
      <c r="R72" s="63">
        <v>0</v>
      </c>
      <c r="S72" s="63">
        <v>1.142E-3</v>
      </c>
      <c r="T72" s="137">
        <v>45926.43613425926</v>
      </c>
      <c r="V72" s="124" t="s">
        <v>785</v>
      </c>
      <c r="W72" s="29" t="s">
        <v>965</v>
      </c>
      <c r="X72" s="29">
        <v>-4.3700000000000003E-2</v>
      </c>
      <c r="Y72" s="29">
        <v>1.9319999999999999</v>
      </c>
      <c r="Z72" s="29">
        <v>4.0000000000000001E-3</v>
      </c>
    </row>
    <row r="73" spans="1:26" x14ac:dyDescent="0.25">
      <c r="A73" s="63" t="s">
        <v>896</v>
      </c>
      <c r="B73" s="63" t="s">
        <v>658</v>
      </c>
      <c r="C73" s="63" t="s">
        <v>659</v>
      </c>
      <c r="D73" s="63">
        <v>-2.2599999999999999E-2</v>
      </c>
      <c r="E73" s="63">
        <v>8.2447999999999994E-2</v>
      </c>
      <c r="F73" s="137">
        <v>45925.74459490741</v>
      </c>
      <c r="G73" s="63" t="str">
        <f t="shared" si="2"/>
        <v xml:space="preserve"> 2</v>
      </c>
      <c r="H73" s="63" t="s">
        <v>896</v>
      </c>
      <c r="I73" s="63" t="s">
        <v>867</v>
      </c>
      <c r="J73" s="63" t="s">
        <v>659</v>
      </c>
      <c r="K73" s="63">
        <v>1.091</v>
      </c>
      <c r="L73" s="63">
        <v>9.5988000000000004E-2</v>
      </c>
      <c r="M73" s="137">
        <v>45925.821053240739</v>
      </c>
      <c r="N73" s="63"/>
      <c r="O73" s="63" t="s">
        <v>896</v>
      </c>
      <c r="P73" s="63" t="s">
        <v>902</v>
      </c>
      <c r="Q73" s="63" t="s">
        <v>673</v>
      </c>
      <c r="R73" s="63">
        <v>1E-3</v>
      </c>
      <c r="S73" s="63">
        <v>1.196E-3</v>
      </c>
      <c r="T73" s="137">
        <v>45926.437083333331</v>
      </c>
      <c r="V73" s="124" t="s">
        <v>786</v>
      </c>
      <c r="W73" s="29" t="s">
        <v>966</v>
      </c>
      <c r="X73" s="29">
        <v>-6.4000000000000001E-2</v>
      </c>
      <c r="Y73" s="29">
        <v>1.5820000000000001</v>
      </c>
      <c r="Z73" s="29">
        <v>3.0000000000000001E-3</v>
      </c>
    </row>
    <row r="74" spans="1:26" x14ac:dyDescent="0.25">
      <c r="A74" s="63" t="s">
        <v>897</v>
      </c>
      <c r="B74" s="63" t="s">
        <v>658</v>
      </c>
      <c r="C74" s="63" t="s">
        <v>659</v>
      </c>
      <c r="D74" s="63">
        <v>-1.83E-2</v>
      </c>
      <c r="E74" s="63">
        <v>8.4723000000000007E-2</v>
      </c>
      <c r="F74" s="137">
        <v>45925.746111111112</v>
      </c>
      <c r="G74" s="63" t="str">
        <f t="shared" si="2"/>
        <v xml:space="preserve"> 3</v>
      </c>
      <c r="H74" s="63" t="s">
        <v>897</v>
      </c>
      <c r="I74" s="63" t="s">
        <v>867</v>
      </c>
      <c r="J74" s="63" t="s">
        <v>659</v>
      </c>
      <c r="K74" s="63">
        <v>1.07</v>
      </c>
      <c r="L74" s="63">
        <v>9.4692999999999999E-2</v>
      </c>
      <c r="M74" s="137">
        <v>45925.823912037034</v>
      </c>
      <c r="N74" s="63"/>
      <c r="O74" s="63" t="s">
        <v>897</v>
      </c>
      <c r="P74" s="63" t="s">
        <v>902</v>
      </c>
      <c r="Q74" s="63" t="s">
        <v>673</v>
      </c>
      <c r="R74" s="63">
        <v>1E-3</v>
      </c>
      <c r="S74" s="63">
        <v>1.4009999999999999E-3</v>
      </c>
      <c r="T74" s="137">
        <v>45926.43787037037</v>
      </c>
      <c r="V74" s="124" t="s">
        <v>787</v>
      </c>
      <c r="W74" s="29" t="s">
        <v>967</v>
      </c>
      <c r="X74" s="29">
        <v>-6.6600000000000006E-2</v>
      </c>
      <c r="Y74" s="29">
        <v>1.5069999999999999</v>
      </c>
      <c r="Z74" s="29">
        <v>6.0000000000000001E-3</v>
      </c>
    </row>
    <row r="75" spans="1:26" x14ac:dyDescent="0.25">
      <c r="A75" s="63" t="s">
        <v>898</v>
      </c>
      <c r="B75" s="63" t="s">
        <v>658</v>
      </c>
      <c r="C75" s="63" t="s">
        <v>659</v>
      </c>
      <c r="D75" s="63">
        <v>-2.69E-2</v>
      </c>
      <c r="E75" s="63">
        <v>8.0195000000000002E-2</v>
      </c>
      <c r="F75" s="137">
        <v>45925.750347222223</v>
      </c>
      <c r="G75" s="63" t="str">
        <f t="shared" si="2"/>
        <v xml:space="preserve"> 4</v>
      </c>
      <c r="H75" s="63" t="s">
        <v>898</v>
      </c>
      <c r="I75" s="63" t="s">
        <v>867</v>
      </c>
      <c r="J75" s="63" t="s">
        <v>659</v>
      </c>
      <c r="K75" s="63">
        <v>0.94299999999999995</v>
      </c>
      <c r="L75" s="63">
        <v>8.6719000000000004E-2</v>
      </c>
      <c r="M75" s="137">
        <v>45925.824560185189</v>
      </c>
      <c r="N75" s="63"/>
      <c r="O75" s="63" t="s">
        <v>898</v>
      </c>
      <c r="P75" s="63" t="s">
        <v>902</v>
      </c>
      <c r="Q75" s="63" t="s">
        <v>673</v>
      </c>
      <c r="R75" s="63">
        <v>1E-3</v>
      </c>
      <c r="S75" s="63">
        <v>1.4009999999999999E-3</v>
      </c>
      <c r="T75" s="137">
        <v>45926.43986111111</v>
      </c>
      <c r="V75" s="124" t="s">
        <v>788</v>
      </c>
      <c r="W75" s="29" t="s">
        <v>968</v>
      </c>
      <c r="X75" s="29">
        <v>-5.9400000000000001E-2</v>
      </c>
      <c r="Y75" s="29">
        <v>2.964</v>
      </c>
      <c r="Z75" s="29">
        <v>4.0000000000000001E-3</v>
      </c>
    </row>
    <row r="76" spans="1:26" x14ac:dyDescent="0.25">
      <c r="A76" s="63" t="s">
        <v>931</v>
      </c>
      <c r="B76" s="63" t="s">
        <v>658</v>
      </c>
      <c r="C76" s="63" t="s">
        <v>659</v>
      </c>
      <c r="D76" s="63">
        <v>-1.9699999999999999E-2</v>
      </c>
      <c r="E76" s="63">
        <v>8.3953E-2</v>
      </c>
      <c r="F76" s="137">
        <v>45925.448599537034</v>
      </c>
      <c r="G76" s="63" t="str">
        <f t="shared" si="2"/>
        <v xml:space="preserve"> 5</v>
      </c>
      <c r="H76" s="63" t="s">
        <v>931</v>
      </c>
      <c r="I76" s="63" t="s">
        <v>867</v>
      </c>
      <c r="J76" s="63" t="s">
        <v>659</v>
      </c>
      <c r="K76" s="63">
        <v>0.68300000000000005</v>
      </c>
      <c r="L76" s="63">
        <v>7.0491999999999999E-2</v>
      </c>
      <c r="M76" s="137">
        <v>45925.540092592593</v>
      </c>
      <c r="N76" s="63"/>
      <c r="O76" s="63" t="s">
        <v>931</v>
      </c>
      <c r="P76" s="63" t="s">
        <v>902</v>
      </c>
      <c r="Q76" s="63" t="s">
        <v>673</v>
      </c>
      <c r="R76" s="63">
        <v>-4.0000000000000001E-3</v>
      </c>
      <c r="S76" s="63">
        <v>1.2600000000000001E-3</v>
      </c>
      <c r="T76" s="137">
        <v>45925.599976851852</v>
      </c>
      <c r="V76" s="124" t="s">
        <v>789</v>
      </c>
      <c r="W76" s="29" t="s">
        <v>969</v>
      </c>
      <c r="X76" s="29">
        <v>-6.54E-2</v>
      </c>
      <c r="Y76" s="29">
        <v>2.8679999999999999</v>
      </c>
      <c r="Z76" s="29">
        <v>4.0000000000000001E-3</v>
      </c>
    </row>
    <row r="77" spans="1:26" x14ac:dyDescent="0.25">
      <c r="A77" s="63" t="s">
        <v>932</v>
      </c>
      <c r="B77" s="63" t="s">
        <v>658</v>
      </c>
      <c r="C77" s="63" t="s">
        <v>659</v>
      </c>
      <c r="D77" s="63">
        <v>-1.47E-2</v>
      </c>
      <c r="E77" s="63">
        <v>8.6580000000000004E-2</v>
      </c>
      <c r="F77" s="137">
        <v>45925.450115740743</v>
      </c>
      <c r="G77" s="63" t="str">
        <f t="shared" si="2"/>
        <v xml:space="preserve"> 6</v>
      </c>
      <c r="H77" s="63" t="s">
        <v>932</v>
      </c>
      <c r="I77" s="63" t="s">
        <v>867</v>
      </c>
      <c r="J77" s="63" t="s">
        <v>659</v>
      </c>
      <c r="K77" s="63">
        <v>0.24199999999999999</v>
      </c>
      <c r="L77" s="63">
        <v>4.299E-2</v>
      </c>
      <c r="M77" s="137">
        <v>45925.542951388888</v>
      </c>
      <c r="N77" s="63"/>
      <c r="O77" s="63" t="s">
        <v>932</v>
      </c>
      <c r="P77" s="63" t="s">
        <v>902</v>
      </c>
      <c r="Q77" s="63" t="s">
        <v>673</v>
      </c>
      <c r="R77" s="63">
        <v>-4.0000000000000001E-3</v>
      </c>
      <c r="S77" s="63">
        <v>1.1310000000000001E-3</v>
      </c>
      <c r="T77" s="137">
        <v>45925.600775462961</v>
      </c>
      <c r="V77" s="124" t="s">
        <v>790</v>
      </c>
      <c r="W77" s="29" t="s">
        <v>970</v>
      </c>
      <c r="X77" s="29">
        <v>-5.4100000000000002E-2</v>
      </c>
      <c r="Y77" s="29">
        <v>3.6619999999999999</v>
      </c>
      <c r="Z77" s="29">
        <v>3.0000000000000001E-3</v>
      </c>
    </row>
    <row r="78" spans="1:26" x14ac:dyDescent="0.25">
      <c r="A78" s="63" t="s">
        <v>933</v>
      </c>
      <c r="B78" s="63" t="s">
        <v>658</v>
      </c>
      <c r="C78" s="63" t="s">
        <v>659</v>
      </c>
      <c r="D78" s="63">
        <v>0.53</v>
      </c>
      <c r="E78" s="63">
        <v>0.37266300000000002</v>
      </c>
      <c r="F78" s="137">
        <v>45925.454351851855</v>
      </c>
      <c r="G78" s="63" t="str">
        <f t="shared" si="2"/>
        <v xml:space="preserve"> 7</v>
      </c>
      <c r="H78" s="63" t="s">
        <v>933</v>
      </c>
      <c r="I78" s="63" t="s">
        <v>867</v>
      </c>
      <c r="J78" s="63" t="s">
        <v>659</v>
      </c>
      <c r="K78" s="63">
        <v>1.837</v>
      </c>
      <c r="L78" s="63">
        <v>0.142542</v>
      </c>
      <c r="M78" s="137">
        <v>45925.543599537035</v>
      </c>
      <c r="N78" s="63"/>
      <c r="O78" s="63" t="s">
        <v>933</v>
      </c>
      <c r="P78" s="63" t="s">
        <v>902</v>
      </c>
      <c r="Q78" s="63" t="s">
        <v>673</v>
      </c>
      <c r="R78" s="63">
        <v>-1E-3</v>
      </c>
      <c r="S78" s="63">
        <v>2.0149999999999999E-3</v>
      </c>
      <c r="T78" s="137">
        <v>45925.602766203701</v>
      </c>
      <c r="V78" s="124" t="s">
        <v>791</v>
      </c>
      <c r="W78" s="29" t="s">
        <v>971</v>
      </c>
      <c r="X78" s="29">
        <v>-6.1499999999999999E-2</v>
      </c>
      <c r="Y78" s="29">
        <v>3.2549999999999999</v>
      </c>
      <c r="Z78" s="29">
        <v>3.0000000000000001E-3</v>
      </c>
    </row>
    <row r="79" spans="1:26" x14ac:dyDescent="0.25">
      <c r="A79" s="63" t="s">
        <v>934</v>
      </c>
      <c r="B79" s="63" t="s">
        <v>658</v>
      </c>
      <c r="C79" s="63" t="s">
        <v>659</v>
      </c>
      <c r="D79" s="63">
        <v>9.5299999999999996E-2</v>
      </c>
      <c r="E79" s="63">
        <v>0.14435100000000001</v>
      </c>
      <c r="F79" s="137">
        <v>45925.457384259258</v>
      </c>
      <c r="G79" s="63" t="str">
        <f t="shared" ref="G79:G109" si="3">RIGHT(H79, 2)</f>
        <v xml:space="preserve"> 8</v>
      </c>
      <c r="H79" s="63" t="s">
        <v>934</v>
      </c>
      <c r="I79" s="63" t="s">
        <v>867</v>
      </c>
      <c r="J79" s="63" t="s">
        <v>659</v>
      </c>
      <c r="K79" s="63">
        <v>1.8759999999999999</v>
      </c>
      <c r="L79" s="63">
        <v>0.14497099999999999</v>
      </c>
      <c r="M79" s="137">
        <v>45925.544259259259</v>
      </c>
      <c r="N79" s="63"/>
      <c r="O79" s="63" t="s">
        <v>934</v>
      </c>
      <c r="P79" s="63" t="s">
        <v>902</v>
      </c>
      <c r="Q79" s="63" t="s">
        <v>673</v>
      </c>
      <c r="R79" s="63">
        <v>-1E-3</v>
      </c>
      <c r="S79" s="63">
        <v>2.2200000000000002E-3</v>
      </c>
      <c r="T79" s="137">
        <v>45925.603414351855</v>
      </c>
      <c r="V79" s="124" t="s">
        <v>792</v>
      </c>
      <c r="W79" s="29" t="s">
        <v>972</v>
      </c>
      <c r="X79" s="29">
        <v>-6.2E-2</v>
      </c>
      <c r="Y79" s="29">
        <v>3.3149999999999999</v>
      </c>
      <c r="Z79" s="29">
        <v>2.5000000000000001E-2</v>
      </c>
    </row>
    <row r="80" spans="1:26" x14ac:dyDescent="0.25">
      <c r="A80" s="63" t="s">
        <v>899</v>
      </c>
      <c r="B80" s="63" t="s">
        <v>658</v>
      </c>
      <c r="C80" s="63" t="s">
        <v>659</v>
      </c>
      <c r="D80" s="63">
        <v>1.9382999999999999</v>
      </c>
      <c r="E80" s="63">
        <v>0.133905</v>
      </c>
      <c r="F80" s="137">
        <v>45925.853090277778</v>
      </c>
      <c r="G80" s="63" t="str">
        <f t="shared" si="3"/>
        <v xml:space="preserve"> 9</v>
      </c>
      <c r="H80" s="63" t="s">
        <v>899</v>
      </c>
      <c r="I80" s="63" t="s">
        <v>867</v>
      </c>
      <c r="J80" s="63" t="s">
        <v>659</v>
      </c>
      <c r="K80" s="63">
        <v>1.768</v>
      </c>
      <c r="L80" s="63">
        <v>0.138208</v>
      </c>
      <c r="M80" s="137">
        <v>45925.825208333335</v>
      </c>
      <c r="N80" s="63"/>
      <c r="O80" s="63" t="s">
        <v>899</v>
      </c>
      <c r="P80" s="63" t="s">
        <v>902</v>
      </c>
      <c r="Q80" s="63" t="s">
        <v>673</v>
      </c>
      <c r="R80" s="63">
        <v>3.0000000000000001E-3</v>
      </c>
      <c r="S80" s="63">
        <v>2.0820000000000001E-3</v>
      </c>
      <c r="T80" s="137">
        <v>45926.440520833334</v>
      </c>
      <c r="V80" s="124" t="s">
        <v>793</v>
      </c>
      <c r="W80" s="29" t="s">
        <v>973</v>
      </c>
      <c r="X80" s="29">
        <v>-6.4500000000000002E-2</v>
      </c>
      <c r="Y80" s="29">
        <v>3.5489999999999999</v>
      </c>
      <c r="Z80" s="29">
        <v>4.0000000000000001E-3</v>
      </c>
    </row>
    <row r="81" spans="1:26" x14ac:dyDescent="0.25">
      <c r="A81" s="63" t="s">
        <v>935</v>
      </c>
      <c r="B81" s="63" t="s">
        <v>658</v>
      </c>
      <c r="C81" s="63" t="s">
        <v>659</v>
      </c>
      <c r="D81" s="63">
        <v>0.1076</v>
      </c>
      <c r="E81" s="63">
        <v>0.15080199999999999</v>
      </c>
      <c r="F81" s="137">
        <v>45925.460590277777</v>
      </c>
      <c r="G81" s="63" t="str">
        <f t="shared" si="3"/>
        <v>10</v>
      </c>
      <c r="H81" s="63" t="s">
        <v>935</v>
      </c>
      <c r="I81" s="63" t="s">
        <v>867</v>
      </c>
      <c r="J81" s="63" t="s">
        <v>659</v>
      </c>
      <c r="K81" s="63">
        <v>1.823</v>
      </c>
      <c r="L81" s="63">
        <v>0.14167399999999999</v>
      </c>
      <c r="M81" s="137">
        <v>45925.544907407406</v>
      </c>
      <c r="N81" s="63"/>
      <c r="O81" s="63" t="s">
        <v>935</v>
      </c>
      <c r="P81" s="63" t="s">
        <v>902</v>
      </c>
      <c r="Q81" s="63" t="s">
        <v>673</v>
      </c>
      <c r="R81" s="63">
        <v>-2E-3</v>
      </c>
      <c r="S81" s="63">
        <v>2.0049999999999998E-3</v>
      </c>
      <c r="T81" s="137">
        <v>45925.604074074072</v>
      </c>
      <c r="V81" s="124" t="s">
        <v>794</v>
      </c>
      <c r="W81" s="29" t="s">
        <v>974</v>
      </c>
      <c r="X81" s="29">
        <v>-5.8599999999999999E-2</v>
      </c>
      <c r="Y81" s="29">
        <v>1.516</v>
      </c>
      <c r="Z81" s="29">
        <v>2.1000000000000001E-2</v>
      </c>
    </row>
    <row r="82" spans="1:26" x14ac:dyDescent="0.25">
      <c r="A82" s="63" t="s">
        <v>900</v>
      </c>
      <c r="B82" s="63" t="s">
        <v>658</v>
      </c>
      <c r="C82" s="63" t="s">
        <v>659</v>
      </c>
      <c r="D82" s="63">
        <v>-8.5000000000000006E-3</v>
      </c>
      <c r="E82" s="63">
        <v>8.9876999999999999E-2</v>
      </c>
      <c r="F82" s="137">
        <v>45925.756458333337</v>
      </c>
      <c r="G82" s="63" t="str">
        <f t="shared" si="3"/>
        <v>11</v>
      </c>
      <c r="H82" s="63" t="s">
        <v>900</v>
      </c>
      <c r="I82" s="63" t="s">
        <v>867</v>
      </c>
      <c r="J82" s="63" t="s">
        <v>659</v>
      </c>
      <c r="K82" s="63">
        <v>1.6579999999999999</v>
      </c>
      <c r="L82" s="63">
        <v>0.131353</v>
      </c>
      <c r="M82" s="137">
        <v>45925.825868055559</v>
      </c>
      <c r="N82" s="63"/>
      <c r="O82" s="63" t="s">
        <v>900</v>
      </c>
      <c r="P82" s="63" t="s">
        <v>902</v>
      </c>
      <c r="Q82" s="63" t="s">
        <v>673</v>
      </c>
      <c r="R82" s="63">
        <v>2E-3</v>
      </c>
      <c r="S82" s="63">
        <v>1.585E-3</v>
      </c>
      <c r="T82" s="137">
        <v>45926.441168981481</v>
      </c>
      <c r="V82" s="124" t="s">
        <v>795</v>
      </c>
      <c r="W82" s="29" t="s">
        <v>975</v>
      </c>
      <c r="X82" s="29">
        <v>-5.67E-2</v>
      </c>
      <c r="Y82" s="29">
        <v>1.7789999999999999</v>
      </c>
      <c r="Z82" s="29">
        <v>4.0000000000000001E-3</v>
      </c>
    </row>
    <row r="83" spans="1:26" x14ac:dyDescent="0.25">
      <c r="A83" s="63" t="s">
        <v>936</v>
      </c>
      <c r="B83" s="63" t="s">
        <v>658</v>
      </c>
      <c r="C83" s="63" t="s">
        <v>659</v>
      </c>
      <c r="D83" s="63">
        <v>-5.7000000000000002E-3</v>
      </c>
      <c r="E83" s="63">
        <v>9.1312000000000004E-2</v>
      </c>
      <c r="F83" s="137">
        <v>45925.463796296295</v>
      </c>
      <c r="G83" s="63" t="str">
        <f t="shared" si="3"/>
        <v>12</v>
      </c>
      <c r="H83" s="63" t="s">
        <v>936</v>
      </c>
      <c r="I83" s="63" t="s">
        <v>867</v>
      </c>
      <c r="J83" s="63" t="s">
        <v>659</v>
      </c>
      <c r="K83" s="63">
        <v>1.8620000000000001</v>
      </c>
      <c r="L83" s="63">
        <v>0.144066</v>
      </c>
      <c r="M83" s="137">
        <v>45925.545567129629</v>
      </c>
      <c r="N83" s="63"/>
      <c r="O83" s="63" t="s">
        <v>936</v>
      </c>
      <c r="P83" s="63" t="s">
        <v>902</v>
      </c>
      <c r="Q83" s="63" t="s">
        <v>673</v>
      </c>
      <c r="R83" s="63">
        <v>-4.0000000000000001E-3</v>
      </c>
      <c r="S83" s="63">
        <v>1.292E-3</v>
      </c>
      <c r="T83" s="137">
        <v>45925.604733796295</v>
      </c>
      <c r="V83" s="124" t="s">
        <v>796</v>
      </c>
      <c r="W83" s="29" t="s">
        <v>976</v>
      </c>
      <c r="X83" s="29">
        <v>-5.5500000000000001E-2</v>
      </c>
      <c r="Y83" s="29">
        <v>2.3290000000000002</v>
      </c>
      <c r="Z83" s="29">
        <v>4.0000000000000001E-3</v>
      </c>
    </row>
    <row r="84" spans="1:26" x14ac:dyDescent="0.25">
      <c r="A84" s="63" t="s">
        <v>901</v>
      </c>
      <c r="B84" s="63" t="s">
        <v>658</v>
      </c>
      <c r="C84" s="63" t="s">
        <v>659</v>
      </c>
      <c r="D84" s="63">
        <v>-3.3000000000000002E-2</v>
      </c>
      <c r="E84" s="63">
        <v>7.6980999999999994E-2</v>
      </c>
      <c r="F84" s="137">
        <v>45925.759513888886</v>
      </c>
      <c r="G84" s="63" t="str">
        <f t="shared" si="3"/>
        <v>13</v>
      </c>
      <c r="H84" s="63" t="s">
        <v>901</v>
      </c>
      <c r="I84" s="63" t="s">
        <v>867</v>
      </c>
      <c r="J84" s="63" t="s">
        <v>659</v>
      </c>
      <c r="K84" s="63">
        <v>0.28299999999999997</v>
      </c>
      <c r="L84" s="63">
        <v>4.5559000000000002E-2</v>
      </c>
      <c r="M84" s="137">
        <v>45925.826516203706</v>
      </c>
      <c r="N84" s="63"/>
      <c r="O84" s="63" t="s">
        <v>901</v>
      </c>
      <c r="P84" s="63" t="s">
        <v>902</v>
      </c>
      <c r="Q84" s="63" t="s">
        <v>673</v>
      </c>
      <c r="R84" s="63">
        <v>0</v>
      </c>
      <c r="S84" s="63">
        <v>1.0020000000000001E-3</v>
      </c>
      <c r="T84" s="137">
        <v>45926.441828703704</v>
      </c>
      <c r="V84" s="123" t="s">
        <v>752</v>
      </c>
      <c r="W84" s="26" t="s">
        <v>890</v>
      </c>
      <c r="X84" s="26">
        <v>-1.34E-2</v>
      </c>
      <c r="Y84" s="26">
        <v>2.3940000000000001</v>
      </c>
      <c r="Z84" s="26">
        <v>0</v>
      </c>
    </row>
    <row r="85" spans="1:26" x14ac:dyDescent="0.25">
      <c r="A85" s="105" t="s">
        <v>937</v>
      </c>
      <c r="B85" s="105" t="s">
        <v>658</v>
      </c>
      <c r="C85" s="105" t="s">
        <v>659</v>
      </c>
      <c r="D85" s="105">
        <v>3.1800000000000002E-2</v>
      </c>
      <c r="E85" s="105">
        <v>0.10921500000000001</v>
      </c>
      <c r="F85" s="139">
        <v>45926.502071759256</v>
      </c>
      <c r="G85" s="105" t="str">
        <f t="shared" si="3"/>
        <v xml:space="preserve"> 1</v>
      </c>
      <c r="H85" s="105" t="s">
        <v>937</v>
      </c>
      <c r="I85" s="105" t="s">
        <v>867</v>
      </c>
      <c r="J85" s="105" t="s">
        <v>659</v>
      </c>
      <c r="K85" s="105">
        <v>2.5710000000000002</v>
      </c>
      <c r="L85" s="105">
        <v>0.18249199999999999</v>
      </c>
      <c r="M85" s="139">
        <v>45926.57408564815</v>
      </c>
      <c r="N85" s="105"/>
      <c r="O85" s="105" t="s">
        <v>937</v>
      </c>
      <c r="P85" s="105" t="s">
        <v>902</v>
      </c>
      <c r="Q85" s="105" t="s">
        <v>673</v>
      </c>
      <c r="R85" s="105">
        <v>-1E-3</v>
      </c>
      <c r="S85" s="105">
        <v>7.54E-4</v>
      </c>
      <c r="T85" s="139">
        <v>45926.622175925928</v>
      </c>
      <c r="V85" s="123" t="s">
        <v>753</v>
      </c>
      <c r="W85" s="26" t="s">
        <v>923</v>
      </c>
      <c r="X85" s="26">
        <v>-1.1900000000000001E-2</v>
      </c>
      <c r="Y85" s="26">
        <v>2.2719999999999998</v>
      </c>
      <c r="Z85" s="26">
        <v>-5.0000000000000001E-3</v>
      </c>
    </row>
    <row r="86" spans="1:26" x14ac:dyDescent="0.25">
      <c r="A86" s="105" t="s">
        <v>938</v>
      </c>
      <c r="B86" s="105" t="s">
        <v>658</v>
      </c>
      <c r="C86" s="105" t="s">
        <v>659</v>
      </c>
      <c r="D86" s="105">
        <v>0.1193</v>
      </c>
      <c r="E86" s="105">
        <v>0.15239</v>
      </c>
      <c r="F86" s="139">
        <v>45926.503599537034</v>
      </c>
      <c r="G86" s="105" t="str">
        <f t="shared" si="3"/>
        <v xml:space="preserve"> 2</v>
      </c>
      <c r="H86" s="105" t="s">
        <v>938</v>
      </c>
      <c r="I86" s="105" t="s">
        <v>867</v>
      </c>
      <c r="J86" s="105" t="s">
        <v>659</v>
      </c>
      <c r="K86" s="105">
        <v>2.2709999999999999</v>
      </c>
      <c r="L86" s="105">
        <v>0.16426299999999999</v>
      </c>
      <c r="M86" s="139">
        <v>45926.575694444444</v>
      </c>
      <c r="N86" s="105"/>
      <c r="O86" s="105" t="s">
        <v>938</v>
      </c>
      <c r="P86" s="105" t="s">
        <v>902</v>
      </c>
      <c r="Q86" s="105" t="s">
        <v>673</v>
      </c>
      <c r="R86" s="105">
        <v>1E-3</v>
      </c>
      <c r="S86" s="105">
        <v>1.207E-3</v>
      </c>
      <c r="T86" s="139">
        <v>45926.623101851852</v>
      </c>
      <c r="V86" s="123" t="s">
        <v>754</v>
      </c>
      <c r="W86" s="26" t="s">
        <v>924</v>
      </c>
      <c r="X86" s="26">
        <v>-2.4199999999999999E-2</v>
      </c>
      <c r="Y86" s="26">
        <v>2.044</v>
      </c>
      <c r="Z86" s="26">
        <v>-5.0000000000000001E-3</v>
      </c>
    </row>
    <row r="87" spans="1:26" x14ac:dyDescent="0.25">
      <c r="A87" s="105" t="s">
        <v>939</v>
      </c>
      <c r="B87" s="105" t="s">
        <v>658</v>
      </c>
      <c r="C87" s="105" t="s">
        <v>659</v>
      </c>
      <c r="D87" s="105">
        <v>-2.4400000000000002E-2</v>
      </c>
      <c r="E87" s="105">
        <v>8.1529000000000004E-2</v>
      </c>
      <c r="F87" s="139">
        <v>45926.505127314813</v>
      </c>
      <c r="G87" s="105" t="str">
        <f t="shared" si="3"/>
        <v xml:space="preserve"> 3</v>
      </c>
      <c r="H87" s="105" t="s">
        <v>939</v>
      </c>
      <c r="I87" s="105" t="s">
        <v>867</v>
      </c>
      <c r="J87" s="105" t="s">
        <v>659</v>
      </c>
      <c r="K87" s="105">
        <v>1.92</v>
      </c>
      <c r="L87" s="105">
        <v>0.142878</v>
      </c>
      <c r="M87" s="139">
        <v>45926.577303240738</v>
      </c>
      <c r="N87" s="105"/>
      <c r="O87" s="105" t="s">
        <v>939</v>
      </c>
      <c r="P87" s="105" t="s">
        <v>902</v>
      </c>
      <c r="Q87" s="105" t="s">
        <v>673</v>
      </c>
      <c r="R87" s="105">
        <v>-1E-3</v>
      </c>
      <c r="S87" s="105">
        <v>6.8900000000000005E-4</v>
      </c>
      <c r="T87" s="139">
        <v>45926.624039351853</v>
      </c>
      <c r="V87" s="123" t="s">
        <v>755</v>
      </c>
      <c r="W87" s="26" t="s">
        <v>925</v>
      </c>
      <c r="X87" s="26">
        <v>-2.0299999999999999E-2</v>
      </c>
      <c r="Y87" s="26">
        <v>1.829</v>
      </c>
      <c r="Z87" s="26">
        <v>-4.0000000000000001E-3</v>
      </c>
    </row>
    <row r="88" spans="1:26" x14ac:dyDescent="0.25">
      <c r="A88" s="105" t="s">
        <v>940</v>
      </c>
      <c r="B88" s="105" t="s">
        <v>658</v>
      </c>
      <c r="C88" s="105" t="s">
        <v>659</v>
      </c>
      <c r="D88" s="105">
        <v>-1.0200000000000001E-2</v>
      </c>
      <c r="E88" s="105">
        <v>8.8517999999999999E-2</v>
      </c>
      <c r="F88" s="139">
        <v>45926.506655092591</v>
      </c>
      <c r="G88" s="105" t="str">
        <f t="shared" si="3"/>
        <v xml:space="preserve"> 4</v>
      </c>
      <c r="H88" s="105" t="s">
        <v>940</v>
      </c>
      <c r="I88" s="105" t="s">
        <v>867</v>
      </c>
      <c r="J88" s="105" t="s">
        <v>659</v>
      </c>
      <c r="K88" s="105">
        <v>1.8029999999999999</v>
      </c>
      <c r="L88" s="105">
        <v>0.13572400000000001</v>
      </c>
      <c r="M88" s="139">
        <v>45926.578900462962</v>
      </c>
      <c r="N88" s="105"/>
      <c r="O88" s="105" t="s">
        <v>940</v>
      </c>
      <c r="P88" s="105" t="s">
        <v>902</v>
      </c>
      <c r="Q88" s="105" t="s">
        <v>673</v>
      </c>
      <c r="R88" s="105">
        <v>-1E-3</v>
      </c>
      <c r="S88" s="105">
        <v>6.6799999999999997E-4</v>
      </c>
      <c r="T88" s="139">
        <v>45926.624965277777</v>
      </c>
      <c r="V88" s="123" t="s">
        <v>756</v>
      </c>
      <c r="W88" s="26" t="s">
        <v>926</v>
      </c>
      <c r="X88" s="26">
        <v>-5.8999999999999999E-3</v>
      </c>
      <c r="Y88" s="26">
        <v>1.4910000000000001</v>
      </c>
      <c r="Z88" s="26">
        <v>-4.0000000000000001E-3</v>
      </c>
    </row>
    <row r="89" spans="1:26" x14ac:dyDescent="0.25">
      <c r="A89" s="105" t="s">
        <v>941</v>
      </c>
      <c r="B89" s="105" t="s">
        <v>658</v>
      </c>
      <c r="C89" s="105" t="s">
        <v>659</v>
      </c>
      <c r="D89" s="105">
        <v>-1.9699999999999999E-2</v>
      </c>
      <c r="E89" s="105">
        <v>8.387E-2</v>
      </c>
      <c r="F89" s="139">
        <v>45926.50818287037</v>
      </c>
      <c r="G89" s="105" t="str">
        <f t="shared" si="3"/>
        <v xml:space="preserve"> 5</v>
      </c>
      <c r="H89" s="105" t="s">
        <v>941</v>
      </c>
      <c r="I89" s="105" t="s">
        <v>867</v>
      </c>
      <c r="J89" s="105" t="s">
        <v>659</v>
      </c>
      <c r="K89" s="105">
        <v>2.2029999999999998</v>
      </c>
      <c r="L89" s="105">
        <v>0.16006799999999999</v>
      </c>
      <c r="M89" s="139">
        <v>45926.580509259256</v>
      </c>
      <c r="N89" s="105"/>
      <c r="O89" s="105" t="s">
        <v>941</v>
      </c>
      <c r="P89" s="105" t="s">
        <v>902</v>
      </c>
      <c r="Q89" s="105" t="s">
        <v>673</v>
      </c>
      <c r="R89" s="105">
        <v>-1E-3</v>
      </c>
      <c r="S89" s="105">
        <v>6.1399999999999996E-4</v>
      </c>
      <c r="T89" s="139">
        <v>45926.625891203701</v>
      </c>
      <c r="V89" s="123" t="s">
        <v>757</v>
      </c>
      <c r="W89" s="26" t="s">
        <v>891</v>
      </c>
      <c r="X89" s="26">
        <v>3.2800000000000003E-2</v>
      </c>
      <c r="Y89" s="26">
        <v>1.409</v>
      </c>
      <c r="Z89" s="26">
        <v>3.0000000000000001E-3</v>
      </c>
    </row>
    <row r="90" spans="1:26" x14ac:dyDescent="0.25">
      <c r="A90" s="105" t="s">
        <v>942</v>
      </c>
      <c r="B90" s="105" t="s">
        <v>658</v>
      </c>
      <c r="C90" s="105" t="s">
        <v>659</v>
      </c>
      <c r="D90" s="105">
        <v>-2.7000000000000001E-3</v>
      </c>
      <c r="E90" s="105">
        <v>9.2251E-2</v>
      </c>
      <c r="F90" s="139">
        <v>45926.509722222225</v>
      </c>
      <c r="G90" s="105" t="str">
        <f t="shared" si="3"/>
        <v xml:space="preserve"> 6</v>
      </c>
      <c r="H90" s="105" t="s">
        <v>942</v>
      </c>
      <c r="I90" s="105" t="s">
        <v>867</v>
      </c>
      <c r="J90" s="105" t="s">
        <v>659</v>
      </c>
      <c r="K90" s="105">
        <v>2.5750000000000002</v>
      </c>
      <c r="L90" s="105">
        <v>0.18276300000000001</v>
      </c>
      <c r="M90" s="139">
        <v>45926.582129629627</v>
      </c>
      <c r="N90" s="105"/>
      <c r="O90" s="105" t="s">
        <v>942</v>
      </c>
      <c r="P90" s="105" t="s">
        <v>902</v>
      </c>
      <c r="Q90" s="105" t="s">
        <v>673</v>
      </c>
      <c r="R90" s="105">
        <v>-1E-3</v>
      </c>
      <c r="S90" s="105">
        <v>7.2199999999999999E-4</v>
      </c>
      <c r="T90" s="139">
        <v>45926.626840277779</v>
      </c>
      <c r="V90" s="123" t="s">
        <v>758</v>
      </c>
      <c r="W90" s="26" t="s">
        <v>927</v>
      </c>
      <c r="X90" s="26">
        <v>2.3E-3</v>
      </c>
      <c r="Y90" s="26">
        <v>2.6240000000000001</v>
      </c>
      <c r="Z90" s="26">
        <v>-5.0000000000000001E-3</v>
      </c>
    </row>
    <row r="91" spans="1:26" x14ac:dyDescent="0.25">
      <c r="A91" s="29" t="s">
        <v>943</v>
      </c>
      <c r="B91" s="29" t="s">
        <v>658</v>
      </c>
      <c r="C91" s="29" t="s">
        <v>659</v>
      </c>
      <c r="D91" s="29">
        <v>8.3099999999999993E-2</v>
      </c>
      <c r="E91" s="29">
        <v>0.13453000000000001</v>
      </c>
      <c r="F91" s="138">
        <v>45926.511250000003</v>
      </c>
      <c r="G91" s="29" t="str">
        <f t="shared" si="3"/>
        <v xml:space="preserve"> 5</v>
      </c>
      <c r="H91" s="29" t="s">
        <v>943</v>
      </c>
      <c r="I91" s="29" t="s">
        <v>867</v>
      </c>
      <c r="J91" s="29" t="s">
        <v>659</v>
      </c>
      <c r="K91" s="29">
        <v>-0.13200000000000001</v>
      </c>
      <c r="L91" s="29">
        <v>1.7985000000000001E-2</v>
      </c>
      <c r="M91" s="138">
        <v>45926.583749999998</v>
      </c>
      <c r="N91" s="29"/>
      <c r="O91" s="29" t="s">
        <v>943</v>
      </c>
      <c r="P91" s="29" t="s">
        <v>902</v>
      </c>
      <c r="Q91" s="29" t="s">
        <v>673</v>
      </c>
      <c r="R91" s="29">
        <v>3.4000000000000002E-2</v>
      </c>
      <c r="S91" s="29">
        <v>1.2729000000000001E-2</v>
      </c>
      <c r="T91" s="138">
        <v>45926.627789351849</v>
      </c>
      <c r="V91" s="123" t="s">
        <v>759</v>
      </c>
      <c r="W91" s="26" t="s">
        <v>892</v>
      </c>
      <c r="X91" s="26">
        <v>-8.6999999999999994E-3</v>
      </c>
      <c r="Y91" s="26">
        <v>2.5710000000000002</v>
      </c>
      <c r="Z91" s="26">
        <v>1E-3</v>
      </c>
    </row>
    <row r="92" spans="1:26" x14ac:dyDescent="0.25">
      <c r="A92" s="29" t="s">
        <v>944</v>
      </c>
      <c r="B92" s="29" t="s">
        <v>658</v>
      </c>
      <c r="C92" s="29" t="s">
        <v>659</v>
      </c>
      <c r="D92" s="29">
        <v>0.1138</v>
      </c>
      <c r="E92" s="29">
        <v>0.14968600000000001</v>
      </c>
      <c r="F92" s="138">
        <v>45926.512777777774</v>
      </c>
      <c r="G92" s="29" t="str">
        <f t="shared" si="3"/>
        <v xml:space="preserve"> 6</v>
      </c>
      <c r="H92" s="29" t="s">
        <v>944</v>
      </c>
      <c r="I92" s="29" t="s">
        <v>867</v>
      </c>
      <c r="J92" s="29" t="s">
        <v>659</v>
      </c>
      <c r="K92" s="29">
        <v>-0.24</v>
      </c>
      <c r="L92" s="29">
        <v>1.1415E-2</v>
      </c>
      <c r="M92" s="138">
        <v>45926.585358796299</v>
      </c>
      <c r="N92" s="29"/>
      <c r="O92" s="29" t="s">
        <v>944</v>
      </c>
      <c r="P92" s="29" t="s">
        <v>902</v>
      </c>
      <c r="Q92" s="29" t="s">
        <v>673</v>
      </c>
      <c r="R92" s="29">
        <v>1E-3</v>
      </c>
      <c r="S92" s="29">
        <v>1.487E-3</v>
      </c>
      <c r="T92" s="138">
        <v>45926.62871527778</v>
      </c>
      <c r="V92" s="123" t="s">
        <v>760</v>
      </c>
      <c r="W92" s="26" t="s">
        <v>893</v>
      </c>
      <c r="X92" s="26">
        <v>-1.78E-2</v>
      </c>
      <c r="Y92" s="26">
        <v>2.52</v>
      </c>
      <c r="Z92" s="26">
        <v>0</v>
      </c>
    </row>
    <row r="93" spans="1:26" x14ac:dyDescent="0.25">
      <c r="A93" s="29" t="s">
        <v>945</v>
      </c>
      <c r="B93" s="29" t="s">
        <v>658</v>
      </c>
      <c r="C93" s="29" t="s">
        <v>659</v>
      </c>
      <c r="D93" s="29">
        <v>-2.0299999999999999E-2</v>
      </c>
      <c r="E93" s="29">
        <v>8.3547999999999997E-2</v>
      </c>
      <c r="F93" s="138">
        <v>45926.514328703706</v>
      </c>
      <c r="G93" s="29" t="str">
        <f t="shared" si="3"/>
        <v xml:space="preserve"> 8</v>
      </c>
      <c r="H93" s="29" t="s">
        <v>945</v>
      </c>
      <c r="I93" s="29" t="s">
        <v>867</v>
      </c>
      <c r="J93" s="29" t="s">
        <v>659</v>
      </c>
      <c r="K93" s="29">
        <v>-0.224</v>
      </c>
      <c r="L93" s="29">
        <v>1.2382000000000001E-2</v>
      </c>
      <c r="M93" s="138">
        <v>45926.586967592593</v>
      </c>
      <c r="N93" s="29"/>
      <c r="O93" s="29" t="s">
        <v>945</v>
      </c>
      <c r="P93" s="29" t="s">
        <v>902</v>
      </c>
      <c r="Q93" s="29" t="s">
        <v>673</v>
      </c>
      <c r="R93" s="29">
        <v>1E-3</v>
      </c>
      <c r="S93" s="29">
        <v>1.4549999999999999E-3</v>
      </c>
      <c r="T93" s="138">
        <v>45926.629641203705</v>
      </c>
      <c r="V93" s="123" t="s">
        <v>761</v>
      </c>
      <c r="W93" s="26" t="s">
        <v>928</v>
      </c>
      <c r="X93" s="26">
        <v>0.30819999999999997</v>
      </c>
      <c r="Y93" s="26">
        <v>2.7770000000000001</v>
      </c>
      <c r="Z93" s="26">
        <v>-5.0000000000000001E-3</v>
      </c>
    </row>
    <row r="94" spans="1:26" x14ac:dyDescent="0.25">
      <c r="A94" s="29" t="s">
        <v>946</v>
      </c>
      <c r="B94" s="29" t="s">
        <v>658</v>
      </c>
      <c r="C94" s="29" t="s">
        <v>659</v>
      </c>
      <c r="D94" s="29">
        <v>8.7499999999999994E-2</v>
      </c>
      <c r="E94" s="29">
        <v>0.13670599999999999</v>
      </c>
      <c r="F94" s="138">
        <v>45926.515868055554</v>
      </c>
      <c r="G94" s="29" t="str">
        <f t="shared" si="3"/>
        <v xml:space="preserve"> 9</v>
      </c>
      <c r="H94" s="29" t="s">
        <v>946</v>
      </c>
      <c r="I94" s="29" t="s">
        <v>867</v>
      </c>
      <c r="J94" s="29" t="s">
        <v>659</v>
      </c>
      <c r="K94" s="29">
        <v>-0.13400000000000001</v>
      </c>
      <c r="L94" s="29">
        <v>1.7821E-2</v>
      </c>
      <c r="M94" s="138">
        <v>45926.588564814818</v>
      </c>
      <c r="N94" s="29"/>
      <c r="O94" s="29" t="s">
        <v>946</v>
      </c>
      <c r="P94" s="29" t="s">
        <v>902</v>
      </c>
      <c r="Q94" s="29" t="s">
        <v>673</v>
      </c>
      <c r="R94" s="29">
        <v>2E-3</v>
      </c>
      <c r="S94" s="29">
        <v>1.6280000000000001E-3</v>
      </c>
      <c r="T94" s="138">
        <v>45926.630567129629</v>
      </c>
      <c r="V94" s="123" t="s">
        <v>762</v>
      </c>
      <c r="W94" s="26" t="s">
        <v>929</v>
      </c>
      <c r="X94" s="26">
        <v>8.6199999999999999E-2</v>
      </c>
      <c r="Y94" s="26">
        <v>2.7080000000000002</v>
      </c>
      <c r="Z94" s="26">
        <v>-4.0000000000000001E-3</v>
      </c>
    </row>
    <row r="95" spans="1:26" x14ac:dyDescent="0.25">
      <c r="A95" s="29" t="s">
        <v>947</v>
      </c>
      <c r="B95" s="29" t="s">
        <v>658</v>
      </c>
      <c r="C95" s="29" t="s">
        <v>659</v>
      </c>
      <c r="D95" s="29">
        <v>0.14699999999999999</v>
      </c>
      <c r="E95" s="29">
        <v>0.16603100000000001</v>
      </c>
      <c r="F95" s="138">
        <v>45926.517395833333</v>
      </c>
      <c r="G95" s="29" t="str">
        <f t="shared" si="3"/>
        <v>10</v>
      </c>
      <c r="H95" s="29" t="s">
        <v>947</v>
      </c>
      <c r="I95" s="29" t="s">
        <v>867</v>
      </c>
      <c r="J95" s="29" t="s">
        <v>659</v>
      </c>
      <c r="K95" s="29">
        <v>-0.122</v>
      </c>
      <c r="L95" s="29">
        <v>1.8578999999999998E-2</v>
      </c>
      <c r="M95" s="138">
        <v>45926.590173611112</v>
      </c>
      <c r="N95" s="29"/>
      <c r="O95" s="29" t="s">
        <v>947</v>
      </c>
      <c r="P95" s="29" t="s">
        <v>902</v>
      </c>
      <c r="Q95" s="29" t="s">
        <v>673</v>
      </c>
      <c r="R95" s="29">
        <v>4.0000000000000001E-3</v>
      </c>
      <c r="S95" s="29">
        <v>2.4499999999999999E-3</v>
      </c>
      <c r="T95" s="138">
        <v>45926.631481481483</v>
      </c>
      <c r="V95" s="123" t="s">
        <v>763</v>
      </c>
      <c r="W95" s="26" t="s">
        <v>894</v>
      </c>
      <c r="X95" s="26">
        <v>-2.9100000000000001E-2</v>
      </c>
      <c r="Y95" s="26">
        <v>2.6150000000000002</v>
      </c>
      <c r="Z95" s="26">
        <v>0</v>
      </c>
    </row>
    <row r="96" spans="1:26" x14ac:dyDescent="0.25">
      <c r="A96" s="29" t="s">
        <v>948</v>
      </c>
      <c r="B96" s="29" t="s">
        <v>658</v>
      </c>
      <c r="C96" s="29" t="s">
        <v>659</v>
      </c>
      <c r="D96" s="29">
        <v>1.2E-2</v>
      </c>
      <c r="E96" s="29">
        <v>9.9470000000000003E-2</v>
      </c>
      <c r="F96" s="138">
        <v>45926.518923611111</v>
      </c>
      <c r="G96" s="29" t="str">
        <f t="shared" si="3"/>
        <v>11</v>
      </c>
      <c r="H96" s="29" t="s">
        <v>948</v>
      </c>
      <c r="I96" s="29" t="s">
        <v>867</v>
      </c>
      <c r="J96" s="29" t="s">
        <v>659</v>
      </c>
      <c r="K96" s="29">
        <v>-8.8999999999999996E-2</v>
      </c>
      <c r="L96" s="29">
        <v>2.0563999999999999E-2</v>
      </c>
      <c r="M96" s="138">
        <v>45926.591782407406</v>
      </c>
      <c r="N96" s="29"/>
      <c r="O96" s="29" t="s">
        <v>948</v>
      </c>
      <c r="P96" s="29" t="s">
        <v>902</v>
      </c>
      <c r="Q96" s="29" t="s">
        <v>673</v>
      </c>
      <c r="R96" s="29">
        <v>0.01</v>
      </c>
      <c r="S96" s="29">
        <v>4.4120000000000001E-3</v>
      </c>
      <c r="T96" s="138">
        <v>45926.632407407407</v>
      </c>
      <c r="V96" s="123" t="s">
        <v>764</v>
      </c>
      <c r="W96" s="26" t="s">
        <v>930</v>
      </c>
      <c r="X96" s="26">
        <v>-5.4999999999999997E-3</v>
      </c>
      <c r="Y96" s="26">
        <v>1.4370000000000001</v>
      </c>
      <c r="Z96" s="26">
        <v>-4.0000000000000001E-3</v>
      </c>
    </row>
    <row r="97" spans="1:26" x14ac:dyDescent="0.25">
      <c r="A97" s="29" t="s">
        <v>949</v>
      </c>
      <c r="B97" s="29" t="s">
        <v>658</v>
      </c>
      <c r="C97" s="29" t="s">
        <v>659</v>
      </c>
      <c r="D97" s="29">
        <v>0.05</v>
      </c>
      <c r="E97" s="29">
        <v>0.118228</v>
      </c>
      <c r="F97" s="138">
        <v>45926.520451388889</v>
      </c>
      <c r="G97" s="29" t="str">
        <f t="shared" si="3"/>
        <v>12</v>
      </c>
      <c r="H97" s="29" t="s">
        <v>949</v>
      </c>
      <c r="I97" s="29" t="s">
        <v>867</v>
      </c>
      <c r="J97" s="29" t="s">
        <v>659</v>
      </c>
      <c r="K97" s="29">
        <v>3.6999999999999998E-2</v>
      </c>
      <c r="L97" s="29">
        <v>2.8223999999999999E-2</v>
      </c>
      <c r="M97" s="138">
        <v>45926.593391203707</v>
      </c>
      <c r="N97" s="29"/>
      <c r="O97" s="29" t="s">
        <v>949</v>
      </c>
      <c r="P97" s="29" t="s">
        <v>902</v>
      </c>
      <c r="Q97" s="29" t="s">
        <v>673</v>
      </c>
      <c r="R97" s="29">
        <v>1E-3</v>
      </c>
      <c r="S97" s="29">
        <v>1.5200000000000001E-3</v>
      </c>
      <c r="T97" s="138">
        <v>45926.633333333331</v>
      </c>
      <c r="V97" s="119" t="s">
        <v>765</v>
      </c>
      <c r="W97" s="63" t="s">
        <v>895</v>
      </c>
      <c r="X97" s="63">
        <v>-1.1299999999999999E-2</v>
      </c>
      <c r="Y97" s="63">
        <v>1.2789999999999999</v>
      </c>
      <c r="Z97" s="63">
        <v>0</v>
      </c>
    </row>
    <row r="98" spans="1:26" x14ac:dyDescent="0.25">
      <c r="A98" s="29" t="s">
        <v>950</v>
      </c>
      <c r="B98" s="29" t="s">
        <v>658</v>
      </c>
      <c r="C98" s="29" t="s">
        <v>659</v>
      </c>
      <c r="D98" s="29">
        <v>1.84E-2</v>
      </c>
      <c r="E98" s="29">
        <v>0.10263600000000001</v>
      </c>
      <c r="F98" s="138">
        <v>45926.521979166668</v>
      </c>
      <c r="G98" s="29" t="str">
        <f t="shared" si="3"/>
        <v>14</v>
      </c>
      <c r="H98" s="29" t="s">
        <v>950</v>
      </c>
      <c r="I98" s="29" t="s">
        <v>867</v>
      </c>
      <c r="J98" s="29" t="s">
        <v>659</v>
      </c>
      <c r="K98" s="29">
        <v>-0.14299999999999999</v>
      </c>
      <c r="L98" s="29">
        <v>1.7284999999999998E-2</v>
      </c>
      <c r="M98" s="138">
        <v>45926.595000000001</v>
      </c>
      <c r="N98" s="29"/>
      <c r="O98" s="29" t="s">
        <v>950</v>
      </c>
      <c r="P98" s="29" t="s">
        <v>902</v>
      </c>
      <c r="Q98" s="29" t="s">
        <v>673</v>
      </c>
      <c r="R98" s="29">
        <v>1E-3</v>
      </c>
      <c r="S98" s="29">
        <v>1.358E-3</v>
      </c>
      <c r="T98" s="138">
        <v>45926.634259259263</v>
      </c>
      <c r="V98" s="119" t="s">
        <v>766</v>
      </c>
      <c r="W98" s="63" t="s">
        <v>896</v>
      </c>
      <c r="X98" s="63">
        <v>-2.2599999999999999E-2</v>
      </c>
      <c r="Y98" s="63">
        <v>1.091</v>
      </c>
      <c r="Z98" s="63">
        <v>1E-3</v>
      </c>
    </row>
    <row r="99" spans="1:26" x14ac:dyDescent="0.25">
      <c r="A99" s="29" t="s">
        <v>951</v>
      </c>
      <c r="B99" s="29" t="s">
        <v>658</v>
      </c>
      <c r="C99" s="29" t="s">
        <v>659</v>
      </c>
      <c r="D99" s="29">
        <v>0.13650000000000001</v>
      </c>
      <c r="E99" s="29">
        <v>0.16084000000000001</v>
      </c>
      <c r="F99" s="138">
        <v>45926.523495370369</v>
      </c>
      <c r="G99" s="29" t="str">
        <f t="shared" si="3"/>
        <v>15</v>
      </c>
      <c r="H99" s="29" t="s">
        <v>951</v>
      </c>
      <c r="I99" s="29" t="s">
        <v>867</v>
      </c>
      <c r="J99" s="29" t="s">
        <v>659</v>
      </c>
      <c r="K99" s="29">
        <v>-0.14899999999999999</v>
      </c>
      <c r="L99" s="29">
        <v>1.6920999999999999E-2</v>
      </c>
      <c r="M99" s="138">
        <v>45926.59983796296</v>
      </c>
      <c r="N99" s="29"/>
      <c r="O99" s="29" t="s">
        <v>951</v>
      </c>
      <c r="P99" s="29" t="s">
        <v>902</v>
      </c>
      <c r="Q99" s="29" t="s">
        <v>673</v>
      </c>
      <c r="R99" s="29">
        <v>8.0000000000000002E-3</v>
      </c>
      <c r="S99" s="29">
        <v>3.9129999999999998E-3</v>
      </c>
      <c r="T99" s="138">
        <v>45926.635185185187</v>
      </c>
      <c r="V99" s="119" t="s">
        <v>767</v>
      </c>
      <c r="W99" s="63" t="s">
        <v>897</v>
      </c>
      <c r="X99" s="63">
        <v>-1.83E-2</v>
      </c>
      <c r="Y99" s="63">
        <v>1.07</v>
      </c>
      <c r="Z99" s="63">
        <v>1E-3</v>
      </c>
    </row>
    <row r="100" spans="1:26" x14ac:dyDescent="0.25">
      <c r="A100" s="63" t="s">
        <v>952</v>
      </c>
      <c r="B100" s="63" t="s">
        <v>658</v>
      </c>
      <c r="C100" s="63" t="s">
        <v>659</v>
      </c>
      <c r="D100" s="63">
        <v>-3.5799999999999998E-2</v>
      </c>
      <c r="E100" s="63">
        <v>7.5902999999999998E-2</v>
      </c>
      <c r="F100" s="137">
        <v>45926.528067129628</v>
      </c>
      <c r="G100" s="63" t="str">
        <f t="shared" si="3"/>
        <v xml:space="preserve"> 5</v>
      </c>
      <c r="H100" s="63" t="s">
        <v>952</v>
      </c>
      <c r="I100" s="63" t="s">
        <v>867</v>
      </c>
      <c r="J100" s="63" t="s">
        <v>659</v>
      </c>
      <c r="K100" s="63">
        <v>-0.219</v>
      </c>
      <c r="L100" s="63">
        <v>1.2648E-2</v>
      </c>
      <c r="M100" s="137">
        <v>45926.601458333331</v>
      </c>
      <c r="N100" s="63"/>
      <c r="O100" s="63" t="s">
        <v>952</v>
      </c>
      <c r="P100" s="63" t="s">
        <v>902</v>
      </c>
      <c r="Q100" s="63" t="s">
        <v>673</v>
      </c>
      <c r="R100" s="63">
        <v>4.0000000000000001E-3</v>
      </c>
      <c r="S100" s="63">
        <v>2.3630000000000001E-3</v>
      </c>
      <c r="T100" s="137">
        <v>45926.637974537036</v>
      </c>
      <c r="V100" s="119" t="s">
        <v>768</v>
      </c>
      <c r="W100" s="63" t="s">
        <v>898</v>
      </c>
      <c r="X100" s="63">
        <v>-2.69E-2</v>
      </c>
      <c r="Y100" s="63">
        <v>0.94299999999999995</v>
      </c>
      <c r="Z100" s="63">
        <v>1E-3</v>
      </c>
    </row>
    <row r="101" spans="1:26" x14ac:dyDescent="0.25">
      <c r="A101" s="63" t="s">
        <v>953</v>
      </c>
      <c r="B101" s="63" t="s">
        <v>658</v>
      </c>
      <c r="C101" s="63" t="s">
        <v>659</v>
      </c>
      <c r="D101" s="63">
        <v>-1.6400000000000001E-2</v>
      </c>
      <c r="E101" s="63">
        <v>8.5472999999999993E-2</v>
      </c>
      <c r="F101" s="137">
        <v>45926.529583333337</v>
      </c>
      <c r="G101" s="63" t="str">
        <f t="shared" si="3"/>
        <v xml:space="preserve"> 6</v>
      </c>
      <c r="H101" s="63" t="s">
        <v>953</v>
      </c>
      <c r="I101" s="63" t="s">
        <v>867</v>
      </c>
      <c r="J101" s="63" t="s">
        <v>659</v>
      </c>
      <c r="K101" s="63">
        <v>1.171</v>
      </c>
      <c r="L101" s="63">
        <v>9.7286999999999998E-2</v>
      </c>
      <c r="M101" s="137">
        <v>45926.603067129632</v>
      </c>
      <c r="N101" s="63"/>
      <c r="O101" s="63" t="s">
        <v>953</v>
      </c>
      <c r="P101" s="63" t="s">
        <v>902</v>
      </c>
      <c r="Q101" s="63" t="s">
        <v>673</v>
      </c>
      <c r="R101" s="63">
        <v>1.2999999999999999E-2</v>
      </c>
      <c r="S101" s="63">
        <v>5.3749999999999996E-3</v>
      </c>
      <c r="T101" s="137">
        <v>45926.638923611114</v>
      </c>
      <c r="V101" s="119" t="s">
        <v>769</v>
      </c>
      <c r="W101" s="63" t="s">
        <v>931</v>
      </c>
      <c r="X101" s="63">
        <v>-1.9699999999999999E-2</v>
      </c>
      <c r="Y101" s="63">
        <v>0.68300000000000005</v>
      </c>
      <c r="Z101" s="63">
        <v>-4.0000000000000001E-3</v>
      </c>
    </row>
    <row r="102" spans="1:26" x14ac:dyDescent="0.25">
      <c r="A102" s="63" t="s">
        <v>954</v>
      </c>
      <c r="B102" s="63" t="s">
        <v>658</v>
      </c>
      <c r="C102" s="63" t="s">
        <v>659</v>
      </c>
      <c r="D102" s="63">
        <v>-7.0000000000000001E-3</v>
      </c>
      <c r="E102" s="63">
        <v>9.0084999999999998E-2</v>
      </c>
      <c r="F102" s="137">
        <v>45926.531111111108</v>
      </c>
      <c r="G102" s="63" t="str">
        <f t="shared" si="3"/>
        <v xml:space="preserve"> 8</v>
      </c>
      <c r="H102" s="63" t="s">
        <v>954</v>
      </c>
      <c r="I102" s="63" t="s">
        <v>867</v>
      </c>
      <c r="J102" s="63" t="s">
        <v>659</v>
      </c>
      <c r="K102" s="63">
        <v>1.1859999999999999</v>
      </c>
      <c r="L102" s="63">
        <v>9.8201999999999998E-2</v>
      </c>
      <c r="M102" s="137">
        <v>45926.604699074072</v>
      </c>
      <c r="N102" s="63"/>
      <c r="O102" s="63" t="s">
        <v>954</v>
      </c>
      <c r="P102" s="63" t="s">
        <v>902</v>
      </c>
      <c r="Q102" s="63" t="s">
        <v>673</v>
      </c>
      <c r="R102" s="63">
        <v>3.4000000000000002E-2</v>
      </c>
      <c r="S102" s="63">
        <v>1.2645E-2</v>
      </c>
      <c r="T102" s="137">
        <v>45926.639872685184</v>
      </c>
      <c r="V102" s="119" t="s">
        <v>770</v>
      </c>
      <c r="W102" s="63" t="s">
        <v>932</v>
      </c>
      <c r="X102" s="63">
        <v>-1.47E-2</v>
      </c>
      <c r="Y102" s="63">
        <v>0.24199999999999999</v>
      </c>
      <c r="Z102" s="63">
        <v>-4.0000000000000001E-3</v>
      </c>
    </row>
    <row r="103" spans="1:26" x14ac:dyDescent="0.25">
      <c r="A103" s="63" t="s">
        <v>955</v>
      </c>
      <c r="B103" s="63" t="s">
        <v>658</v>
      </c>
      <c r="C103" s="63" t="s">
        <v>659</v>
      </c>
      <c r="D103" s="63">
        <v>-3.3500000000000002E-2</v>
      </c>
      <c r="E103" s="63">
        <v>7.7036999999999994E-2</v>
      </c>
      <c r="F103" s="137">
        <v>45926.532627314817</v>
      </c>
      <c r="G103" s="63" t="str">
        <f t="shared" si="3"/>
        <v xml:space="preserve"> 9</v>
      </c>
      <c r="H103" s="63" t="s">
        <v>955</v>
      </c>
      <c r="I103" s="63" t="s">
        <v>867</v>
      </c>
      <c r="J103" s="63" t="s">
        <v>659</v>
      </c>
      <c r="K103" s="63">
        <v>0.755</v>
      </c>
      <c r="L103" s="63">
        <v>7.1958999999999995E-2</v>
      </c>
      <c r="M103" s="137">
        <v>45926.606319444443</v>
      </c>
      <c r="N103" s="63"/>
      <c r="O103" s="63" t="s">
        <v>955</v>
      </c>
      <c r="P103" s="63" t="s">
        <v>902</v>
      </c>
      <c r="Q103" s="63" t="s">
        <v>673</v>
      </c>
      <c r="R103" s="63">
        <v>6.0000000000000001E-3</v>
      </c>
      <c r="S103" s="63">
        <v>3.0999999999999999E-3</v>
      </c>
      <c r="T103" s="137">
        <v>45926.6406712963</v>
      </c>
      <c r="V103" s="119" t="s">
        <v>771</v>
      </c>
      <c r="W103" s="63" t="s">
        <v>933</v>
      </c>
      <c r="X103" s="63">
        <v>0.53</v>
      </c>
      <c r="Y103" s="63">
        <v>1.837</v>
      </c>
      <c r="Z103" s="63">
        <v>-1E-3</v>
      </c>
    </row>
    <row r="104" spans="1:26" x14ac:dyDescent="0.25">
      <c r="A104" s="63" t="s">
        <v>956</v>
      </c>
      <c r="B104" s="63" t="s">
        <v>658</v>
      </c>
      <c r="C104" s="63" t="s">
        <v>659</v>
      </c>
      <c r="D104" s="63">
        <v>-2.8799999999999999E-2</v>
      </c>
      <c r="E104" s="63">
        <v>7.9343999999999998E-2</v>
      </c>
      <c r="F104" s="137">
        <v>45926.534166666665</v>
      </c>
      <c r="G104" s="63" t="str">
        <f t="shared" si="3"/>
        <v>10</v>
      </c>
      <c r="H104" s="63" t="s">
        <v>956</v>
      </c>
      <c r="I104" s="63" t="s">
        <v>867</v>
      </c>
      <c r="J104" s="63" t="s">
        <v>659</v>
      </c>
      <c r="K104" s="63">
        <v>0.78800000000000003</v>
      </c>
      <c r="L104" s="63">
        <v>7.3979000000000003E-2</v>
      </c>
      <c r="M104" s="137">
        <v>45926.606782407405</v>
      </c>
      <c r="N104" s="63"/>
      <c r="O104" s="63" t="s">
        <v>956</v>
      </c>
      <c r="P104" s="63" t="s">
        <v>902</v>
      </c>
      <c r="Q104" s="63" t="s">
        <v>673</v>
      </c>
      <c r="R104" s="63">
        <v>1.2E-2</v>
      </c>
      <c r="S104" s="63">
        <v>5.1840000000000002E-3</v>
      </c>
      <c r="T104" s="137">
        <v>45926.641319444447</v>
      </c>
      <c r="V104" s="119" t="s">
        <v>772</v>
      </c>
      <c r="W104" s="63" t="s">
        <v>934</v>
      </c>
      <c r="X104" s="63">
        <v>9.5299999999999996E-2</v>
      </c>
      <c r="Y104" s="63">
        <v>1.8759999999999999</v>
      </c>
      <c r="Z104" s="63">
        <v>-1E-3</v>
      </c>
    </row>
    <row r="105" spans="1:26" x14ac:dyDescent="0.25">
      <c r="A105" s="63" t="s">
        <v>957</v>
      </c>
      <c r="B105" s="63" t="s">
        <v>658</v>
      </c>
      <c r="C105" s="63" t="s">
        <v>659</v>
      </c>
      <c r="D105" s="63">
        <v>2.3300000000000001E-2</v>
      </c>
      <c r="E105" s="63">
        <v>0.10503999999999999</v>
      </c>
      <c r="F105" s="137">
        <v>45926.53570601852</v>
      </c>
      <c r="G105" s="63" t="str">
        <f t="shared" si="3"/>
        <v>11</v>
      </c>
      <c r="H105" s="63" t="s">
        <v>957</v>
      </c>
      <c r="I105" s="63" t="s">
        <v>867</v>
      </c>
      <c r="J105" s="63" t="s">
        <v>659</v>
      </c>
      <c r="K105" s="63">
        <v>0.76300000000000001</v>
      </c>
      <c r="L105" s="63">
        <v>7.2414999999999993E-2</v>
      </c>
      <c r="M105" s="137">
        <v>45926.607662037037</v>
      </c>
      <c r="N105" s="63"/>
      <c r="O105" s="63" t="s">
        <v>957</v>
      </c>
      <c r="P105" s="63" t="s">
        <v>902</v>
      </c>
      <c r="Q105" s="63" t="s">
        <v>673</v>
      </c>
      <c r="R105" s="63">
        <v>2.9000000000000001E-2</v>
      </c>
      <c r="S105" s="63">
        <v>1.0895999999999999E-2</v>
      </c>
      <c r="T105" s="137">
        <v>45926.641979166663</v>
      </c>
      <c r="V105" s="119" t="s">
        <v>773</v>
      </c>
      <c r="W105" s="63" t="s">
        <v>899</v>
      </c>
      <c r="X105" s="63">
        <v>1.9382999999999999</v>
      </c>
      <c r="Y105" s="63">
        <v>1.768</v>
      </c>
      <c r="Z105" s="63">
        <v>3.0000000000000001E-3</v>
      </c>
    </row>
    <row r="106" spans="1:26" x14ac:dyDescent="0.25">
      <c r="A106" s="63" t="s">
        <v>958</v>
      </c>
      <c r="B106" s="63" t="s">
        <v>658</v>
      </c>
      <c r="C106" s="63" t="s">
        <v>659</v>
      </c>
      <c r="D106" s="63">
        <v>-1.7500000000000002E-2</v>
      </c>
      <c r="E106" s="63">
        <v>8.4909999999999999E-2</v>
      </c>
      <c r="F106" s="137">
        <v>45926.536840277775</v>
      </c>
      <c r="G106" s="63" t="str">
        <f t="shared" si="3"/>
        <v>12</v>
      </c>
      <c r="H106" s="63" t="s">
        <v>958</v>
      </c>
      <c r="I106" s="63" t="s">
        <v>867</v>
      </c>
      <c r="J106" s="63" t="s">
        <v>659</v>
      </c>
      <c r="K106" s="63">
        <v>0.75800000000000001</v>
      </c>
      <c r="L106" s="63">
        <v>7.2138999999999995E-2</v>
      </c>
      <c r="M106" s="137">
        <v>45926.608495370368</v>
      </c>
      <c r="N106" s="63"/>
      <c r="O106" s="63" t="s">
        <v>958</v>
      </c>
      <c r="P106" s="63" t="s">
        <v>902</v>
      </c>
      <c r="Q106" s="63" t="s">
        <v>673</v>
      </c>
      <c r="R106" s="63">
        <v>1.7999999999999999E-2</v>
      </c>
      <c r="S106" s="63">
        <v>7.1390000000000004E-3</v>
      </c>
      <c r="T106" s="137">
        <v>45926.642638888887</v>
      </c>
      <c r="V106" s="119" t="s">
        <v>774</v>
      </c>
      <c r="W106" s="63" t="s">
        <v>935</v>
      </c>
      <c r="X106" s="63">
        <v>0.1076</v>
      </c>
      <c r="Y106" s="63">
        <v>1.823</v>
      </c>
      <c r="Z106" s="63">
        <v>-2E-3</v>
      </c>
    </row>
    <row r="107" spans="1:26" x14ac:dyDescent="0.25">
      <c r="A107" s="63" t="s">
        <v>959</v>
      </c>
      <c r="B107" s="63" t="s">
        <v>658</v>
      </c>
      <c r="C107" s="63" t="s">
        <v>659</v>
      </c>
      <c r="D107" s="63">
        <v>-2.8899999999999999E-2</v>
      </c>
      <c r="E107" s="63">
        <v>7.9312999999999995E-2</v>
      </c>
      <c r="F107" s="137">
        <v>45926.539872685185</v>
      </c>
      <c r="G107" s="63" t="str">
        <f t="shared" si="3"/>
        <v>14</v>
      </c>
      <c r="H107" s="63" t="s">
        <v>959</v>
      </c>
      <c r="I107" s="63" t="s">
        <v>867</v>
      </c>
      <c r="J107" s="63" t="s">
        <v>659</v>
      </c>
      <c r="K107" s="63">
        <v>0.88400000000000001</v>
      </c>
      <c r="L107" s="63">
        <v>7.9832E-2</v>
      </c>
      <c r="M107" s="137">
        <v>45926.609340277777</v>
      </c>
      <c r="N107" s="63"/>
      <c r="O107" s="63" t="s">
        <v>959</v>
      </c>
      <c r="P107" s="63" t="s">
        <v>902</v>
      </c>
      <c r="Q107" s="63" t="s">
        <v>673</v>
      </c>
      <c r="R107" s="63">
        <v>2.4E-2</v>
      </c>
      <c r="S107" s="63">
        <v>9.0910000000000001E-3</v>
      </c>
      <c r="T107" s="137">
        <v>45926.64329861111</v>
      </c>
      <c r="V107" s="119" t="s">
        <v>775</v>
      </c>
      <c r="W107" s="63" t="s">
        <v>900</v>
      </c>
      <c r="X107" s="63">
        <v>-8.5000000000000006E-3</v>
      </c>
      <c r="Y107" s="63">
        <v>1.6579999999999999</v>
      </c>
      <c r="Z107" s="63">
        <v>2E-3</v>
      </c>
    </row>
    <row r="108" spans="1:26" x14ac:dyDescent="0.25">
      <c r="A108" s="63" t="s">
        <v>960</v>
      </c>
      <c r="B108" s="63" t="s">
        <v>658</v>
      </c>
      <c r="C108" s="63" t="s">
        <v>659</v>
      </c>
      <c r="D108" s="63">
        <v>-2.4799999999999999E-2</v>
      </c>
      <c r="E108" s="63">
        <v>8.1342999999999999E-2</v>
      </c>
      <c r="F108" s="137">
        <v>45926.543067129627</v>
      </c>
      <c r="G108" s="63" t="str">
        <f t="shared" si="3"/>
        <v>15</v>
      </c>
      <c r="H108" s="63" t="s">
        <v>960</v>
      </c>
      <c r="I108" s="63" t="s">
        <v>867</v>
      </c>
      <c r="J108" s="63" t="s">
        <v>659</v>
      </c>
      <c r="K108" s="63">
        <v>0.78400000000000003</v>
      </c>
      <c r="L108" s="63">
        <v>7.3709999999999998E-2</v>
      </c>
      <c r="M108" s="137">
        <v>45926.610185185185</v>
      </c>
      <c r="N108" s="63"/>
      <c r="O108" s="63" t="s">
        <v>960</v>
      </c>
      <c r="P108" s="63" t="s">
        <v>902</v>
      </c>
      <c r="Q108" s="63" t="s">
        <v>673</v>
      </c>
      <c r="R108" s="63">
        <v>1.0999999999999999E-2</v>
      </c>
      <c r="S108" s="63">
        <v>4.6950000000000004E-3</v>
      </c>
      <c r="T108" s="137">
        <v>45926.643946759257</v>
      </c>
      <c r="V108" s="119" t="s">
        <v>776</v>
      </c>
      <c r="W108" s="63" t="s">
        <v>936</v>
      </c>
      <c r="X108" s="63">
        <v>-5.7000000000000002E-3</v>
      </c>
      <c r="Y108" s="63">
        <v>1.8620000000000001</v>
      </c>
      <c r="Z108" s="63">
        <v>-4.0000000000000001E-3</v>
      </c>
    </row>
    <row r="109" spans="1:26" x14ac:dyDescent="0.25">
      <c r="A109" s="63" t="s">
        <v>961</v>
      </c>
      <c r="B109" s="63" t="s">
        <v>658</v>
      </c>
      <c r="C109" s="63" t="s">
        <v>659</v>
      </c>
      <c r="D109" s="63">
        <v>-3.1899999999999998E-2</v>
      </c>
      <c r="E109" s="63">
        <v>7.7825000000000005E-2</v>
      </c>
      <c r="F109" s="137">
        <v>45926.546261574076</v>
      </c>
      <c r="G109" s="63" t="str">
        <f t="shared" si="3"/>
        <v>16</v>
      </c>
      <c r="H109" s="63" t="s">
        <v>961</v>
      </c>
      <c r="I109" s="63" t="s">
        <v>867</v>
      </c>
      <c r="J109" s="63" t="s">
        <v>659</v>
      </c>
      <c r="K109" s="63">
        <v>1.1120000000000001</v>
      </c>
      <c r="L109" s="63">
        <v>9.3698000000000004E-2</v>
      </c>
      <c r="M109" s="137">
        <v>45926.611122685186</v>
      </c>
      <c r="N109" s="63"/>
      <c r="O109" s="63" t="s">
        <v>961</v>
      </c>
      <c r="P109" s="63" t="s">
        <v>902</v>
      </c>
      <c r="Q109" s="63" t="s">
        <v>673</v>
      </c>
      <c r="R109" s="63">
        <v>1.4999999999999999E-2</v>
      </c>
      <c r="S109" s="63">
        <v>6.2220000000000001E-3</v>
      </c>
      <c r="T109" s="137">
        <v>45926.644606481481</v>
      </c>
      <c r="V109" s="119" t="s">
        <v>777</v>
      </c>
      <c r="W109" s="63" t="s">
        <v>901</v>
      </c>
      <c r="X109" s="63">
        <v>-3.3000000000000002E-2</v>
      </c>
      <c r="Y109" s="63">
        <v>0.28299999999999997</v>
      </c>
      <c r="Z109" s="63">
        <v>0</v>
      </c>
    </row>
    <row r="110" spans="1:26" x14ac:dyDescent="0.25">
      <c r="A110" s="118"/>
      <c r="B110" s="118"/>
      <c r="C110" s="118"/>
      <c r="D110" s="118"/>
      <c r="E110" s="118"/>
      <c r="F110" s="67"/>
    </row>
    <row r="111" spans="1:26" x14ac:dyDescent="0.25">
      <c r="A111" s="118"/>
      <c r="B111" s="118"/>
      <c r="C111" s="118"/>
      <c r="D111" s="118"/>
      <c r="E111" s="118"/>
      <c r="F111" s="67"/>
    </row>
    <row r="112" spans="1:26" x14ac:dyDescent="0.25">
      <c r="A112" s="118"/>
      <c r="B112" s="118"/>
      <c r="C112" s="118"/>
      <c r="D112" s="118"/>
      <c r="E112" s="118"/>
      <c r="F112" s="67"/>
    </row>
    <row r="113" spans="1:6" x14ac:dyDescent="0.25">
      <c r="A113" s="118"/>
      <c r="B113" s="118"/>
      <c r="C113" s="118"/>
      <c r="D113" s="118"/>
      <c r="E113" s="118"/>
      <c r="F113" s="67"/>
    </row>
    <row r="114" spans="1:6" x14ac:dyDescent="0.25">
      <c r="A114" s="118"/>
      <c r="B114" s="118"/>
      <c r="C114" s="118"/>
      <c r="D114" s="118"/>
      <c r="E114" s="118"/>
      <c r="F114" s="67"/>
    </row>
    <row r="115" spans="1:6" x14ac:dyDescent="0.25">
      <c r="A115" s="118"/>
      <c r="B115" s="118"/>
      <c r="C115" s="118"/>
      <c r="D115" s="118"/>
      <c r="E115" s="118"/>
      <c r="F115" s="67"/>
    </row>
    <row r="116" spans="1:6" x14ac:dyDescent="0.25">
      <c r="A116" s="118"/>
      <c r="B116" s="118"/>
      <c r="C116" s="118"/>
      <c r="D116" s="118"/>
      <c r="E116" s="118"/>
      <c r="F116" s="67"/>
    </row>
    <row r="117" spans="1:6" x14ac:dyDescent="0.25">
      <c r="A117" s="118"/>
      <c r="B117" s="118"/>
      <c r="C117" s="118"/>
      <c r="D117" s="118"/>
      <c r="E117" s="118"/>
      <c r="F117" s="67"/>
    </row>
    <row r="118" spans="1:6" x14ac:dyDescent="0.25">
      <c r="A118" s="118"/>
      <c r="B118" s="118"/>
      <c r="C118" s="118"/>
      <c r="D118" s="118"/>
      <c r="E118" s="118"/>
      <c r="F118" s="67"/>
    </row>
    <row r="119" spans="1:6" x14ac:dyDescent="0.25">
      <c r="A119" s="118"/>
      <c r="B119" s="118"/>
      <c r="C119" s="118"/>
      <c r="D119" s="118"/>
      <c r="E119" s="118"/>
      <c r="F119" s="67"/>
    </row>
    <row r="120" spans="1:6" x14ac:dyDescent="0.25">
      <c r="A120" s="118"/>
      <c r="B120" s="118"/>
      <c r="C120" s="118"/>
      <c r="D120" s="118"/>
      <c r="E120" s="118"/>
      <c r="F120" s="67"/>
    </row>
    <row r="121" spans="1:6" x14ac:dyDescent="0.25">
      <c r="A121" s="118"/>
      <c r="B121" s="118"/>
      <c r="C121" s="118"/>
      <c r="D121" s="118"/>
      <c r="E121" s="118"/>
      <c r="F121" s="67"/>
    </row>
    <row r="122" spans="1:6" x14ac:dyDescent="0.25">
      <c r="A122" s="118"/>
      <c r="B122" s="118"/>
      <c r="C122" s="118"/>
      <c r="D122" s="118"/>
      <c r="E122" s="118"/>
      <c r="F122" s="67"/>
    </row>
    <row r="123" spans="1:6" x14ac:dyDescent="0.25">
      <c r="A123" s="118"/>
      <c r="B123" s="118"/>
      <c r="C123" s="118"/>
      <c r="D123" s="118"/>
      <c r="E123" s="118"/>
      <c r="F123" s="67"/>
    </row>
    <row r="124" spans="1:6" x14ac:dyDescent="0.25">
      <c r="A124" s="118"/>
      <c r="B124" s="118"/>
      <c r="C124" s="118"/>
      <c r="D124" s="118"/>
      <c r="E124" s="118"/>
      <c r="F124" s="67"/>
    </row>
    <row r="125" spans="1:6" x14ac:dyDescent="0.25">
      <c r="A125" s="118"/>
      <c r="B125" s="118"/>
      <c r="C125" s="118"/>
      <c r="D125" s="118"/>
      <c r="E125" s="118"/>
      <c r="F125" s="67"/>
    </row>
    <row r="126" spans="1:6" x14ac:dyDescent="0.25">
      <c r="A126" s="118"/>
      <c r="B126" s="118"/>
      <c r="C126" s="118"/>
      <c r="D126" s="118"/>
      <c r="E126" s="118"/>
      <c r="F126" s="67"/>
    </row>
    <row r="127" spans="1:6" x14ac:dyDescent="0.25">
      <c r="A127" s="118"/>
      <c r="B127" s="118"/>
      <c r="C127" s="118"/>
      <c r="D127" s="118"/>
      <c r="E127" s="118"/>
      <c r="F127" s="67"/>
    </row>
    <row r="128" spans="1:6" x14ac:dyDescent="0.25">
      <c r="A128" s="118"/>
      <c r="B128" s="118"/>
      <c r="C128" s="118"/>
      <c r="D128" s="118"/>
      <c r="E128" s="118"/>
      <c r="F128" s="67"/>
    </row>
    <row r="129" spans="1:6" x14ac:dyDescent="0.25">
      <c r="A129" s="118"/>
      <c r="B129" s="118"/>
      <c r="C129" s="118"/>
      <c r="D129" s="118"/>
      <c r="E129" s="118"/>
      <c r="F129" s="67"/>
    </row>
    <row r="130" spans="1:6" x14ac:dyDescent="0.25">
      <c r="A130" s="118"/>
      <c r="B130" s="118"/>
      <c r="C130" s="118"/>
      <c r="D130" s="118"/>
      <c r="E130" s="118"/>
      <c r="F130" s="67"/>
    </row>
    <row r="131" spans="1:6" x14ac:dyDescent="0.25">
      <c r="A131" s="118"/>
      <c r="B131" s="118"/>
      <c r="C131" s="118"/>
      <c r="D131" s="118"/>
      <c r="E131" s="118"/>
      <c r="F131" s="67"/>
    </row>
    <row r="132" spans="1:6" x14ac:dyDescent="0.25">
      <c r="A132" s="118"/>
      <c r="B132" s="118"/>
      <c r="C132" s="118"/>
      <c r="D132" s="118"/>
      <c r="E132" s="118"/>
      <c r="F132" s="67"/>
    </row>
    <row r="133" spans="1:6" x14ac:dyDescent="0.25">
      <c r="A133" s="118"/>
      <c r="B133" s="118"/>
      <c r="C133" s="118"/>
      <c r="D133" s="118"/>
      <c r="E133" s="118"/>
      <c r="F133" s="67"/>
    </row>
    <row r="134" spans="1:6" x14ac:dyDescent="0.25">
      <c r="A134" s="118"/>
      <c r="B134" s="118"/>
      <c r="C134" s="118"/>
      <c r="D134" s="118"/>
      <c r="E134" s="118"/>
      <c r="F134" s="67"/>
    </row>
    <row r="135" spans="1:6" x14ac:dyDescent="0.25">
      <c r="A135" s="118"/>
      <c r="B135" s="118"/>
      <c r="C135" s="118"/>
      <c r="D135" s="118"/>
      <c r="E135" s="118"/>
      <c r="F135" s="67"/>
    </row>
    <row r="136" spans="1:6" x14ac:dyDescent="0.25">
      <c r="A136" s="118"/>
      <c r="B136" s="118"/>
      <c r="C136" s="118"/>
      <c r="D136" s="118"/>
      <c r="E136" s="118"/>
      <c r="F136" s="67"/>
    </row>
    <row r="137" spans="1:6" x14ac:dyDescent="0.25">
      <c r="A137" s="118"/>
      <c r="B137" s="118"/>
      <c r="C137" s="118"/>
      <c r="D137" s="118"/>
      <c r="E137" s="118"/>
      <c r="F137" s="67"/>
    </row>
    <row r="138" spans="1:6" x14ac:dyDescent="0.25">
      <c r="A138" s="118"/>
      <c r="B138" s="118"/>
      <c r="C138" s="118"/>
      <c r="D138" s="118"/>
      <c r="E138" s="118"/>
      <c r="F138" s="67"/>
    </row>
    <row r="139" spans="1:6" x14ac:dyDescent="0.25">
      <c r="A139" s="118"/>
      <c r="B139" s="118"/>
      <c r="C139" s="118"/>
      <c r="D139" s="118"/>
      <c r="E139" s="118"/>
      <c r="F139" s="67"/>
    </row>
    <row r="140" spans="1:6" x14ac:dyDescent="0.25">
      <c r="A140" s="118"/>
      <c r="B140" s="118"/>
      <c r="C140" s="118"/>
      <c r="D140" s="118"/>
      <c r="E140" s="118"/>
      <c r="F140" s="67"/>
    </row>
    <row r="141" spans="1:6" x14ac:dyDescent="0.25">
      <c r="A141" s="118"/>
      <c r="B141" s="118"/>
      <c r="C141" s="118"/>
      <c r="D141" s="118"/>
      <c r="E141" s="118"/>
      <c r="F141" s="67"/>
    </row>
    <row r="142" spans="1:6" x14ac:dyDescent="0.25">
      <c r="A142" s="118"/>
      <c r="B142" s="118"/>
      <c r="C142" s="118"/>
      <c r="D142" s="118"/>
      <c r="E142" s="118"/>
      <c r="F142" s="67"/>
    </row>
    <row r="143" spans="1:6" x14ac:dyDescent="0.25">
      <c r="A143" s="118"/>
      <c r="B143" s="118"/>
      <c r="C143" s="118"/>
      <c r="D143" s="118"/>
      <c r="E143" s="118"/>
      <c r="F143" s="67"/>
    </row>
    <row r="144" spans="1:6" x14ac:dyDescent="0.25">
      <c r="A144" s="118"/>
      <c r="B144" s="118"/>
      <c r="C144" s="118"/>
      <c r="D144" s="118"/>
      <c r="E144" s="118"/>
      <c r="F144" s="67"/>
    </row>
    <row r="145" spans="1:6" x14ac:dyDescent="0.25">
      <c r="A145" s="118"/>
      <c r="B145" s="118"/>
      <c r="C145" s="118"/>
      <c r="D145" s="118"/>
      <c r="E145" s="118"/>
      <c r="F145" s="67"/>
    </row>
    <row r="146" spans="1:6" x14ac:dyDescent="0.25">
      <c r="A146" s="118"/>
      <c r="B146" s="118"/>
      <c r="C146" s="118"/>
      <c r="D146" s="118"/>
      <c r="E146" s="118"/>
      <c r="F146" s="67"/>
    </row>
    <row r="147" spans="1:6" x14ac:dyDescent="0.25">
      <c r="A147" s="118"/>
      <c r="B147" s="118"/>
      <c r="C147" s="118"/>
      <c r="D147" s="118"/>
      <c r="E147" s="118"/>
      <c r="F147" s="67"/>
    </row>
    <row r="148" spans="1:6" x14ac:dyDescent="0.25">
      <c r="A148" s="118"/>
      <c r="B148" s="118"/>
      <c r="C148" s="118"/>
      <c r="D148" s="118"/>
      <c r="E148" s="118"/>
      <c r="F148" s="67"/>
    </row>
    <row r="149" spans="1:6" x14ac:dyDescent="0.25">
      <c r="A149" s="118"/>
      <c r="B149" s="118"/>
      <c r="C149" s="118"/>
      <c r="D149" s="118"/>
      <c r="E149" s="118"/>
      <c r="F149" s="67"/>
    </row>
    <row r="150" spans="1:6" x14ac:dyDescent="0.25">
      <c r="A150" s="118"/>
      <c r="B150" s="118"/>
      <c r="C150" s="118"/>
      <c r="D150" s="118"/>
      <c r="E150" s="118"/>
      <c r="F150" s="67"/>
    </row>
    <row r="151" spans="1:6" x14ac:dyDescent="0.25">
      <c r="A151" s="118"/>
      <c r="B151" s="118"/>
      <c r="C151" s="118"/>
      <c r="D151" s="118"/>
      <c r="E151" s="118"/>
      <c r="F151" s="67"/>
    </row>
    <row r="152" spans="1:6" x14ac:dyDescent="0.25">
      <c r="A152" s="118"/>
      <c r="B152" s="118"/>
      <c r="C152" s="118"/>
      <c r="D152" s="118"/>
      <c r="E152" s="118"/>
      <c r="F152" s="67"/>
    </row>
    <row r="153" spans="1:6" x14ac:dyDescent="0.25">
      <c r="A153" s="118"/>
      <c r="B153" s="118"/>
      <c r="C153" s="118"/>
      <c r="D153" s="118"/>
      <c r="E153" s="118"/>
      <c r="F153" s="67"/>
    </row>
    <row r="154" spans="1:6" x14ac:dyDescent="0.25">
      <c r="A154" s="118"/>
      <c r="B154" s="118"/>
      <c r="C154" s="118"/>
      <c r="D154" s="118"/>
      <c r="E154" s="118"/>
      <c r="F154" s="67"/>
    </row>
    <row r="155" spans="1:6" x14ac:dyDescent="0.25">
      <c r="A155" s="118"/>
      <c r="B155" s="118"/>
      <c r="C155" s="118"/>
      <c r="D155" s="118"/>
      <c r="E155" s="118"/>
      <c r="F155" s="67"/>
    </row>
    <row r="156" spans="1:6" x14ac:dyDescent="0.25">
      <c r="A156" s="118"/>
      <c r="B156" s="118"/>
      <c r="C156" s="118"/>
      <c r="D156" s="118"/>
      <c r="E156" s="118"/>
      <c r="F156" s="67"/>
    </row>
    <row r="157" spans="1:6" x14ac:dyDescent="0.25">
      <c r="A157" s="118"/>
      <c r="B157" s="118"/>
      <c r="C157" s="118"/>
      <c r="D157" s="118"/>
      <c r="E157" s="118"/>
      <c r="F157" s="67"/>
    </row>
    <row r="158" spans="1:6" x14ac:dyDescent="0.25">
      <c r="A158" s="118"/>
      <c r="B158" s="118"/>
      <c r="C158" s="118"/>
      <c r="D158" s="118"/>
      <c r="E158" s="118"/>
      <c r="F158" s="67"/>
    </row>
    <row r="159" spans="1:6" x14ac:dyDescent="0.25">
      <c r="A159" s="118"/>
      <c r="B159" s="118"/>
      <c r="C159" s="118"/>
      <c r="D159" s="118"/>
      <c r="E159" s="118"/>
      <c r="F159" s="67"/>
    </row>
    <row r="160" spans="1:6" x14ac:dyDescent="0.25">
      <c r="A160" s="118"/>
      <c r="B160" s="118"/>
      <c r="C160" s="118"/>
      <c r="D160" s="118"/>
      <c r="E160" s="118"/>
      <c r="F160" s="67"/>
    </row>
    <row r="161" spans="1:6" x14ac:dyDescent="0.25">
      <c r="A161" s="118"/>
      <c r="B161" s="118"/>
      <c r="C161" s="118"/>
      <c r="D161" s="118"/>
      <c r="E161" s="118"/>
      <c r="F161" s="67"/>
    </row>
    <row r="162" spans="1:6" x14ac:dyDescent="0.25">
      <c r="A162" s="118"/>
      <c r="B162" s="118"/>
      <c r="C162" s="118"/>
      <c r="D162" s="118"/>
      <c r="E162" s="118"/>
      <c r="F162" s="67"/>
    </row>
    <row r="163" spans="1:6" x14ac:dyDescent="0.25">
      <c r="A163" s="118"/>
      <c r="B163" s="118"/>
      <c r="C163" s="118"/>
      <c r="D163" s="118"/>
      <c r="E163" s="118"/>
      <c r="F163" s="67"/>
    </row>
    <row r="164" spans="1:6" x14ac:dyDescent="0.25">
      <c r="A164" s="118"/>
      <c r="B164" s="118"/>
      <c r="C164" s="118"/>
      <c r="D164" s="118"/>
      <c r="E164" s="118"/>
      <c r="F164" s="67"/>
    </row>
    <row r="165" spans="1:6" x14ac:dyDescent="0.25">
      <c r="A165" s="118"/>
      <c r="B165" s="118"/>
      <c r="C165" s="118"/>
      <c r="D165" s="118"/>
      <c r="E165" s="118"/>
      <c r="F165" s="67"/>
    </row>
    <row r="166" spans="1:6" x14ac:dyDescent="0.25">
      <c r="A166" s="118"/>
      <c r="B166" s="118"/>
      <c r="C166" s="118"/>
      <c r="D166" s="118"/>
      <c r="E166" s="118"/>
      <c r="F166" s="67"/>
    </row>
    <row r="167" spans="1:6" x14ac:dyDescent="0.25">
      <c r="A167" s="118"/>
      <c r="B167" s="118"/>
      <c r="C167" s="118"/>
      <c r="D167" s="118"/>
      <c r="E167" s="118"/>
      <c r="F167" s="67"/>
    </row>
    <row r="168" spans="1:6" x14ac:dyDescent="0.25">
      <c r="A168" s="118"/>
      <c r="B168" s="118"/>
      <c r="C168" s="118"/>
      <c r="D168" s="118"/>
      <c r="E168" s="118"/>
      <c r="F168" s="67"/>
    </row>
    <row r="169" spans="1:6" x14ac:dyDescent="0.25">
      <c r="A169" s="118"/>
      <c r="B169" s="118"/>
      <c r="C169" s="118"/>
      <c r="D169" s="118"/>
      <c r="E169" s="118"/>
      <c r="F169" s="67"/>
    </row>
    <row r="170" spans="1:6" x14ac:dyDescent="0.25">
      <c r="A170" s="118"/>
      <c r="B170" s="118"/>
      <c r="C170" s="118"/>
      <c r="D170" s="118"/>
      <c r="E170" s="118"/>
      <c r="F170" s="67"/>
    </row>
    <row r="171" spans="1:6" x14ac:dyDescent="0.25">
      <c r="A171" s="118"/>
      <c r="B171" s="118"/>
      <c r="C171" s="118"/>
      <c r="D171" s="118"/>
      <c r="E171" s="118"/>
      <c r="F171" s="67"/>
    </row>
    <row r="172" spans="1:6" x14ac:dyDescent="0.25">
      <c r="A172" s="118"/>
      <c r="B172" s="118"/>
      <c r="C172" s="118"/>
      <c r="D172" s="118"/>
      <c r="E172" s="118"/>
      <c r="F172" s="67"/>
    </row>
    <row r="173" spans="1:6" x14ac:dyDescent="0.25">
      <c r="A173" s="118"/>
      <c r="B173" s="118"/>
      <c r="C173" s="118"/>
      <c r="D173" s="118"/>
      <c r="E173" s="118"/>
      <c r="F173" s="67"/>
    </row>
    <row r="174" spans="1:6" x14ac:dyDescent="0.25">
      <c r="A174" s="118"/>
      <c r="B174" s="118"/>
      <c r="C174" s="118"/>
      <c r="D174" s="118"/>
      <c r="E174" s="118"/>
      <c r="F174" s="67"/>
    </row>
    <row r="175" spans="1:6" x14ac:dyDescent="0.25">
      <c r="A175" s="118"/>
      <c r="B175" s="118"/>
      <c r="C175" s="118"/>
      <c r="D175" s="118"/>
      <c r="E175" s="118"/>
      <c r="F175" s="67"/>
    </row>
    <row r="176" spans="1:6" x14ac:dyDescent="0.25">
      <c r="A176" s="118"/>
      <c r="B176" s="118"/>
      <c r="C176" s="118"/>
      <c r="D176" s="118"/>
      <c r="E176" s="118"/>
      <c r="F176" s="67"/>
    </row>
    <row r="177" spans="1:6" x14ac:dyDescent="0.25">
      <c r="A177" s="118"/>
      <c r="B177" s="118"/>
      <c r="C177" s="118"/>
      <c r="D177" s="118"/>
      <c r="E177" s="118"/>
      <c r="F177" s="67"/>
    </row>
    <row r="178" spans="1:6" x14ac:dyDescent="0.25">
      <c r="A178" s="118"/>
      <c r="B178" s="118"/>
      <c r="C178" s="118"/>
      <c r="D178" s="118"/>
      <c r="E178" s="118"/>
      <c r="F178" s="67"/>
    </row>
    <row r="179" spans="1:6" x14ac:dyDescent="0.25">
      <c r="A179" s="118"/>
      <c r="B179" s="118"/>
      <c r="C179" s="118"/>
      <c r="D179" s="118"/>
      <c r="E179" s="118"/>
      <c r="F179" s="67"/>
    </row>
    <row r="180" spans="1:6" x14ac:dyDescent="0.25">
      <c r="A180" s="118"/>
      <c r="B180" s="118"/>
      <c r="C180" s="118"/>
      <c r="D180" s="118"/>
      <c r="E180" s="118"/>
      <c r="F180" s="67"/>
    </row>
    <row r="181" spans="1:6" x14ac:dyDescent="0.25">
      <c r="A181" s="118"/>
      <c r="B181" s="118"/>
      <c r="C181" s="118"/>
      <c r="D181" s="118"/>
      <c r="E181" s="118"/>
      <c r="F181" s="67"/>
    </row>
    <row r="182" spans="1:6" x14ac:dyDescent="0.25">
      <c r="A182" s="118"/>
      <c r="B182" s="118"/>
      <c r="C182" s="118"/>
      <c r="D182" s="118"/>
      <c r="E182" s="118"/>
      <c r="F182" s="67"/>
    </row>
    <row r="183" spans="1:6" x14ac:dyDescent="0.25">
      <c r="A183" s="118"/>
      <c r="B183" s="118"/>
      <c r="C183" s="118"/>
      <c r="D183" s="118"/>
      <c r="E183" s="118"/>
      <c r="F183" s="67"/>
    </row>
    <row r="184" spans="1:6" x14ac:dyDescent="0.25">
      <c r="A184" s="118"/>
      <c r="B184" s="118"/>
      <c r="C184" s="118"/>
      <c r="D184" s="118"/>
      <c r="E184" s="118"/>
      <c r="F184" s="67"/>
    </row>
    <row r="185" spans="1:6" x14ac:dyDescent="0.25">
      <c r="A185" s="118"/>
      <c r="B185" s="118"/>
      <c r="C185" s="118"/>
      <c r="D185" s="118"/>
      <c r="E185" s="118"/>
      <c r="F185" s="67"/>
    </row>
    <row r="186" spans="1:6" x14ac:dyDescent="0.25">
      <c r="A186" s="118"/>
      <c r="B186" s="118"/>
      <c r="C186" s="118"/>
      <c r="D186" s="118"/>
      <c r="E186" s="118"/>
      <c r="F186" s="67"/>
    </row>
    <row r="187" spans="1:6" x14ac:dyDescent="0.25">
      <c r="A187" s="118"/>
      <c r="B187" s="118"/>
      <c r="C187" s="118"/>
      <c r="D187" s="118"/>
      <c r="E187" s="118"/>
      <c r="F187" s="67"/>
    </row>
    <row r="188" spans="1:6" x14ac:dyDescent="0.25">
      <c r="A188" s="118"/>
      <c r="B188" s="118"/>
      <c r="C188" s="118"/>
      <c r="D188" s="118"/>
      <c r="E188" s="118"/>
      <c r="F188" s="67"/>
    </row>
    <row r="189" spans="1:6" x14ac:dyDescent="0.25">
      <c r="A189" s="118"/>
      <c r="B189" s="118"/>
      <c r="C189" s="118"/>
      <c r="D189" s="118"/>
      <c r="E189" s="118"/>
      <c r="F189" s="67"/>
    </row>
    <row r="190" spans="1:6" x14ac:dyDescent="0.25">
      <c r="A190" s="118"/>
      <c r="B190" s="118"/>
      <c r="C190" s="118"/>
      <c r="D190" s="118"/>
      <c r="E190" s="118"/>
      <c r="F190" s="67"/>
    </row>
    <row r="191" spans="1:6" x14ac:dyDescent="0.25">
      <c r="A191" s="118"/>
      <c r="B191" s="118"/>
      <c r="C191" s="118"/>
      <c r="D191" s="118"/>
      <c r="E191" s="118"/>
      <c r="F191" s="67"/>
    </row>
    <row r="192" spans="1:6" x14ac:dyDescent="0.25">
      <c r="A192" s="118"/>
      <c r="B192" s="118"/>
      <c r="C192" s="118"/>
      <c r="D192" s="118"/>
      <c r="E192" s="118"/>
      <c r="F192" s="67"/>
    </row>
    <row r="193" spans="1:6" x14ac:dyDescent="0.25">
      <c r="A193" s="118"/>
      <c r="B193" s="118"/>
      <c r="C193" s="118"/>
      <c r="D193" s="118"/>
      <c r="E193" s="118"/>
      <c r="F193" s="67"/>
    </row>
    <row r="194" spans="1:6" x14ac:dyDescent="0.25">
      <c r="A194" s="118"/>
      <c r="B194" s="118"/>
      <c r="C194" s="118"/>
      <c r="D194" s="118"/>
      <c r="E194" s="118"/>
      <c r="F194" s="67"/>
    </row>
    <row r="195" spans="1:6" x14ac:dyDescent="0.25">
      <c r="A195" s="118"/>
      <c r="B195" s="118"/>
      <c r="C195" s="118"/>
      <c r="D195" s="118"/>
      <c r="E195" s="118"/>
      <c r="F195" s="67"/>
    </row>
    <row r="196" spans="1:6" x14ac:dyDescent="0.25">
      <c r="A196" s="118"/>
      <c r="B196" s="118"/>
      <c r="C196" s="118"/>
      <c r="D196" s="118"/>
      <c r="E196" s="118"/>
      <c r="F196" s="67"/>
    </row>
    <row r="197" spans="1:6" x14ac:dyDescent="0.25">
      <c r="A197" s="118"/>
      <c r="B197" s="118"/>
      <c r="C197" s="118"/>
      <c r="D197" s="118"/>
      <c r="E197" s="118"/>
      <c r="F197" s="67"/>
    </row>
    <row r="198" spans="1:6" x14ac:dyDescent="0.25">
      <c r="A198" s="118"/>
      <c r="B198" s="118"/>
      <c r="C198" s="118"/>
      <c r="D198" s="118"/>
      <c r="E198" s="118"/>
      <c r="F198" s="67"/>
    </row>
    <row r="199" spans="1:6" x14ac:dyDescent="0.25">
      <c r="A199" s="118"/>
      <c r="B199" s="118"/>
      <c r="C199" s="118"/>
      <c r="D199" s="118"/>
      <c r="E199" s="118"/>
      <c r="F199" s="67"/>
    </row>
    <row r="200" spans="1:6" x14ac:dyDescent="0.25">
      <c r="A200" s="118"/>
      <c r="B200" s="118"/>
      <c r="C200" s="118"/>
      <c r="D200" s="118"/>
      <c r="E200" s="118"/>
      <c r="F200" s="67"/>
    </row>
    <row r="201" spans="1:6" x14ac:dyDescent="0.25">
      <c r="A201" s="118"/>
      <c r="B201" s="118"/>
      <c r="C201" s="118"/>
      <c r="D201" s="118"/>
      <c r="E201" s="118"/>
      <c r="F201" s="67"/>
    </row>
    <row r="202" spans="1:6" x14ac:dyDescent="0.25">
      <c r="A202" s="118"/>
      <c r="B202" s="118"/>
      <c r="C202" s="118"/>
      <c r="D202" s="118"/>
      <c r="E202" s="118"/>
      <c r="F202" s="67"/>
    </row>
    <row r="203" spans="1:6" x14ac:dyDescent="0.25">
      <c r="A203" s="118"/>
      <c r="B203" s="118"/>
      <c r="C203" s="118"/>
      <c r="D203" s="118"/>
      <c r="E203" s="118"/>
      <c r="F203" s="67"/>
    </row>
    <row r="204" spans="1:6" x14ac:dyDescent="0.25">
      <c r="A204" s="118"/>
      <c r="B204" s="118"/>
      <c r="C204" s="118"/>
      <c r="D204" s="118"/>
      <c r="E204" s="118"/>
      <c r="F204" s="67"/>
    </row>
    <row r="205" spans="1:6" x14ac:dyDescent="0.25">
      <c r="A205" s="118"/>
      <c r="B205" s="118"/>
      <c r="C205" s="118"/>
      <c r="D205" s="118"/>
      <c r="E205" s="118"/>
      <c r="F205" s="67"/>
    </row>
    <row r="206" spans="1:6" x14ac:dyDescent="0.25">
      <c r="A206" s="118"/>
      <c r="B206" s="118"/>
      <c r="C206" s="118"/>
      <c r="D206" s="118"/>
      <c r="E206" s="118"/>
      <c r="F206" s="67"/>
    </row>
    <row r="207" spans="1:6" x14ac:dyDescent="0.25">
      <c r="A207" s="118"/>
      <c r="B207" s="118"/>
      <c r="C207" s="118"/>
      <c r="D207" s="118"/>
      <c r="E207" s="118"/>
      <c r="F207" s="67"/>
    </row>
    <row r="208" spans="1:6" x14ac:dyDescent="0.25">
      <c r="A208" s="118"/>
      <c r="B208" s="118"/>
      <c r="C208" s="118"/>
      <c r="D208" s="118"/>
      <c r="E208" s="118"/>
      <c r="F208" s="67"/>
    </row>
    <row r="209" spans="1:6" x14ac:dyDescent="0.25">
      <c r="A209" s="118"/>
      <c r="B209" s="118"/>
      <c r="C209" s="118"/>
      <c r="D209" s="118"/>
      <c r="E209" s="118"/>
      <c r="F209" s="67"/>
    </row>
    <row r="210" spans="1:6" x14ac:dyDescent="0.25">
      <c r="A210" s="118"/>
      <c r="B210" s="118"/>
      <c r="C210" s="118"/>
      <c r="D210" s="118"/>
      <c r="E210" s="118"/>
      <c r="F210" s="67"/>
    </row>
    <row r="211" spans="1:6" x14ac:dyDescent="0.25">
      <c r="A211" s="118"/>
      <c r="B211" s="118"/>
      <c r="C211" s="118"/>
      <c r="D211" s="118"/>
      <c r="E211" s="118"/>
      <c r="F211" s="67"/>
    </row>
    <row r="212" spans="1:6" x14ac:dyDescent="0.25">
      <c r="A212" s="118"/>
      <c r="B212" s="118"/>
      <c r="C212" s="118"/>
      <c r="D212" s="118"/>
      <c r="E212" s="118"/>
      <c r="F212" s="67"/>
    </row>
    <row r="213" spans="1:6" x14ac:dyDescent="0.25">
      <c r="A213" s="118"/>
      <c r="B213" s="118"/>
      <c r="C213" s="118"/>
      <c r="D213" s="118"/>
      <c r="E213" s="118"/>
      <c r="F213" s="67"/>
    </row>
    <row r="214" spans="1:6" x14ac:dyDescent="0.25">
      <c r="A214" s="118"/>
      <c r="B214" s="118"/>
      <c r="C214" s="118"/>
      <c r="D214" s="118"/>
      <c r="E214" s="118"/>
      <c r="F214" s="67"/>
    </row>
    <row r="215" spans="1:6" x14ac:dyDescent="0.25">
      <c r="A215" s="118"/>
      <c r="B215" s="118"/>
      <c r="C215" s="118"/>
      <c r="D215" s="118"/>
      <c r="E215" s="118"/>
      <c r="F215" s="67"/>
    </row>
    <row r="216" spans="1:6" x14ac:dyDescent="0.25">
      <c r="A216" s="118"/>
      <c r="B216" s="118"/>
      <c r="C216" s="118"/>
      <c r="D216" s="118"/>
      <c r="E216" s="118"/>
      <c r="F216" s="67"/>
    </row>
    <row r="217" spans="1:6" x14ac:dyDescent="0.25">
      <c r="A217" s="118"/>
      <c r="B217" s="118"/>
      <c r="C217" s="118"/>
      <c r="D217" s="118"/>
      <c r="E217" s="118"/>
      <c r="F217" s="67"/>
    </row>
    <row r="218" spans="1:6" x14ac:dyDescent="0.25">
      <c r="A218" s="118"/>
      <c r="B218" s="118"/>
      <c r="C218" s="118"/>
      <c r="D218" s="118"/>
      <c r="E218" s="118"/>
      <c r="F218" s="67"/>
    </row>
    <row r="219" spans="1:6" x14ac:dyDescent="0.25">
      <c r="A219" s="118"/>
      <c r="B219" s="118"/>
      <c r="C219" s="118"/>
      <c r="D219" s="118"/>
      <c r="E219" s="118"/>
      <c r="F219" s="67"/>
    </row>
    <row r="220" spans="1:6" x14ac:dyDescent="0.25">
      <c r="A220" s="118"/>
      <c r="B220" s="118"/>
      <c r="C220" s="118"/>
      <c r="D220" s="118"/>
      <c r="E220" s="118"/>
      <c r="F220" s="67"/>
    </row>
    <row r="221" spans="1:6" x14ac:dyDescent="0.25">
      <c r="A221" s="118"/>
      <c r="B221" s="118"/>
      <c r="C221" s="118"/>
      <c r="D221" s="118"/>
      <c r="E221" s="118"/>
      <c r="F221" s="67"/>
    </row>
    <row r="222" spans="1:6" x14ac:dyDescent="0.25">
      <c r="A222" s="118"/>
      <c r="B222" s="118"/>
      <c r="C222" s="118"/>
      <c r="D222" s="118"/>
      <c r="E222" s="118"/>
      <c r="F222" s="67"/>
    </row>
    <row r="223" spans="1:6" x14ac:dyDescent="0.25">
      <c r="A223" s="118"/>
      <c r="B223" s="118"/>
      <c r="C223" s="118"/>
      <c r="D223" s="118"/>
      <c r="E223" s="118"/>
      <c r="F223" s="67"/>
    </row>
    <row r="224" spans="1:6" x14ac:dyDescent="0.25">
      <c r="A224" s="118"/>
      <c r="B224" s="118"/>
      <c r="C224" s="118"/>
      <c r="D224" s="118"/>
      <c r="E224" s="118"/>
      <c r="F224" s="67"/>
    </row>
    <row r="225" spans="1:6" x14ac:dyDescent="0.25">
      <c r="A225" s="118"/>
      <c r="B225" s="118"/>
      <c r="C225" s="118"/>
      <c r="D225" s="118"/>
      <c r="E225" s="118"/>
      <c r="F225" s="67"/>
    </row>
    <row r="226" spans="1:6" x14ac:dyDescent="0.25">
      <c r="A226" s="118"/>
      <c r="B226" s="118"/>
      <c r="C226" s="118"/>
      <c r="D226" s="118"/>
      <c r="E226" s="118"/>
      <c r="F226" s="67"/>
    </row>
    <row r="227" spans="1:6" x14ac:dyDescent="0.25">
      <c r="A227" s="118"/>
      <c r="B227" s="118"/>
      <c r="C227" s="118"/>
      <c r="D227" s="118"/>
      <c r="E227" s="118"/>
      <c r="F227" s="67"/>
    </row>
    <row r="228" spans="1:6" x14ac:dyDescent="0.25">
      <c r="A228" s="118"/>
      <c r="B228" s="118"/>
      <c r="C228" s="118"/>
      <c r="D228" s="118"/>
      <c r="E228" s="118"/>
      <c r="F228" s="67"/>
    </row>
    <row r="229" spans="1:6" x14ac:dyDescent="0.25">
      <c r="A229" s="118"/>
      <c r="B229" s="118"/>
      <c r="C229" s="118"/>
      <c r="D229" s="118"/>
      <c r="E229" s="118"/>
      <c r="F229" s="67"/>
    </row>
    <row r="230" spans="1:6" x14ac:dyDescent="0.25">
      <c r="A230" s="118"/>
      <c r="B230" s="118"/>
      <c r="C230" s="118"/>
      <c r="D230" s="118"/>
      <c r="E230" s="118"/>
      <c r="F230" s="67"/>
    </row>
    <row r="231" spans="1:6" x14ac:dyDescent="0.25">
      <c r="A231" s="118"/>
      <c r="B231" s="118"/>
      <c r="C231" s="118"/>
      <c r="D231" s="118"/>
      <c r="E231" s="118"/>
      <c r="F231" s="67"/>
    </row>
    <row r="232" spans="1:6" x14ac:dyDescent="0.25">
      <c r="A232" s="118"/>
      <c r="B232" s="118"/>
      <c r="C232" s="118"/>
      <c r="D232" s="118"/>
      <c r="E232" s="118"/>
      <c r="F232" s="67"/>
    </row>
    <row r="233" spans="1:6" x14ac:dyDescent="0.25">
      <c r="A233" s="118"/>
      <c r="B233" s="118"/>
      <c r="C233" s="118"/>
      <c r="D233" s="118"/>
      <c r="E233" s="118"/>
      <c r="F233" s="67"/>
    </row>
    <row r="234" spans="1:6" x14ac:dyDescent="0.25">
      <c r="A234" s="118"/>
      <c r="B234" s="118"/>
      <c r="C234" s="118"/>
      <c r="D234" s="118"/>
      <c r="E234" s="118"/>
      <c r="F234" s="67"/>
    </row>
    <row r="235" spans="1:6" x14ac:dyDescent="0.25">
      <c r="A235" s="118"/>
      <c r="B235" s="118"/>
      <c r="C235" s="118"/>
      <c r="D235" s="118"/>
      <c r="E235" s="118"/>
      <c r="F235" s="67"/>
    </row>
    <row r="236" spans="1:6" x14ac:dyDescent="0.25">
      <c r="A236" s="118"/>
      <c r="B236" s="118"/>
      <c r="C236" s="118"/>
      <c r="D236" s="118"/>
      <c r="E236" s="118"/>
      <c r="F236" s="67"/>
    </row>
    <row r="237" spans="1:6" x14ac:dyDescent="0.25">
      <c r="A237" s="118"/>
      <c r="B237" s="118"/>
      <c r="C237" s="118"/>
      <c r="D237" s="118"/>
      <c r="E237" s="118"/>
      <c r="F237" s="67"/>
    </row>
    <row r="238" spans="1:6" x14ac:dyDescent="0.25">
      <c r="A238" s="118"/>
      <c r="B238" s="118"/>
      <c r="C238" s="118"/>
      <c r="D238" s="118"/>
      <c r="E238" s="118"/>
      <c r="F238" s="67"/>
    </row>
    <row r="239" spans="1:6" x14ac:dyDescent="0.25">
      <c r="A239" s="118"/>
      <c r="B239" s="118"/>
      <c r="C239" s="118"/>
      <c r="D239" s="118"/>
      <c r="E239" s="118"/>
      <c r="F239" s="67"/>
    </row>
    <row r="240" spans="1:6" x14ac:dyDescent="0.25">
      <c r="A240" s="118"/>
      <c r="B240" s="118"/>
      <c r="C240" s="118"/>
      <c r="D240" s="118"/>
      <c r="E240" s="118"/>
      <c r="F240" s="67"/>
    </row>
    <row r="241" spans="1:6" x14ac:dyDescent="0.25">
      <c r="A241" s="118"/>
      <c r="B241" s="118"/>
      <c r="C241" s="118"/>
      <c r="D241" s="118"/>
      <c r="E241" s="118"/>
      <c r="F241" s="67"/>
    </row>
    <row r="242" spans="1:6" x14ac:dyDescent="0.25">
      <c r="A242" s="118"/>
      <c r="B242" s="118"/>
      <c r="C242" s="118"/>
      <c r="D242" s="118"/>
      <c r="E242" s="118"/>
      <c r="F242" s="67"/>
    </row>
    <row r="243" spans="1:6" x14ac:dyDescent="0.25">
      <c r="A243" s="118"/>
      <c r="B243" s="118"/>
      <c r="C243" s="118"/>
      <c r="D243" s="118"/>
      <c r="E243" s="118"/>
      <c r="F243" s="67"/>
    </row>
    <row r="244" spans="1:6" x14ac:dyDescent="0.25">
      <c r="A244" s="118"/>
      <c r="B244" s="118"/>
      <c r="C244" s="118"/>
      <c r="D244" s="118"/>
      <c r="E244" s="118"/>
      <c r="F244" s="67"/>
    </row>
    <row r="245" spans="1:6" x14ac:dyDescent="0.25">
      <c r="A245" s="118"/>
      <c r="B245" s="118"/>
      <c r="C245" s="118"/>
      <c r="D245" s="118"/>
      <c r="E245" s="118"/>
      <c r="F245" s="67"/>
    </row>
    <row r="246" spans="1:6" x14ac:dyDescent="0.25">
      <c r="A246" s="118"/>
      <c r="B246" s="118"/>
      <c r="C246" s="118"/>
      <c r="D246" s="118"/>
      <c r="E246" s="118"/>
      <c r="F246" s="67"/>
    </row>
    <row r="247" spans="1:6" x14ac:dyDescent="0.25">
      <c r="A247" s="118"/>
      <c r="B247" s="118"/>
      <c r="C247" s="118"/>
      <c r="D247" s="118"/>
      <c r="E247" s="118"/>
      <c r="F247" s="67"/>
    </row>
    <row r="248" spans="1:6" x14ac:dyDescent="0.25">
      <c r="A248" s="118"/>
      <c r="B248" s="118"/>
      <c r="C248" s="118"/>
      <c r="D248" s="118"/>
      <c r="E248" s="118"/>
      <c r="F248" s="67"/>
    </row>
    <row r="249" spans="1:6" x14ac:dyDescent="0.25">
      <c r="A249" s="118"/>
      <c r="B249" s="118"/>
      <c r="C249" s="118"/>
      <c r="D249" s="118"/>
      <c r="E249" s="118"/>
      <c r="F249" s="67"/>
    </row>
    <row r="250" spans="1:6" x14ac:dyDescent="0.25">
      <c r="A250" s="118"/>
      <c r="B250" s="118"/>
      <c r="C250" s="118"/>
      <c r="D250" s="118"/>
      <c r="E250" s="118"/>
      <c r="F250" s="67"/>
    </row>
    <row r="251" spans="1:6" x14ac:dyDescent="0.25">
      <c r="A251" s="118"/>
      <c r="B251" s="118"/>
      <c r="C251" s="118"/>
      <c r="D251" s="118"/>
      <c r="E251" s="118"/>
      <c r="F251" s="67"/>
    </row>
    <row r="252" spans="1:6" x14ac:dyDescent="0.25">
      <c r="A252" s="118"/>
      <c r="B252" s="118"/>
      <c r="C252" s="118"/>
      <c r="D252" s="118"/>
      <c r="E252" s="118"/>
      <c r="F252" s="67"/>
    </row>
    <row r="253" spans="1:6" x14ac:dyDescent="0.25">
      <c r="A253" s="118"/>
      <c r="B253" s="118"/>
      <c r="C253" s="118"/>
      <c r="D253" s="118"/>
      <c r="E253" s="118"/>
      <c r="F253" s="67"/>
    </row>
    <row r="254" spans="1:6" x14ac:dyDescent="0.25">
      <c r="A254" s="118"/>
      <c r="B254" s="118"/>
      <c r="C254" s="118"/>
      <c r="D254" s="118"/>
      <c r="E254" s="118"/>
      <c r="F254" s="67"/>
    </row>
    <row r="255" spans="1:6" x14ac:dyDescent="0.25">
      <c r="A255" s="118"/>
      <c r="B255" s="118"/>
      <c r="C255" s="118"/>
      <c r="D255" s="118"/>
      <c r="E255" s="118"/>
      <c r="F255" s="67"/>
    </row>
    <row r="256" spans="1:6" x14ac:dyDescent="0.25">
      <c r="A256" s="118"/>
      <c r="B256" s="118"/>
      <c r="C256" s="118"/>
      <c r="D256" s="118"/>
      <c r="E256" s="118"/>
      <c r="F256" s="67"/>
    </row>
    <row r="257" spans="1:6" x14ac:dyDescent="0.25">
      <c r="A257" s="118"/>
      <c r="B257" s="118"/>
      <c r="C257" s="118"/>
      <c r="D257" s="118"/>
      <c r="E257" s="118"/>
      <c r="F257" s="67"/>
    </row>
    <row r="258" spans="1:6" x14ac:dyDescent="0.25">
      <c r="A258" s="118"/>
      <c r="B258" s="118"/>
      <c r="C258" s="118"/>
      <c r="D258" s="118"/>
      <c r="E258" s="118"/>
      <c r="F258" s="67"/>
    </row>
    <row r="259" spans="1:6" x14ac:dyDescent="0.25">
      <c r="A259" s="118"/>
      <c r="B259" s="118"/>
      <c r="C259" s="118"/>
      <c r="D259" s="118"/>
      <c r="E259" s="118"/>
      <c r="F259" s="67"/>
    </row>
    <row r="260" spans="1:6" x14ac:dyDescent="0.25">
      <c r="A260" s="118"/>
      <c r="B260" s="118"/>
      <c r="C260" s="118"/>
      <c r="D260" s="118"/>
      <c r="E260" s="118"/>
      <c r="F260" s="67"/>
    </row>
    <row r="261" spans="1:6" x14ac:dyDescent="0.25">
      <c r="A261" s="118"/>
      <c r="B261" s="118"/>
      <c r="C261" s="118"/>
      <c r="D261" s="118"/>
      <c r="E261" s="118"/>
      <c r="F261" s="67"/>
    </row>
    <row r="262" spans="1:6" x14ac:dyDescent="0.25">
      <c r="A262" s="118"/>
      <c r="B262" s="118"/>
      <c r="C262" s="118"/>
      <c r="D262" s="118"/>
      <c r="E262" s="118"/>
      <c r="F262" s="67"/>
    </row>
    <row r="263" spans="1:6" x14ac:dyDescent="0.25">
      <c r="A263" s="118"/>
      <c r="B263" s="118"/>
      <c r="C263" s="118"/>
      <c r="D263" s="118"/>
      <c r="E263" s="118"/>
      <c r="F263" s="67"/>
    </row>
    <row r="264" spans="1:6" x14ac:dyDescent="0.25">
      <c r="A264" s="118"/>
      <c r="B264" s="118"/>
      <c r="C264" s="118"/>
      <c r="D264" s="118"/>
      <c r="E264" s="118"/>
      <c r="F264" s="67"/>
    </row>
    <row r="265" spans="1:6" x14ac:dyDescent="0.25">
      <c r="A265" s="118"/>
      <c r="B265" s="118"/>
      <c r="C265" s="118"/>
      <c r="D265" s="118"/>
      <c r="E265" s="118"/>
      <c r="F265" s="67"/>
    </row>
    <row r="266" spans="1:6" x14ac:dyDescent="0.25">
      <c r="A266" s="118"/>
      <c r="B266" s="118"/>
      <c r="C266" s="118"/>
      <c r="D266" s="118"/>
      <c r="E266" s="118"/>
      <c r="F266" s="67"/>
    </row>
    <row r="267" spans="1:6" x14ac:dyDescent="0.25">
      <c r="A267" s="118"/>
      <c r="B267" s="118"/>
      <c r="C267" s="118"/>
      <c r="D267" s="118"/>
      <c r="E267" s="118"/>
      <c r="F267" s="67"/>
    </row>
    <row r="268" spans="1:6" x14ac:dyDescent="0.25">
      <c r="A268" s="118"/>
      <c r="B268" s="118"/>
      <c r="C268" s="118"/>
      <c r="D268" s="118"/>
      <c r="E268" s="118"/>
      <c r="F268" s="67"/>
    </row>
    <row r="269" spans="1:6" x14ac:dyDescent="0.25">
      <c r="A269" s="118"/>
      <c r="B269" s="118"/>
      <c r="C269" s="118"/>
      <c r="D269" s="118"/>
      <c r="E269" s="118"/>
      <c r="F269" s="67"/>
    </row>
    <row r="270" spans="1:6" x14ac:dyDescent="0.25">
      <c r="A270" s="118"/>
      <c r="B270" s="118"/>
      <c r="C270" s="118"/>
      <c r="D270" s="118"/>
      <c r="E270" s="118"/>
      <c r="F270" s="67"/>
    </row>
    <row r="271" spans="1:6" x14ac:dyDescent="0.25">
      <c r="A271" s="118"/>
      <c r="B271" s="118"/>
      <c r="C271" s="118"/>
      <c r="D271" s="118"/>
      <c r="E271" s="118"/>
      <c r="F271" s="67"/>
    </row>
    <row r="272" spans="1:6" x14ac:dyDescent="0.25">
      <c r="A272" s="118"/>
      <c r="B272" s="118"/>
      <c r="C272" s="118"/>
      <c r="D272" s="118"/>
      <c r="E272" s="118"/>
      <c r="F272" s="67"/>
    </row>
    <row r="273" spans="1:6" x14ac:dyDescent="0.25">
      <c r="A273" s="118"/>
      <c r="B273" s="118"/>
      <c r="C273" s="118"/>
      <c r="D273" s="118"/>
      <c r="E273" s="118"/>
      <c r="F273" s="67"/>
    </row>
    <row r="274" spans="1:6" x14ac:dyDescent="0.25">
      <c r="A274" s="118"/>
      <c r="B274" s="118"/>
      <c r="C274" s="118"/>
      <c r="D274" s="118"/>
      <c r="E274" s="118"/>
      <c r="F274" s="67"/>
    </row>
    <row r="275" spans="1:6" x14ac:dyDescent="0.25">
      <c r="A275" s="118"/>
      <c r="B275" s="118"/>
      <c r="C275" s="118"/>
      <c r="D275" s="118"/>
      <c r="E275" s="118"/>
      <c r="F275" s="67"/>
    </row>
    <row r="276" spans="1:6" x14ac:dyDescent="0.25">
      <c r="A276" s="118"/>
      <c r="B276" s="118"/>
      <c r="C276" s="118"/>
      <c r="D276" s="118"/>
      <c r="E276" s="118"/>
      <c r="F276" s="67"/>
    </row>
    <row r="277" spans="1:6" x14ac:dyDescent="0.25">
      <c r="A277" s="118"/>
      <c r="B277" s="118"/>
      <c r="C277" s="118"/>
      <c r="D277" s="118"/>
      <c r="E277" s="118"/>
      <c r="F277" s="67"/>
    </row>
    <row r="278" spans="1:6" x14ac:dyDescent="0.25">
      <c r="A278" s="118"/>
      <c r="B278" s="118"/>
      <c r="C278" s="118"/>
      <c r="D278" s="118"/>
      <c r="E278" s="118"/>
      <c r="F278" s="67"/>
    </row>
    <row r="279" spans="1:6" x14ac:dyDescent="0.25">
      <c r="A279" s="118"/>
      <c r="B279" s="118"/>
      <c r="C279" s="118"/>
      <c r="D279" s="118"/>
      <c r="E279" s="118"/>
      <c r="F279" s="67"/>
    </row>
    <row r="280" spans="1:6" x14ac:dyDescent="0.25">
      <c r="A280" s="118"/>
      <c r="B280" s="118"/>
      <c r="C280" s="118"/>
      <c r="D280" s="118"/>
      <c r="E280" s="118"/>
      <c r="F280" s="67"/>
    </row>
    <row r="281" spans="1:6" x14ac:dyDescent="0.25">
      <c r="A281" s="118"/>
      <c r="B281" s="118"/>
      <c r="C281" s="118"/>
      <c r="D281" s="118"/>
      <c r="E281" s="118"/>
      <c r="F281" s="67"/>
    </row>
    <row r="282" spans="1:6" x14ac:dyDescent="0.25">
      <c r="A282" s="118"/>
      <c r="B282" s="118"/>
      <c r="C282" s="118"/>
      <c r="D282" s="118"/>
      <c r="E282" s="118"/>
      <c r="F282" s="67"/>
    </row>
    <row r="283" spans="1:6" x14ac:dyDescent="0.25">
      <c r="A283" s="118"/>
      <c r="B283" s="118"/>
      <c r="C283" s="118"/>
      <c r="D283" s="118"/>
      <c r="E283" s="118"/>
      <c r="F283" s="67"/>
    </row>
    <row r="284" spans="1:6" x14ac:dyDescent="0.25">
      <c r="A284" s="118"/>
      <c r="B284" s="118"/>
      <c r="C284" s="118"/>
      <c r="D284" s="118"/>
      <c r="E284" s="118"/>
      <c r="F284" s="67"/>
    </row>
    <row r="285" spans="1:6" x14ac:dyDescent="0.25">
      <c r="A285" s="118"/>
      <c r="B285" s="118"/>
      <c r="C285" s="118"/>
      <c r="D285" s="118"/>
      <c r="E285" s="118"/>
      <c r="F285" s="67"/>
    </row>
    <row r="286" spans="1:6" x14ac:dyDescent="0.25">
      <c r="A286" s="118"/>
      <c r="B286" s="118"/>
      <c r="C286" s="118"/>
      <c r="D286" s="118"/>
      <c r="E286" s="118"/>
      <c r="F286" s="67"/>
    </row>
    <row r="287" spans="1:6" x14ac:dyDescent="0.25">
      <c r="A287" s="118"/>
      <c r="B287" s="118"/>
      <c r="C287" s="118"/>
      <c r="D287" s="118"/>
      <c r="E287" s="118"/>
      <c r="F287" s="67"/>
    </row>
    <row r="288" spans="1:6" x14ac:dyDescent="0.25">
      <c r="A288" s="118"/>
      <c r="B288" s="118"/>
      <c r="C288" s="118"/>
      <c r="D288" s="118"/>
      <c r="E288" s="118"/>
      <c r="F288" s="67"/>
    </row>
    <row r="289" spans="1:6" x14ac:dyDescent="0.25">
      <c r="A289" s="118"/>
      <c r="B289" s="118"/>
      <c r="C289" s="118"/>
      <c r="D289" s="118"/>
      <c r="E289" s="118"/>
      <c r="F289" s="67"/>
    </row>
    <row r="290" spans="1:6" x14ac:dyDescent="0.25">
      <c r="A290" s="118"/>
      <c r="B290" s="118"/>
      <c r="C290" s="118"/>
      <c r="D290" s="118"/>
      <c r="E290" s="118"/>
      <c r="F290" s="67"/>
    </row>
    <row r="291" spans="1:6" x14ac:dyDescent="0.25">
      <c r="A291" s="118"/>
      <c r="B291" s="118"/>
      <c r="C291" s="118"/>
      <c r="D291" s="118"/>
      <c r="E291" s="118"/>
      <c r="F291" s="67"/>
    </row>
    <row r="292" spans="1:6" x14ac:dyDescent="0.25">
      <c r="A292" s="118"/>
      <c r="B292" s="118"/>
      <c r="C292" s="118"/>
      <c r="D292" s="118"/>
      <c r="E292" s="118"/>
      <c r="F292" s="67"/>
    </row>
    <row r="293" spans="1:6" x14ac:dyDescent="0.25">
      <c r="A293" s="118"/>
      <c r="B293" s="118"/>
      <c r="C293" s="118"/>
      <c r="D293" s="118"/>
      <c r="E293" s="118"/>
      <c r="F293" s="67"/>
    </row>
    <row r="294" spans="1:6" x14ac:dyDescent="0.25">
      <c r="A294" s="118"/>
      <c r="B294" s="118"/>
      <c r="C294" s="118"/>
      <c r="D294" s="118"/>
      <c r="E294" s="118"/>
      <c r="F294" s="67"/>
    </row>
    <row r="295" spans="1:6" x14ac:dyDescent="0.25">
      <c r="A295" s="118"/>
      <c r="B295" s="118"/>
      <c r="C295" s="118"/>
      <c r="D295" s="118"/>
      <c r="E295" s="118"/>
      <c r="F295" s="67"/>
    </row>
    <row r="296" spans="1:6" x14ac:dyDescent="0.25">
      <c r="A296" s="118"/>
      <c r="B296" s="118"/>
      <c r="C296" s="118"/>
      <c r="D296" s="118"/>
      <c r="E296" s="118"/>
      <c r="F296" s="67"/>
    </row>
    <row r="297" spans="1:6" x14ac:dyDescent="0.25">
      <c r="A297" s="118"/>
      <c r="B297" s="118"/>
      <c r="C297" s="118"/>
      <c r="D297" s="118"/>
      <c r="E297" s="118"/>
      <c r="F297" s="67"/>
    </row>
    <row r="298" spans="1:6" x14ac:dyDescent="0.25">
      <c r="A298" s="118"/>
      <c r="B298" s="118"/>
      <c r="C298" s="118"/>
      <c r="D298" s="118"/>
      <c r="E298" s="118"/>
      <c r="F298" s="67"/>
    </row>
    <row r="299" spans="1:6" x14ac:dyDescent="0.25">
      <c r="A299" s="118"/>
      <c r="B299" s="118"/>
      <c r="C299" s="118"/>
      <c r="D299" s="118"/>
      <c r="E299" s="118"/>
      <c r="F299" s="67"/>
    </row>
    <row r="300" spans="1:6" x14ac:dyDescent="0.25">
      <c r="A300" s="118"/>
      <c r="B300" s="118"/>
      <c r="C300" s="118"/>
      <c r="D300" s="118"/>
      <c r="E300" s="118"/>
      <c r="F300" s="67"/>
    </row>
    <row r="301" spans="1:6" x14ac:dyDescent="0.25">
      <c r="A301" s="118"/>
      <c r="B301" s="118"/>
      <c r="C301" s="118"/>
      <c r="D301" s="118"/>
      <c r="E301" s="118"/>
      <c r="F301" s="67"/>
    </row>
    <row r="302" spans="1:6" x14ac:dyDescent="0.25">
      <c r="A302" s="118"/>
      <c r="B302" s="118"/>
      <c r="C302" s="118"/>
      <c r="D302" s="118"/>
      <c r="E302" s="118"/>
      <c r="F302" s="67"/>
    </row>
    <row r="303" spans="1:6" x14ac:dyDescent="0.25">
      <c r="A303" s="118"/>
      <c r="B303" s="118"/>
      <c r="C303" s="118"/>
      <c r="D303" s="118"/>
      <c r="E303" s="118"/>
      <c r="F303" s="67"/>
    </row>
    <row r="304" spans="1:6" x14ac:dyDescent="0.25">
      <c r="A304" s="118"/>
      <c r="B304" s="118"/>
      <c r="C304" s="118"/>
      <c r="D304" s="118"/>
      <c r="E304" s="118"/>
      <c r="F304" s="67"/>
    </row>
    <row r="305" spans="1:6" x14ac:dyDescent="0.25">
      <c r="A305" s="118"/>
      <c r="B305" s="118"/>
      <c r="C305" s="118"/>
      <c r="D305" s="118"/>
      <c r="E305" s="118"/>
      <c r="F305" s="67"/>
    </row>
    <row r="306" spans="1:6" x14ac:dyDescent="0.25">
      <c r="A306" s="118"/>
      <c r="B306" s="118"/>
      <c r="C306" s="118"/>
      <c r="D306" s="118"/>
      <c r="E306" s="118"/>
      <c r="F306" s="67"/>
    </row>
    <row r="307" spans="1:6" x14ac:dyDescent="0.25">
      <c r="A307" s="118"/>
      <c r="B307" s="118"/>
      <c r="C307" s="118"/>
      <c r="D307" s="118"/>
      <c r="E307" s="118"/>
      <c r="F307" s="67"/>
    </row>
    <row r="308" spans="1:6" x14ac:dyDescent="0.25">
      <c r="A308" s="118"/>
      <c r="B308" s="118"/>
      <c r="C308" s="118"/>
      <c r="D308" s="118"/>
      <c r="E308" s="118"/>
      <c r="F308" s="67"/>
    </row>
    <row r="309" spans="1:6" x14ac:dyDescent="0.25">
      <c r="A309" s="118"/>
      <c r="B309" s="118"/>
      <c r="C309" s="118"/>
      <c r="D309" s="118"/>
      <c r="E309" s="118"/>
      <c r="F309" s="67"/>
    </row>
    <row r="310" spans="1:6" x14ac:dyDescent="0.25">
      <c r="A310" s="118"/>
      <c r="B310" s="118"/>
      <c r="C310" s="118"/>
      <c r="D310" s="118"/>
      <c r="E310" s="118"/>
      <c r="F310" s="67"/>
    </row>
    <row r="311" spans="1:6" x14ac:dyDescent="0.25">
      <c r="A311" s="118"/>
      <c r="B311" s="118"/>
      <c r="C311" s="118"/>
      <c r="D311" s="118"/>
      <c r="E311" s="118"/>
      <c r="F311" s="67"/>
    </row>
    <row r="312" spans="1:6" x14ac:dyDescent="0.25">
      <c r="A312" s="118"/>
      <c r="B312" s="118"/>
      <c r="C312" s="118"/>
      <c r="D312" s="118"/>
      <c r="E312" s="118"/>
      <c r="F312" s="67"/>
    </row>
    <row r="313" spans="1:6" x14ac:dyDescent="0.25">
      <c r="A313" s="118"/>
      <c r="B313" s="118"/>
      <c r="C313" s="118"/>
      <c r="D313" s="118"/>
      <c r="E313" s="118"/>
      <c r="F313" s="67"/>
    </row>
    <row r="314" spans="1:6" x14ac:dyDescent="0.25">
      <c r="A314" s="118"/>
      <c r="B314" s="118"/>
      <c r="C314" s="118"/>
      <c r="D314" s="118"/>
      <c r="E314" s="118"/>
      <c r="F314" s="67"/>
    </row>
    <row r="315" spans="1:6" x14ac:dyDescent="0.25">
      <c r="A315" s="118"/>
      <c r="B315" s="118"/>
      <c r="C315" s="118"/>
      <c r="D315" s="118"/>
      <c r="E315" s="118"/>
      <c r="F315" s="67"/>
    </row>
    <row r="316" spans="1:6" x14ac:dyDescent="0.25">
      <c r="A316" s="118"/>
      <c r="B316" s="118"/>
      <c r="C316" s="118"/>
      <c r="D316" s="118"/>
      <c r="E316" s="118"/>
      <c r="F316" s="67"/>
    </row>
    <row r="317" spans="1:6" x14ac:dyDescent="0.25">
      <c r="A317" s="118"/>
      <c r="B317" s="118"/>
      <c r="C317" s="118"/>
      <c r="D317" s="118"/>
      <c r="E317" s="118"/>
      <c r="F317" s="67"/>
    </row>
    <row r="318" spans="1:6" x14ac:dyDescent="0.25">
      <c r="A318" s="118"/>
      <c r="B318" s="118"/>
      <c r="C318" s="118"/>
      <c r="D318" s="118"/>
      <c r="E318" s="118"/>
      <c r="F318" s="67"/>
    </row>
    <row r="319" spans="1:6" x14ac:dyDescent="0.25">
      <c r="A319" s="118"/>
      <c r="B319" s="118"/>
      <c r="C319" s="118"/>
      <c r="D319" s="118"/>
      <c r="E319" s="118"/>
      <c r="F319" s="67"/>
    </row>
    <row r="320" spans="1:6" x14ac:dyDescent="0.25">
      <c r="A320" s="118"/>
      <c r="B320" s="118"/>
      <c r="C320" s="118"/>
      <c r="D320" s="118"/>
      <c r="E320" s="118"/>
      <c r="F320" s="67"/>
    </row>
    <row r="321" spans="1:6" x14ac:dyDescent="0.25">
      <c r="A321" s="118"/>
      <c r="B321" s="118"/>
      <c r="C321" s="118"/>
      <c r="D321" s="118"/>
      <c r="E321" s="118"/>
      <c r="F321" s="67"/>
    </row>
    <row r="322" spans="1:6" x14ac:dyDescent="0.25">
      <c r="A322" s="118"/>
      <c r="B322" s="118"/>
      <c r="C322" s="118"/>
      <c r="D322" s="118"/>
      <c r="E322" s="118"/>
      <c r="F322" s="67"/>
    </row>
    <row r="323" spans="1:6" x14ac:dyDescent="0.25">
      <c r="A323" s="118"/>
      <c r="B323" s="118"/>
      <c r="C323" s="118"/>
      <c r="D323" s="118"/>
      <c r="E323" s="118"/>
      <c r="F323" s="67"/>
    </row>
    <row r="324" spans="1:6" x14ac:dyDescent="0.25">
      <c r="A324" s="118"/>
      <c r="B324" s="118"/>
      <c r="C324" s="118"/>
      <c r="D324" s="118"/>
      <c r="E324" s="118"/>
      <c r="F324" s="67"/>
    </row>
    <row r="325" spans="1:6" x14ac:dyDescent="0.25">
      <c r="A325" s="118"/>
      <c r="B325" s="118"/>
      <c r="C325" s="118"/>
      <c r="D325" s="118"/>
      <c r="E325" s="118"/>
      <c r="F325" s="67"/>
    </row>
    <row r="326" spans="1:6" x14ac:dyDescent="0.25">
      <c r="A326" s="118"/>
      <c r="B326" s="118"/>
      <c r="C326" s="118"/>
      <c r="D326" s="118"/>
      <c r="E326" s="118"/>
      <c r="F326" s="67"/>
    </row>
    <row r="327" spans="1:6" x14ac:dyDescent="0.25">
      <c r="A327" s="118"/>
      <c r="B327" s="118"/>
      <c r="C327" s="118"/>
      <c r="D327" s="118"/>
      <c r="E327" s="118"/>
      <c r="F327" s="67"/>
    </row>
    <row r="328" spans="1:6" x14ac:dyDescent="0.25">
      <c r="A328" s="118"/>
      <c r="B328" s="118"/>
      <c r="C328" s="118"/>
      <c r="D328" s="118"/>
      <c r="E328" s="118"/>
      <c r="F328" s="67"/>
    </row>
    <row r="329" spans="1:6" x14ac:dyDescent="0.25">
      <c r="A329" s="118"/>
      <c r="B329" s="118"/>
      <c r="C329" s="118"/>
      <c r="D329" s="118"/>
      <c r="E329" s="118"/>
      <c r="F329" s="67"/>
    </row>
    <row r="330" spans="1:6" x14ac:dyDescent="0.25">
      <c r="A330" s="118"/>
      <c r="B330" s="118"/>
      <c r="C330" s="118"/>
      <c r="D330" s="118"/>
      <c r="E330" s="118"/>
      <c r="F330" s="67"/>
    </row>
    <row r="331" spans="1:6" x14ac:dyDescent="0.25">
      <c r="A331" s="118"/>
      <c r="B331" s="118"/>
      <c r="C331" s="118"/>
      <c r="D331" s="118"/>
      <c r="E331" s="118"/>
      <c r="F331" s="67"/>
    </row>
    <row r="332" spans="1:6" x14ac:dyDescent="0.25">
      <c r="A332" s="118"/>
      <c r="B332" s="118"/>
      <c r="C332" s="118"/>
      <c r="D332" s="118"/>
      <c r="E332" s="118"/>
      <c r="F332" s="67"/>
    </row>
    <row r="333" spans="1:6" x14ac:dyDescent="0.25">
      <c r="A333" s="118"/>
      <c r="B333" s="118"/>
      <c r="C333" s="118"/>
      <c r="D333" s="118"/>
      <c r="E333" s="118"/>
      <c r="F333" s="67"/>
    </row>
    <row r="334" spans="1:6" x14ac:dyDescent="0.25">
      <c r="A334" s="118"/>
      <c r="B334" s="118"/>
      <c r="C334" s="118"/>
      <c r="D334" s="118"/>
      <c r="E334" s="118"/>
      <c r="F334" s="67"/>
    </row>
    <row r="335" spans="1:6" x14ac:dyDescent="0.25">
      <c r="A335" s="118"/>
      <c r="B335" s="118"/>
      <c r="C335" s="118"/>
      <c r="D335" s="118"/>
      <c r="E335" s="118"/>
      <c r="F335" s="67"/>
    </row>
    <row r="336" spans="1:6" x14ac:dyDescent="0.25">
      <c r="A336" s="118"/>
      <c r="B336" s="118"/>
      <c r="C336" s="118"/>
      <c r="D336" s="118"/>
      <c r="E336" s="118"/>
      <c r="F336" s="67"/>
    </row>
    <row r="337" spans="1:6" x14ac:dyDescent="0.25">
      <c r="A337" s="118"/>
      <c r="B337" s="118"/>
      <c r="C337" s="118"/>
      <c r="D337" s="118"/>
      <c r="E337" s="118"/>
      <c r="F337" s="67"/>
    </row>
    <row r="338" spans="1:6" x14ac:dyDescent="0.25">
      <c r="A338" s="118"/>
      <c r="B338" s="118"/>
      <c r="C338" s="118"/>
      <c r="D338" s="118"/>
      <c r="E338" s="118"/>
      <c r="F338" s="67"/>
    </row>
    <row r="339" spans="1:6" x14ac:dyDescent="0.25">
      <c r="A339" s="118"/>
      <c r="B339" s="118"/>
      <c r="C339" s="118"/>
      <c r="D339" s="118"/>
      <c r="E339" s="118"/>
      <c r="F339" s="67"/>
    </row>
    <row r="340" spans="1:6" x14ac:dyDescent="0.25">
      <c r="A340" s="118"/>
      <c r="B340" s="118"/>
      <c r="C340" s="118"/>
      <c r="D340" s="118"/>
      <c r="E340" s="118"/>
      <c r="F340" s="67"/>
    </row>
    <row r="341" spans="1:6" x14ac:dyDescent="0.25">
      <c r="A341" s="118"/>
      <c r="B341" s="118"/>
      <c r="C341" s="118"/>
      <c r="D341" s="118"/>
      <c r="E341" s="118"/>
      <c r="F341" s="67"/>
    </row>
    <row r="342" spans="1:6" x14ac:dyDescent="0.25">
      <c r="A342" s="118"/>
      <c r="B342" s="118"/>
      <c r="C342" s="118"/>
      <c r="D342" s="118"/>
      <c r="E342" s="118"/>
      <c r="F342" s="67"/>
    </row>
    <row r="343" spans="1:6" x14ac:dyDescent="0.25">
      <c r="A343" s="118"/>
      <c r="B343" s="118"/>
      <c r="C343" s="118"/>
      <c r="D343" s="118"/>
      <c r="E343" s="118"/>
      <c r="F343" s="67"/>
    </row>
    <row r="344" spans="1:6" x14ac:dyDescent="0.25">
      <c r="A344" s="118"/>
      <c r="B344" s="118"/>
      <c r="C344" s="118"/>
      <c r="D344" s="118"/>
      <c r="E344" s="118"/>
      <c r="F344" s="67"/>
    </row>
    <row r="345" spans="1:6" x14ac:dyDescent="0.25">
      <c r="A345" s="118"/>
      <c r="B345" s="118"/>
      <c r="C345" s="118"/>
      <c r="D345" s="118"/>
      <c r="E345" s="118"/>
      <c r="F345" s="67"/>
    </row>
    <row r="346" spans="1:6" x14ac:dyDescent="0.25">
      <c r="A346" s="118"/>
      <c r="B346" s="118"/>
      <c r="C346" s="118"/>
      <c r="D346" s="118"/>
      <c r="E346" s="118"/>
      <c r="F346" s="67"/>
    </row>
    <row r="347" spans="1:6" x14ac:dyDescent="0.25">
      <c r="A347" s="118"/>
      <c r="B347" s="118"/>
      <c r="C347" s="118"/>
      <c r="D347" s="118"/>
      <c r="E347" s="118"/>
      <c r="F347" s="67"/>
    </row>
    <row r="348" spans="1:6" x14ac:dyDescent="0.25">
      <c r="A348" s="118"/>
      <c r="B348" s="118"/>
      <c r="C348" s="118"/>
      <c r="D348" s="118"/>
      <c r="E348" s="118"/>
      <c r="F348" s="67"/>
    </row>
    <row r="349" spans="1:6" x14ac:dyDescent="0.25">
      <c r="A349" s="118"/>
      <c r="B349" s="118"/>
      <c r="C349" s="118"/>
      <c r="D349" s="118"/>
      <c r="E349" s="118"/>
      <c r="F349" s="67"/>
    </row>
    <row r="350" spans="1:6" x14ac:dyDescent="0.25">
      <c r="A350" s="118"/>
      <c r="B350" s="118"/>
      <c r="C350" s="118"/>
      <c r="D350" s="118"/>
      <c r="E350" s="118"/>
      <c r="F350" s="67"/>
    </row>
    <row r="351" spans="1:6" x14ac:dyDescent="0.25">
      <c r="A351" s="118"/>
      <c r="B351" s="118"/>
      <c r="C351" s="118"/>
      <c r="D351" s="118"/>
      <c r="E351" s="118"/>
      <c r="F351" s="67"/>
    </row>
    <row r="352" spans="1:6" x14ac:dyDescent="0.25">
      <c r="A352" s="118"/>
      <c r="B352" s="118"/>
      <c r="C352" s="118"/>
      <c r="D352" s="118"/>
      <c r="E352" s="118"/>
      <c r="F352" s="67"/>
    </row>
    <row r="353" spans="1:6" x14ac:dyDescent="0.25">
      <c r="A353" s="118"/>
      <c r="B353" s="118"/>
      <c r="C353" s="118"/>
      <c r="D353" s="118"/>
      <c r="E353" s="118"/>
      <c r="F353" s="67"/>
    </row>
    <row r="354" spans="1:6" x14ac:dyDescent="0.25">
      <c r="A354" s="118"/>
      <c r="B354" s="118"/>
      <c r="C354" s="118"/>
      <c r="D354" s="118"/>
      <c r="E354" s="118"/>
      <c r="F354" s="67"/>
    </row>
    <row r="355" spans="1:6" x14ac:dyDescent="0.25">
      <c r="A355" s="118"/>
      <c r="B355" s="118"/>
      <c r="C355" s="118"/>
      <c r="D355" s="118"/>
      <c r="E355" s="118"/>
      <c r="F355" s="67"/>
    </row>
    <row r="356" spans="1:6" x14ac:dyDescent="0.25">
      <c r="A356" s="118"/>
      <c r="B356" s="118"/>
      <c r="C356" s="118"/>
      <c r="D356" s="118"/>
      <c r="E356" s="118"/>
      <c r="F356" s="67"/>
    </row>
    <row r="357" spans="1:6" x14ac:dyDescent="0.25">
      <c r="A357" s="118"/>
      <c r="B357" s="118"/>
      <c r="C357" s="118"/>
      <c r="D357" s="118"/>
      <c r="E357" s="118"/>
      <c r="F357" s="67"/>
    </row>
    <row r="358" spans="1:6" x14ac:dyDescent="0.25">
      <c r="A358" s="118"/>
      <c r="B358" s="118"/>
      <c r="C358" s="118"/>
      <c r="D358" s="118"/>
      <c r="E358" s="118"/>
      <c r="F358" s="67"/>
    </row>
    <row r="359" spans="1:6" x14ac:dyDescent="0.25">
      <c r="A359" s="118"/>
      <c r="B359" s="118"/>
      <c r="C359" s="118"/>
      <c r="D359" s="118"/>
      <c r="E359" s="118"/>
      <c r="F359" s="67"/>
    </row>
    <row r="360" spans="1:6" x14ac:dyDescent="0.25">
      <c r="A360" s="118"/>
      <c r="B360" s="118"/>
      <c r="C360" s="118"/>
      <c r="D360" s="118"/>
      <c r="E360" s="118"/>
      <c r="F360" s="67"/>
    </row>
    <row r="361" spans="1:6" x14ac:dyDescent="0.25">
      <c r="A361" s="118"/>
      <c r="B361" s="118"/>
      <c r="C361" s="118"/>
      <c r="D361" s="118"/>
      <c r="E361" s="118"/>
      <c r="F361" s="67"/>
    </row>
    <row r="362" spans="1:6" x14ac:dyDescent="0.25">
      <c r="A362" s="118"/>
      <c r="B362" s="118"/>
      <c r="C362" s="118"/>
      <c r="D362" s="118"/>
      <c r="E362" s="118"/>
      <c r="F362" s="67"/>
    </row>
    <row r="363" spans="1:6" x14ac:dyDescent="0.25">
      <c r="A363" s="118"/>
      <c r="B363" s="118"/>
      <c r="C363" s="118"/>
      <c r="D363" s="118"/>
      <c r="E363" s="118"/>
      <c r="F363" s="67"/>
    </row>
    <row r="364" spans="1:6" x14ac:dyDescent="0.25">
      <c r="A364" s="118"/>
      <c r="B364" s="118"/>
      <c r="C364" s="118"/>
      <c r="D364" s="118"/>
      <c r="E364" s="118"/>
      <c r="F364" s="67"/>
    </row>
    <row r="365" spans="1:6" x14ac:dyDescent="0.25">
      <c r="A365" s="118"/>
      <c r="B365" s="118"/>
      <c r="C365" s="118"/>
      <c r="D365" s="118"/>
      <c r="E365" s="118"/>
      <c r="F365" s="67"/>
    </row>
    <row r="366" spans="1:6" x14ac:dyDescent="0.25">
      <c r="A366" s="118"/>
      <c r="B366" s="118"/>
      <c r="C366" s="118"/>
      <c r="D366" s="118"/>
      <c r="E366" s="118"/>
      <c r="F366" s="67"/>
    </row>
    <row r="367" spans="1:6" x14ac:dyDescent="0.25">
      <c r="A367" s="118"/>
      <c r="B367" s="118"/>
      <c r="C367" s="118"/>
      <c r="D367" s="118"/>
      <c r="E367" s="118"/>
      <c r="F367" s="67"/>
    </row>
    <row r="368" spans="1:6" x14ac:dyDescent="0.25">
      <c r="A368" s="118"/>
      <c r="B368" s="118"/>
      <c r="C368" s="118"/>
      <c r="D368" s="118"/>
      <c r="E368" s="118"/>
      <c r="F368" s="67"/>
    </row>
    <row r="369" spans="1:6" x14ac:dyDescent="0.25">
      <c r="A369" s="118"/>
      <c r="B369" s="118"/>
      <c r="C369" s="118"/>
      <c r="D369" s="118"/>
      <c r="E369" s="118"/>
      <c r="F369" s="67"/>
    </row>
    <row r="370" spans="1:6" x14ac:dyDescent="0.25">
      <c r="A370" s="118"/>
      <c r="B370" s="118"/>
      <c r="C370" s="118"/>
      <c r="D370" s="118"/>
      <c r="E370" s="118"/>
      <c r="F370" s="67"/>
    </row>
    <row r="371" spans="1:6" x14ac:dyDescent="0.25">
      <c r="A371" s="118"/>
      <c r="B371" s="118"/>
      <c r="C371" s="118"/>
      <c r="D371" s="118"/>
      <c r="E371" s="118"/>
      <c r="F371" s="67"/>
    </row>
    <row r="372" spans="1:6" x14ac:dyDescent="0.25">
      <c r="A372" s="118"/>
      <c r="B372" s="118"/>
      <c r="C372" s="118"/>
      <c r="D372" s="118"/>
      <c r="E372" s="118"/>
      <c r="F372" s="67"/>
    </row>
    <row r="373" spans="1:6" x14ac:dyDescent="0.25">
      <c r="A373" s="118"/>
      <c r="B373" s="118"/>
      <c r="C373" s="118"/>
      <c r="D373" s="118"/>
      <c r="E373" s="118"/>
      <c r="F373" s="67"/>
    </row>
    <row r="374" spans="1:6" x14ac:dyDescent="0.25">
      <c r="A374" s="118"/>
      <c r="B374" s="118"/>
      <c r="C374" s="118"/>
      <c r="D374" s="118"/>
      <c r="E374" s="118"/>
      <c r="F374" s="67"/>
    </row>
    <row r="375" spans="1:6" x14ac:dyDescent="0.25">
      <c r="A375" s="118"/>
      <c r="B375" s="118"/>
      <c r="C375" s="118"/>
      <c r="D375" s="118"/>
      <c r="E375" s="118"/>
      <c r="F375" s="67"/>
    </row>
    <row r="376" spans="1:6" x14ac:dyDescent="0.25">
      <c r="A376" s="118"/>
      <c r="B376" s="118"/>
      <c r="C376" s="118"/>
      <c r="D376" s="118"/>
      <c r="E376" s="118"/>
      <c r="F376" s="67"/>
    </row>
    <row r="377" spans="1:6" x14ac:dyDescent="0.25">
      <c r="A377" s="118"/>
      <c r="B377" s="118"/>
      <c r="C377" s="118"/>
      <c r="D377" s="118"/>
      <c r="E377" s="118"/>
      <c r="F377" s="67"/>
    </row>
    <row r="378" spans="1:6" x14ac:dyDescent="0.25">
      <c r="A378" s="118"/>
      <c r="B378" s="118"/>
      <c r="C378" s="118"/>
      <c r="D378" s="118"/>
      <c r="E378" s="118"/>
      <c r="F378" s="67"/>
    </row>
    <row r="379" spans="1:6" x14ac:dyDescent="0.25">
      <c r="A379" s="118"/>
      <c r="B379" s="118"/>
      <c r="C379" s="118"/>
      <c r="D379" s="118"/>
      <c r="E379" s="118"/>
      <c r="F379" s="67"/>
    </row>
    <row r="380" spans="1:6" x14ac:dyDescent="0.25">
      <c r="A380" s="118"/>
      <c r="B380" s="118"/>
      <c r="C380" s="118"/>
      <c r="D380" s="118"/>
      <c r="E380" s="118"/>
      <c r="F380" s="67"/>
    </row>
    <row r="381" spans="1:6" x14ac:dyDescent="0.25">
      <c r="A381" s="118"/>
      <c r="B381" s="118"/>
      <c r="C381" s="118"/>
      <c r="D381" s="118"/>
      <c r="E381" s="118"/>
      <c r="F381" s="67"/>
    </row>
    <row r="382" spans="1:6" x14ac:dyDescent="0.25">
      <c r="A382" s="118"/>
      <c r="B382" s="118"/>
      <c r="C382" s="118"/>
      <c r="D382" s="118"/>
      <c r="E382" s="118"/>
      <c r="F382" s="67"/>
    </row>
    <row r="383" spans="1:6" x14ac:dyDescent="0.25">
      <c r="A383" s="118"/>
      <c r="B383" s="118"/>
      <c r="C383" s="118"/>
      <c r="D383" s="118"/>
      <c r="E383" s="118"/>
      <c r="F383" s="67"/>
    </row>
    <row r="384" spans="1:6" x14ac:dyDescent="0.25">
      <c r="A384" s="118"/>
      <c r="B384" s="118"/>
      <c r="C384" s="118"/>
      <c r="D384" s="118"/>
      <c r="E384" s="118"/>
      <c r="F384" s="67"/>
    </row>
    <row r="385" spans="1:6" x14ac:dyDescent="0.25">
      <c r="A385" s="118"/>
      <c r="B385" s="118"/>
      <c r="C385" s="118"/>
      <c r="D385" s="118"/>
      <c r="E385" s="118"/>
      <c r="F385" s="67"/>
    </row>
    <row r="386" spans="1:6" x14ac:dyDescent="0.25">
      <c r="A386" s="118"/>
      <c r="B386" s="118"/>
      <c r="C386" s="118"/>
      <c r="D386" s="118"/>
      <c r="E386" s="118"/>
      <c r="F386" s="67"/>
    </row>
    <row r="387" spans="1:6" x14ac:dyDescent="0.25">
      <c r="A387" s="118"/>
      <c r="B387" s="118"/>
      <c r="C387" s="118"/>
      <c r="D387" s="118"/>
      <c r="E387" s="118"/>
      <c r="F387" s="67"/>
    </row>
    <row r="388" spans="1:6" x14ac:dyDescent="0.25">
      <c r="A388" s="118"/>
      <c r="B388" s="118"/>
      <c r="C388" s="118"/>
      <c r="D388" s="118"/>
      <c r="E388" s="118"/>
      <c r="F388" s="118"/>
    </row>
    <row r="389" spans="1:6" x14ac:dyDescent="0.25">
      <c r="A389" s="118"/>
      <c r="B389" s="118"/>
      <c r="C389" s="118"/>
      <c r="D389" s="118"/>
      <c r="E389" s="118"/>
      <c r="F389" s="118"/>
    </row>
    <row r="390" spans="1:6" x14ac:dyDescent="0.25">
      <c r="A390" s="118"/>
      <c r="B390" s="118"/>
      <c r="C390" s="118"/>
      <c r="D390" s="118"/>
      <c r="E390" s="118"/>
      <c r="F390" s="118"/>
    </row>
    <row r="391" spans="1:6" x14ac:dyDescent="0.25">
      <c r="A391" s="118"/>
      <c r="B391" s="118"/>
      <c r="C391" s="118"/>
      <c r="D391" s="118"/>
      <c r="E391" s="118"/>
      <c r="F391" s="118"/>
    </row>
  </sheetData>
  <sortState xmlns:xlrd2="http://schemas.microsoft.com/office/spreadsheetml/2017/richdata2" ref="A100:T109">
    <sortCondition ref="G100:G10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BDD46-2C3D-44E8-872A-396E2EFEEE5C}">
  <dimension ref="A1:AB114"/>
  <sheetViews>
    <sheetView topLeftCell="A95" zoomScale="70" zoomScaleNormal="70" workbookViewId="0">
      <selection activeCell="AA15" sqref="AA15:AB109"/>
    </sheetView>
  </sheetViews>
  <sheetFormatPr defaultRowHeight="15" x14ac:dyDescent="0.25"/>
  <cols>
    <col min="3" max="3" width="14.85546875" bestFit="1" customWidth="1"/>
    <col min="6" max="6" width="37.42578125" bestFit="1" customWidth="1"/>
    <col min="11" max="11" width="18.42578125" bestFit="1" customWidth="1"/>
    <col min="12" max="12" width="14.85546875" bestFit="1" customWidth="1"/>
    <col min="17" max="17" width="12.7109375" bestFit="1" customWidth="1"/>
    <col min="22" max="22" width="64.42578125" customWidth="1"/>
  </cols>
  <sheetData>
    <row r="1" spans="1:28" ht="23.25" customHeight="1" x14ac:dyDescent="0.25">
      <c r="A1" s="118" t="s">
        <v>1022</v>
      </c>
      <c r="B1" s="118" t="s">
        <v>1023</v>
      </c>
      <c r="C1" s="118" t="s">
        <v>1024</v>
      </c>
      <c r="D1" s="118" t="s">
        <v>1025</v>
      </c>
      <c r="E1" s="118" t="s">
        <v>1026</v>
      </c>
      <c r="F1" s="118" t="s">
        <v>1027</v>
      </c>
      <c r="G1" s="118" t="s">
        <v>26</v>
      </c>
      <c r="H1" s="118" t="s">
        <v>1028</v>
      </c>
      <c r="I1" s="118" t="s">
        <v>1029</v>
      </c>
      <c r="J1" s="118" t="s">
        <v>1030</v>
      </c>
      <c r="K1" s="118" t="s">
        <v>1031</v>
      </c>
      <c r="L1" s="118" t="s">
        <v>16</v>
      </c>
      <c r="M1" s="118" t="s">
        <v>1032</v>
      </c>
      <c r="N1" s="118" t="s">
        <v>1033</v>
      </c>
      <c r="O1" s="118" t="s">
        <v>1034</v>
      </c>
      <c r="P1" s="118" t="s">
        <v>1035</v>
      </c>
      <c r="Q1" s="118" t="s">
        <v>1028</v>
      </c>
      <c r="R1" s="118" t="s">
        <v>1036</v>
      </c>
      <c r="S1" s="118" t="s">
        <v>1037</v>
      </c>
      <c r="T1" s="118" t="s">
        <v>1030</v>
      </c>
      <c r="U1" s="118" t="s">
        <v>1031</v>
      </c>
      <c r="V1" s="118" t="s">
        <v>1038</v>
      </c>
      <c r="W1" s="118" t="s">
        <v>1039</v>
      </c>
      <c r="X1" s="118" t="s">
        <v>1040</v>
      </c>
      <c r="Y1" s="118" t="s">
        <v>1041</v>
      </c>
      <c r="Z1" s="118" t="s">
        <v>1042</v>
      </c>
      <c r="AA1" s="118" t="s">
        <v>1043</v>
      </c>
      <c r="AB1" s="118" t="s">
        <v>1044</v>
      </c>
    </row>
    <row r="2" spans="1:28" ht="23.25" customHeight="1" x14ac:dyDescent="0.25">
      <c r="A2" s="118"/>
      <c r="B2" s="118"/>
      <c r="C2" s="118"/>
      <c r="D2" s="118"/>
      <c r="E2" s="118"/>
      <c r="F2" s="118"/>
      <c r="G2" s="25">
        <v>10496</v>
      </c>
      <c r="H2" s="118"/>
      <c r="I2" s="118"/>
      <c r="J2" s="118"/>
      <c r="K2" s="147" t="s">
        <v>685</v>
      </c>
      <c r="L2" s="118"/>
      <c r="M2" s="118"/>
      <c r="N2" s="46">
        <v>1</v>
      </c>
      <c r="O2" s="118" t="s">
        <v>8</v>
      </c>
      <c r="P2" s="118"/>
      <c r="Q2" s="118" t="s">
        <v>11</v>
      </c>
      <c r="R2" s="146" t="s">
        <v>1642</v>
      </c>
      <c r="S2" s="118"/>
      <c r="T2" s="118"/>
      <c r="U2" s="118"/>
      <c r="V2" s="118"/>
      <c r="W2" s="118"/>
      <c r="X2" s="118"/>
      <c r="Y2" s="118"/>
      <c r="Z2" s="118"/>
      <c r="AA2" s="118"/>
      <c r="AB2" s="118"/>
    </row>
    <row r="3" spans="1:28" ht="23.25" customHeight="1" x14ac:dyDescent="0.25">
      <c r="A3" s="118"/>
      <c r="B3" s="118"/>
      <c r="C3" s="118"/>
      <c r="D3" s="118"/>
      <c r="E3" s="118"/>
      <c r="F3" s="118"/>
      <c r="G3" s="25">
        <v>10497</v>
      </c>
      <c r="H3" s="118"/>
      <c r="I3" s="118"/>
      <c r="J3" s="118"/>
      <c r="K3" s="119" t="s">
        <v>686</v>
      </c>
      <c r="L3" s="118"/>
      <c r="M3" s="118"/>
      <c r="N3" s="46">
        <v>2</v>
      </c>
      <c r="O3" s="118" t="s">
        <v>8</v>
      </c>
      <c r="P3" s="118"/>
      <c r="Q3" s="118" t="s">
        <v>11</v>
      </c>
      <c r="R3" s="146" t="s">
        <v>1642</v>
      </c>
      <c r="S3" s="118"/>
      <c r="T3" s="118"/>
      <c r="U3" s="118"/>
      <c r="V3" s="118"/>
      <c r="W3" s="118"/>
      <c r="X3" s="118"/>
      <c r="Y3" s="118"/>
      <c r="Z3" s="118"/>
      <c r="AA3" s="118"/>
      <c r="AB3" s="118"/>
    </row>
    <row r="4" spans="1:28" ht="23.25" customHeight="1" x14ac:dyDescent="0.25">
      <c r="A4" s="118"/>
      <c r="B4" s="118"/>
      <c r="C4" s="118"/>
      <c r="D4" s="118"/>
      <c r="E4" s="118"/>
      <c r="F4" s="118"/>
      <c r="G4" s="25">
        <v>10498</v>
      </c>
      <c r="H4" s="118"/>
      <c r="I4" s="118"/>
      <c r="J4" s="118"/>
      <c r="K4" s="119" t="s">
        <v>687</v>
      </c>
      <c r="L4" s="118"/>
      <c r="M4" s="118"/>
      <c r="N4" s="46">
        <v>3</v>
      </c>
      <c r="O4" s="118" t="s">
        <v>8</v>
      </c>
      <c r="P4" s="118"/>
      <c r="Q4" s="118" t="s">
        <v>11</v>
      </c>
      <c r="R4" s="146" t="s">
        <v>1642</v>
      </c>
      <c r="S4" s="118"/>
      <c r="T4" s="118"/>
      <c r="U4" s="118"/>
      <c r="V4" s="118"/>
      <c r="W4" s="118"/>
      <c r="X4" s="118"/>
      <c r="Y4" s="118"/>
      <c r="Z4" s="118"/>
      <c r="AA4" s="118"/>
      <c r="AB4" s="118"/>
    </row>
    <row r="5" spans="1:28" ht="23.25" customHeight="1" x14ac:dyDescent="0.25">
      <c r="A5" s="118"/>
      <c r="B5" s="118"/>
      <c r="C5" s="118"/>
      <c r="D5" s="118"/>
      <c r="E5" s="118"/>
      <c r="F5" s="118"/>
      <c r="G5" s="25">
        <v>10499</v>
      </c>
      <c r="H5" s="118"/>
      <c r="I5" s="118"/>
      <c r="J5" s="118"/>
      <c r="K5" s="119" t="s">
        <v>688</v>
      </c>
      <c r="L5" s="118"/>
      <c r="M5" s="118"/>
      <c r="N5" s="46">
        <v>4</v>
      </c>
      <c r="O5" s="118" t="s">
        <v>8</v>
      </c>
      <c r="P5" s="118"/>
      <c r="Q5" s="118" t="s">
        <v>11</v>
      </c>
      <c r="R5" s="146" t="s">
        <v>1642</v>
      </c>
      <c r="S5" s="118"/>
      <c r="T5" s="118"/>
      <c r="U5" s="118"/>
      <c r="V5" s="118"/>
      <c r="W5" s="118"/>
      <c r="X5" s="118"/>
      <c r="Y5" s="118"/>
      <c r="Z5" s="118"/>
      <c r="AA5" s="118"/>
      <c r="AB5" s="118"/>
    </row>
    <row r="6" spans="1:28" ht="23.25" customHeight="1" x14ac:dyDescent="0.25">
      <c r="A6" s="118"/>
      <c r="B6" s="118"/>
      <c r="C6" s="118"/>
      <c r="D6" s="118"/>
      <c r="E6" s="118"/>
      <c r="F6" s="118"/>
      <c r="G6" s="25">
        <v>10500</v>
      </c>
      <c r="H6" s="118"/>
      <c r="I6" s="118"/>
      <c r="J6" s="118"/>
      <c r="K6" s="119" t="s">
        <v>689</v>
      </c>
      <c r="L6" s="118"/>
      <c r="M6" s="118"/>
      <c r="N6" s="46">
        <v>5</v>
      </c>
      <c r="O6" s="118" t="s">
        <v>8</v>
      </c>
      <c r="P6" s="118"/>
      <c r="Q6" s="118" t="s">
        <v>11</v>
      </c>
      <c r="R6" s="146" t="s">
        <v>1642</v>
      </c>
      <c r="S6" s="118"/>
      <c r="T6" s="118"/>
      <c r="U6" s="118"/>
      <c r="V6" s="118"/>
      <c r="W6" s="118"/>
      <c r="X6" s="118"/>
      <c r="Y6" s="118"/>
      <c r="Z6" s="118"/>
      <c r="AA6" s="118"/>
      <c r="AB6" s="118"/>
    </row>
    <row r="7" spans="1:28" ht="23.25" customHeight="1" x14ac:dyDescent="0.25">
      <c r="A7" s="118"/>
      <c r="B7" s="118"/>
      <c r="C7" s="118"/>
      <c r="D7" s="118"/>
      <c r="E7" s="118"/>
      <c r="F7" s="118"/>
      <c r="G7" s="25">
        <v>10501</v>
      </c>
      <c r="H7" s="118"/>
      <c r="I7" s="118"/>
      <c r="J7" s="118"/>
      <c r="K7" s="119" t="s">
        <v>690</v>
      </c>
      <c r="L7" s="118"/>
      <c r="M7" s="118"/>
      <c r="N7" s="46">
        <v>6</v>
      </c>
      <c r="O7" s="118" t="s">
        <v>8</v>
      </c>
      <c r="P7" s="118"/>
      <c r="Q7" s="118" t="s">
        <v>11</v>
      </c>
      <c r="R7" s="146" t="s">
        <v>1642</v>
      </c>
      <c r="S7" s="118"/>
      <c r="T7" s="118"/>
      <c r="U7" s="118"/>
      <c r="V7" s="118"/>
      <c r="W7" s="118"/>
      <c r="X7" s="118"/>
      <c r="Y7" s="118"/>
      <c r="Z7" s="118"/>
      <c r="AA7" s="118"/>
      <c r="AB7" s="118"/>
    </row>
    <row r="8" spans="1:28" ht="23.25" customHeight="1" x14ac:dyDescent="0.25">
      <c r="A8" s="118"/>
      <c r="B8" s="118"/>
      <c r="C8" s="118"/>
      <c r="D8" s="118"/>
      <c r="E8" s="118"/>
      <c r="F8" s="118"/>
      <c r="G8" s="25">
        <v>10502</v>
      </c>
      <c r="H8" s="118"/>
      <c r="I8" s="118"/>
      <c r="J8" s="118"/>
      <c r="K8" s="119" t="s">
        <v>691</v>
      </c>
      <c r="L8" s="118"/>
      <c r="M8" s="118"/>
      <c r="N8" s="46">
        <v>7</v>
      </c>
      <c r="O8" s="118" t="s">
        <v>8</v>
      </c>
      <c r="P8" s="118"/>
      <c r="Q8" s="118" t="s">
        <v>11</v>
      </c>
      <c r="R8" s="146" t="s">
        <v>1642</v>
      </c>
      <c r="S8" s="118"/>
      <c r="T8" s="118"/>
      <c r="U8" s="118"/>
      <c r="V8" s="118"/>
      <c r="W8" s="118"/>
      <c r="X8" s="118"/>
      <c r="Y8" s="118"/>
      <c r="Z8" s="118"/>
      <c r="AA8" s="118"/>
      <c r="AB8" s="118"/>
    </row>
    <row r="9" spans="1:28" ht="23.25" customHeight="1" x14ac:dyDescent="0.25">
      <c r="A9" s="118"/>
      <c r="B9" s="118"/>
      <c r="C9" s="118"/>
      <c r="D9" s="118"/>
      <c r="E9" s="118"/>
      <c r="F9" s="118"/>
      <c r="G9" s="25">
        <v>10503</v>
      </c>
      <c r="H9" s="118"/>
      <c r="I9" s="118"/>
      <c r="J9" s="118"/>
      <c r="K9" s="119" t="s">
        <v>692</v>
      </c>
      <c r="L9" s="118"/>
      <c r="M9" s="118"/>
      <c r="N9" s="46">
        <v>8</v>
      </c>
      <c r="O9" s="118" t="s">
        <v>8</v>
      </c>
      <c r="P9" s="118"/>
      <c r="Q9" s="118" t="s">
        <v>11</v>
      </c>
      <c r="R9" s="146" t="s">
        <v>1642</v>
      </c>
      <c r="S9" s="118"/>
      <c r="T9" s="118"/>
      <c r="U9" s="118"/>
      <c r="V9" s="118"/>
      <c r="W9" s="118"/>
      <c r="X9" s="118"/>
      <c r="Y9" s="118"/>
      <c r="Z9" s="118"/>
      <c r="AA9" s="118"/>
      <c r="AB9" s="118"/>
    </row>
    <row r="10" spans="1:28" ht="23.25" customHeight="1" x14ac:dyDescent="0.25">
      <c r="A10" s="118"/>
      <c r="B10" s="118"/>
      <c r="C10" s="118"/>
      <c r="D10" s="118"/>
      <c r="E10" s="118"/>
      <c r="F10" s="118"/>
      <c r="G10" s="25">
        <v>10504</v>
      </c>
      <c r="H10" s="118"/>
      <c r="I10" s="118"/>
      <c r="J10" s="118"/>
      <c r="K10" s="119" t="s">
        <v>693</v>
      </c>
      <c r="L10" s="118"/>
      <c r="M10" s="118"/>
      <c r="N10" s="46">
        <v>9</v>
      </c>
      <c r="O10" s="118" t="s">
        <v>8</v>
      </c>
      <c r="P10" s="118"/>
      <c r="Q10" s="118" t="s">
        <v>11</v>
      </c>
      <c r="R10" s="146" t="s">
        <v>1642</v>
      </c>
      <c r="S10" s="118"/>
      <c r="T10" s="118"/>
      <c r="U10" s="118"/>
      <c r="V10" s="118"/>
      <c r="W10" s="118"/>
      <c r="X10" s="118"/>
      <c r="Y10" s="118"/>
      <c r="Z10" s="118"/>
      <c r="AA10" s="118"/>
      <c r="AB10" s="118"/>
    </row>
    <row r="11" spans="1:28" ht="23.25" customHeight="1" x14ac:dyDescent="0.25">
      <c r="A11" s="118"/>
      <c r="B11" s="118"/>
      <c r="C11" s="118"/>
      <c r="D11" s="118"/>
      <c r="E11" s="118"/>
      <c r="F11" s="118"/>
      <c r="G11" s="25">
        <v>10505</v>
      </c>
      <c r="H11" s="118"/>
      <c r="I11" s="118"/>
      <c r="J11" s="118"/>
      <c r="K11" s="119" t="s">
        <v>694</v>
      </c>
      <c r="L11" s="118"/>
      <c r="M11" s="118"/>
      <c r="N11" s="46">
        <v>10</v>
      </c>
      <c r="O11" s="118" t="s">
        <v>8</v>
      </c>
      <c r="P11" s="118"/>
      <c r="Q11" s="118" t="s">
        <v>11</v>
      </c>
      <c r="R11" s="146" t="s">
        <v>1642</v>
      </c>
      <c r="S11" s="118"/>
      <c r="T11" s="118"/>
      <c r="U11" s="118"/>
      <c r="V11" s="118"/>
      <c r="W11" s="118"/>
      <c r="X11" s="118"/>
      <c r="Y11" s="118"/>
      <c r="Z11" s="118"/>
      <c r="AA11" s="118"/>
      <c r="AB11" s="118"/>
    </row>
    <row r="12" spans="1:28" ht="23.25" customHeight="1" x14ac:dyDescent="0.25">
      <c r="A12" s="118"/>
      <c r="B12" s="118"/>
      <c r="C12" s="118"/>
      <c r="D12" s="118"/>
      <c r="E12" s="118"/>
      <c r="F12" s="118"/>
      <c r="G12" s="25">
        <v>10506</v>
      </c>
      <c r="H12" s="118"/>
      <c r="I12" s="118"/>
      <c r="J12" s="118"/>
      <c r="K12" s="119" t="s">
        <v>695</v>
      </c>
      <c r="L12" s="118"/>
      <c r="M12" s="118"/>
      <c r="N12" s="46">
        <v>11</v>
      </c>
      <c r="O12" s="118" t="s">
        <v>8</v>
      </c>
      <c r="P12" s="118"/>
      <c r="Q12" s="118" t="s">
        <v>11</v>
      </c>
      <c r="R12" s="146" t="s">
        <v>1642</v>
      </c>
      <c r="S12" s="118"/>
      <c r="T12" s="118"/>
      <c r="U12" s="118"/>
      <c r="V12" s="118"/>
      <c r="W12" s="118"/>
      <c r="X12" s="118"/>
      <c r="Y12" s="118"/>
      <c r="Z12" s="118"/>
      <c r="AA12" s="118"/>
      <c r="AB12" s="118"/>
    </row>
    <row r="13" spans="1:28" ht="23.25" customHeight="1" x14ac:dyDescent="0.25">
      <c r="A13" s="118"/>
      <c r="B13" s="118"/>
      <c r="C13" s="118"/>
      <c r="D13" s="118"/>
      <c r="E13" s="118"/>
      <c r="F13" s="118"/>
      <c r="G13" s="25">
        <v>10507</v>
      </c>
      <c r="H13" s="118"/>
      <c r="I13" s="118"/>
      <c r="J13" s="118"/>
      <c r="K13" s="119" t="s">
        <v>696</v>
      </c>
      <c r="L13" s="118"/>
      <c r="M13" s="118"/>
      <c r="N13" s="46">
        <v>12</v>
      </c>
      <c r="O13" s="118" t="s">
        <v>8</v>
      </c>
      <c r="P13" s="118"/>
      <c r="Q13" s="118" t="s">
        <v>11</v>
      </c>
      <c r="R13" s="146" t="s">
        <v>1642</v>
      </c>
      <c r="S13" s="118"/>
      <c r="T13" s="118"/>
      <c r="U13" s="118"/>
      <c r="V13" s="118"/>
      <c r="W13" s="118"/>
      <c r="X13" s="118"/>
      <c r="Y13" s="118"/>
      <c r="Z13" s="118"/>
      <c r="AA13" s="118"/>
      <c r="AB13" s="118"/>
    </row>
    <row r="14" spans="1:28" ht="23.25" customHeight="1" x14ac:dyDescent="0.25">
      <c r="A14" s="118"/>
      <c r="B14" s="118"/>
      <c r="C14" s="118"/>
      <c r="D14" s="118"/>
      <c r="E14" s="118"/>
      <c r="F14" s="118"/>
      <c r="G14" s="25">
        <v>10508</v>
      </c>
      <c r="H14" s="118"/>
      <c r="I14" s="118"/>
      <c r="J14" s="118"/>
      <c r="K14" s="119" t="s">
        <v>697</v>
      </c>
      <c r="L14" s="118"/>
      <c r="M14" s="118"/>
      <c r="N14" s="46">
        <v>13</v>
      </c>
      <c r="O14" s="118" t="s">
        <v>8</v>
      </c>
      <c r="P14" s="118"/>
      <c r="Q14" s="118" t="s">
        <v>11</v>
      </c>
      <c r="R14" s="146" t="s">
        <v>1642</v>
      </c>
      <c r="S14" s="118"/>
      <c r="T14" s="118"/>
      <c r="U14" s="118"/>
      <c r="V14" s="118"/>
      <c r="W14" s="118"/>
      <c r="X14" s="118"/>
      <c r="Y14" s="118"/>
      <c r="Z14" s="118"/>
      <c r="AA14" s="118"/>
      <c r="AB14" s="118"/>
    </row>
    <row r="15" spans="1:28" ht="23.25" customHeight="1" x14ac:dyDescent="0.25">
      <c r="A15" s="118">
        <v>240</v>
      </c>
      <c r="B15" s="118" t="s">
        <v>1053</v>
      </c>
      <c r="C15" s="67">
        <v>45846.596145833333</v>
      </c>
      <c r="D15" s="118" t="s">
        <v>1046</v>
      </c>
      <c r="E15" s="67">
        <v>45846.596145833333</v>
      </c>
      <c r="F15" s="118" t="s">
        <v>1046</v>
      </c>
      <c r="G15" s="25">
        <v>10509</v>
      </c>
      <c r="H15" s="118"/>
      <c r="I15" s="118"/>
      <c r="J15" s="118"/>
      <c r="K15" s="120" t="s">
        <v>698</v>
      </c>
      <c r="L15" s="67">
        <v>45846.666666666664</v>
      </c>
      <c r="M15" s="145">
        <v>0.41458333333333336</v>
      </c>
      <c r="N15" s="118">
        <v>1</v>
      </c>
      <c r="O15" s="118" t="s">
        <v>8</v>
      </c>
      <c r="P15" s="118"/>
      <c r="Q15" s="118" t="s">
        <v>682</v>
      </c>
      <c r="R15" s="146" t="s">
        <v>1054</v>
      </c>
      <c r="S15" s="146">
        <v>0.9</v>
      </c>
      <c r="T15" s="118" t="s">
        <v>698</v>
      </c>
      <c r="U15" s="118" t="s">
        <v>698</v>
      </c>
      <c r="V15" s="146" t="s">
        <v>1055</v>
      </c>
      <c r="W15" s="146" t="s">
        <v>1056</v>
      </c>
      <c r="X15" s="146" t="s">
        <v>1057</v>
      </c>
      <c r="Y15" s="146" t="s">
        <v>1587</v>
      </c>
      <c r="Z15" s="118" t="s">
        <v>1058</v>
      </c>
      <c r="AA15" s="118">
        <v>-87.073747451137294</v>
      </c>
      <c r="AB15" s="118">
        <v>39.748964044951101</v>
      </c>
    </row>
    <row r="16" spans="1:28" ht="23.25" customHeight="1" x14ac:dyDescent="0.25">
      <c r="A16" s="118">
        <v>241</v>
      </c>
      <c r="B16" s="118" t="s">
        <v>1059</v>
      </c>
      <c r="C16" s="67">
        <v>45846.613506944443</v>
      </c>
      <c r="D16" s="118" t="s">
        <v>1046</v>
      </c>
      <c r="E16" s="67">
        <v>45846.613506944443</v>
      </c>
      <c r="F16" s="118" t="s">
        <v>1046</v>
      </c>
      <c r="G16" s="25">
        <v>10510</v>
      </c>
      <c r="H16" s="118"/>
      <c r="I16" s="118"/>
      <c r="J16" s="118"/>
      <c r="K16" s="120" t="s">
        <v>699</v>
      </c>
      <c r="L16" s="67">
        <v>45846.666666666664</v>
      </c>
      <c r="M16" s="145">
        <v>0.43958333333333333</v>
      </c>
      <c r="N16" s="118">
        <v>2</v>
      </c>
      <c r="O16" s="118" t="s">
        <v>8</v>
      </c>
      <c r="P16" s="118"/>
      <c r="Q16" s="118" t="s">
        <v>682</v>
      </c>
      <c r="R16" s="118" t="s">
        <v>1060</v>
      </c>
      <c r="S16" s="118">
        <v>0.75</v>
      </c>
      <c r="T16" s="118" t="s">
        <v>699</v>
      </c>
      <c r="U16" s="118" t="s">
        <v>699</v>
      </c>
      <c r="V16" s="146" t="s">
        <v>1061</v>
      </c>
      <c r="W16" s="146" t="s">
        <v>1062</v>
      </c>
      <c r="X16" s="146" t="s">
        <v>1063</v>
      </c>
      <c r="Y16" s="146" t="s">
        <v>1588</v>
      </c>
      <c r="Z16" s="118" t="s">
        <v>1064</v>
      </c>
      <c r="AA16" s="118">
        <v>-87.056769790645305</v>
      </c>
      <c r="AB16" s="118">
        <v>39.755295243048103</v>
      </c>
    </row>
    <row r="17" spans="1:28" ht="23.25" customHeight="1" x14ac:dyDescent="0.25">
      <c r="A17" s="118">
        <v>242</v>
      </c>
      <c r="B17" s="118" t="s">
        <v>1065</v>
      </c>
      <c r="C17" s="67">
        <v>45846.639560185184</v>
      </c>
      <c r="D17" s="118" t="s">
        <v>1046</v>
      </c>
      <c r="E17" s="67">
        <v>45846.639560185184</v>
      </c>
      <c r="F17" s="118" t="s">
        <v>1046</v>
      </c>
      <c r="G17" s="25">
        <v>10511</v>
      </c>
      <c r="H17" s="118"/>
      <c r="I17" s="118"/>
      <c r="J17" s="118"/>
      <c r="K17" s="120" t="s">
        <v>700</v>
      </c>
      <c r="L17" s="67">
        <v>45846.666666666664</v>
      </c>
      <c r="M17" s="145">
        <v>0.46319444444444446</v>
      </c>
      <c r="N17" s="118">
        <v>3</v>
      </c>
      <c r="O17" s="118" t="s">
        <v>8</v>
      </c>
      <c r="P17" s="118"/>
      <c r="Q17" s="118" t="s">
        <v>682</v>
      </c>
      <c r="R17" s="146" t="s">
        <v>1066</v>
      </c>
      <c r="S17" s="146">
        <v>0.75</v>
      </c>
      <c r="T17" s="118" t="s">
        <v>700</v>
      </c>
      <c r="U17" s="118" t="s">
        <v>700</v>
      </c>
      <c r="V17" s="146" t="s">
        <v>1067</v>
      </c>
      <c r="W17" s="146" t="s">
        <v>1068</v>
      </c>
      <c r="X17" s="146" t="s">
        <v>1069</v>
      </c>
      <c r="Y17" s="146" t="s">
        <v>1589</v>
      </c>
      <c r="Z17" s="118" t="s">
        <v>1070</v>
      </c>
      <c r="AA17" s="118">
        <v>-87.070605276533499</v>
      </c>
      <c r="AB17" s="118">
        <v>39.720774291742501</v>
      </c>
    </row>
    <row r="18" spans="1:28" ht="23.25" customHeight="1" x14ac:dyDescent="0.25">
      <c r="A18" s="118">
        <v>243</v>
      </c>
      <c r="B18" s="118" t="s">
        <v>1071</v>
      </c>
      <c r="C18" s="67">
        <v>45846.666435185187</v>
      </c>
      <c r="D18" s="118" t="s">
        <v>1046</v>
      </c>
      <c r="E18" s="67">
        <v>45846.666435185187</v>
      </c>
      <c r="F18" s="118" t="s">
        <v>1046</v>
      </c>
      <c r="G18" s="25">
        <v>10512</v>
      </c>
      <c r="H18" s="118"/>
      <c r="I18" s="118"/>
      <c r="J18" s="118"/>
      <c r="K18" s="120" t="s">
        <v>701</v>
      </c>
      <c r="L18" s="67">
        <v>45846.666666666664</v>
      </c>
      <c r="M18" s="145">
        <v>0.49027777777777776</v>
      </c>
      <c r="N18" s="118">
        <v>4</v>
      </c>
      <c r="O18" s="118" t="s">
        <v>8</v>
      </c>
      <c r="P18" s="118"/>
      <c r="Q18" s="118" t="s">
        <v>682</v>
      </c>
      <c r="R18" s="146" t="s">
        <v>1072</v>
      </c>
      <c r="S18" s="146">
        <v>0.75</v>
      </c>
      <c r="T18" s="118" t="s">
        <v>701</v>
      </c>
      <c r="U18" s="118" t="s">
        <v>701</v>
      </c>
      <c r="V18" s="146" t="s">
        <v>1073</v>
      </c>
      <c r="W18" s="146" t="s">
        <v>1074</v>
      </c>
      <c r="X18" s="146" t="s">
        <v>1075</v>
      </c>
      <c r="Y18" s="146" t="s">
        <v>1590</v>
      </c>
      <c r="Z18" s="118" t="s">
        <v>1076</v>
      </c>
      <c r="AA18" s="118">
        <v>-87.083459599274306</v>
      </c>
      <c r="AB18" s="118">
        <v>39.737724990630802</v>
      </c>
    </row>
    <row r="19" spans="1:28" ht="23.25" customHeight="1" x14ac:dyDescent="0.25">
      <c r="A19" s="118">
        <v>244</v>
      </c>
      <c r="B19" s="118" t="s">
        <v>1077</v>
      </c>
      <c r="C19" s="67">
        <v>45846.692303240743</v>
      </c>
      <c r="D19" s="118" t="s">
        <v>1046</v>
      </c>
      <c r="E19" s="67">
        <v>45846.692303240743</v>
      </c>
      <c r="F19" s="118" t="s">
        <v>1046</v>
      </c>
      <c r="G19" s="25">
        <v>10513</v>
      </c>
      <c r="H19" s="118"/>
      <c r="I19" s="118"/>
      <c r="J19" s="118"/>
      <c r="K19" s="120" t="s">
        <v>702</v>
      </c>
      <c r="L19" s="67">
        <v>45846.666666666664</v>
      </c>
      <c r="M19" s="145">
        <v>0.51180555555555551</v>
      </c>
      <c r="N19" s="118">
        <v>5</v>
      </c>
      <c r="O19" s="118" t="s">
        <v>8</v>
      </c>
      <c r="P19" s="118"/>
      <c r="Q19" s="118" t="s">
        <v>682</v>
      </c>
      <c r="R19" s="146" t="s">
        <v>1078</v>
      </c>
      <c r="S19" s="146">
        <v>0.6</v>
      </c>
      <c r="T19" s="118" t="s">
        <v>702</v>
      </c>
      <c r="U19" s="118" t="s">
        <v>702</v>
      </c>
      <c r="V19" s="146" t="s">
        <v>1079</v>
      </c>
      <c r="W19" s="146" t="s">
        <v>1080</v>
      </c>
      <c r="X19" s="146" t="s">
        <v>1081</v>
      </c>
      <c r="Y19" s="146" t="s">
        <v>1591</v>
      </c>
      <c r="Z19" s="118" t="s">
        <v>1082</v>
      </c>
      <c r="AA19" s="118">
        <v>-87.065876971214905</v>
      </c>
      <c r="AB19" s="118">
        <v>39.732573472263702</v>
      </c>
    </row>
    <row r="20" spans="1:28" ht="23.25" customHeight="1" x14ac:dyDescent="0.25">
      <c r="A20" s="118">
        <v>245</v>
      </c>
      <c r="B20" s="118" t="s">
        <v>1083</v>
      </c>
      <c r="C20" s="67">
        <v>45846.708356481482</v>
      </c>
      <c r="D20" s="118" t="s">
        <v>1046</v>
      </c>
      <c r="E20" s="67">
        <v>45846.708356481482</v>
      </c>
      <c r="F20" s="118" t="s">
        <v>1046</v>
      </c>
      <c r="G20" s="25">
        <v>10514</v>
      </c>
      <c r="H20" s="118"/>
      <c r="I20" s="118"/>
      <c r="J20" s="118"/>
      <c r="K20" s="120" t="s">
        <v>703</v>
      </c>
      <c r="L20" s="67">
        <v>45846.666666666664</v>
      </c>
      <c r="M20" s="145">
        <v>0.53541666666666665</v>
      </c>
      <c r="N20" s="118">
        <v>6</v>
      </c>
      <c r="O20" s="118" t="s">
        <v>8</v>
      </c>
      <c r="P20" s="118"/>
      <c r="Q20" s="118" t="s">
        <v>682</v>
      </c>
      <c r="R20" s="146" t="s">
        <v>1084</v>
      </c>
      <c r="S20" s="146">
        <v>0.7</v>
      </c>
      <c r="T20" s="118" t="s">
        <v>703</v>
      </c>
      <c r="U20" s="118" t="s">
        <v>703</v>
      </c>
      <c r="V20" s="146" t="s">
        <v>1085</v>
      </c>
      <c r="W20" s="146" t="s">
        <v>1086</v>
      </c>
      <c r="X20" s="146" t="s">
        <v>1087</v>
      </c>
      <c r="Y20" s="146" t="s">
        <v>1592</v>
      </c>
      <c r="Z20" s="118" t="s">
        <v>1088</v>
      </c>
      <c r="AA20" s="118">
        <v>-87.0670318179004</v>
      </c>
      <c r="AB20" s="118">
        <v>39.7455718413526</v>
      </c>
    </row>
    <row r="21" spans="1:28" ht="23.25" customHeight="1" x14ac:dyDescent="0.25">
      <c r="A21" s="118">
        <v>254</v>
      </c>
      <c r="B21" s="118" t="s">
        <v>1137</v>
      </c>
      <c r="C21" s="67">
        <v>45852.694745370369</v>
      </c>
      <c r="D21" s="118" t="s">
        <v>1046</v>
      </c>
      <c r="E21" s="67">
        <v>45852.694745370369</v>
      </c>
      <c r="F21" s="118" t="s">
        <v>1046</v>
      </c>
      <c r="G21" s="25">
        <v>10515</v>
      </c>
      <c r="H21" s="118"/>
      <c r="I21" s="118"/>
      <c r="J21" s="118"/>
      <c r="K21" s="121" t="s">
        <v>704</v>
      </c>
      <c r="L21" s="67">
        <v>45852.666666666664</v>
      </c>
      <c r="M21" s="145">
        <v>0.51249999999999996</v>
      </c>
      <c r="N21" s="118">
        <v>5</v>
      </c>
      <c r="O21" s="118" t="s">
        <v>8</v>
      </c>
      <c r="P21" s="118"/>
      <c r="Q21" s="118" t="s">
        <v>683</v>
      </c>
      <c r="R21" s="146" t="s">
        <v>1138</v>
      </c>
      <c r="S21" s="146">
        <v>0.6</v>
      </c>
      <c r="T21" s="118" t="s">
        <v>704</v>
      </c>
      <c r="U21" s="118" t="s">
        <v>704</v>
      </c>
      <c r="V21" s="146" t="s">
        <v>1139</v>
      </c>
      <c r="W21" s="146" t="s">
        <v>1140</v>
      </c>
      <c r="X21" s="146" t="s">
        <v>1141</v>
      </c>
      <c r="Y21" s="146" t="s">
        <v>1598</v>
      </c>
      <c r="Z21" s="118" t="s">
        <v>1142</v>
      </c>
      <c r="AA21" s="118">
        <v>-86.795928657788707</v>
      </c>
      <c r="AB21" s="118">
        <v>40.8238714359764</v>
      </c>
    </row>
    <row r="22" spans="1:28" ht="23.25" customHeight="1" x14ac:dyDescent="0.25">
      <c r="A22" s="118">
        <v>253</v>
      </c>
      <c r="B22" s="118" t="s">
        <v>1131</v>
      </c>
      <c r="C22" s="67">
        <v>45852.694675925923</v>
      </c>
      <c r="D22" s="118" t="s">
        <v>1046</v>
      </c>
      <c r="E22" s="67">
        <v>45852.694675925923</v>
      </c>
      <c r="F22" s="118" t="s">
        <v>1046</v>
      </c>
      <c r="G22" s="25">
        <v>10516</v>
      </c>
      <c r="H22" s="118"/>
      <c r="I22" s="118"/>
      <c r="J22" s="118"/>
      <c r="K22" s="121" t="s">
        <v>705</v>
      </c>
      <c r="L22" s="67">
        <v>45852.666666666664</v>
      </c>
      <c r="M22" s="145">
        <v>0.49583333333333335</v>
      </c>
      <c r="N22" s="118">
        <v>6</v>
      </c>
      <c r="O22" s="118" t="s">
        <v>8</v>
      </c>
      <c r="P22" s="118"/>
      <c r="Q22" s="118" t="s">
        <v>683</v>
      </c>
      <c r="R22" s="146" t="s">
        <v>1132</v>
      </c>
      <c r="S22" s="146">
        <v>0.2</v>
      </c>
      <c r="T22" s="118" t="s">
        <v>705</v>
      </c>
      <c r="U22" s="118" t="s">
        <v>705</v>
      </c>
      <c r="V22" s="146" t="s">
        <v>1133</v>
      </c>
      <c r="W22" s="146" t="s">
        <v>1134</v>
      </c>
      <c r="X22" s="146" t="s">
        <v>1135</v>
      </c>
      <c r="Y22" s="146" t="s">
        <v>1595</v>
      </c>
      <c r="Z22" s="118" t="s">
        <v>1136</v>
      </c>
      <c r="AA22" s="118">
        <v>-86.781824032977497</v>
      </c>
      <c r="AB22" s="118">
        <v>40.835002728246103</v>
      </c>
    </row>
    <row r="23" spans="1:28" ht="23.25" customHeight="1" x14ac:dyDescent="0.25">
      <c r="A23" s="118">
        <v>252</v>
      </c>
      <c r="B23" s="118" t="s">
        <v>1125</v>
      </c>
      <c r="C23" s="67">
        <v>45852.649976851855</v>
      </c>
      <c r="D23" s="118" t="s">
        <v>1046</v>
      </c>
      <c r="E23" s="67">
        <v>45852.649976851855</v>
      </c>
      <c r="F23" s="118" t="s">
        <v>1046</v>
      </c>
      <c r="G23" s="25">
        <v>10517</v>
      </c>
      <c r="H23" s="118"/>
      <c r="I23" s="118"/>
      <c r="J23" s="118"/>
      <c r="K23" s="121" t="s">
        <v>706</v>
      </c>
      <c r="L23" s="67">
        <v>45852.666666666664</v>
      </c>
      <c r="M23" s="145">
        <v>0.47638888888888886</v>
      </c>
      <c r="N23" s="118">
        <v>8</v>
      </c>
      <c r="O23" s="118" t="s">
        <v>8</v>
      </c>
      <c r="P23" s="118"/>
      <c r="Q23" s="118" t="s">
        <v>683</v>
      </c>
      <c r="R23" s="146" t="s">
        <v>1126</v>
      </c>
      <c r="S23" s="146">
        <v>0.3</v>
      </c>
      <c r="T23" s="118" t="s">
        <v>706</v>
      </c>
      <c r="U23" s="118" t="s">
        <v>706</v>
      </c>
      <c r="V23" s="146" t="s">
        <v>1127</v>
      </c>
      <c r="W23" s="146" t="s">
        <v>1128</v>
      </c>
      <c r="X23" s="146" t="s">
        <v>1129</v>
      </c>
      <c r="Y23" s="146" t="s">
        <v>1594</v>
      </c>
      <c r="Z23" s="118" t="s">
        <v>1130</v>
      </c>
      <c r="AA23" s="118">
        <v>-86.794320949388805</v>
      </c>
      <c r="AB23" s="118">
        <v>40.811155293176199</v>
      </c>
    </row>
    <row r="24" spans="1:28" ht="23.25" customHeight="1" x14ac:dyDescent="0.25">
      <c r="A24" s="118">
        <v>250</v>
      </c>
      <c r="B24" s="118" t="s">
        <v>1113</v>
      </c>
      <c r="C24" s="67">
        <v>45852.625405092593</v>
      </c>
      <c r="D24" s="118" t="s">
        <v>1046</v>
      </c>
      <c r="E24" s="67">
        <v>45852.625405092593</v>
      </c>
      <c r="F24" s="118" t="s">
        <v>1046</v>
      </c>
      <c r="G24" s="25">
        <v>10518</v>
      </c>
      <c r="H24" s="118"/>
      <c r="I24" s="118"/>
      <c r="J24" s="118"/>
      <c r="K24" s="121" t="s">
        <v>707</v>
      </c>
      <c r="L24" s="67">
        <v>45852.666666666664</v>
      </c>
      <c r="M24" s="145">
        <v>0.44930555555555557</v>
      </c>
      <c r="N24" s="118">
        <v>9</v>
      </c>
      <c r="O24" s="118" t="s">
        <v>8</v>
      </c>
      <c r="P24" s="118"/>
      <c r="Q24" s="118" t="s">
        <v>683</v>
      </c>
      <c r="R24" s="146" t="s">
        <v>1114</v>
      </c>
      <c r="S24" s="146">
        <v>0.6</v>
      </c>
      <c r="T24" s="118" t="s">
        <v>707</v>
      </c>
      <c r="U24" s="118" t="s">
        <v>707</v>
      </c>
      <c r="V24" s="146" t="s">
        <v>1115</v>
      </c>
      <c r="W24" s="146" t="s">
        <v>1116</v>
      </c>
      <c r="X24" s="146" t="s">
        <v>1117</v>
      </c>
      <c r="Y24" s="146" t="s">
        <v>1597</v>
      </c>
      <c r="Z24" s="118" t="s">
        <v>1118</v>
      </c>
      <c r="AA24" s="118">
        <v>-86.774823876043101</v>
      </c>
      <c r="AB24" s="118">
        <v>40.804210980481102</v>
      </c>
    </row>
    <row r="25" spans="1:28" ht="23.25" customHeight="1" x14ac:dyDescent="0.25">
      <c r="A25" s="118">
        <v>248</v>
      </c>
      <c r="B25" s="118" t="s">
        <v>1101</v>
      </c>
      <c r="C25" s="67">
        <v>45852.598819444444</v>
      </c>
      <c r="D25" s="118" t="s">
        <v>1046</v>
      </c>
      <c r="E25" s="67">
        <v>45852.598819444444</v>
      </c>
      <c r="F25" s="118" t="s">
        <v>1046</v>
      </c>
      <c r="G25" s="25">
        <v>10519</v>
      </c>
      <c r="H25" s="118"/>
      <c r="I25" s="118"/>
      <c r="J25" s="118"/>
      <c r="K25" s="121" t="s">
        <v>708</v>
      </c>
      <c r="L25" s="67">
        <v>45852.666666666664</v>
      </c>
      <c r="M25" s="145">
        <v>0.42222222222222222</v>
      </c>
      <c r="N25" s="118">
        <v>10</v>
      </c>
      <c r="O25" s="118" t="s">
        <v>8</v>
      </c>
      <c r="P25" s="118"/>
      <c r="Q25" s="118" t="s">
        <v>683</v>
      </c>
      <c r="R25" s="146" t="s">
        <v>1102</v>
      </c>
      <c r="S25" s="146">
        <v>0.35</v>
      </c>
      <c r="T25" s="118" t="s">
        <v>708</v>
      </c>
      <c r="U25" s="118" t="s">
        <v>708</v>
      </c>
      <c r="V25" s="146" t="s">
        <v>1103</v>
      </c>
      <c r="W25" s="146" t="s">
        <v>1104</v>
      </c>
      <c r="X25" s="146" t="s">
        <v>1105</v>
      </c>
      <c r="Y25" s="146" t="s">
        <v>1595</v>
      </c>
      <c r="Z25" s="118" t="s">
        <v>1106</v>
      </c>
      <c r="AA25" s="118">
        <v>-86.774487164151097</v>
      </c>
      <c r="AB25" s="118">
        <v>40.794696088480897</v>
      </c>
    </row>
    <row r="26" spans="1:28" ht="23.25" customHeight="1" x14ac:dyDescent="0.25">
      <c r="A26" s="118">
        <v>246</v>
      </c>
      <c r="B26" s="118" t="s">
        <v>1089</v>
      </c>
      <c r="C26" s="67">
        <v>45852.568657407406</v>
      </c>
      <c r="D26" s="118" t="s">
        <v>1046</v>
      </c>
      <c r="E26" s="67">
        <v>45852.568657407406</v>
      </c>
      <c r="F26" s="118" t="s">
        <v>1046</v>
      </c>
      <c r="G26" s="25">
        <v>10520</v>
      </c>
      <c r="H26" s="118"/>
      <c r="I26" s="118"/>
      <c r="J26" s="118"/>
      <c r="K26" s="121" t="s">
        <v>709</v>
      </c>
      <c r="L26" s="67">
        <v>45852.666666666664</v>
      </c>
      <c r="M26" s="145">
        <v>0.38680555555555557</v>
      </c>
      <c r="N26" s="118">
        <v>11</v>
      </c>
      <c r="O26" s="118" t="s">
        <v>8</v>
      </c>
      <c r="P26" s="118"/>
      <c r="Q26" s="118" t="s">
        <v>683</v>
      </c>
      <c r="R26" s="146" t="s">
        <v>1090</v>
      </c>
      <c r="S26" s="146">
        <v>0.6</v>
      </c>
      <c r="T26" s="118" t="s">
        <v>709</v>
      </c>
      <c r="U26" s="118" t="s">
        <v>709</v>
      </c>
      <c r="V26" s="146" t="s">
        <v>1091</v>
      </c>
      <c r="W26" s="146" t="s">
        <v>1092</v>
      </c>
      <c r="X26" s="146" t="s">
        <v>1093</v>
      </c>
      <c r="Y26" s="146" t="s">
        <v>1593</v>
      </c>
      <c r="Z26" s="118" t="s">
        <v>1094</v>
      </c>
      <c r="AA26" s="118">
        <v>-86.772164345616005</v>
      </c>
      <c r="AB26" s="118">
        <v>40.788720926107999</v>
      </c>
    </row>
    <row r="27" spans="1:28" ht="23.25" customHeight="1" x14ac:dyDescent="0.25">
      <c r="A27" s="118">
        <v>247</v>
      </c>
      <c r="B27" s="118" t="s">
        <v>1095</v>
      </c>
      <c r="C27" s="67">
        <v>45852.583668981482</v>
      </c>
      <c r="D27" s="118" t="s">
        <v>1046</v>
      </c>
      <c r="E27" s="67">
        <v>45852.583668981482</v>
      </c>
      <c r="F27" s="118" t="s">
        <v>1046</v>
      </c>
      <c r="G27" s="25">
        <v>10521</v>
      </c>
      <c r="H27" s="118"/>
      <c r="I27" s="118"/>
      <c r="J27" s="118"/>
      <c r="K27" s="121" t="s">
        <v>710</v>
      </c>
      <c r="L27" s="67">
        <v>45852.666666666664</v>
      </c>
      <c r="M27" s="145">
        <v>0.40694444444444444</v>
      </c>
      <c r="N27" s="118">
        <v>12</v>
      </c>
      <c r="O27" s="118" t="s">
        <v>8</v>
      </c>
      <c r="P27" s="118"/>
      <c r="Q27" s="118" t="s">
        <v>683</v>
      </c>
      <c r="R27" s="146" t="s">
        <v>1096</v>
      </c>
      <c r="S27" s="146">
        <v>0.85</v>
      </c>
      <c r="T27" s="118" t="s">
        <v>710</v>
      </c>
      <c r="U27" s="118" t="s">
        <v>710</v>
      </c>
      <c r="V27" s="146" t="s">
        <v>1097</v>
      </c>
      <c r="W27" s="146" t="s">
        <v>1098</v>
      </c>
      <c r="X27" s="146" t="s">
        <v>1099</v>
      </c>
      <c r="Y27" s="146" t="s">
        <v>1594</v>
      </c>
      <c r="Z27" s="118" t="s">
        <v>1100</v>
      </c>
      <c r="AA27" s="118">
        <v>-86.762184549150206</v>
      </c>
      <c r="AB27" s="118">
        <v>40.782462602448099</v>
      </c>
    </row>
    <row r="28" spans="1:28" ht="23.25" customHeight="1" x14ac:dyDescent="0.25">
      <c r="A28" s="118">
        <v>251</v>
      </c>
      <c r="B28" s="118" t="s">
        <v>1119</v>
      </c>
      <c r="C28" s="67">
        <v>45852.639965277776</v>
      </c>
      <c r="D28" s="118" t="s">
        <v>1046</v>
      </c>
      <c r="E28" s="67">
        <v>45852.639965277776</v>
      </c>
      <c r="F28" s="118" t="s">
        <v>1046</v>
      </c>
      <c r="G28" s="25">
        <v>10522</v>
      </c>
      <c r="H28" s="118"/>
      <c r="I28" s="118"/>
      <c r="J28" s="118"/>
      <c r="K28" s="121" t="s">
        <v>711</v>
      </c>
      <c r="L28" s="67">
        <v>45852.666666666664</v>
      </c>
      <c r="M28" s="145">
        <v>0.46388888888888891</v>
      </c>
      <c r="N28" s="118">
        <v>14</v>
      </c>
      <c r="O28" s="118" t="s">
        <v>8</v>
      </c>
      <c r="P28" s="118"/>
      <c r="Q28" s="118" t="s">
        <v>683</v>
      </c>
      <c r="R28" s="146" t="s">
        <v>1120</v>
      </c>
      <c r="S28" s="146">
        <v>0.35</v>
      </c>
      <c r="T28" s="118" t="s">
        <v>711</v>
      </c>
      <c r="U28" s="118" t="s">
        <v>711</v>
      </c>
      <c r="V28" s="146" t="s">
        <v>1121</v>
      </c>
      <c r="W28" s="146" t="s">
        <v>1122</v>
      </c>
      <c r="X28" s="146" t="s">
        <v>1123</v>
      </c>
      <c r="Y28" s="146" t="s">
        <v>1595</v>
      </c>
      <c r="Z28" s="118" t="s">
        <v>1124</v>
      </c>
      <c r="AA28" s="118">
        <v>-86.785222646214706</v>
      </c>
      <c r="AB28" s="118">
        <v>40.807391854277199</v>
      </c>
    </row>
    <row r="29" spans="1:28" ht="23.25" customHeight="1" x14ac:dyDescent="0.25">
      <c r="A29" s="118">
        <v>249</v>
      </c>
      <c r="B29" s="118" t="s">
        <v>1107</v>
      </c>
      <c r="C29" s="67">
        <v>45852.610729166663</v>
      </c>
      <c r="D29" s="118" t="s">
        <v>1046</v>
      </c>
      <c r="E29" s="67">
        <v>45852.610729166663</v>
      </c>
      <c r="F29" s="118" t="s">
        <v>1046</v>
      </c>
      <c r="G29" s="25">
        <v>10523</v>
      </c>
      <c r="H29" s="118"/>
      <c r="I29" s="118"/>
      <c r="J29" s="118"/>
      <c r="K29" s="121" t="s">
        <v>712</v>
      </c>
      <c r="L29" s="67">
        <v>45852.666666666664</v>
      </c>
      <c r="M29" s="145">
        <v>0.43541666666666667</v>
      </c>
      <c r="N29" s="118">
        <v>15</v>
      </c>
      <c r="O29" s="118" t="s">
        <v>8</v>
      </c>
      <c r="P29" s="118"/>
      <c r="Q29" s="118" t="s">
        <v>683</v>
      </c>
      <c r="R29" s="146" t="s">
        <v>1108</v>
      </c>
      <c r="S29" s="146">
        <v>0.4</v>
      </c>
      <c r="T29" s="118" t="s">
        <v>712</v>
      </c>
      <c r="U29" s="118" t="s">
        <v>712</v>
      </c>
      <c r="V29" s="146" t="s">
        <v>1109</v>
      </c>
      <c r="W29" s="146" t="s">
        <v>1110</v>
      </c>
      <c r="X29" s="146" t="s">
        <v>1111</v>
      </c>
      <c r="Y29" s="146" t="s">
        <v>1596</v>
      </c>
      <c r="Z29" s="118" t="s">
        <v>1112</v>
      </c>
      <c r="AA29" s="118">
        <v>-86.777772490616897</v>
      </c>
      <c r="AB29" s="118">
        <v>40.799228284449498</v>
      </c>
    </row>
    <row r="30" spans="1:28" ht="23.25" customHeight="1" x14ac:dyDescent="0.25">
      <c r="A30" s="118">
        <v>261</v>
      </c>
      <c r="B30" s="118" t="s">
        <v>1178</v>
      </c>
      <c r="C30" s="67">
        <v>45867.735706018517</v>
      </c>
      <c r="D30" s="118" t="s">
        <v>1046</v>
      </c>
      <c r="E30" s="67">
        <v>45867.735706018517</v>
      </c>
      <c r="F30" s="118" t="s">
        <v>1046</v>
      </c>
      <c r="G30" s="25">
        <v>10524</v>
      </c>
      <c r="H30" s="118"/>
      <c r="I30" s="118"/>
      <c r="J30" s="118"/>
      <c r="K30" s="119" t="s">
        <v>713</v>
      </c>
      <c r="L30" s="67">
        <v>45867.666666666664</v>
      </c>
      <c r="M30" s="145">
        <v>0.55347222222222225</v>
      </c>
      <c r="N30" s="118">
        <v>1</v>
      </c>
      <c r="O30" s="118" t="s">
        <v>8</v>
      </c>
      <c r="P30" s="118"/>
      <c r="Q30" s="118" t="s">
        <v>11</v>
      </c>
      <c r="R30" s="146" t="s">
        <v>1179</v>
      </c>
      <c r="S30" s="146">
        <v>0.3</v>
      </c>
      <c r="T30" s="118" t="s">
        <v>713</v>
      </c>
      <c r="U30" s="118" t="s">
        <v>713</v>
      </c>
      <c r="V30" s="146" t="s">
        <v>1180</v>
      </c>
      <c r="W30" s="146" t="s">
        <v>1181</v>
      </c>
      <c r="X30" s="146" t="s">
        <v>1182</v>
      </c>
      <c r="Y30" s="146" t="s">
        <v>1603</v>
      </c>
      <c r="Z30" s="118" t="s">
        <v>1183</v>
      </c>
      <c r="AA30" s="118">
        <v>-85.888915352108796</v>
      </c>
      <c r="AB30" s="118">
        <v>40.681715443684197</v>
      </c>
    </row>
    <row r="31" spans="1:28" ht="23.25" customHeight="1" x14ac:dyDescent="0.25">
      <c r="A31" s="118">
        <v>262</v>
      </c>
      <c r="B31" s="118" t="s">
        <v>1184</v>
      </c>
      <c r="C31" s="67">
        <v>45867.747453703705</v>
      </c>
      <c r="D31" s="118" t="s">
        <v>1046</v>
      </c>
      <c r="E31" s="67">
        <v>45867.747453703705</v>
      </c>
      <c r="F31" s="118" t="s">
        <v>1046</v>
      </c>
      <c r="G31" s="25">
        <v>10525</v>
      </c>
      <c r="H31" s="118"/>
      <c r="I31" s="118"/>
      <c r="J31" s="118"/>
      <c r="K31" s="119" t="s">
        <v>714</v>
      </c>
      <c r="L31" s="67">
        <v>45867.666666666664</v>
      </c>
      <c r="M31" s="145">
        <v>0.5708333333333333</v>
      </c>
      <c r="N31" s="118">
        <v>2</v>
      </c>
      <c r="O31" s="118" t="s">
        <v>8</v>
      </c>
      <c r="P31" s="118"/>
      <c r="Q31" s="118" t="s">
        <v>11</v>
      </c>
      <c r="R31" s="146" t="s">
        <v>1185</v>
      </c>
      <c r="S31" s="146">
        <v>0.3</v>
      </c>
      <c r="T31" s="118" t="s">
        <v>714</v>
      </c>
      <c r="U31" s="118" t="s">
        <v>714</v>
      </c>
      <c r="V31" s="146" t="s">
        <v>1186</v>
      </c>
      <c r="W31" s="146" t="s">
        <v>1187</v>
      </c>
      <c r="X31" s="146" t="s">
        <v>1188</v>
      </c>
      <c r="Y31" s="146" t="s">
        <v>1604</v>
      </c>
      <c r="Z31" s="118" t="s">
        <v>1189</v>
      </c>
      <c r="AA31" s="118">
        <v>-85.877066673718403</v>
      </c>
      <c r="AB31" s="118">
        <v>40.676774653178398</v>
      </c>
    </row>
    <row r="32" spans="1:28" ht="23.25" customHeight="1" x14ac:dyDescent="0.25">
      <c r="A32" s="118">
        <v>263</v>
      </c>
      <c r="B32" s="118" t="s">
        <v>1190</v>
      </c>
      <c r="C32" s="67">
        <v>45867.756701388891</v>
      </c>
      <c r="D32" s="118" t="s">
        <v>1046</v>
      </c>
      <c r="E32" s="67">
        <v>45867.756701388891</v>
      </c>
      <c r="F32" s="118" t="s">
        <v>1046</v>
      </c>
      <c r="G32" s="25">
        <v>10526</v>
      </c>
      <c r="H32" s="118"/>
      <c r="I32" s="118"/>
      <c r="J32" s="118"/>
      <c r="K32" s="119" t="s">
        <v>715</v>
      </c>
      <c r="L32" s="67">
        <v>45867.666666666664</v>
      </c>
      <c r="M32" s="145">
        <v>0.5805555555555556</v>
      </c>
      <c r="N32" s="118">
        <v>3</v>
      </c>
      <c r="O32" s="118" t="s">
        <v>8</v>
      </c>
      <c r="P32" s="118"/>
      <c r="Q32" s="118" t="s">
        <v>11</v>
      </c>
      <c r="R32" s="146" t="s">
        <v>1191</v>
      </c>
      <c r="S32" s="146">
        <v>0.3</v>
      </c>
      <c r="T32" s="118" t="s">
        <v>715</v>
      </c>
      <c r="U32" s="118" t="s">
        <v>715</v>
      </c>
      <c r="V32" s="146" t="s">
        <v>1192</v>
      </c>
      <c r="W32" s="146" t="s">
        <v>1193</v>
      </c>
      <c r="X32" s="146" t="s">
        <v>1194</v>
      </c>
      <c r="Y32" s="146" t="s">
        <v>1605</v>
      </c>
      <c r="Z32" s="146" t="s">
        <v>1195</v>
      </c>
      <c r="AA32" s="118">
        <v>-85.870287047360407</v>
      </c>
      <c r="AB32" s="118">
        <v>40.670702906704399</v>
      </c>
    </row>
    <row r="33" spans="1:28" ht="23.25" customHeight="1" x14ac:dyDescent="0.25">
      <c r="A33" s="118">
        <v>264</v>
      </c>
      <c r="B33" s="118" t="s">
        <v>1196</v>
      </c>
      <c r="C33" s="67">
        <v>45867.771909722222</v>
      </c>
      <c r="D33" s="118" t="s">
        <v>1046</v>
      </c>
      <c r="E33" s="67">
        <v>45867.771909722222</v>
      </c>
      <c r="F33" s="118" t="s">
        <v>1046</v>
      </c>
      <c r="G33" s="25">
        <v>10527</v>
      </c>
      <c r="H33" s="118"/>
      <c r="I33" s="118"/>
      <c r="J33" s="118"/>
      <c r="K33" s="119" t="s">
        <v>716</v>
      </c>
      <c r="L33" s="67">
        <v>45867.666666666664</v>
      </c>
      <c r="M33" s="145">
        <v>0.59097222222222223</v>
      </c>
      <c r="N33" s="118">
        <v>4</v>
      </c>
      <c r="O33" s="118" t="s">
        <v>8</v>
      </c>
      <c r="P33" s="118"/>
      <c r="Q33" s="118" t="s">
        <v>11</v>
      </c>
      <c r="R33" s="146" t="s">
        <v>1197</v>
      </c>
      <c r="S33" s="146">
        <v>0.33</v>
      </c>
      <c r="T33" s="118" t="s">
        <v>716</v>
      </c>
      <c r="U33" s="118" t="s">
        <v>716</v>
      </c>
      <c r="V33" s="146" t="s">
        <v>1198</v>
      </c>
      <c r="W33" s="146" t="s">
        <v>1199</v>
      </c>
      <c r="X33" s="146" t="s">
        <v>1200</v>
      </c>
      <c r="Y33" s="146" t="s">
        <v>1606</v>
      </c>
      <c r="Z33" s="118" t="s">
        <v>1201</v>
      </c>
      <c r="AA33" s="118">
        <v>-85.866510261553501</v>
      </c>
      <c r="AB33" s="118">
        <v>40.663126048620001</v>
      </c>
    </row>
    <row r="34" spans="1:28" ht="23.25" customHeight="1" x14ac:dyDescent="0.25">
      <c r="A34" s="118">
        <v>265</v>
      </c>
      <c r="B34" s="118" t="s">
        <v>1202</v>
      </c>
      <c r="C34" s="67">
        <v>45867.787928240738</v>
      </c>
      <c r="D34" s="118" t="s">
        <v>1046</v>
      </c>
      <c r="E34" s="67">
        <v>45867.787928240738</v>
      </c>
      <c r="F34" s="118" t="s">
        <v>1046</v>
      </c>
      <c r="G34" s="25">
        <v>10528</v>
      </c>
      <c r="H34" s="118"/>
      <c r="I34" s="118"/>
      <c r="J34" s="118"/>
      <c r="K34" s="119" t="s">
        <v>717</v>
      </c>
      <c r="L34" s="67">
        <v>45867.666666666664</v>
      </c>
      <c r="M34" s="145">
        <v>0.60833333333333328</v>
      </c>
      <c r="N34" s="118">
        <v>5</v>
      </c>
      <c r="O34" s="118" t="s">
        <v>8</v>
      </c>
      <c r="P34" s="118"/>
      <c r="Q34" s="118" t="s">
        <v>11</v>
      </c>
      <c r="R34" s="146" t="s">
        <v>1203</v>
      </c>
      <c r="S34" s="146">
        <v>0.1</v>
      </c>
      <c r="T34" s="118" t="s">
        <v>717</v>
      </c>
      <c r="U34" s="118" t="s">
        <v>717</v>
      </c>
      <c r="V34" s="146" t="s">
        <v>1204</v>
      </c>
      <c r="W34" s="146" t="s">
        <v>1205</v>
      </c>
      <c r="X34" s="146" t="s">
        <v>1206</v>
      </c>
      <c r="Y34" s="146" t="s">
        <v>1607</v>
      </c>
      <c r="Z34" s="118" t="s">
        <v>1207</v>
      </c>
      <c r="AA34" s="118">
        <v>-85.847961188463302</v>
      </c>
      <c r="AB34" s="118">
        <v>40.668584132438902</v>
      </c>
    </row>
    <row r="35" spans="1:28" ht="23.25" customHeight="1" x14ac:dyDescent="0.25">
      <c r="A35" s="118">
        <v>267</v>
      </c>
      <c r="B35" s="118" t="s">
        <v>1214</v>
      </c>
      <c r="C35" s="67">
        <v>45867.820740740739</v>
      </c>
      <c r="D35" s="118" t="s">
        <v>1046</v>
      </c>
      <c r="E35" s="67">
        <v>45867.820740740739</v>
      </c>
      <c r="F35" s="118" t="s">
        <v>1046</v>
      </c>
      <c r="G35" s="25">
        <v>10529</v>
      </c>
      <c r="H35" s="118"/>
      <c r="I35" s="118"/>
      <c r="J35" s="118"/>
      <c r="K35" s="119" t="s">
        <v>718</v>
      </c>
      <c r="L35" s="67">
        <v>45867.666666666664</v>
      </c>
      <c r="M35" s="145">
        <v>0.63611111111111107</v>
      </c>
      <c r="N35" s="118">
        <v>6</v>
      </c>
      <c r="O35" s="118" t="s">
        <v>8</v>
      </c>
      <c r="P35" s="118"/>
      <c r="Q35" s="118" t="s">
        <v>11</v>
      </c>
      <c r="R35" s="146" t="s">
        <v>1215</v>
      </c>
      <c r="S35" s="146">
        <v>0.15</v>
      </c>
      <c r="T35" s="118" t="s">
        <v>718</v>
      </c>
      <c r="U35" s="118" t="s">
        <v>718</v>
      </c>
      <c r="V35" s="146" t="s">
        <v>1216</v>
      </c>
      <c r="W35" s="146" t="s">
        <v>1217</v>
      </c>
      <c r="X35" s="146" t="s">
        <v>1218</v>
      </c>
      <c r="Y35" s="146" t="s">
        <v>1606</v>
      </c>
      <c r="Z35" s="118" t="s">
        <v>1213</v>
      </c>
      <c r="AA35" s="118">
        <v>-85.831961049337806</v>
      </c>
      <c r="AB35" s="118">
        <v>40.673703578553898</v>
      </c>
    </row>
    <row r="36" spans="1:28" ht="23.25" customHeight="1" x14ac:dyDescent="0.25">
      <c r="A36" s="118">
        <v>255</v>
      </c>
      <c r="B36" s="118" t="s">
        <v>1143</v>
      </c>
      <c r="C36" s="67">
        <v>45867.60496527778</v>
      </c>
      <c r="D36" s="118" t="s">
        <v>1046</v>
      </c>
      <c r="E36" s="67">
        <v>45867.60496527778</v>
      </c>
      <c r="F36" s="118" t="s">
        <v>1046</v>
      </c>
      <c r="G36" s="25">
        <v>10530</v>
      </c>
      <c r="H36" s="118"/>
      <c r="I36" s="118"/>
      <c r="J36" s="118"/>
      <c r="K36" s="119" t="s">
        <v>719</v>
      </c>
      <c r="L36" s="67">
        <v>45867.666666666664</v>
      </c>
      <c r="M36" s="145">
        <v>0.42430555555555555</v>
      </c>
      <c r="N36" s="118">
        <v>7</v>
      </c>
      <c r="O36" s="118" t="s">
        <v>8</v>
      </c>
      <c r="P36" s="118"/>
      <c r="Q36" s="118" t="s">
        <v>11</v>
      </c>
      <c r="R36" s="146" t="s">
        <v>1144</v>
      </c>
      <c r="S36" s="146">
        <v>0.35</v>
      </c>
      <c r="T36" s="118" t="s">
        <v>719</v>
      </c>
      <c r="U36" s="118" t="s">
        <v>719</v>
      </c>
      <c r="V36" s="146" t="s">
        <v>1145</v>
      </c>
      <c r="W36" s="146" t="s">
        <v>1146</v>
      </c>
      <c r="X36" s="146" t="s">
        <v>1147</v>
      </c>
      <c r="Y36" s="146" t="s">
        <v>1599</v>
      </c>
      <c r="Z36" s="118" t="s">
        <v>1148</v>
      </c>
      <c r="AA36" s="118">
        <v>-85.8965468123384</v>
      </c>
      <c r="AB36" s="118">
        <v>40.6877869571668</v>
      </c>
    </row>
    <row r="37" spans="1:28" ht="23.25" customHeight="1" x14ac:dyDescent="0.25">
      <c r="A37" s="118">
        <v>256</v>
      </c>
      <c r="B37" s="118" t="s">
        <v>1149</v>
      </c>
      <c r="C37" s="67">
        <v>45867.622418981482</v>
      </c>
      <c r="D37" s="118" t="s">
        <v>1046</v>
      </c>
      <c r="E37" s="67">
        <v>45867.622418981482</v>
      </c>
      <c r="F37" s="118" t="s">
        <v>1046</v>
      </c>
      <c r="G37" s="25">
        <v>10531</v>
      </c>
      <c r="H37" s="118"/>
      <c r="I37" s="118"/>
      <c r="J37" s="118"/>
      <c r="K37" s="119" t="s">
        <v>720</v>
      </c>
      <c r="L37" s="67">
        <v>45867.666666666664</v>
      </c>
      <c r="M37" s="145">
        <v>0.44374999999999998</v>
      </c>
      <c r="N37" s="118">
        <v>8</v>
      </c>
      <c r="O37" s="118" t="s">
        <v>8</v>
      </c>
      <c r="P37" s="118"/>
      <c r="Q37" s="118" t="s">
        <v>11</v>
      </c>
      <c r="R37" s="146" t="s">
        <v>1150</v>
      </c>
      <c r="S37" s="146">
        <v>0.45</v>
      </c>
      <c r="T37" s="118" t="s">
        <v>720</v>
      </c>
      <c r="U37" s="118" t="s">
        <v>720</v>
      </c>
      <c r="V37" s="146" t="s">
        <v>1151</v>
      </c>
      <c r="W37" s="146" t="s">
        <v>1152</v>
      </c>
      <c r="X37" s="146" t="s">
        <v>1153</v>
      </c>
      <c r="Y37" s="146" t="s">
        <v>1600</v>
      </c>
      <c r="Z37" s="118" t="s">
        <v>1154</v>
      </c>
      <c r="AA37" s="118">
        <v>-85.908302779903494</v>
      </c>
      <c r="AB37" s="118">
        <v>40.691692164625003</v>
      </c>
    </row>
    <row r="38" spans="1:28" ht="23.25" customHeight="1" x14ac:dyDescent="0.25">
      <c r="A38" s="118">
        <v>258</v>
      </c>
      <c r="B38" s="118" t="s">
        <v>1161</v>
      </c>
      <c r="C38" s="67">
        <v>45867.652962962966</v>
      </c>
      <c r="D38" s="118" t="s">
        <v>1046</v>
      </c>
      <c r="E38" s="67">
        <v>45867.652962962966</v>
      </c>
      <c r="F38" s="118" t="s">
        <v>1046</v>
      </c>
      <c r="G38" s="25">
        <v>10532</v>
      </c>
      <c r="H38" s="118"/>
      <c r="I38" s="118"/>
      <c r="J38" s="118"/>
      <c r="K38" s="119" t="s">
        <v>721</v>
      </c>
      <c r="L38" s="67">
        <v>45867.666666666664</v>
      </c>
      <c r="M38" s="145">
        <v>0.47569444444444442</v>
      </c>
      <c r="N38" s="118">
        <v>9</v>
      </c>
      <c r="O38" s="118" t="s">
        <v>8</v>
      </c>
      <c r="P38" s="118"/>
      <c r="Q38" s="118" t="s">
        <v>11</v>
      </c>
      <c r="R38" s="146" t="s">
        <v>1162</v>
      </c>
      <c r="S38" s="146">
        <v>0.5</v>
      </c>
      <c r="T38" s="118" t="s">
        <v>721</v>
      </c>
      <c r="U38" s="118" t="s">
        <v>721</v>
      </c>
      <c r="V38" s="146" t="s">
        <v>1163</v>
      </c>
      <c r="W38" s="146" t="s">
        <v>1164</v>
      </c>
      <c r="X38" s="146" t="s">
        <v>1165</v>
      </c>
      <c r="Y38" s="146" t="s">
        <v>1601</v>
      </c>
      <c r="Z38" s="118" t="s">
        <v>1166</v>
      </c>
      <c r="AA38" s="118">
        <v>-85.929918426060894</v>
      </c>
      <c r="AB38" s="118">
        <v>40.704102311316397</v>
      </c>
    </row>
    <row r="39" spans="1:28" ht="23.25" customHeight="1" x14ac:dyDescent="0.25">
      <c r="A39" s="118">
        <v>257</v>
      </c>
      <c r="B39" s="118" t="s">
        <v>1155</v>
      </c>
      <c r="C39" s="67">
        <v>45867.636134259257</v>
      </c>
      <c r="D39" s="118" t="s">
        <v>1046</v>
      </c>
      <c r="E39" s="67">
        <v>45867.636134259257</v>
      </c>
      <c r="F39" s="118" t="s">
        <v>1046</v>
      </c>
      <c r="G39" s="25">
        <v>10533</v>
      </c>
      <c r="H39" s="118"/>
      <c r="I39" s="118"/>
      <c r="J39" s="118"/>
      <c r="K39" s="119" t="s">
        <v>722</v>
      </c>
      <c r="L39" s="67">
        <v>45867.666666666664</v>
      </c>
      <c r="M39" s="145">
        <v>0.45763888888888887</v>
      </c>
      <c r="N39" s="118">
        <v>10</v>
      </c>
      <c r="O39" s="118" t="s">
        <v>8</v>
      </c>
      <c r="P39" s="118"/>
      <c r="Q39" s="118" t="s">
        <v>11</v>
      </c>
      <c r="R39" s="146" t="s">
        <v>1156</v>
      </c>
      <c r="S39" s="146">
        <v>0.45</v>
      </c>
      <c r="T39" s="118" t="s">
        <v>722</v>
      </c>
      <c r="U39" s="118" t="s">
        <v>722</v>
      </c>
      <c r="V39" s="146" t="s">
        <v>1157</v>
      </c>
      <c r="W39" s="146" t="s">
        <v>1158</v>
      </c>
      <c r="X39" s="146" t="s">
        <v>1159</v>
      </c>
      <c r="Y39" s="146" t="s">
        <v>1591</v>
      </c>
      <c r="Z39" s="118" t="s">
        <v>1160</v>
      </c>
      <c r="AA39" s="118">
        <v>-85.920155590694904</v>
      </c>
      <c r="AB39" s="118">
        <v>40.693372474722203</v>
      </c>
    </row>
    <row r="40" spans="1:28" ht="23.25" customHeight="1" x14ac:dyDescent="0.25">
      <c r="A40" s="118">
        <v>259</v>
      </c>
      <c r="B40" s="144" t="s">
        <v>1167</v>
      </c>
      <c r="C40" s="67">
        <v>45867.668391203704</v>
      </c>
      <c r="D40" s="118" t="s">
        <v>1046</v>
      </c>
      <c r="E40" s="67">
        <v>45867.668391203704</v>
      </c>
      <c r="F40" s="118" t="s">
        <v>1046</v>
      </c>
      <c r="G40" s="25">
        <v>10534</v>
      </c>
      <c r="H40" s="118"/>
      <c r="I40" s="118"/>
      <c r="J40" s="118"/>
      <c r="K40" s="119" t="s">
        <v>723</v>
      </c>
      <c r="L40" s="67">
        <v>45867.666666666664</v>
      </c>
      <c r="M40" s="145">
        <v>0.48958333333333331</v>
      </c>
      <c r="N40" s="118">
        <v>11</v>
      </c>
      <c r="O40" s="118" t="s">
        <v>8</v>
      </c>
      <c r="P40" s="118"/>
      <c r="Q40" s="118" t="s">
        <v>11</v>
      </c>
      <c r="R40" s="146" t="s">
        <v>1168</v>
      </c>
      <c r="S40" s="146">
        <v>0.45</v>
      </c>
      <c r="T40" s="118" t="s">
        <v>723</v>
      </c>
      <c r="U40" s="118" t="s">
        <v>723</v>
      </c>
      <c r="V40" s="146" t="s">
        <v>1169</v>
      </c>
      <c r="W40" s="146" t="s">
        <v>1170</v>
      </c>
      <c r="X40" s="146" t="s">
        <v>1171</v>
      </c>
      <c r="Y40" s="146" t="s">
        <v>1598</v>
      </c>
      <c r="Z40" s="118" t="s">
        <v>1142</v>
      </c>
      <c r="AA40" s="118">
        <v>-85.938327919424395</v>
      </c>
      <c r="AB40" s="118">
        <v>40.710955375621602</v>
      </c>
    </row>
    <row r="41" spans="1:28" ht="23.25" customHeight="1" x14ac:dyDescent="0.25">
      <c r="A41" s="118">
        <v>260</v>
      </c>
      <c r="B41" s="118" t="s">
        <v>1172</v>
      </c>
      <c r="C41" s="67">
        <v>45867.688611111109</v>
      </c>
      <c r="D41" s="118" t="s">
        <v>1046</v>
      </c>
      <c r="E41" s="67">
        <v>45867.688611111109</v>
      </c>
      <c r="F41" s="118" t="s">
        <v>1046</v>
      </c>
      <c r="G41" s="25">
        <v>10535</v>
      </c>
      <c r="H41" s="118"/>
      <c r="I41" s="118"/>
      <c r="J41" s="118"/>
      <c r="K41" s="119" t="s">
        <v>724</v>
      </c>
      <c r="L41" s="67">
        <v>45867.666666666664</v>
      </c>
      <c r="M41" s="145">
        <v>0.50277777777777777</v>
      </c>
      <c r="N41" s="118">
        <v>12</v>
      </c>
      <c r="O41" s="118" t="s">
        <v>8</v>
      </c>
      <c r="P41" s="118"/>
      <c r="Q41" s="118" t="s">
        <v>11</v>
      </c>
      <c r="R41" s="146" t="s">
        <v>1173</v>
      </c>
      <c r="S41" s="146">
        <v>0.6</v>
      </c>
      <c r="T41" s="118" t="s">
        <v>724</v>
      </c>
      <c r="U41" s="118" t="s">
        <v>724</v>
      </c>
      <c r="V41" s="146" t="s">
        <v>1174</v>
      </c>
      <c r="W41" s="146" t="s">
        <v>1175</v>
      </c>
      <c r="X41" s="146" t="s">
        <v>1176</v>
      </c>
      <c r="Y41" s="146" t="s">
        <v>1602</v>
      </c>
      <c r="Z41" s="118" t="s">
        <v>1177</v>
      </c>
      <c r="AA41" s="118">
        <v>-85.9510161998043</v>
      </c>
      <c r="AB41" s="118">
        <v>40.711643982103404</v>
      </c>
    </row>
    <row r="42" spans="1:28" ht="23.25" customHeight="1" x14ac:dyDescent="0.25">
      <c r="A42" s="118">
        <v>266</v>
      </c>
      <c r="B42" s="118" t="s">
        <v>1208</v>
      </c>
      <c r="C42" s="67">
        <v>45867.801296296297</v>
      </c>
      <c r="D42" s="118" t="s">
        <v>1046</v>
      </c>
      <c r="E42" s="67">
        <v>45867.801296296297</v>
      </c>
      <c r="F42" s="118" t="s">
        <v>1046</v>
      </c>
      <c r="G42" s="25">
        <v>10536</v>
      </c>
      <c r="H42" s="118"/>
      <c r="I42" s="118"/>
      <c r="J42" s="118"/>
      <c r="K42" s="119" t="s">
        <v>725</v>
      </c>
      <c r="L42" s="67">
        <v>45867.666666666664</v>
      </c>
      <c r="M42" s="145">
        <v>0.62291666666666667</v>
      </c>
      <c r="N42" s="118">
        <v>13</v>
      </c>
      <c r="O42" s="118" t="s">
        <v>8</v>
      </c>
      <c r="P42" s="118"/>
      <c r="Q42" s="118" t="s">
        <v>11</v>
      </c>
      <c r="R42" s="146" t="s">
        <v>1209</v>
      </c>
      <c r="S42" s="146">
        <v>0.12</v>
      </c>
      <c r="T42" s="118" t="s">
        <v>725</v>
      </c>
      <c r="U42" s="118" t="s">
        <v>725</v>
      </c>
      <c r="V42" s="146" t="s">
        <v>1210</v>
      </c>
      <c r="W42" s="146" t="s">
        <v>1211</v>
      </c>
      <c r="X42" s="146" t="s">
        <v>1212</v>
      </c>
      <c r="Y42" s="146" t="s">
        <v>1606</v>
      </c>
      <c r="Z42" s="118" t="s">
        <v>1213</v>
      </c>
      <c r="AA42" s="118">
        <v>-85.841489649811095</v>
      </c>
      <c r="AB42" s="118">
        <v>40.672481254051903</v>
      </c>
    </row>
    <row r="43" spans="1:28" ht="23.25" customHeight="1" x14ac:dyDescent="0.25">
      <c r="A43" s="118">
        <v>276</v>
      </c>
      <c r="B43" s="118" t="s">
        <v>1266</v>
      </c>
      <c r="C43" s="67">
        <v>45874.742199074077</v>
      </c>
      <c r="D43" s="118" t="s">
        <v>1046</v>
      </c>
      <c r="E43" s="67">
        <v>45874.742199074077</v>
      </c>
      <c r="F43" s="118" t="s">
        <v>1046</v>
      </c>
      <c r="G43" s="25">
        <v>10537</v>
      </c>
      <c r="H43" s="118"/>
      <c r="I43" s="118"/>
      <c r="J43" s="118"/>
      <c r="K43" s="122" t="s">
        <v>726</v>
      </c>
      <c r="L43" s="67">
        <v>45874.666666666664</v>
      </c>
      <c r="M43" s="145">
        <v>0.56388888888888888</v>
      </c>
      <c r="N43" s="118">
        <v>5</v>
      </c>
      <c r="O43" s="118" t="s">
        <v>8</v>
      </c>
      <c r="P43" s="118"/>
      <c r="Q43" s="118" t="s">
        <v>683</v>
      </c>
      <c r="R43" s="146" t="s">
        <v>1267</v>
      </c>
      <c r="S43" s="146">
        <v>0.45</v>
      </c>
      <c r="T43" s="118" t="s">
        <v>726</v>
      </c>
      <c r="U43" s="118" t="s">
        <v>726</v>
      </c>
      <c r="V43" s="118" t="s">
        <v>1268</v>
      </c>
      <c r="W43" s="146" t="s">
        <v>1269</v>
      </c>
      <c r="X43" s="146" t="s">
        <v>1270</v>
      </c>
      <c r="Y43" s="146" t="s">
        <v>1615</v>
      </c>
      <c r="Z43" s="118" t="s">
        <v>1271</v>
      </c>
      <c r="AA43" s="118">
        <v>-86.7959033458676</v>
      </c>
      <c r="AB43" s="118">
        <v>40.823949102802104</v>
      </c>
    </row>
    <row r="44" spans="1:28" ht="23.25" customHeight="1" x14ac:dyDescent="0.25">
      <c r="A44" s="118">
        <v>275</v>
      </c>
      <c r="B44" s="118" t="s">
        <v>1260</v>
      </c>
      <c r="C44" s="67">
        <v>45874.725046296298</v>
      </c>
      <c r="D44" s="118" t="s">
        <v>1046</v>
      </c>
      <c r="E44" s="67">
        <v>45874.725046296298</v>
      </c>
      <c r="F44" s="118" t="s">
        <v>1046</v>
      </c>
      <c r="G44" s="25">
        <v>10538</v>
      </c>
      <c r="H44" s="118"/>
      <c r="I44" s="118"/>
      <c r="J44" s="118"/>
      <c r="K44" s="122" t="s">
        <v>727</v>
      </c>
      <c r="L44" s="67">
        <v>45874.666666666664</v>
      </c>
      <c r="M44" s="145">
        <v>0.54861111111111116</v>
      </c>
      <c r="N44" s="118">
        <v>6</v>
      </c>
      <c r="O44" s="118" t="s">
        <v>8</v>
      </c>
      <c r="P44" s="118"/>
      <c r="Q44" s="118" t="s">
        <v>683</v>
      </c>
      <c r="R44" s="146" t="s">
        <v>1261</v>
      </c>
      <c r="S44" s="146">
        <v>1</v>
      </c>
      <c r="T44" s="118" t="s">
        <v>727</v>
      </c>
      <c r="U44" s="118" t="s">
        <v>727</v>
      </c>
      <c r="V44" s="118" t="s">
        <v>1262</v>
      </c>
      <c r="W44" s="146" t="s">
        <v>1263</v>
      </c>
      <c r="X44" s="146" t="s">
        <v>1264</v>
      </c>
      <c r="Y44" s="146" t="s">
        <v>1608</v>
      </c>
      <c r="Z44" s="118" t="s">
        <v>1265</v>
      </c>
      <c r="AA44" s="118">
        <v>-86.781875828450396</v>
      </c>
      <c r="AB44" s="118">
        <v>40.834960960529898</v>
      </c>
    </row>
    <row r="45" spans="1:28" ht="23.25" customHeight="1" x14ac:dyDescent="0.25">
      <c r="A45" s="118">
        <v>274</v>
      </c>
      <c r="B45" s="118" t="s">
        <v>1255</v>
      </c>
      <c r="C45" s="67">
        <v>45874.715219907404</v>
      </c>
      <c r="D45" s="118" t="s">
        <v>1046</v>
      </c>
      <c r="E45" s="67">
        <v>45874.715219907404</v>
      </c>
      <c r="F45" s="118" t="s">
        <v>1046</v>
      </c>
      <c r="G45" s="25">
        <v>10539</v>
      </c>
      <c r="H45" s="118"/>
      <c r="I45" s="118"/>
      <c r="J45" s="118"/>
      <c r="K45" s="122" t="s">
        <v>728</v>
      </c>
      <c r="L45" s="67">
        <v>45874.666666666664</v>
      </c>
      <c r="M45" s="145">
        <v>0.52708333333333335</v>
      </c>
      <c r="N45" s="118">
        <v>8</v>
      </c>
      <c r="O45" s="118" t="s">
        <v>8</v>
      </c>
      <c r="P45" s="118"/>
      <c r="Q45" s="118" t="s">
        <v>683</v>
      </c>
      <c r="R45" s="146" t="s">
        <v>1244</v>
      </c>
      <c r="S45" s="146">
        <v>0.6</v>
      </c>
      <c r="T45" s="118" t="s">
        <v>728</v>
      </c>
      <c r="U45" s="118" t="s">
        <v>728</v>
      </c>
      <c r="V45" s="118" t="s">
        <v>1256</v>
      </c>
      <c r="W45" s="146" t="s">
        <v>1257</v>
      </c>
      <c r="X45" s="146" t="s">
        <v>1258</v>
      </c>
      <c r="Y45" s="146" t="s">
        <v>1614</v>
      </c>
      <c r="Z45" s="118" t="s">
        <v>1259</v>
      </c>
      <c r="AA45" s="118">
        <v>-86.794330203868697</v>
      </c>
      <c r="AB45" s="118">
        <v>40.811186474031999</v>
      </c>
    </row>
    <row r="46" spans="1:28" ht="23.25" customHeight="1" x14ac:dyDescent="0.25">
      <c r="A46" s="118">
        <v>272</v>
      </c>
      <c r="B46" s="118" t="s">
        <v>1243</v>
      </c>
      <c r="C46" s="67">
        <v>45874.650868055556</v>
      </c>
      <c r="D46" s="118" t="s">
        <v>1046</v>
      </c>
      <c r="E46" s="67">
        <v>45874.650868055556</v>
      </c>
      <c r="F46" s="118" t="s">
        <v>1046</v>
      </c>
      <c r="G46" s="25">
        <v>10540</v>
      </c>
      <c r="H46" s="118"/>
      <c r="I46" s="118"/>
      <c r="J46" s="118"/>
      <c r="K46" s="122" t="s">
        <v>729</v>
      </c>
      <c r="L46" s="67">
        <v>45874.666666666664</v>
      </c>
      <c r="M46" s="145">
        <v>0.47291666666666665</v>
      </c>
      <c r="N46" s="118">
        <v>9</v>
      </c>
      <c r="O46" s="118" t="s">
        <v>8</v>
      </c>
      <c r="P46" s="118"/>
      <c r="Q46" s="118" t="s">
        <v>683</v>
      </c>
      <c r="R46" s="146" t="s">
        <v>1244</v>
      </c>
      <c r="S46" s="146">
        <v>0.6</v>
      </c>
      <c r="T46" s="118" t="s">
        <v>729</v>
      </c>
      <c r="U46" s="118" t="s">
        <v>729</v>
      </c>
      <c r="V46" s="118" t="s">
        <v>1245</v>
      </c>
      <c r="W46" s="146" t="s">
        <v>1246</v>
      </c>
      <c r="X46" s="146" t="s">
        <v>1247</v>
      </c>
      <c r="Y46" s="146" t="s">
        <v>1612</v>
      </c>
      <c r="Z46" s="118" t="s">
        <v>1248</v>
      </c>
      <c r="AA46" s="118">
        <v>-86.774821942976104</v>
      </c>
      <c r="AB46" s="118">
        <v>40.804292107400101</v>
      </c>
    </row>
    <row r="47" spans="1:28" ht="23.25" customHeight="1" x14ac:dyDescent="0.25">
      <c r="A47" s="118">
        <v>270</v>
      </c>
      <c r="B47" s="118" t="s">
        <v>1231</v>
      </c>
      <c r="C47" s="67">
        <v>45874.623726851853</v>
      </c>
      <c r="D47" s="118" t="s">
        <v>1046</v>
      </c>
      <c r="E47" s="67">
        <v>45874.623726851853</v>
      </c>
      <c r="F47" s="118" t="s">
        <v>1046</v>
      </c>
      <c r="G47" s="25">
        <v>10541</v>
      </c>
      <c r="H47" s="118"/>
      <c r="I47" s="118"/>
      <c r="J47" s="118"/>
      <c r="K47" s="122" t="s">
        <v>730</v>
      </c>
      <c r="L47" s="67">
        <v>45874.666666666664</v>
      </c>
      <c r="M47" s="145">
        <v>0.44791666666666669</v>
      </c>
      <c r="N47" s="118">
        <v>10</v>
      </c>
      <c r="O47" s="118" t="s">
        <v>8</v>
      </c>
      <c r="P47" s="118"/>
      <c r="Q47" s="118" t="s">
        <v>683</v>
      </c>
      <c r="R47" s="146" t="s">
        <v>1232</v>
      </c>
      <c r="S47" s="146">
        <v>0.6</v>
      </c>
      <c r="T47" s="118" t="s">
        <v>730</v>
      </c>
      <c r="U47" s="118" t="s">
        <v>730</v>
      </c>
      <c r="V47" s="146" t="s">
        <v>1233</v>
      </c>
      <c r="W47" s="146" t="s">
        <v>1234</v>
      </c>
      <c r="X47" s="118" t="s">
        <v>1235</v>
      </c>
      <c r="Y47" s="146" t="s">
        <v>1610</v>
      </c>
      <c r="Z47" s="118" t="s">
        <v>1236</v>
      </c>
      <c r="AA47" s="118">
        <v>-86.774699849441205</v>
      </c>
      <c r="AB47" s="118">
        <v>40.794741681526801</v>
      </c>
    </row>
    <row r="48" spans="1:28" ht="23.25" customHeight="1" x14ac:dyDescent="0.25">
      <c r="A48" s="118">
        <v>268</v>
      </c>
      <c r="B48" s="118" t="s">
        <v>1219</v>
      </c>
      <c r="C48" s="67">
        <v>45874.591898148145</v>
      </c>
      <c r="D48" s="118" t="s">
        <v>1046</v>
      </c>
      <c r="E48" s="67">
        <v>45874.591898148145</v>
      </c>
      <c r="F48" s="118" t="s">
        <v>1046</v>
      </c>
      <c r="G48" s="25">
        <v>10542</v>
      </c>
      <c r="H48" s="118"/>
      <c r="I48" s="118"/>
      <c r="J48" s="118"/>
      <c r="K48" s="122" t="s">
        <v>731</v>
      </c>
      <c r="L48" s="67">
        <v>45874.666666666664</v>
      </c>
      <c r="M48" s="145">
        <v>0.40763888888888888</v>
      </c>
      <c r="N48" s="118">
        <v>11</v>
      </c>
      <c r="O48" s="118" t="s">
        <v>8</v>
      </c>
      <c r="P48" s="118"/>
      <c r="Q48" s="118" t="s">
        <v>683</v>
      </c>
      <c r="R48" s="146" t="s">
        <v>1220</v>
      </c>
      <c r="S48" s="146">
        <v>0.6</v>
      </c>
      <c r="T48" s="118" t="s">
        <v>731</v>
      </c>
      <c r="U48" s="118" t="s">
        <v>731</v>
      </c>
      <c r="V48" s="146" t="s">
        <v>1221</v>
      </c>
      <c r="W48" s="146" t="s">
        <v>1222</v>
      </c>
      <c r="X48" s="146" t="s">
        <v>1223</v>
      </c>
      <c r="Y48" s="146" t="s">
        <v>1608</v>
      </c>
      <c r="Z48" s="146" t="s">
        <v>1224</v>
      </c>
      <c r="AA48" s="118">
        <v>-86.772086740762006</v>
      </c>
      <c r="AB48" s="118">
        <v>40.788612939137003</v>
      </c>
    </row>
    <row r="49" spans="1:28" ht="23.25" customHeight="1" x14ac:dyDescent="0.25">
      <c r="A49" s="118">
        <v>269</v>
      </c>
      <c r="B49" s="118" t="s">
        <v>1225</v>
      </c>
      <c r="C49" s="67">
        <v>45874.608067129629</v>
      </c>
      <c r="D49" s="118" t="s">
        <v>1046</v>
      </c>
      <c r="E49" s="67">
        <v>45874.608067129629</v>
      </c>
      <c r="F49" s="118" t="s">
        <v>1046</v>
      </c>
      <c r="G49" s="25">
        <v>10543</v>
      </c>
      <c r="H49" s="118"/>
      <c r="I49" s="118"/>
      <c r="J49" s="118"/>
      <c r="K49" s="122" t="s">
        <v>732</v>
      </c>
      <c r="L49" s="67">
        <v>45874.666666666664</v>
      </c>
      <c r="M49" s="145">
        <v>0.42708333333333331</v>
      </c>
      <c r="N49" s="118">
        <v>12</v>
      </c>
      <c r="O49" s="118" t="s">
        <v>8</v>
      </c>
      <c r="P49" s="118"/>
      <c r="Q49" s="118" t="s">
        <v>683</v>
      </c>
      <c r="R49" s="146" t="s">
        <v>1226</v>
      </c>
      <c r="S49" s="146">
        <v>0.7</v>
      </c>
      <c r="T49" s="118" t="s">
        <v>732</v>
      </c>
      <c r="U49" s="118" t="s">
        <v>732</v>
      </c>
      <c r="V49" s="146" t="s">
        <v>1227</v>
      </c>
      <c r="W49" s="146" t="s">
        <v>1228</v>
      </c>
      <c r="X49" s="146" t="s">
        <v>1229</v>
      </c>
      <c r="Y49" s="146" t="s">
        <v>1609</v>
      </c>
      <c r="Z49" s="118" t="s">
        <v>1230</v>
      </c>
      <c r="AA49" s="118">
        <v>-86.762338858064993</v>
      </c>
      <c r="AB49" s="118">
        <v>40.782407876290399</v>
      </c>
    </row>
    <row r="50" spans="1:28" ht="23.25" customHeight="1" x14ac:dyDescent="0.25">
      <c r="A50" s="118">
        <v>273</v>
      </c>
      <c r="B50" s="118" t="s">
        <v>1249</v>
      </c>
      <c r="C50" s="67">
        <v>45874.667569444442</v>
      </c>
      <c r="D50" s="118" t="s">
        <v>1046</v>
      </c>
      <c r="E50" s="67">
        <v>45874.766817129632</v>
      </c>
      <c r="F50" s="118" t="s">
        <v>1046</v>
      </c>
      <c r="G50" s="25">
        <v>10544</v>
      </c>
      <c r="H50" s="118"/>
      <c r="I50" s="118"/>
      <c r="J50" s="118"/>
      <c r="K50" s="122" t="s">
        <v>733</v>
      </c>
      <c r="L50" s="67">
        <v>45874.666666666664</v>
      </c>
      <c r="M50" s="145">
        <v>0.48888888888888887</v>
      </c>
      <c r="N50" s="118">
        <v>14</v>
      </c>
      <c r="O50" s="118" t="s">
        <v>8</v>
      </c>
      <c r="P50" s="118"/>
      <c r="Q50" s="118" t="s">
        <v>683</v>
      </c>
      <c r="R50" s="146" t="s">
        <v>1250</v>
      </c>
      <c r="S50" s="146">
        <v>0.6</v>
      </c>
      <c r="T50" s="118" t="s">
        <v>733</v>
      </c>
      <c r="U50" s="118" t="s">
        <v>733</v>
      </c>
      <c r="V50" s="118" t="s">
        <v>1251</v>
      </c>
      <c r="W50" s="146" t="s">
        <v>1252</v>
      </c>
      <c r="X50" s="146" t="s">
        <v>1253</v>
      </c>
      <c r="Y50" s="146" t="s">
        <v>1613</v>
      </c>
      <c r="Z50" s="146" t="s">
        <v>1254</v>
      </c>
      <c r="AA50" s="118">
        <v>-86.785416838958895</v>
      </c>
      <c r="AB50" s="118">
        <v>40.807363505644901</v>
      </c>
    </row>
    <row r="51" spans="1:28" ht="23.25" customHeight="1" x14ac:dyDescent="0.25">
      <c r="A51" s="118">
        <v>271</v>
      </c>
      <c r="B51" s="118" t="s">
        <v>1237</v>
      </c>
      <c r="C51" s="67">
        <v>45874.637314814812</v>
      </c>
      <c r="D51" s="118" t="s">
        <v>1046</v>
      </c>
      <c r="E51" s="67">
        <v>45874.637314814812</v>
      </c>
      <c r="F51" s="118" t="s">
        <v>1046</v>
      </c>
      <c r="G51" s="25">
        <v>10545</v>
      </c>
      <c r="H51" s="118"/>
      <c r="I51" s="118"/>
      <c r="J51" s="118"/>
      <c r="K51" s="122" t="s">
        <v>734</v>
      </c>
      <c r="L51" s="67">
        <v>45874.666666666664</v>
      </c>
      <c r="M51" s="145">
        <v>0.45833333333333331</v>
      </c>
      <c r="N51" s="118">
        <v>15</v>
      </c>
      <c r="O51" s="118" t="s">
        <v>8</v>
      </c>
      <c r="P51" s="118"/>
      <c r="Q51" s="118" t="s">
        <v>683</v>
      </c>
      <c r="R51" s="146" t="s">
        <v>1238</v>
      </c>
      <c r="S51" s="146">
        <v>0.6</v>
      </c>
      <c r="T51" s="118" t="s">
        <v>734</v>
      </c>
      <c r="U51" s="118" t="s">
        <v>734</v>
      </c>
      <c r="V51" s="118" t="s">
        <v>1239</v>
      </c>
      <c r="W51" s="146" t="s">
        <v>1240</v>
      </c>
      <c r="X51" s="146" t="s">
        <v>1241</v>
      </c>
      <c r="Y51" s="146" t="s">
        <v>1611</v>
      </c>
      <c r="Z51" s="118" t="s">
        <v>1242</v>
      </c>
      <c r="AA51" s="118">
        <v>-86.777852356195098</v>
      </c>
      <c r="AB51" s="118">
        <v>40.799284862032501</v>
      </c>
    </row>
    <row r="52" spans="1:28" ht="23.25" customHeight="1" x14ac:dyDescent="0.25">
      <c r="A52" s="118">
        <v>277</v>
      </c>
      <c r="B52" s="118" t="s">
        <v>1272</v>
      </c>
      <c r="C52" s="67">
        <v>45874.75885416667</v>
      </c>
      <c r="D52" s="118" t="s">
        <v>1046</v>
      </c>
      <c r="E52" s="67">
        <v>45874.760057870371</v>
      </c>
      <c r="F52" s="118" t="s">
        <v>1046</v>
      </c>
      <c r="G52" s="25">
        <v>10546</v>
      </c>
      <c r="H52" s="118"/>
      <c r="I52" s="118"/>
      <c r="J52" s="118"/>
      <c r="K52" s="122" t="s">
        <v>735</v>
      </c>
      <c r="L52" s="67">
        <v>45874.666666666664</v>
      </c>
      <c r="M52" s="145">
        <v>0.58263888888888893</v>
      </c>
      <c r="N52" s="118">
        <v>16</v>
      </c>
      <c r="O52" s="118" t="s">
        <v>8</v>
      </c>
      <c r="P52" s="118"/>
      <c r="Q52" s="118" t="s">
        <v>683</v>
      </c>
      <c r="R52" s="146" t="s">
        <v>1273</v>
      </c>
      <c r="S52" s="146">
        <v>0.75</v>
      </c>
      <c r="T52" s="118" t="s">
        <v>735</v>
      </c>
      <c r="U52" s="118" t="s">
        <v>735</v>
      </c>
      <c r="V52" s="146" t="s">
        <v>1274</v>
      </c>
      <c r="W52" s="146" t="s">
        <v>1275</v>
      </c>
      <c r="X52" s="118" t="s">
        <v>1276</v>
      </c>
      <c r="Y52" s="146" t="s">
        <v>1616</v>
      </c>
      <c r="Z52" s="118" t="s">
        <v>1277</v>
      </c>
      <c r="AA52" s="118">
        <v>-86.790997799464705</v>
      </c>
      <c r="AB52" s="118">
        <v>40.818374468400101</v>
      </c>
    </row>
    <row r="53" spans="1:28" ht="23.25" customHeight="1" x14ac:dyDescent="0.25">
      <c r="A53" s="118">
        <v>285</v>
      </c>
      <c r="B53" s="118" t="s">
        <v>1322</v>
      </c>
      <c r="C53" s="67">
        <v>45875.764988425923</v>
      </c>
      <c r="D53" s="118" t="s">
        <v>1046</v>
      </c>
      <c r="E53" s="67">
        <v>45875.764988425923</v>
      </c>
      <c r="F53" s="118" t="s">
        <v>1046</v>
      </c>
      <c r="G53" s="25">
        <v>10547</v>
      </c>
      <c r="H53" s="118"/>
      <c r="I53" s="118"/>
      <c r="J53" s="118"/>
      <c r="K53" s="119" t="s">
        <v>736</v>
      </c>
      <c r="L53" s="67">
        <v>45875.666666666664</v>
      </c>
      <c r="M53" s="145">
        <v>0.55555555555555558</v>
      </c>
      <c r="N53" s="118">
        <v>1</v>
      </c>
      <c r="O53" s="118" t="s">
        <v>8</v>
      </c>
      <c r="P53" s="118"/>
      <c r="Q53" s="118" t="s">
        <v>11</v>
      </c>
      <c r="R53" s="146" t="s">
        <v>1323</v>
      </c>
      <c r="S53" s="146">
        <v>0.6</v>
      </c>
      <c r="T53" s="118" t="s">
        <v>1324</v>
      </c>
      <c r="U53" s="118" t="s">
        <v>1324</v>
      </c>
      <c r="V53" s="146" t="s">
        <v>1325</v>
      </c>
      <c r="W53" s="146" t="s">
        <v>1326</v>
      </c>
      <c r="X53" s="146" t="s">
        <v>1327</v>
      </c>
      <c r="Y53" s="146" t="s">
        <v>1617</v>
      </c>
      <c r="Z53" s="118" t="s">
        <v>1328</v>
      </c>
      <c r="AA53" s="118">
        <v>-85.888865343207399</v>
      </c>
      <c r="AB53" s="118">
        <v>40.681699086124503</v>
      </c>
    </row>
    <row r="54" spans="1:28" ht="23.25" customHeight="1" x14ac:dyDescent="0.25">
      <c r="A54" s="118">
        <v>286</v>
      </c>
      <c r="B54" s="118" t="s">
        <v>1329</v>
      </c>
      <c r="C54" s="67">
        <v>45875.765046296299</v>
      </c>
      <c r="D54" s="118" t="s">
        <v>1046</v>
      </c>
      <c r="E54" s="67">
        <v>45875.765046296299</v>
      </c>
      <c r="F54" s="118" t="s">
        <v>1046</v>
      </c>
      <c r="G54" s="25">
        <v>10548</v>
      </c>
      <c r="H54" s="118"/>
      <c r="I54" s="118"/>
      <c r="J54" s="118"/>
      <c r="K54" s="119" t="s">
        <v>737</v>
      </c>
      <c r="L54" s="67">
        <v>45875.666666666664</v>
      </c>
      <c r="M54" s="145">
        <v>0.56874999999999998</v>
      </c>
      <c r="N54" s="118">
        <v>2</v>
      </c>
      <c r="O54" s="118" t="s">
        <v>8</v>
      </c>
      <c r="P54" s="118"/>
      <c r="Q54" s="118" t="s">
        <v>11</v>
      </c>
      <c r="R54" s="146" t="s">
        <v>1330</v>
      </c>
      <c r="S54" s="146">
        <v>0.5</v>
      </c>
      <c r="T54" s="118" t="s">
        <v>1331</v>
      </c>
      <c r="U54" s="118" t="s">
        <v>1331</v>
      </c>
      <c r="V54" s="146" t="s">
        <v>1332</v>
      </c>
      <c r="W54" s="146" t="s">
        <v>1333</v>
      </c>
      <c r="X54" s="146" t="s">
        <v>1334</v>
      </c>
      <c r="Y54" s="146" t="s">
        <v>1597</v>
      </c>
      <c r="Z54" s="118" t="s">
        <v>1335</v>
      </c>
      <c r="AA54" s="118">
        <v>-85.877077932975695</v>
      </c>
      <c r="AB54" s="118">
        <v>40.676850337058198</v>
      </c>
    </row>
    <row r="55" spans="1:28" ht="23.25" customHeight="1" x14ac:dyDescent="0.25">
      <c r="A55" s="118">
        <v>287</v>
      </c>
      <c r="B55" s="118" t="s">
        <v>1336</v>
      </c>
      <c r="C55" s="67">
        <v>45875.765081018515</v>
      </c>
      <c r="D55" s="118" t="s">
        <v>1046</v>
      </c>
      <c r="E55" s="67">
        <v>45875.765081018515</v>
      </c>
      <c r="F55" s="118" t="s">
        <v>1046</v>
      </c>
      <c r="G55" s="25">
        <v>10549</v>
      </c>
      <c r="H55" s="118"/>
      <c r="I55" s="118"/>
      <c r="J55" s="118"/>
      <c r="K55" s="119" t="s">
        <v>738</v>
      </c>
      <c r="L55" s="67">
        <v>45875.666666666664</v>
      </c>
      <c r="M55" s="145">
        <v>0.58194444444444449</v>
      </c>
      <c r="N55" s="118">
        <v>3</v>
      </c>
      <c r="O55" s="118" t="s">
        <v>8</v>
      </c>
      <c r="P55" s="118"/>
      <c r="Q55" s="118" t="s">
        <v>11</v>
      </c>
      <c r="R55" s="146" t="s">
        <v>1337</v>
      </c>
      <c r="S55" s="146">
        <v>0.35</v>
      </c>
      <c r="T55" s="118" t="s">
        <v>1338</v>
      </c>
      <c r="U55" s="118" t="s">
        <v>1338</v>
      </c>
      <c r="V55" s="146" t="s">
        <v>1339</v>
      </c>
      <c r="W55" s="146" t="s">
        <v>1340</v>
      </c>
      <c r="X55" s="146" t="s">
        <v>1341</v>
      </c>
      <c r="Y55" s="146" t="s">
        <v>1593</v>
      </c>
      <c r="Z55" s="118" t="s">
        <v>1342</v>
      </c>
      <c r="AA55" s="118">
        <v>-85.870347039790502</v>
      </c>
      <c r="AB55" s="118">
        <v>40.6707760913608</v>
      </c>
    </row>
    <row r="56" spans="1:28" ht="23.25" customHeight="1" x14ac:dyDescent="0.25">
      <c r="A56" s="118">
        <v>291</v>
      </c>
      <c r="B56" s="118" t="s">
        <v>1361</v>
      </c>
      <c r="C56" s="67">
        <v>45889.601655092592</v>
      </c>
      <c r="D56" s="118" t="s">
        <v>1046</v>
      </c>
      <c r="E56" s="67">
        <v>45889.601655092592</v>
      </c>
      <c r="F56" s="118" t="s">
        <v>1046</v>
      </c>
      <c r="G56" s="25">
        <v>10550</v>
      </c>
      <c r="H56" s="118"/>
      <c r="I56" s="118"/>
      <c r="J56" s="118"/>
      <c r="K56" s="119" t="s">
        <v>739</v>
      </c>
      <c r="L56" s="67">
        <v>45875.666666666664</v>
      </c>
      <c r="M56" s="145">
        <v>0.64236111111111116</v>
      </c>
      <c r="N56" s="118">
        <v>5</v>
      </c>
      <c r="O56" s="118" t="s">
        <v>8</v>
      </c>
      <c r="P56" s="118"/>
      <c r="Q56" s="118" t="s">
        <v>11</v>
      </c>
      <c r="R56" s="146" t="s">
        <v>1362</v>
      </c>
      <c r="S56" s="146">
        <v>0.15</v>
      </c>
      <c r="T56" s="118" t="s">
        <v>1363</v>
      </c>
      <c r="U56" s="118" t="s">
        <v>1363</v>
      </c>
      <c r="V56" s="146" t="s">
        <v>1364</v>
      </c>
      <c r="W56" s="146" t="s">
        <v>1365</v>
      </c>
      <c r="X56" s="146" t="s">
        <v>1366</v>
      </c>
      <c r="Y56" s="146" t="s">
        <v>1625</v>
      </c>
      <c r="Z56" s="118" t="s">
        <v>1367</v>
      </c>
      <c r="AA56" s="118">
        <v>-85.847787148494703</v>
      </c>
      <c r="AB56" s="118">
        <v>40.668582365894899</v>
      </c>
    </row>
    <row r="57" spans="1:28" ht="23.25" customHeight="1" x14ac:dyDescent="0.25">
      <c r="A57" s="118">
        <v>288</v>
      </c>
      <c r="B57" s="118" t="s">
        <v>1343</v>
      </c>
      <c r="C57" s="67">
        <v>45875.781493055554</v>
      </c>
      <c r="D57" s="118" t="s">
        <v>1046</v>
      </c>
      <c r="E57" s="67">
        <v>45875.781493055554</v>
      </c>
      <c r="F57" s="118" t="s">
        <v>1046</v>
      </c>
      <c r="G57" s="25">
        <v>10551</v>
      </c>
      <c r="K57" s="147" t="s">
        <v>740</v>
      </c>
      <c r="L57" s="67">
        <v>45875.666666666664</v>
      </c>
      <c r="M57" s="145">
        <v>0.59930555555555554</v>
      </c>
      <c r="N57" s="118">
        <v>6</v>
      </c>
      <c r="O57" s="118" t="s">
        <v>8</v>
      </c>
      <c r="P57" s="118"/>
      <c r="Q57" s="118" t="s">
        <v>11</v>
      </c>
      <c r="R57" s="146" t="s">
        <v>1344</v>
      </c>
      <c r="S57" s="146">
        <v>0.3</v>
      </c>
      <c r="T57" s="118" t="s">
        <v>739</v>
      </c>
      <c r="U57" s="118" t="s">
        <v>739</v>
      </c>
      <c r="V57" s="118" t="s">
        <v>1345</v>
      </c>
      <c r="W57" s="146" t="s">
        <v>1346</v>
      </c>
      <c r="X57" s="146" t="s">
        <v>1347</v>
      </c>
      <c r="Y57" s="146" t="s">
        <v>1623</v>
      </c>
      <c r="Z57" s="118" t="s">
        <v>1348</v>
      </c>
      <c r="AA57" s="118">
        <v>-85.866445610354404</v>
      </c>
      <c r="AB57" s="118">
        <v>40.663214093793798</v>
      </c>
    </row>
    <row r="58" spans="1:28" ht="23.25" customHeight="1" x14ac:dyDescent="0.25">
      <c r="A58" s="118">
        <v>294</v>
      </c>
      <c r="B58" s="118" t="s">
        <v>1381</v>
      </c>
      <c r="C58" s="67">
        <v>45889.601851851854</v>
      </c>
      <c r="D58" s="118" t="s">
        <v>1046</v>
      </c>
      <c r="E58" s="67">
        <v>45889.601851851854</v>
      </c>
      <c r="F58" s="118" t="s">
        <v>1046</v>
      </c>
      <c r="G58" s="25">
        <v>10552</v>
      </c>
      <c r="K58" s="147" t="s">
        <v>741</v>
      </c>
      <c r="L58" s="67">
        <v>45875.666666666664</v>
      </c>
      <c r="M58" s="145">
        <v>0.68194444444444446</v>
      </c>
      <c r="N58" s="118">
        <v>6</v>
      </c>
      <c r="O58" s="118" t="s">
        <v>8</v>
      </c>
      <c r="P58" s="118"/>
      <c r="Q58" s="118" t="s">
        <v>11</v>
      </c>
      <c r="R58" s="146" t="s">
        <v>1382</v>
      </c>
      <c r="S58" s="146">
        <v>0.1</v>
      </c>
      <c r="T58" s="118" t="s">
        <v>741</v>
      </c>
      <c r="U58" s="118" t="s">
        <v>741</v>
      </c>
      <c r="V58" s="118" t="s">
        <v>1383</v>
      </c>
      <c r="W58" s="146" t="s">
        <v>1384</v>
      </c>
      <c r="X58" s="146" t="s">
        <v>1385</v>
      </c>
      <c r="Y58" s="146" t="s">
        <v>1587</v>
      </c>
      <c r="Z58" s="118" t="s">
        <v>1386</v>
      </c>
      <c r="AA58" s="118">
        <v>-85.831866478386004</v>
      </c>
      <c r="AB58" s="118">
        <v>40.673670773428299</v>
      </c>
    </row>
    <row r="59" spans="1:28" ht="23.25" customHeight="1" x14ac:dyDescent="0.25">
      <c r="A59" s="118">
        <v>278</v>
      </c>
      <c r="B59" s="118" t="s">
        <v>1278</v>
      </c>
      <c r="C59" s="67">
        <v>45875.598229166666</v>
      </c>
      <c r="D59" s="118" t="s">
        <v>1046</v>
      </c>
      <c r="E59" s="67">
        <v>45875.598587962966</v>
      </c>
      <c r="F59" s="118" t="s">
        <v>1046</v>
      </c>
      <c r="G59" s="25">
        <v>10553</v>
      </c>
      <c r="H59" s="118"/>
      <c r="I59" s="118"/>
      <c r="J59" s="118"/>
      <c r="K59" s="149" t="s">
        <v>742</v>
      </c>
      <c r="L59" s="67">
        <v>45875.666666666664</v>
      </c>
      <c r="M59" s="145">
        <v>0.41388888888888886</v>
      </c>
      <c r="N59" s="118">
        <v>7</v>
      </c>
      <c r="O59" s="118" t="s">
        <v>8</v>
      </c>
      <c r="P59" s="118"/>
      <c r="Q59" s="118" t="s">
        <v>11</v>
      </c>
      <c r="R59" s="146" t="s">
        <v>1279</v>
      </c>
      <c r="S59" s="146">
        <v>0.6</v>
      </c>
      <c r="T59" s="118" t="s">
        <v>742</v>
      </c>
      <c r="U59" s="118" t="s">
        <v>742</v>
      </c>
      <c r="V59" s="118" t="s">
        <v>1280</v>
      </c>
      <c r="W59" s="146" t="s">
        <v>1281</v>
      </c>
      <c r="X59" s="146" t="s">
        <v>1282</v>
      </c>
      <c r="Y59" s="146" t="s">
        <v>1617</v>
      </c>
      <c r="Z59" s="118" t="s">
        <v>1283</v>
      </c>
      <c r="AA59" s="118">
        <v>-85.896527487712504</v>
      </c>
      <c r="AB59" s="118">
        <v>40.6878624052029</v>
      </c>
    </row>
    <row r="60" spans="1:28" ht="23.25" customHeight="1" x14ac:dyDescent="0.25">
      <c r="A60" s="118">
        <v>279</v>
      </c>
      <c r="B60" s="118" t="s">
        <v>1284</v>
      </c>
      <c r="C60" s="67">
        <v>45875.614386574074</v>
      </c>
      <c r="D60" s="118" t="s">
        <v>1046</v>
      </c>
      <c r="E60" s="67">
        <v>45875.614386574074</v>
      </c>
      <c r="F60" s="118" t="s">
        <v>1046</v>
      </c>
      <c r="G60" s="25">
        <v>10554</v>
      </c>
      <c r="H60" s="118"/>
      <c r="I60" s="118"/>
      <c r="J60" s="118"/>
      <c r="K60" s="149" t="s">
        <v>743</v>
      </c>
      <c r="L60" s="67">
        <v>45875.666666666664</v>
      </c>
      <c r="M60" s="145">
        <v>0.43680555555555556</v>
      </c>
      <c r="N60" s="118">
        <v>8</v>
      </c>
      <c r="O60" s="118" t="s">
        <v>8</v>
      </c>
      <c r="P60" s="118"/>
      <c r="Q60" s="118" t="s">
        <v>11</v>
      </c>
      <c r="R60" s="146" t="s">
        <v>1285</v>
      </c>
      <c r="S60" s="146">
        <v>0.7</v>
      </c>
      <c r="T60" s="118" t="s">
        <v>743</v>
      </c>
      <c r="U60" s="118" t="s">
        <v>743</v>
      </c>
      <c r="V60" s="118" t="s">
        <v>1286</v>
      </c>
      <c r="W60" s="146" t="s">
        <v>1287</v>
      </c>
      <c r="X60" s="146" t="s">
        <v>1288</v>
      </c>
      <c r="Y60" s="146" t="s">
        <v>1618</v>
      </c>
      <c r="Z60" s="118" t="s">
        <v>1289</v>
      </c>
      <c r="AA60" s="118">
        <v>-85.908289933336107</v>
      </c>
      <c r="AB60" s="118">
        <v>40.6916741148748</v>
      </c>
    </row>
    <row r="61" spans="1:28" ht="23.25" customHeight="1" x14ac:dyDescent="0.25">
      <c r="A61" s="118">
        <v>281</v>
      </c>
      <c r="B61" s="118" t="s">
        <v>1296</v>
      </c>
      <c r="C61" s="67">
        <v>45875.638402777775</v>
      </c>
      <c r="D61" s="118" t="s">
        <v>1046</v>
      </c>
      <c r="E61" s="67">
        <v>45875.638402777775</v>
      </c>
      <c r="F61" s="118" t="s">
        <v>1046</v>
      </c>
      <c r="G61" s="25">
        <v>10555</v>
      </c>
      <c r="H61" s="118"/>
      <c r="I61" s="118"/>
      <c r="J61" s="118"/>
      <c r="K61" s="149" t="s">
        <v>744</v>
      </c>
      <c r="L61" s="67">
        <v>45875.666666666664</v>
      </c>
      <c r="M61" s="145">
        <v>0.46111111111111114</v>
      </c>
      <c r="N61" s="118">
        <v>9</v>
      </c>
      <c r="O61" s="118" t="s">
        <v>8</v>
      </c>
      <c r="P61" s="118"/>
      <c r="Q61" s="118" t="s">
        <v>11</v>
      </c>
      <c r="R61" s="146" t="s">
        <v>1297</v>
      </c>
      <c r="S61" s="146">
        <v>0.7</v>
      </c>
      <c r="T61" s="118" t="s">
        <v>744</v>
      </c>
      <c r="U61" s="118" t="s">
        <v>744</v>
      </c>
      <c r="V61" s="146" t="s">
        <v>1298</v>
      </c>
      <c r="W61" s="146" t="s">
        <v>1299</v>
      </c>
      <c r="X61" s="146" t="s">
        <v>1300</v>
      </c>
      <c r="Y61" s="146" t="s">
        <v>1619</v>
      </c>
      <c r="Z61" s="118" t="s">
        <v>1301</v>
      </c>
      <c r="AA61" s="118">
        <v>-85.929923192181406</v>
      </c>
      <c r="AB61" s="118">
        <v>40.704167782880198</v>
      </c>
    </row>
    <row r="62" spans="1:28" ht="23.25" customHeight="1" x14ac:dyDescent="0.25">
      <c r="A62" s="118">
        <v>280</v>
      </c>
      <c r="B62" s="118" t="s">
        <v>1290</v>
      </c>
      <c r="C62" s="67">
        <v>45875.625439814816</v>
      </c>
      <c r="D62" s="118" t="s">
        <v>1046</v>
      </c>
      <c r="E62" s="67">
        <v>45875.625439814816</v>
      </c>
      <c r="F62" s="118" t="s">
        <v>1046</v>
      </c>
      <c r="G62" s="25">
        <v>10556</v>
      </c>
      <c r="H62" s="118"/>
      <c r="I62" s="118"/>
      <c r="J62" s="118"/>
      <c r="K62" s="149" t="s">
        <v>745</v>
      </c>
      <c r="L62" s="67">
        <v>45875.666666666664</v>
      </c>
      <c r="M62" s="145">
        <v>0.44722222222222224</v>
      </c>
      <c r="N62" s="118">
        <v>10</v>
      </c>
      <c r="O62" s="118" t="s">
        <v>8</v>
      </c>
      <c r="P62" s="118"/>
      <c r="Q62" s="118" t="s">
        <v>11</v>
      </c>
      <c r="R62" s="146" t="s">
        <v>1291</v>
      </c>
      <c r="S62" s="146">
        <v>0.7</v>
      </c>
      <c r="T62" s="118" t="s">
        <v>745</v>
      </c>
      <c r="U62" s="118" t="s">
        <v>745</v>
      </c>
      <c r="V62" s="118" t="s">
        <v>1292</v>
      </c>
      <c r="W62" s="146" t="s">
        <v>1293</v>
      </c>
      <c r="X62" s="146" t="s">
        <v>1294</v>
      </c>
      <c r="Y62" s="146" t="s">
        <v>1619</v>
      </c>
      <c r="Z62" s="118" t="s">
        <v>1295</v>
      </c>
      <c r="AA62" s="118">
        <v>-85.920210239478394</v>
      </c>
      <c r="AB62" s="118">
        <v>40.693328949160403</v>
      </c>
    </row>
    <row r="63" spans="1:28" ht="23.25" customHeight="1" x14ac:dyDescent="0.25">
      <c r="A63" s="118">
        <v>282</v>
      </c>
      <c r="B63" s="118" t="s">
        <v>1302</v>
      </c>
      <c r="C63" s="67">
        <v>45875.65053240741</v>
      </c>
      <c r="D63" s="118" t="s">
        <v>1046</v>
      </c>
      <c r="E63" s="67">
        <v>45875.65053240741</v>
      </c>
      <c r="F63" s="118" t="s">
        <v>1046</v>
      </c>
      <c r="G63" s="25">
        <v>10557</v>
      </c>
      <c r="H63" s="118"/>
      <c r="I63" s="118"/>
      <c r="J63" s="118"/>
      <c r="K63" s="149" t="s">
        <v>746</v>
      </c>
      <c r="L63" s="67">
        <v>45875.666666666664</v>
      </c>
      <c r="M63" s="145">
        <v>0.47430555555555554</v>
      </c>
      <c r="N63" s="118">
        <v>11</v>
      </c>
      <c r="O63" s="118" t="s">
        <v>8</v>
      </c>
      <c r="P63" s="118"/>
      <c r="Q63" s="118" t="s">
        <v>11</v>
      </c>
      <c r="R63" s="146" t="s">
        <v>1303</v>
      </c>
      <c r="S63" s="146">
        <v>0.6</v>
      </c>
      <c r="T63" s="118" t="s">
        <v>746</v>
      </c>
      <c r="U63" s="118" t="s">
        <v>746</v>
      </c>
      <c r="V63" s="118" t="s">
        <v>1304</v>
      </c>
      <c r="W63" s="146" t="s">
        <v>1305</v>
      </c>
      <c r="X63" s="146" t="s">
        <v>1306</v>
      </c>
      <c r="Y63" s="146" t="s">
        <v>1620</v>
      </c>
      <c r="Z63" s="118" t="s">
        <v>1307</v>
      </c>
      <c r="AA63" s="118">
        <v>-85.938609998636096</v>
      </c>
      <c r="AB63" s="118">
        <v>40.710977573480697</v>
      </c>
    </row>
    <row r="64" spans="1:28" ht="23.25" customHeight="1" x14ac:dyDescent="0.25">
      <c r="A64" s="118">
        <v>284</v>
      </c>
      <c r="B64" s="118" t="s">
        <v>1315</v>
      </c>
      <c r="C64" s="67">
        <v>45875.764965277776</v>
      </c>
      <c r="D64" s="118" t="s">
        <v>1046</v>
      </c>
      <c r="E64" s="67">
        <v>45875.764965277776</v>
      </c>
      <c r="F64" s="118" t="s">
        <v>1046</v>
      </c>
      <c r="G64" s="25">
        <v>10558</v>
      </c>
      <c r="H64" s="118"/>
      <c r="I64" s="118"/>
      <c r="J64" s="118"/>
      <c r="K64" s="149" t="s">
        <v>747</v>
      </c>
      <c r="L64" s="67">
        <v>45875.666666666664</v>
      </c>
      <c r="M64" s="145">
        <v>0.49930555555555556</v>
      </c>
      <c r="N64" s="118">
        <v>12</v>
      </c>
      <c r="O64" s="118" t="s">
        <v>8</v>
      </c>
      <c r="P64" s="118"/>
      <c r="Q64" s="118" t="s">
        <v>11</v>
      </c>
      <c r="R64" s="146" t="s">
        <v>1316</v>
      </c>
      <c r="S64" s="146">
        <v>0.85</v>
      </c>
      <c r="T64" s="118" t="s">
        <v>1317</v>
      </c>
      <c r="U64" s="118" t="s">
        <v>1317</v>
      </c>
      <c r="V64" s="118" t="s">
        <v>1318</v>
      </c>
      <c r="W64" s="146" t="s">
        <v>1319</v>
      </c>
      <c r="X64" s="146" t="s">
        <v>1320</v>
      </c>
      <c r="Y64" s="146" t="s">
        <v>1622</v>
      </c>
      <c r="Z64" s="118" t="s">
        <v>1321</v>
      </c>
      <c r="AA64" s="118">
        <v>-85.950957297963896</v>
      </c>
      <c r="AB64" s="118">
        <v>40.711642507143999</v>
      </c>
    </row>
    <row r="65" spans="1:28" ht="23.25" customHeight="1" x14ac:dyDescent="0.25">
      <c r="A65" s="118">
        <v>292</v>
      </c>
      <c r="B65" s="118" t="s">
        <v>1368</v>
      </c>
      <c r="C65" s="67">
        <v>45889.601747685185</v>
      </c>
      <c r="D65" s="118" t="s">
        <v>1046</v>
      </c>
      <c r="E65" s="67">
        <v>45889.601747685185</v>
      </c>
      <c r="F65" s="118" t="s">
        <v>1046</v>
      </c>
      <c r="G65" s="25">
        <v>10559</v>
      </c>
      <c r="H65" s="118"/>
      <c r="I65" s="118"/>
      <c r="J65" s="118"/>
      <c r="K65" s="149" t="s">
        <v>748</v>
      </c>
      <c r="L65" s="67">
        <v>45875.666666666664</v>
      </c>
      <c r="M65" s="145">
        <v>0.65763888888888888</v>
      </c>
      <c r="N65" s="118">
        <v>13</v>
      </c>
      <c r="O65" s="118" t="s">
        <v>8</v>
      </c>
      <c r="P65" s="118"/>
      <c r="Q65" s="118" t="s">
        <v>11</v>
      </c>
      <c r="R65" s="146" t="s">
        <v>1369</v>
      </c>
      <c r="S65" s="146">
        <v>0.1</v>
      </c>
      <c r="T65" s="118" t="s">
        <v>1370</v>
      </c>
      <c r="U65" s="118" t="s">
        <v>1370</v>
      </c>
      <c r="V65" s="146" t="s">
        <v>1371</v>
      </c>
      <c r="W65" s="146" t="s">
        <v>1372</v>
      </c>
      <c r="X65" s="146" t="s">
        <v>1373</v>
      </c>
      <c r="Y65" s="146" t="s">
        <v>1591</v>
      </c>
      <c r="Z65" s="118" t="s">
        <v>1374</v>
      </c>
      <c r="AA65" s="118">
        <v>-85.841428341580198</v>
      </c>
      <c r="AB65" s="118">
        <v>40.672639173060297</v>
      </c>
    </row>
    <row r="66" spans="1:28" ht="23.25" customHeight="1" x14ac:dyDescent="0.25">
      <c r="A66" s="118">
        <v>283</v>
      </c>
      <c r="B66" s="118" t="s">
        <v>1308</v>
      </c>
      <c r="C66" s="67">
        <v>45875.663993055554</v>
      </c>
      <c r="D66" s="118" t="s">
        <v>1046</v>
      </c>
      <c r="E66" s="67">
        <v>45875.663993055554</v>
      </c>
      <c r="F66" s="118" t="s">
        <v>1046</v>
      </c>
      <c r="G66" s="25">
        <v>10560</v>
      </c>
      <c r="H66" s="118"/>
      <c r="I66" s="118"/>
      <c r="J66" s="118"/>
      <c r="K66" s="149" t="s">
        <v>749</v>
      </c>
      <c r="L66" s="67">
        <v>45875.666666666664</v>
      </c>
      <c r="M66" s="145">
        <v>0.49444444444444446</v>
      </c>
      <c r="N66" s="118">
        <v>14</v>
      </c>
      <c r="O66" s="118" t="s">
        <v>8</v>
      </c>
      <c r="P66" s="118"/>
      <c r="Q66" s="118" t="s">
        <v>11</v>
      </c>
      <c r="R66" s="146" t="s">
        <v>1309</v>
      </c>
      <c r="S66" s="146">
        <v>0.6</v>
      </c>
      <c r="T66" s="118" t="s">
        <v>1310</v>
      </c>
      <c r="U66" s="118" t="s">
        <v>1310</v>
      </c>
      <c r="V66" s="118" t="s">
        <v>1311</v>
      </c>
      <c r="W66" s="146" t="s">
        <v>1312</v>
      </c>
      <c r="X66" s="146" t="s">
        <v>1313</v>
      </c>
      <c r="Y66" s="146" t="s">
        <v>1621</v>
      </c>
      <c r="Z66" s="118" t="s">
        <v>1314</v>
      </c>
      <c r="AA66" s="118">
        <v>-85.950773635567103</v>
      </c>
      <c r="AB66" s="118">
        <v>40.715589359992002</v>
      </c>
    </row>
    <row r="67" spans="1:28" ht="23.25" customHeight="1" x14ac:dyDescent="0.25">
      <c r="A67" s="118">
        <v>289</v>
      </c>
      <c r="B67" s="118" t="s">
        <v>1349</v>
      </c>
      <c r="C67" s="67">
        <v>45875.897048611114</v>
      </c>
      <c r="D67" s="118" t="s">
        <v>1046</v>
      </c>
      <c r="E67" s="67">
        <v>45875.897048611114</v>
      </c>
      <c r="F67" s="118" t="s">
        <v>1046</v>
      </c>
      <c r="G67" s="25">
        <v>10561</v>
      </c>
      <c r="H67" s="118"/>
      <c r="I67" s="118"/>
      <c r="J67" s="118"/>
      <c r="K67" s="149" t="s">
        <v>750</v>
      </c>
      <c r="L67" s="67">
        <v>45875.666666666664</v>
      </c>
      <c r="M67" s="145">
        <v>0.61597222222222225</v>
      </c>
      <c r="N67" s="118">
        <v>15</v>
      </c>
      <c r="O67" s="118" t="s">
        <v>8</v>
      </c>
      <c r="P67" s="118"/>
      <c r="Q67" s="118" t="s">
        <v>11</v>
      </c>
      <c r="R67" s="146" t="s">
        <v>1350</v>
      </c>
      <c r="S67" s="146">
        <v>0.3</v>
      </c>
      <c r="T67" s="118" t="s">
        <v>750</v>
      </c>
      <c r="U67" s="118" t="s">
        <v>750</v>
      </c>
      <c r="V67" s="118" t="s">
        <v>1351</v>
      </c>
      <c r="W67" s="146" t="s">
        <v>1352</v>
      </c>
      <c r="X67" s="146" t="s">
        <v>1353</v>
      </c>
      <c r="Y67" s="146" t="s">
        <v>1596</v>
      </c>
      <c r="Z67" s="118" t="s">
        <v>1354</v>
      </c>
      <c r="AA67" s="118">
        <v>-85.855203228642097</v>
      </c>
      <c r="AB67" s="118">
        <v>40.663695204342503</v>
      </c>
    </row>
    <row r="68" spans="1:28" ht="23.25" customHeight="1" x14ac:dyDescent="0.25">
      <c r="A68" s="118">
        <v>293</v>
      </c>
      <c r="B68" s="118" t="s">
        <v>1375</v>
      </c>
      <c r="C68" s="67">
        <v>45889.6018287037</v>
      </c>
      <c r="D68" s="118" t="s">
        <v>1046</v>
      </c>
      <c r="E68" s="67">
        <v>45889.6018287037</v>
      </c>
      <c r="F68" s="118" t="s">
        <v>1046</v>
      </c>
      <c r="G68" s="25">
        <v>10562</v>
      </c>
      <c r="H68" s="118"/>
      <c r="I68" s="118"/>
      <c r="J68" s="118"/>
      <c r="K68" s="149" t="s">
        <v>751</v>
      </c>
      <c r="L68" s="67">
        <v>45875.666666666664</v>
      </c>
      <c r="M68" s="145">
        <v>0.67083333333333328</v>
      </c>
      <c r="N68" s="118">
        <v>16</v>
      </c>
      <c r="O68" s="118" t="s">
        <v>8</v>
      </c>
      <c r="P68" s="118"/>
      <c r="Q68" s="118" t="s">
        <v>11</v>
      </c>
      <c r="R68" s="146" t="s">
        <v>1376</v>
      </c>
      <c r="S68" s="146">
        <v>0.15</v>
      </c>
      <c r="T68" s="118" t="s">
        <v>751</v>
      </c>
      <c r="U68" s="118" t="s">
        <v>751</v>
      </c>
      <c r="V68" s="146" t="s">
        <v>1377</v>
      </c>
      <c r="W68" s="146" t="s">
        <v>1378</v>
      </c>
      <c r="X68" s="146" t="s">
        <v>1379</v>
      </c>
      <c r="Y68" s="146" t="s">
        <v>1598</v>
      </c>
      <c r="Z68" s="118" t="s">
        <v>1380</v>
      </c>
      <c r="AA68" s="118">
        <v>-85.836302394486395</v>
      </c>
      <c r="AB68" s="118">
        <v>40.672891429388898</v>
      </c>
    </row>
    <row r="69" spans="1:28" ht="23.25" customHeight="1" x14ac:dyDescent="0.25">
      <c r="A69" s="118">
        <v>322</v>
      </c>
      <c r="B69" s="118" t="s">
        <v>1546</v>
      </c>
      <c r="C69" s="67">
        <v>45923.705775462964</v>
      </c>
      <c r="D69" s="118" t="s">
        <v>1547</v>
      </c>
      <c r="E69" s="67">
        <v>45923.705775462964</v>
      </c>
      <c r="F69" s="118" t="s">
        <v>1547</v>
      </c>
      <c r="G69" s="25">
        <v>10563</v>
      </c>
      <c r="H69" s="118"/>
      <c r="I69" s="118"/>
      <c r="J69" s="118"/>
      <c r="K69" s="124" t="s">
        <v>782</v>
      </c>
      <c r="L69" s="67">
        <v>45882.666666666664</v>
      </c>
      <c r="M69" s="145">
        <v>0.38333333333333336</v>
      </c>
      <c r="N69" s="118">
        <v>1</v>
      </c>
      <c r="O69" s="118" t="s">
        <v>8</v>
      </c>
      <c r="P69" s="118"/>
      <c r="Q69" s="118" t="s">
        <v>11</v>
      </c>
      <c r="R69" s="118"/>
      <c r="S69" s="118"/>
      <c r="T69" s="118" t="s">
        <v>782</v>
      </c>
      <c r="U69" s="118" t="s">
        <v>1548</v>
      </c>
      <c r="V69" s="146" t="s">
        <v>1549</v>
      </c>
      <c r="W69" s="118"/>
      <c r="X69" s="118"/>
      <c r="Y69" s="146" t="s">
        <v>115</v>
      </c>
      <c r="Z69" s="118"/>
      <c r="AA69" s="118">
        <v>-85.888788149456502</v>
      </c>
      <c r="AB69" s="118">
        <v>40.681715106607101</v>
      </c>
    </row>
    <row r="70" spans="1:28" ht="23.25" customHeight="1" x14ac:dyDescent="0.25">
      <c r="A70" s="118">
        <v>323</v>
      </c>
      <c r="B70" s="118" t="s">
        <v>1550</v>
      </c>
      <c r="C70" s="67">
        <v>45923.705787037034</v>
      </c>
      <c r="D70" s="118" t="s">
        <v>1547</v>
      </c>
      <c r="E70" s="67">
        <v>45923.705787037034</v>
      </c>
      <c r="F70" s="118" t="s">
        <v>1547</v>
      </c>
      <c r="G70" s="25">
        <v>10564</v>
      </c>
      <c r="H70" s="118"/>
      <c r="I70" s="118"/>
      <c r="J70" s="118"/>
      <c r="K70" s="124" t="s">
        <v>783</v>
      </c>
      <c r="L70" s="67">
        <v>45882.666666666664</v>
      </c>
      <c r="M70" s="145">
        <v>0.39861111111111114</v>
      </c>
      <c r="N70" s="118">
        <v>2</v>
      </c>
      <c r="O70" s="118" t="s">
        <v>8</v>
      </c>
      <c r="P70" s="118"/>
      <c r="Q70" s="118" t="s">
        <v>11</v>
      </c>
      <c r="R70" s="118"/>
      <c r="S70" s="118"/>
      <c r="T70" s="118" t="s">
        <v>1551</v>
      </c>
      <c r="U70" s="118" t="s">
        <v>1552</v>
      </c>
      <c r="V70" s="118"/>
      <c r="W70" s="118"/>
      <c r="X70" s="118"/>
      <c r="Y70" s="146" t="s">
        <v>115</v>
      </c>
      <c r="Z70" s="118"/>
      <c r="AA70" s="118">
        <v>-85.877201243577403</v>
      </c>
      <c r="AB70" s="118">
        <v>40.677154294966101</v>
      </c>
    </row>
    <row r="71" spans="1:28" ht="23.25" customHeight="1" x14ac:dyDescent="0.25">
      <c r="A71" s="118">
        <v>324</v>
      </c>
      <c r="B71" s="118" t="s">
        <v>1553</v>
      </c>
      <c r="C71" s="67">
        <v>45923.70579861111</v>
      </c>
      <c r="D71" s="118" t="s">
        <v>1547</v>
      </c>
      <c r="E71" s="67">
        <v>45923.70579861111</v>
      </c>
      <c r="F71" s="118" t="s">
        <v>1547</v>
      </c>
      <c r="G71" s="25">
        <v>10565</v>
      </c>
      <c r="H71" s="118"/>
      <c r="I71" s="118"/>
      <c r="J71" s="118"/>
      <c r="K71" s="124" t="s">
        <v>784</v>
      </c>
      <c r="L71" s="67">
        <v>45882.666666666664</v>
      </c>
      <c r="M71" s="145">
        <v>0.41111111111111109</v>
      </c>
      <c r="N71" s="118">
        <v>3</v>
      </c>
      <c r="O71" s="118" t="s">
        <v>8</v>
      </c>
      <c r="P71" s="118"/>
      <c r="Q71" s="118" t="s">
        <v>11</v>
      </c>
      <c r="R71" s="118"/>
      <c r="S71" s="118"/>
      <c r="T71" s="118" t="s">
        <v>784</v>
      </c>
      <c r="U71" s="118" t="s">
        <v>1554</v>
      </c>
      <c r="V71" s="118"/>
      <c r="W71" s="118"/>
      <c r="X71" s="118"/>
      <c r="Y71" s="146" t="s">
        <v>115</v>
      </c>
      <c r="Z71" s="118"/>
      <c r="AA71" s="118">
        <v>-85.870287405498303</v>
      </c>
      <c r="AB71" s="118">
        <v>40.670718619801697</v>
      </c>
    </row>
    <row r="72" spans="1:28" ht="23.25" customHeight="1" x14ac:dyDescent="0.25">
      <c r="A72" s="118">
        <v>325</v>
      </c>
      <c r="B72" s="118" t="s">
        <v>1555</v>
      </c>
      <c r="C72" s="67">
        <v>45923.705833333333</v>
      </c>
      <c r="D72" s="118" t="s">
        <v>1547</v>
      </c>
      <c r="E72" s="67">
        <v>45923.705833333333</v>
      </c>
      <c r="F72" s="118" t="s">
        <v>1547</v>
      </c>
      <c r="G72" s="25">
        <v>10566</v>
      </c>
      <c r="H72" s="118"/>
      <c r="I72" s="118"/>
      <c r="J72" s="118"/>
      <c r="K72" s="124" t="s">
        <v>785</v>
      </c>
      <c r="L72" s="67">
        <v>45882.666666666664</v>
      </c>
      <c r="M72" s="145">
        <v>0.41875000000000001</v>
      </c>
      <c r="N72" s="118">
        <v>4</v>
      </c>
      <c r="O72" s="118" t="s">
        <v>8</v>
      </c>
      <c r="P72" s="118"/>
      <c r="Q72" s="118" t="s">
        <v>11</v>
      </c>
      <c r="R72" s="118"/>
      <c r="S72" s="118"/>
      <c r="T72" s="118" t="s">
        <v>785</v>
      </c>
      <c r="U72" s="118" t="s">
        <v>1556</v>
      </c>
      <c r="V72" s="118"/>
      <c r="W72" s="118"/>
      <c r="X72" s="118"/>
      <c r="Y72" s="146" t="s">
        <v>115</v>
      </c>
      <c r="Z72" s="118"/>
      <c r="AA72" s="118">
        <v>-85.866485864267801</v>
      </c>
      <c r="AB72" s="118">
        <v>40.663286919955198</v>
      </c>
    </row>
    <row r="73" spans="1:28" ht="23.25" customHeight="1" x14ac:dyDescent="0.25">
      <c r="A73" s="118">
        <v>327</v>
      </c>
      <c r="B73" s="118" t="s">
        <v>1559</v>
      </c>
      <c r="C73" s="67">
        <v>45923.705868055556</v>
      </c>
      <c r="D73" s="118" t="s">
        <v>1547</v>
      </c>
      <c r="E73" s="67">
        <v>45923.705868055556</v>
      </c>
      <c r="F73" s="118" t="s">
        <v>1547</v>
      </c>
      <c r="G73" s="25">
        <v>10567</v>
      </c>
      <c r="H73" s="118"/>
      <c r="I73" s="118"/>
      <c r="J73" s="118"/>
      <c r="K73" s="124" t="s">
        <v>786</v>
      </c>
      <c r="L73" s="67">
        <v>45882.666666666664</v>
      </c>
      <c r="M73" s="145">
        <v>0.44513888888888886</v>
      </c>
      <c r="N73" s="118">
        <v>5</v>
      </c>
      <c r="O73" s="118" t="s">
        <v>8</v>
      </c>
      <c r="P73" s="118"/>
      <c r="Q73" s="118" t="s">
        <v>11</v>
      </c>
      <c r="R73" s="118"/>
      <c r="S73" s="118"/>
      <c r="T73" s="118" t="s">
        <v>786</v>
      </c>
      <c r="U73" s="118" t="s">
        <v>1560</v>
      </c>
      <c r="V73" s="118"/>
      <c r="W73" s="118"/>
      <c r="X73" s="118"/>
      <c r="Y73" s="146" t="s">
        <v>115</v>
      </c>
      <c r="Z73" s="118"/>
      <c r="AA73" s="118">
        <v>-85.847962574216595</v>
      </c>
      <c r="AB73" s="118">
        <v>40.668572255115002</v>
      </c>
    </row>
    <row r="74" spans="1:28" ht="23.25" customHeight="1" x14ac:dyDescent="0.25">
      <c r="A74" s="118">
        <v>329</v>
      </c>
      <c r="B74" s="118" t="s">
        <v>1563</v>
      </c>
      <c r="C74" s="67">
        <v>45923.70590277778</v>
      </c>
      <c r="D74" s="118" t="s">
        <v>1547</v>
      </c>
      <c r="E74" s="67">
        <v>45923.70590277778</v>
      </c>
      <c r="F74" s="118" t="s">
        <v>1547</v>
      </c>
      <c r="G74" s="25">
        <v>10568</v>
      </c>
      <c r="H74" s="118"/>
      <c r="I74" s="118"/>
      <c r="J74" s="118"/>
      <c r="K74" s="148" t="s">
        <v>787</v>
      </c>
      <c r="L74" s="67">
        <v>45882.666666666664</v>
      </c>
      <c r="M74" s="145">
        <v>0.46597222222222223</v>
      </c>
      <c r="N74" s="118">
        <v>6</v>
      </c>
      <c r="O74" s="118" t="s">
        <v>8</v>
      </c>
      <c r="P74" s="118"/>
      <c r="Q74" s="118" t="s">
        <v>11</v>
      </c>
      <c r="R74" s="118"/>
      <c r="S74" s="118"/>
      <c r="T74" s="118" t="s">
        <v>787</v>
      </c>
      <c r="U74" s="118" t="s">
        <v>1564</v>
      </c>
      <c r="V74" s="118"/>
      <c r="W74" s="118"/>
      <c r="X74" s="118"/>
      <c r="Y74" s="146" t="s">
        <v>115</v>
      </c>
      <c r="Z74" s="118"/>
      <c r="AA74" s="118">
        <v>-85.831860726015293</v>
      </c>
      <c r="AB74" s="118">
        <v>40.673722143501401</v>
      </c>
    </row>
    <row r="75" spans="1:28" ht="23.25" customHeight="1" x14ac:dyDescent="0.25">
      <c r="A75" s="118">
        <v>336</v>
      </c>
      <c r="B75" s="118" t="s">
        <v>1577</v>
      </c>
      <c r="C75" s="67">
        <v>45923.706006944441</v>
      </c>
      <c r="D75" s="118" t="s">
        <v>1547</v>
      </c>
      <c r="E75" s="67">
        <v>45923.751770833333</v>
      </c>
      <c r="F75" s="118" t="s">
        <v>1547</v>
      </c>
      <c r="G75" s="25">
        <v>10569</v>
      </c>
      <c r="H75" s="118"/>
      <c r="I75" s="118"/>
      <c r="J75" s="118"/>
      <c r="K75" s="148" t="s">
        <v>788</v>
      </c>
      <c r="L75" s="67">
        <v>45882.666666666664</v>
      </c>
      <c r="M75" s="145">
        <v>0.58194444444444449</v>
      </c>
      <c r="N75" s="118">
        <v>7</v>
      </c>
      <c r="O75" s="118" t="s">
        <v>8</v>
      </c>
      <c r="P75" s="118"/>
      <c r="Q75" s="118" t="s">
        <v>11</v>
      </c>
      <c r="R75" s="118"/>
      <c r="S75" s="118"/>
      <c r="T75" s="118" t="s">
        <v>788</v>
      </c>
      <c r="U75" s="118" t="s">
        <v>1578</v>
      </c>
      <c r="V75" s="118"/>
      <c r="W75" s="118"/>
      <c r="X75" s="118"/>
      <c r="Y75" s="146" t="s">
        <v>115</v>
      </c>
      <c r="Z75" s="118"/>
      <c r="AA75" s="118">
        <v>-85.896392727391799</v>
      </c>
      <c r="AB75" s="118">
        <v>40.687837744978602</v>
      </c>
    </row>
    <row r="76" spans="1:28" ht="23.25" customHeight="1" x14ac:dyDescent="0.25">
      <c r="A76" s="118">
        <v>335</v>
      </c>
      <c r="B76" s="118" t="s">
        <v>1575</v>
      </c>
      <c r="C76" s="67">
        <v>45923.705995370372</v>
      </c>
      <c r="D76" s="118" t="s">
        <v>1547</v>
      </c>
      <c r="E76" s="67">
        <v>45923.75172453704</v>
      </c>
      <c r="F76" s="118" t="s">
        <v>1547</v>
      </c>
      <c r="G76" s="25">
        <v>10570</v>
      </c>
      <c r="H76" s="118"/>
      <c r="I76" s="118"/>
      <c r="J76" s="118"/>
      <c r="K76" s="148" t="s">
        <v>789</v>
      </c>
      <c r="L76" s="67">
        <v>45882.666666666664</v>
      </c>
      <c r="M76" s="145">
        <v>0.57847222222222228</v>
      </c>
      <c r="N76" s="118">
        <v>8</v>
      </c>
      <c r="O76" s="118" t="s">
        <v>8</v>
      </c>
      <c r="P76" s="118"/>
      <c r="Q76" s="118" t="s">
        <v>11</v>
      </c>
      <c r="R76" s="118"/>
      <c r="S76" s="118"/>
      <c r="T76" s="118" t="s">
        <v>789</v>
      </c>
      <c r="U76" s="118" t="s">
        <v>1576</v>
      </c>
      <c r="V76" s="118"/>
      <c r="W76" s="118"/>
      <c r="X76" s="118"/>
      <c r="Y76" s="146" t="s">
        <v>115</v>
      </c>
      <c r="Z76" s="118"/>
      <c r="AA76" s="118">
        <v>-85.907788549587707</v>
      </c>
      <c r="AB76" s="118">
        <v>40.691436921490698</v>
      </c>
    </row>
    <row r="77" spans="1:28" ht="23.25" customHeight="1" x14ac:dyDescent="0.25">
      <c r="A77" s="118">
        <v>333</v>
      </c>
      <c r="B77" s="118" t="s">
        <v>1571</v>
      </c>
      <c r="C77" s="67">
        <v>45923.705960648149</v>
      </c>
      <c r="D77" s="118" t="s">
        <v>1547</v>
      </c>
      <c r="E77" s="67">
        <v>45923.751620370371</v>
      </c>
      <c r="F77" s="118" t="s">
        <v>1547</v>
      </c>
      <c r="G77" s="25">
        <v>10571</v>
      </c>
      <c r="H77" s="118"/>
      <c r="I77" s="118"/>
      <c r="J77" s="118"/>
      <c r="K77" s="148" t="s">
        <v>790</v>
      </c>
      <c r="L77" s="67">
        <v>45882.666666666664</v>
      </c>
      <c r="M77" s="145">
        <v>0.5444444444444444</v>
      </c>
      <c r="N77" s="118">
        <v>9</v>
      </c>
      <c r="O77" s="118" t="s">
        <v>8</v>
      </c>
      <c r="P77" s="118"/>
      <c r="Q77" s="118" t="s">
        <v>11</v>
      </c>
      <c r="R77" s="118"/>
      <c r="S77" s="118"/>
      <c r="T77" s="118" t="s">
        <v>790</v>
      </c>
      <c r="U77" s="118" t="s">
        <v>1572</v>
      </c>
      <c r="V77" s="118"/>
      <c r="W77" s="118"/>
      <c r="X77" s="118"/>
      <c r="Y77" s="146" t="s">
        <v>115</v>
      </c>
      <c r="Z77" s="118"/>
      <c r="AA77" s="118">
        <v>-85.930099513462096</v>
      </c>
      <c r="AB77" s="118">
        <v>40.7042358795022</v>
      </c>
    </row>
    <row r="78" spans="1:28" ht="23.25" customHeight="1" x14ac:dyDescent="0.25">
      <c r="A78" s="118">
        <v>334</v>
      </c>
      <c r="B78" s="118" t="s">
        <v>1573</v>
      </c>
      <c r="C78" s="67">
        <v>45923.705972222226</v>
      </c>
      <c r="D78" s="118" t="s">
        <v>1547</v>
      </c>
      <c r="E78" s="67">
        <v>45923.751689814817</v>
      </c>
      <c r="F78" s="118" t="s">
        <v>1547</v>
      </c>
      <c r="G78" s="25">
        <v>10572</v>
      </c>
      <c r="H78" s="118"/>
      <c r="I78" s="118"/>
      <c r="J78" s="118"/>
      <c r="K78" s="148" t="s">
        <v>791</v>
      </c>
      <c r="L78" s="67">
        <v>45882.666666666664</v>
      </c>
      <c r="M78" s="145">
        <v>0.55694444444444446</v>
      </c>
      <c r="N78" s="118">
        <v>10</v>
      </c>
      <c r="O78" s="118" t="s">
        <v>8</v>
      </c>
      <c r="P78" s="118"/>
      <c r="Q78" s="118" t="s">
        <v>11</v>
      </c>
      <c r="R78" s="118"/>
      <c r="S78" s="118"/>
      <c r="T78" s="118" t="s">
        <v>791</v>
      </c>
      <c r="U78" s="118" t="s">
        <v>1574</v>
      </c>
      <c r="V78" s="118"/>
      <c r="W78" s="118"/>
      <c r="X78" s="118"/>
      <c r="Y78" s="146" t="s">
        <v>115</v>
      </c>
      <c r="Z78" s="118"/>
      <c r="AA78" s="118">
        <v>-85.919984527129003</v>
      </c>
      <c r="AB78" s="118">
        <v>40.693064987555303</v>
      </c>
    </row>
    <row r="79" spans="1:28" ht="23.25" customHeight="1" x14ac:dyDescent="0.25">
      <c r="A79" s="118">
        <v>332</v>
      </c>
      <c r="B79" s="118" t="s">
        <v>1569</v>
      </c>
      <c r="C79" s="67">
        <v>45923.705937500003</v>
      </c>
      <c r="D79" s="118" t="s">
        <v>1547</v>
      </c>
      <c r="E79" s="67">
        <v>45923.751574074071</v>
      </c>
      <c r="F79" s="118" t="s">
        <v>1547</v>
      </c>
      <c r="G79" s="25">
        <v>10573</v>
      </c>
      <c r="H79" s="118"/>
      <c r="I79" s="118"/>
      <c r="J79" s="118"/>
      <c r="K79" s="148" t="s">
        <v>792</v>
      </c>
      <c r="L79" s="67">
        <v>45882.666666666664</v>
      </c>
      <c r="M79" s="145">
        <v>0.53263888888888888</v>
      </c>
      <c r="N79" s="118">
        <v>11</v>
      </c>
      <c r="O79" s="118" t="s">
        <v>8</v>
      </c>
      <c r="P79" s="118"/>
      <c r="Q79" s="118" t="s">
        <v>11</v>
      </c>
      <c r="R79" s="118"/>
      <c r="S79" s="118"/>
      <c r="T79" s="118" t="s">
        <v>792</v>
      </c>
      <c r="U79" s="118" t="s">
        <v>1570</v>
      </c>
      <c r="V79" s="118"/>
      <c r="W79" s="118"/>
      <c r="X79" s="118"/>
      <c r="Y79" s="146" t="s">
        <v>115</v>
      </c>
      <c r="Z79" s="118"/>
      <c r="AA79" s="118">
        <v>-85.938684960607205</v>
      </c>
      <c r="AB79" s="118">
        <v>40.7109787493496</v>
      </c>
    </row>
    <row r="80" spans="1:28" ht="23.25" customHeight="1" x14ac:dyDescent="0.25">
      <c r="A80" s="118">
        <v>331</v>
      </c>
      <c r="B80" s="118" t="s">
        <v>1567</v>
      </c>
      <c r="C80" s="67">
        <v>45923.705925925926</v>
      </c>
      <c r="D80" s="118" t="s">
        <v>1547</v>
      </c>
      <c r="E80" s="67">
        <v>45923.751539351855</v>
      </c>
      <c r="F80" s="118" t="s">
        <v>1547</v>
      </c>
      <c r="G80" s="25">
        <v>10574</v>
      </c>
      <c r="H80" s="118"/>
      <c r="I80" s="118"/>
      <c r="J80" s="118"/>
      <c r="K80" s="148" t="s">
        <v>793</v>
      </c>
      <c r="L80" s="67">
        <v>45882.666666666664</v>
      </c>
      <c r="M80" s="145">
        <v>0.5229166666666667</v>
      </c>
      <c r="N80" s="118">
        <v>12</v>
      </c>
      <c r="O80" s="118" t="s">
        <v>8</v>
      </c>
      <c r="P80" s="118"/>
      <c r="Q80" s="118" t="s">
        <v>11</v>
      </c>
      <c r="R80" s="118"/>
      <c r="S80" s="118"/>
      <c r="T80" s="118" t="s">
        <v>793</v>
      </c>
      <c r="U80" s="118" t="s">
        <v>1568</v>
      </c>
      <c r="V80" s="118"/>
      <c r="W80" s="118"/>
      <c r="X80" s="118"/>
      <c r="Y80" s="146" t="s">
        <v>115</v>
      </c>
      <c r="Z80" s="118"/>
      <c r="AA80" s="118">
        <v>-85.950778318148494</v>
      </c>
      <c r="AB80" s="118">
        <v>40.711693336855703</v>
      </c>
    </row>
    <row r="81" spans="1:28" ht="23.25" customHeight="1" x14ac:dyDescent="0.25">
      <c r="A81" s="118">
        <v>328</v>
      </c>
      <c r="B81" s="118" t="s">
        <v>1561</v>
      </c>
      <c r="C81" s="67">
        <v>45923.705891203703</v>
      </c>
      <c r="D81" s="118" t="s">
        <v>1547</v>
      </c>
      <c r="E81" s="67">
        <v>45923.705891203703</v>
      </c>
      <c r="F81" s="118" t="s">
        <v>1547</v>
      </c>
      <c r="G81" s="25">
        <v>10575</v>
      </c>
      <c r="H81" s="118"/>
      <c r="I81" s="118"/>
      <c r="J81" s="118"/>
      <c r="K81" s="148" t="s">
        <v>794</v>
      </c>
      <c r="L81" s="67">
        <v>45882.666666666664</v>
      </c>
      <c r="M81" s="145">
        <v>0.45555555555555555</v>
      </c>
      <c r="N81" s="118">
        <v>13</v>
      </c>
      <c r="O81" s="118" t="s">
        <v>8</v>
      </c>
      <c r="P81" s="118"/>
      <c r="Q81" s="118" t="s">
        <v>11</v>
      </c>
      <c r="R81" s="118"/>
      <c r="S81" s="118"/>
      <c r="T81" s="118" t="s">
        <v>794</v>
      </c>
      <c r="U81" s="118" t="s">
        <v>1562</v>
      </c>
      <c r="V81" s="118"/>
      <c r="W81" s="118"/>
      <c r="X81" s="118"/>
      <c r="Y81" s="146" t="s">
        <v>115</v>
      </c>
      <c r="Z81" s="118"/>
      <c r="AA81" s="118">
        <v>-85.841450190894093</v>
      </c>
      <c r="AB81" s="118">
        <v>40.672573608924402</v>
      </c>
    </row>
    <row r="82" spans="1:28" ht="23.25" customHeight="1" x14ac:dyDescent="0.25">
      <c r="A82" s="118">
        <v>326</v>
      </c>
      <c r="B82" s="118" t="s">
        <v>1557</v>
      </c>
      <c r="C82" s="67">
        <v>45923.70584490741</v>
      </c>
      <c r="D82" s="118" t="s">
        <v>1547</v>
      </c>
      <c r="E82" s="67">
        <v>45923.751377314817</v>
      </c>
      <c r="F82" s="118" t="s">
        <v>1547</v>
      </c>
      <c r="G82" s="25">
        <v>10576</v>
      </c>
      <c r="H82" s="118"/>
      <c r="I82" s="118"/>
      <c r="J82" s="118"/>
      <c r="K82" s="148" t="s">
        <v>795</v>
      </c>
      <c r="L82" s="67">
        <v>45882.666666666664</v>
      </c>
      <c r="M82" s="145">
        <v>0.43680555555555556</v>
      </c>
      <c r="N82" s="118">
        <v>15</v>
      </c>
      <c r="O82" s="118" t="s">
        <v>8</v>
      </c>
      <c r="P82" s="118"/>
      <c r="Q82" s="118" t="s">
        <v>11</v>
      </c>
      <c r="R82" s="118"/>
      <c r="S82" s="118"/>
      <c r="T82" s="118" t="s">
        <v>795</v>
      </c>
      <c r="U82" s="118" t="s">
        <v>1558</v>
      </c>
      <c r="V82" s="118"/>
      <c r="W82" s="118"/>
      <c r="X82" s="118"/>
      <c r="Y82" s="146" t="s">
        <v>115</v>
      </c>
      <c r="Z82" s="118"/>
      <c r="AA82" s="118">
        <v>-85.855344082132305</v>
      </c>
      <c r="AB82" s="118">
        <v>40.663149028751498</v>
      </c>
    </row>
    <row r="83" spans="1:28" ht="23.25" customHeight="1" x14ac:dyDescent="0.25">
      <c r="A83" s="118">
        <v>330</v>
      </c>
      <c r="B83" s="118" t="s">
        <v>1565</v>
      </c>
      <c r="C83" s="67">
        <v>45923.705914351849</v>
      </c>
      <c r="D83" s="118" t="s">
        <v>1547</v>
      </c>
      <c r="E83" s="67">
        <v>45923.751481481479</v>
      </c>
      <c r="F83" s="118" t="s">
        <v>1547</v>
      </c>
      <c r="G83" s="25">
        <v>10577</v>
      </c>
      <c r="H83" s="118"/>
      <c r="I83" s="118"/>
      <c r="J83" s="118"/>
      <c r="K83" s="148" t="s">
        <v>796</v>
      </c>
      <c r="L83" s="67">
        <v>45882.666666666664</v>
      </c>
      <c r="M83" s="145">
        <v>0.49236111111111114</v>
      </c>
      <c r="N83" s="118">
        <v>17</v>
      </c>
      <c r="O83" s="118" t="s">
        <v>8</v>
      </c>
      <c r="P83" s="118"/>
      <c r="Q83" s="118" t="s">
        <v>11</v>
      </c>
      <c r="R83" s="118"/>
      <c r="S83" s="118"/>
      <c r="T83" s="118" t="s">
        <v>796</v>
      </c>
      <c r="U83" s="118" t="s">
        <v>1566</v>
      </c>
      <c r="V83" s="118"/>
      <c r="W83" s="118"/>
      <c r="X83" s="118"/>
      <c r="Y83" s="146" t="s">
        <v>115</v>
      </c>
      <c r="Z83" s="118"/>
      <c r="AA83" s="118">
        <v>-85.876428639400501</v>
      </c>
      <c r="AB83" s="118">
        <v>40.677226157739803</v>
      </c>
    </row>
    <row r="84" spans="1:28" ht="23.25" customHeight="1" x14ac:dyDescent="0.25">
      <c r="A84" s="118">
        <v>303</v>
      </c>
      <c r="B84" s="118" t="s">
        <v>1438</v>
      </c>
      <c r="C84" s="67">
        <v>45891.720543981479</v>
      </c>
      <c r="D84" s="118" t="s">
        <v>1046</v>
      </c>
      <c r="E84" s="67">
        <v>45891.720543981479</v>
      </c>
      <c r="F84" s="118" t="s">
        <v>1046</v>
      </c>
      <c r="G84" s="25">
        <v>10578</v>
      </c>
      <c r="H84" s="118"/>
      <c r="I84" s="118"/>
      <c r="J84" s="118"/>
      <c r="K84" s="123" t="s">
        <v>752</v>
      </c>
      <c r="L84" s="67">
        <v>45891.666666666664</v>
      </c>
      <c r="M84" s="145">
        <v>0.5395833333333333</v>
      </c>
      <c r="N84" s="118">
        <v>1</v>
      </c>
      <c r="O84" s="118" t="s">
        <v>8</v>
      </c>
      <c r="P84" s="118"/>
      <c r="Q84" s="118" t="s">
        <v>11</v>
      </c>
      <c r="R84" s="146" t="s">
        <v>1439</v>
      </c>
      <c r="S84" s="146">
        <v>0.45</v>
      </c>
      <c r="T84" s="118" t="s">
        <v>752</v>
      </c>
      <c r="U84" s="118" t="s">
        <v>752</v>
      </c>
      <c r="V84" s="146" t="s">
        <v>1440</v>
      </c>
      <c r="W84" s="146" t="s">
        <v>1441</v>
      </c>
      <c r="X84" s="146" t="s">
        <v>1442</v>
      </c>
      <c r="Y84" s="146" t="s">
        <v>1616</v>
      </c>
      <c r="Z84" s="146" t="s">
        <v>1443</v>
      </c>
      <c r="AA84" s="118">
        <v>-85.888918001550294</v>
      </c>
      <c r="AB84" s="118">
        <v>40.6816536638119</v>
      </c>
    </row>
    <row r="85" spans="1:28" ht="23.25" customHeight="1" x14ac:dyDescent="0.25">
      <c r="A85" s="118">
        <v>302</v>
      </c>
      <c r="B85" s="118" t="s">
        <v>1432</v>
      </c>
      <c r="C85" s="67">
        <v>45891.720509259256</v>
      </c>
      <c r="D85" s="118" t="s">
        <v>1046</v>
      </c>
      <c r="E85" s="67">
        <v>45891.720509259256</v>
      </c>
      <c r="F85" s="118" t="s">
        <v>1046</v>
      </c>
      <c r="G85" s="25">
        <v>10579</v>
      </c>
      <c r="H85" s="118"/>
      <c r="I85" s="118"/>
      <c r="J85" s="118"/>
      <c r="K85" s="123" t="s">
        <v>753</v>
      </c>
      <c r="L85" s="67">
        <v>45891.666666666664</v>
      </c>
      <c r="M85" s="145">
        <v>0.50069444444444444</v>
      </c>
      <c r="N85" s="118">
        <v>2</v>
      </c>
      <c r="O85" s="118" t="s">
        <v>8</v>
      </c>
      <c r="P85" s="118"/>
      <c r="Q85" s="118" t="s">
        <v>11</v>
      </c>
      <c r="R85" s="146" t="s">
        <v>1433</v>
      </c>
      <c r="S85" s="146">
        <v>0.45</v>
      </c>
      <c r="T85" s="118" t="s">
        <v>753</v>
      </c>
      <c r="U85" s="118" t="s">
        <v>753</v>
      </c>
      <c r="V85" s="146" t="s">
        <v>1434</v>
      </c>
      <c r="W85" s="146" t="s">
        <v>1435</v>
      </c>
      <c r="X85" s="146" t="s">
        <v>1436</v>
      </c>
      <c r="Y85" s="146" t="s">
        <v>1627</v>
      </c>
      <c r="Z85" s="118" t="s">
        <v>1437</v>
      </c>
      <c r="AA85" s="118">
        <v>-85.877035047001101</v>
      </c>
      <c r="AB85" s="118">
        <v>40.676853874249602</v>
      </c>
    </row>
    <row r="86" spans="1:28" ht="23.25" customHeight="1" x14ac:dyDescent="0.25">
      <c r="A86" s="118">
        <v>301</v>
      </c>
      <c r="B86" s="118" t="s">
        <v>1425</v>
      </c>
      <c r="C86" s="67">
        <v>45891.720462962963</v>
      </c>
      <c r="D86" s="118" t="s">
        <v>1046</v>
      </c>
      <c r="E86" s="67">
        <v>45891.720462962963</v>
      </c>
      <c r="F86" s="118" t="s">
        <v>1046</v>
      </c>
      <c r="G86" s="25">
        <v>10580</v>
      </c>
      <c r="H86" s="118"/>
      <c r="I86" s="118"/>
      <c r="J86" s="118"/>
      <c r="K86" s="123" t="s">
        <v>754</v>
      </c>
      <c r="L86" s="67">
        <v>45891.666666666664</v>
      </c>
      <c r="M86" s="145">
        <v>0.48819444444444443</v>
      </c>
      <c r="N86" s="118">
        <v>3</v>
      </c>
      <c r="O86" s="118" t="s">
        <v>8</v>
      </c>
      <c r="P86" s="118"/>
      <c r="Q86" s="118" t="s">
        <v>11</v>
      </c>
      <c r="R86" s="146" t="s">
        <v>1426</v>
      </c>
      <c r="S86" s="146">
        <v>0.3</v>
      </c>
      <c r="T86" s="118" t="s">
        <v>1427</v>
      </c>
      <c r="U86" s="118" t="s">
        <v>1427</v>
      </c>
      <c r="V86" s="118" t="s">
        <v>1428</v>
      </c>
      <c r="W86" s="146" t="s">
        <v>1429</v>
      </c>
      <c r="X86" s="146" t="s">
        <v>1430</v>
      </c>
      <c r="Y86" s="146" t="s">
        <v>1627</v>
      </c>
      <c r="Z86" s="118" t="s">
        <v>1431</v>
      </c>
      <c r="AA86" s="118">
        <v>-85.8703953115144</v>
      </c>
      <c r="AB86" s="118">
        <v>40.670779334595501</v>
      </c>
    </row>
    <row r="87" spans="1:28" ht="23.25" customHeight="1" x14ac:dyDescent="0.25">
      <c r="A87" s="118">
        <v>300</v>
      </c>
      <c r="B87" s="118" t="s">
        <v>1418</v>
      </c>
      <c r="C87" s="67">
        <v>45891.720393518517</v>
      </c>
      <c r="D87" s="118" t="s">
        <v>1046</v>
      </c>
      <c r="E87" s="67">
        <v>45891.720393518517</v>
      </c>
      <c r="F87" s="118" t="s">
        <v>1046</v>
      </c>
      <c r="G87" s="25">
        <v>10581</v>
      </c>
      <c r="H87" s="118"/>
      <c r="I87" s="118"/>
      <c r="J87" s="118"/>
      <c r="K87" s="123" t="s">
        <v>755</v>
      </c>
      <c r="L87" s="67">
        <v>45891.666666666664</v>
      </c>
      <c r="M87" s="145">
        <v>0.47638888888888886</v>
      </c>
      <c r="N87" s="118">
        <v>4</v>
      </c>
      <c r="O87" s="118" t="s">
        <v>8</v>
      </c>
      <c r="P87" s="118"/>
      <c r="Q87" s="118" t="s">
        <v>11</v>
      </c>
      <c r="R87" s="146" t="s">
        <v>1419</v>
      </c>
      <c r="S87" s="146">
        <v>0.3</v>
      </c>
      <c r="T87" s="118" t="s">
        <v>1420</v>
      </c>
      <c r="U87" s="118" t="s">
        <v>1420</v>
      </c>
      <c r="V87" s="118" t="s">
        <v>1421</v>
      </c>
      <c r="W87" s="146" t="s">
        <v>1422</v>
      </c>
      <c r="X87" s="146" t="s">
        <v>1423</v>
      </c>
      <c r="Y87" s="146" t="s">
        <v>1626</v>
      </c>
      <c r="Z87" s="118" t="s">
        <v>1424</v>
      </c>
      <c r="AA87" s="118">
        <v>-85.8665417810126</v>
      </c>
      <c r="AB87" s="118">
        <v>40.663123189579501</v>
      </c>
    </row>
    <row r="88" spans="1:28" ht="23.25" customHeight="1" x14ac:dyDescent="0.25">
      <c r="A88" s="118">
        <v>298</v>
      </c>
      <c r="B88" s="118" t="s">
        <v>1404</v>
      </c>
      <c r="C88" s="67">
        <v>45891.720231481479</v>
      </c>
      <c r="D88" s="118" t="s">
        <v>1046</v>
      </c>
      <c r="E88" s="67">
        <v>45891.720231481479</v>
      </c>
      <c r="F88" s="118" t="s">
        <v>1046</v>
      </c>
      <c r="G88" s="25">
        <v>10582</v>
      </c>
      <c r="H88" s="118"/>
      <c r="I88" s="118"/>
      <c r="J88" s="118"/>
      <c r="K88" s="123" t="s">
        <v>756</v>
      </c>
      <c r="L88" s="67">
        <v>45891.666666666664</v>
      </c>
      <c r="M88" s="145">
        <v>0.44236111111111109</v>
      </c>
      <c r="N88" s="118">
        <v>5</v>
      </c>
      <c r="O88" s="118" t="s">
        <v>8</v>
      </c>
      <c r="P88" s="118"/>
      <c r="Q88" s="118" t="s">
        <v>11</v>
      </c>
      <c r="R88" s="146" t="s">
        <v>1405</v>
      </c>
      <c r="S88" s="146">
        <v>0.3</v>
      </c>
      <c r="T88" s="118" t="s">
        <v>1406</v>
      </c>
      <c r="U88" s="118" t="s">
        <v>1406</v>
      </c>
      <c r="V88" s="118" t="s">
        <v>1407</v>
      </c>
      <c r="W88" s="146" t="s">
        <v>1408</v>
      </c>
      <c r="X88" s="146" t="s">
        <v>1409</v>
      </c>
      <c r="Y88" s="146" t="s">
        <v>1616</v>
      </c>
      <c r="Z88" s="118" t="s">
        <v>1410</v>
      </c>
      <c r="AA88" s="118">
        <v>-85.847887886158901</v>
      </c>
      <c r="AB88" s="118">
        <v>40.668469884505001</v>
      </c>
    </row>
    <row r="89" spans="1:28" ht="23.25" customHeight="1" x14ac:dyDescent="0.25">
      <c r="A89" s="118">
        <v>296</v>
      </c>
      <c r="B89" s="118" t="s">
        <v>1390</v>
      </c>
      <c r="C89" s="67">
        <v>45891.568645833337</v>
      </c>
      <c r="D89" s="118" t="s">
        <v>1046</v>
      </c>
      <c r="E89" s="67">
        <v>45891.568645833337</v>
      </c>
      <c r="F89" s="118" t="s">
        <v>1046</v>
      </c>
      <c r="G89" s="25">
        <v>10583</v>
      </c>
      <c r="H89" s="118"/>
      <c r="I89" s="118"/>
      <c r="J89" s="118"/>
      <c r="K89" s="123" t="s">
        <v>757</v>
      </c>
      <c r="L89" s="67">
        <v>45891.666666666664</v>
      </c>
      <c r="M89" s="145">
        <v>0.38541666666666669</v>
      </c>
      <c r="N89" s="118">
        <v>7</v>
      </c>
      <c r="O89" s="118" t="s">
        <v>8</v>
      </c>
      <c r="P89" s="118"/>
      <c r="Q89" s="118" t="s">
        <v>11</v>
      </c>
      <c r="R89" s="146" t="s">
        <v>1391</v>
      </c>
      <c r="S89" s="146">
        <v>0.55000000000000004</v>
      </c>
      <c r="T89" s="118" t="s">
        <v>1392</v>
      </c>
      <c r="U89" s="118" t="s">
        <v>1392</v>
      </c>
      <c r="V89" s="118" t="s">
        <v>1393</v>
      </c>
      <c r="W89" s="146" t="s">
        <v>1394</v>
      </c>
      <c r="X89" s="146" t="s">
        <v>1395</v>
      </c>
      <c r="Y89" s="146" t="s">
        <v>1618</v>
      </c>
      <c r="Z89" s="118" t="s">
        <v>1396</v>
      </c>
      <c r="AA89" s="118">
        <v>-85.896579288026203</v>
      </c>
      <c r="AB89" s="118">
        <v>40.687768519894099</v>
      </c>
    </row>
    <row r="90" spans="1:28" ht="23.25" customHeight="1" x14ac:dyDescent="0.25">
      <c r="A90" s="118">
        <v>297</v>
      </c>
      <c r="B90" s="118" t="s">
        <v>1397</v>
      </c>
      <c r="C90" s="67">
        <v>45891.720069444447</v>
      </c>
      <c r="D90" s="118" t="s">
        <v>1046</v>
      </c>
      <c r="E90" s="67">
        <v>45891.720069444447</v>
      </c>
      <c r="F90" s="118" t="s">
        <v>1046</v>
      </c>
      <c r="G90" s="25">
        <v>10584</v>
      </c>
      <c r="H90" s="118"/>
      <c r="I90" s="118"/>
      <c r="J90" s="118"/>
      <c r="K90" s="123" t="s">
        <v>758</v>
      </c>
      <c r="L90" s="67">
        <v>45891.666666666664</v>
      </c>
      <c r="M90" s="145">
        <v>0.42569444444444443</v>
      </c>
      <c r="N90" s="118">
        <v>7</v>
      </c>
      <c r="O90" s="118" t="s">
        <v>8</v>
      </c>
      <c r="P90" s="118"/>
      <c r="Q90" s="118" t="s">
        <v>11</v>
      </c>
      <c r="R90" s="146" t="s">
        <v>1398</v>
      </c>
      <c r="S90" s="146">
        <v>0.3</v>
      </c>
      <c r="T90" s="118" t="s">
        <v>1399</v>
      </c>
      <c r="U90" s="118" t="s">
        <v>1399</v>
      </c>
      <c r="V90" s="146" t="s">
        <v>1400</v>
      </c>
      <c r="W90" s="146" t="s">
        <v>1401</v>
      </c>
      <c r="X90" s="146" t="s">
        <v>1402</v>
      </c>
      <c r="Y90" s="146" t="s">
        <v>1610</v>
      </c>
      <c r="Z90" s="118" t="s">
        <v>1403</v>
      </c>
      <c r="AA90" s="118">
        <v>-85.831935370051696</v>
      </c>
      <c r="AB90" s="118">
        <v>40.673772314344497</v>
      </c>
    </row>
    <row r="91" spans="1:28" ht="23.25" customHeight="1" x14ac:dyDescent="0.25">
      <c r="A91" s="118">
        <v>304</v>
      </c>
      <c r="B91" s="118" t="s">
        <v>1444</v>
      </c>
      <c r="C91" s="67">
        <v>45891.794560185182</v>
      </c>
      <c r="D91" s="118" t="s">
        <v>1046</v>
      </c>
      <c r="E91" s="67">
        <v>45891.794560185182</v>
      </c>
      <c r="F91" s="118" t="s">
        <v>1046</v>
      </c>
      <c r="G91" s="25">
        <v>10585</v>
      </c>
      <c r="H91" s="118"/>
      <c r="I91" s="118"/>
      <c r="J91" s="118"/>
      <c r="K91" s="123" t="s">
        <v>759</v>
      </c>
      <c r="L91" s="67">
        <v>45891.666666666664</v>
      </c>
      <c r="M91" s="145">
        <v>0.55902777777777779</v>
      </c>
      <c r="N91" s="118">
        <v>8</v>
      </c>
      <c r="O91" s="118" t="s">
        <v>8</v>
      </c>
      <c r="P91" s="118"/>
      <c r="Q91" s="118" t="s">
        <v>11</v>
      </c>
      <c r="R91" s="146" t="s">
        <v>1445</v>
      </c>
      <c r="S91" s="146">
        <v>0.4</v>
      </c>
      <c r="T91" s="118" t="s">
        <v>759</v>
      </c>
      <c r="U91" s="118" t="s">
        <v>759</v>
      </c>
      <c r="V91" s="118" t="s">
        <v>1446</v>
      </c>
      <c r="W91" s="146" t="s">
        <v>1447</v>
      </c>
      <c r="X91" s="146" t="s">
        <v>1448</v>
      </c>
      <c r="Y91" s="146" t="s">
        <v>1620</v>
      </c>
      <c r="Z91" s="118" t="s">
        <v>1449</v>
      </c>
      <c r="AA91" s="118">
        <v>-85.908206072747703</v>
      </c>
      <c r="AB91" s="118">
        <v>40.691689486534997</v>
      </c>
    </row>
    <row r="92" spans="1:28" ht="23.25" customHeight="1" x14ac:dyDescent="0.25">
      <c r="A92" s="118">
        <v>306</v>
      </c>
      <c r="B92" s="118" t="s">
        <v>1455</v>
      </c>
      <c r="C92" s="67">
        <v>45891.794965277775</v>
      </c>
      <c r="D92" s="118" t="s">
        <v>1046</v>
      </c>
      <c r="E92" s="67">
        <v>45891.794965277775</v>
      </c>
      <c r="F92" s="118" t="s">
        <v>1046</v>
      </c>
      <c r="G92" s="25">
        <v>10586</v>
      </c>
      <c r="H92" s="118"/>
      <c r="I92" s="118"/>
      <c r="J92" s="118"/>
      <c r="K92" s="123" t="s">
        <v>760</v>
      </c>
      <c r="L92" s="67">
        <v>45891.666666666664</v>
      </c>
      <c r="M92" s="145">
        <v>0.59722222222222221</v>
      </c>
      <c r="N92" s="118">
        <v>9</v>
      </c>
      <c r="O92" s="118" t="s">
        <v>8</v>
      </c>
      <c r="P92" s="118"/>
      <c r="Q92" s="118" t="s">
        <v>11</v>
      </c>
      <c r="R92" s="146" t="s">
        <v>1456</v>
      </c>
      <c r="S92" s="146">
        <v>0.45</v>
      </c>
      <c r="T92" s="118" t="s">
        <v>760</v>
      </c>
      <c r="U92" s="118" t="s">
        <v>760</v>
      </c>
      <c r="V92" s="146" t="s">
        <v>1457</v>
      </c>
      <c r="W92" s="146" t="s">
        <v>1458</v>
      </c>
      <c r="X92" s="146" t="s">
        <v>1459</v>
      </c>
      <c r="Y92" s="146" t="s">
        <v>1628</v>
      </c>
      <c r="Z92" s="118" t="s">
        <v>1460</v>
      </c>
      <c r="AA92" s="118">
        <v>-85.929971488917801</v>
      </c>
      <c r="AB92" s="118">
        <v>40.704189487454599</v>
      </c>
    </row>
    <row r="93" spans="1:28" ht="23.25" customHeight="1" x14ac:dyDescent="0.25">
      <c r="A93" s="118">
        <v>305</v>
      </c>
      <c r="B93" s="118" t="s">
        <v>1450</v>
      </c>
      <c r="C93" s="67">
        <v>45891.794803240744</v>
      </c>
      <c r="D93" s="118" t="s">
        <v>1046</v>
      </c>
      <c r="E93" s="67">
        <v>45891.794803240744</v>
      </c>
      <c r="F93" s="118" t="s">
        <v>1046</v>
      </c>
      <c r="G93" s="25">
        <v>10587</v>
      </c>
      <c r="H93" s="118"/>
      <c r="I93" s="118"/>
      <c r="J93" s="118"/>
      <c r="K93" s="123" t="s">
        <v>761</v>
      </c>
      <c r="L93" s="67">
        <v>45891.666666666664</v>
      </c>
      <c r="M93" s="145">
        <v>0.57638888888888884</v>
      </c>
      <c r="N93" s="118">
        <v>10</v>
      </c>
      <c r="O93" s="118" t="s">
        <v>8</v>
      </c>
      <c r="P93" s="118"/>
      <c r="Q93" s="118" t="s">
        <v>11</v>
      </c>
      <c r="R93" s="146" t="s">
        <v>1451</v>
      </c>
      <c r="S93" s="146">
        <v>0.5</v>
      </c>
      <c r="T93" s="118" t="s">
        <v>761</v>
      </c>
      <c r="U93" s="118" t="s">
        <v>761</v>
      </c>
      <c r="V93" s="146" t="s">
        <v>1452</v>
      </c>
      <c r="W93" s="146" t="s">
        <v>1453</v>
      </c>
      <c r="X93" s="146" t="s">
        <v>1454</v>
      </c>
      <c r="Y93" s="146" t="s">
        <v>1619</v>
      </c>
      <c r="Z93" s="118" t="s">
        <v>1295</v>
      </c>
      <c r="AA93" s="118">
        <v>-85.920132017041794</v>
      </c>
      <c r="AB93" s="118">
        <v>40.6933868545755</v>
      </c>
    </row>
    <row r="94" spans="1:28" ht="23.25" customHeight="1" x14ac:dyDescent="0.25">
      <c r="A94" s="118">
        <v>307</v>
      </c>
      <c r="B94" s="118" t="s">
        <v>1461</v>
      </c>
      <c r="C94" s="67">
        <v>45891.795023148145</v>
      </c>
      <c r="D94" s="118" t="s">
        <v>1046</v>
      </c>
      <c r="E94" s="67">
        <v>45891.795023148145</v>
      </c>
      <c r="F94" s="118" t="s">
        <v>1046</v>
      </c>
      <c r="G94" s="25">
        <v>10588</v>
      </c>
      <c r="H94" s="118"/>
      <c r="I94" s="118"/>
      <c r="J94" s="118"/>
      <c r="K94" s="123" t="s">
        <v>762</v>
      </c>
      <c r="L94" s="67">
        <v>45891.666666666664</v>
      </c>
      <c r="M94" s="145">
        <v>0.6118055555555556</v>
      </c>
      <c r="N94" s="118">
        <v>11</v>
      </c>
      <c r="O94" s="118" t="s">
        <v>8</v>
      </c>
      <c r="P94" s="118"/>
      <c r="Q94" s="118" t="s">
        <v>11</v>
      </c>
      <c r="R94" s="146" t="s">
        <v>1462</v>
      </c>
      <c r="S94" s="146">
        <v>0.65</v>
      </c>
      <c r="T94" s="118" t="s">
        <v>762</v>
      </c>
      <c r="U94" s="118" t="s">
        <v>762</v>
      </c>
      <c r="V94" s="118" t="s">
        <v>1463</v>
      </c>
      <c r="W94" s="146" t="s">
        <v>1464</v>
      </c>
      <c r="X94" s="118" t="s">
        <v>1465</v>
      </c>
      <c r="Y94" s="146" t="s">
        <v>1629</v>
      </c>
      <c r="Z94" s="118" t="s">
        <v>1466</v>
      </c>
      <c r="AA94" s="118">
        <v>-85.938573486479498</v>
      </c>
      <c r="AB94" s="118">
        <v>40.7109735166094</v>
      </c>
    </row>
    <row r="95" spans="1:28" ht="23.25" customHeight="1" x14ac:dyDescent="0.25">
      <c r="A95" s="118">
        <v>308</v>
      </c>
      <c r="B95" s="118" t="s">
        <v>1467</v>
      </c>
      <c r="C95" s="67">
        <v>45891.81144675926</v>
      </c>
      <c r="D95" s="118" t="s">
        <v>1046</v>
      </c>
      <c r="E95" s="67">
        <v>45891.81144675926</v>
      </c>
      <c r="F95" s="118" t="s">
        <v>1046</v>
      </c>
      <c r="G95" s="25">
        <v>10589</v>
      </c>
      <c r="H95" s="118"/>
      <c r="I95" s="118"/>
      <c r="J95" s="118"/>
      <c r="K95" s="123" t="s">
        <v>763</v>
      </c>
      <c r="L95" s="67">
        <v>45891.666666666664</v>
      </c>
      <c r="M95" s="145">
        <v>0.62986111111111109</v>
      </c>
      <c r="N95" s="118">
        <v>12</v>
      </c>
      <c r="O95" s="118" t="s">
        <v>8</v>
      </c>
      <c r="P95" s="118"/>
      <c r="Q95" s="118" t="s">
        <v>11</v>
      </c>
      <c r="R95" s="146" t="s">
        <v>1468</v>
      </c>
      <c r="S95" s="146">
        <v>0.6</v>
      </c>
      <c r="T95" s="118" t="s">
        <v>763</v>
      </c>
      <c r="U95" s="118" t="s">
        <v>763</v>
      </c>
      <c r="V95" s="118" t="s">
        <v>1469</v>
      </c>
      <c r="W95" s="146" t="s">
        <v>1470</v>
      </c>
      <c r="X95" s="146" t="s">
        <v>1471</v>
      </c>
      <c r="Y95" s="146" t="s">
        <v>1629</v>
      </c>
      <c r="Z95" s="118" t="s">
        <v>1472</v>
      </c>
      <c r="AA95" s="118">
        <v>-85.950995315973998</v>
      </c>
      <c r="AB95" s="118">
        <v>40.7115924957685</v>
      </c>
    </row>
    <row r="96" spans="1:28" ht="23.25" customHeight="1" x14ac:dyDescent="0.25">
      <c r="A96" s="118">
        <v>299</v>
      </c>
      <c r="B96" s="118" t="s">
        <v>1411</v>
      </c>
      <c r="C96" s="67">
        <v>45891.720347222225</v>
      </c>
      <c r="D96" s="118" t="s">
        <v>1046</v>
      </c>
      <c r="E96" s="67">
        <v>45891.720347222225</v>
      </c>
      <c r="F96" s="118" t="s">
        <v>1046</v>
      </c>
      <c r="G96" s="25">
        <v>10590</v>
      </c>
      <c r="H96" s="118"/>
      <c r="I96" s="118"/>
      <c r="J96" s="118"/>
      <c r="K96" s="123" t="s">
        <v>764</v>
      </c>
      <c r="L96" s="67">
        <v>45891.666666666664</v>
      </c>
      <c r="M96" s="145">
        <v>0.4597222222222222</v>
      </c>
      <c r="N96" s="118">
        <v>13</v>
      </c>
      <c r="O96" s="118" t="s">
        <v>8</v>
      </c>
      <c r="P96" s="118"/>
      <c r="Q96" s="118" t="s">
        <v>11</v>
      </c>
      <c r="R96" s="146" t="s">
        <v>1412</v>
      </c>
      <c r="S96" s="146">
        <v>0.3</v>
      </c>
      <c r="T96" s="118" t="s">
        <v>1413</v>
      </c>
      <c r="U96" s="118" t="s">
        <v>1413</v>
      </c>
      <c r="V96" s="118" t="s">
        <v>1414</v>
      </c>
      <c r="W96" s="146" t="s">
        <v>1415</v>
      </c>
      <c r="X96" s="146" t="s">
        <v>1416</v>
      </c>
      <c r="Y96" s="146" t="s">
        <v>1618</v>
      </c>
      <c r="Z96" s="118" t="s">
        <v>1417</v>
      </c>
      <c r="AA96" s="118">
        <v>-85.8414898999835</v>
      </c>
      <c r="AB96" s="118">
        <v>40.672650625967101</v>
      </c>
    </row>
    <row r="97" spans="1:28" ht="23.25" customHeight="1" x14ac:dyDescent="0.25">
      <c r="A97" s="118">
        <v>315</v>
      </c>
      <c r="B97" s="118" t="s">
        <v>1505</v>
      </c>
      <c r="C97" s="67">
        <v>45915.748402777775</v>
      </c>
      <c r="D97" s="118" t="s">
        <v>1046</v>
      </c>
      <c r="E97" s="67">
        <v>45915.748402777775</v>
      </c>
      <c r="F97" s="118" t="s">
        <v>1046</v>
      </c>
      <c r="G97" s="25">
        <v>10591</v>
      </c>
      <c r="H97" s="118"/>
      <c r="I97" s="118"/>
      <c r="J97" s="118"/>
      <c r="K97" s="119" t="s">
        <v>765</v>
      </c>
      <c r="L97" s="67">
        <v>45915.666666666664</v>
      </c>
      <c r="M97" s="145">
        <v>0.53333333333333333</v>
      </c>
      <c r="N97" s="118">
        <v>1</v>
      </c>
      <c r="O97" s="118" t="s">
        <v>8</v>
      </c>
      <c r="P97" s="118"/>
      <c r="Q97" s="118" t="s">
        <v>11</v>
      </c>
      <c r="R97" s="146" t="s">
        <v>1506</v>
      </c>
      <c r="S97" s="146">
        <v>0.6</v>
      </c>
      <c r="T97" s="118" t="s">
        <v>765</v>
      </c>
      <c r="U97" s="118" t="s">
        <v>765</v>
      </c>
      <c r="V97" s="118" t="s">
        <v>1507</v>
      </c>
      <c r="W97" s="146" t="s">
        <v>1508</v>
      </c>
      <c r="X97" s="146" t="s">
        <v>1509</v>
      </c>
      <c r="Y97" s="146" t="s">
        <v>1635</v>
      </c>
      <c r="Z97" s="118" t="s">
        <v>1510</v>
      </c>
      <c r="AA97" s="118">
        <v>-85.888716255554996</v>
      </c>
      <c r="AB97" s="118">
        <v>40.681605233637299</v>
      </c>
    </row>
    <row r="98" spans="1:28" ht="23.25" customHeight="1" x14ac:dyDescent="0.25">
      <c r="A98" s="118">
        <v>316</v>
      </c>
      <c r="B98" s="118" t="s">
        <v>1511</v>
      </c>
      <c r="C98" s="67">
        <v>45915.748483796298</v>
      </c>
      <c r="D98" s="118" t="s">
        <v>1046</v>
      </c>
      <c r="E98" s="67">
        <v>45915.748483796298</v>
      </c>
      <c r="F98" s="118" t="s">
        <v>1046</v>
      </c>
      <c r="G98" s="25">
        <v>10592</v>
      </c>
      <c r="H98" s="118"/>
      <c r="I98" s="118"/>
      <c r="J98" s="118"/>
      <c r="K98" s="119" t="s">
        <v>766</v>
      </c>
      <c r="L98" s="67">
        <v>45915.666666666664</v>
      </c>
      <c r="M98" s="145">
        <v>0.55138888888888893</v>
      </c>
      <c r="N98" s="118">
        <v>2</v>
      </c>
      <c r="O98" s="118" t="s">
        <v>8</v>
      </c>
      <c r="P98" s="118"/>
      <c r="Q98" s="118" t="s">
        <v>11</v>
      </c>
      <c r="R98" s="146" t="s">
        <v>1512</v>
      </c>
      <c r="S98" s="146">
        <v>0.4</v>
      </c>
      <c r="T98" s="118" t="s">
        <v>766</v>
      </c>
      <c r="U98" s="118" t="s">
        <v>766</v>
      </c>
      <c r="V98" s="118" t="s">
        <v>1513</v>
      </c>
      <c r="W98" s="146" t="s">
        <v>1514</v>
      </c>
      <c r="X98" s="146" t="s">
        <v>1515</v>
      </c>
      <c r="Y98" s="146" t="s">
        <v>1636</v>
      </c>
      <c r="Z98" s="118" t="s">
        <v>1516</v>
      </c>
      <c r="AA98" s="118">
        <v>-85.877080968297605</v>
      </c>
      <c r="AB98" s="118">
        <v>40.676853737547702</v>
      </c>
    </row>
    <row r="99" spans="1:28" ht="23.25" customHeight="1" x14ac:dyDescent="0.25">
      <c r="A99" s="118">
        <v>317</v>
      </c>
      <c r="B99" s="118" t="s">
        <v>1517</v>
      </c>
      <c r="C99" s="67">
        <v>45915.748541666668</v>
      </c>
      <c r="D99" s="118" t="s">
        <v>1046</v>
      </c>
      <c r="E99" s="67">
        <v>45915.748541666668</v>
      </c>
      <c r="F99" s="118" t="s">
        <v>1046</v>
      </c>
      <c r="G99" s="25">
        <v>10593</v>
      </c>
      <c r="H99" s="118"/>
      <c r="I99" s="118"/>
      <c r="J99" s="118"/>
      <c r="K99" s="119" t="s">
        <v>767</v>
      </c>
      <c r="L99" s="67">
        <v>45915.666666666664</v>
      </c>
      <c r="M99" s="145">
        <v>0.56180555555555556</v>
      </c>
      <c r="N99" s="118">
        <v>3</v>
      </c>
      <c r="O99" s="118" t="s">
        <v>8</v>
      </c>
      <c r="P99" s="118"/>
      <c r="Q99" s="118" t="s">
        <v>11</v>
      </c>
      <c r="R99" s="146" t="s">
        <v>1518</v>
      </c>
      <c r="S99" s="146">
        <v>0.3</v>
      </c>
      <c r="T99" s="118" t="s">
        <v>767</v>
      </c>
      <c r="U99" s="118" t="s">
        <v>767</v>
      </c>
      <c r="V99" s="118" t="s">
        <v>1519</v>
      </c>
      <c r="W99" s="146" t="s">
        <v>1520</v>
      </c>
      <c r="X99" s="146" t="s">
        <v>1521</v>
      </c>
      <c r="Y99" s="146" t="s">
        <v>1637</v>
      </c>
      <c r="Z99" s="118" t="s">
        <v>1522</v>
      </c>
      <c r="AA99" s="118">
        <v>-85.870470356642798</v>
      </c>
      <c r="AB99" s="118">
        <v>40.670742628229299</v>
      </c>
    </row>
    <row r="100" spans="1:28" ht="23.25" customHeight="1" x14ac:dyDescent="0.25">
      <c r="A100" s="118">
        <v>318</v>
      </c>
      <c r="B100" s="118" t="s">
        <v>1523</v>
      </c>
      <c r="C100" s="67">
        <v>45915.748576388891</v>
      </c>
      <c r="D100" s="118" t="s">
        <v>1046</v>
      </c>
      <c r="E100" s="67">
        <v>45915.748576388891</v>
      </c>
      <c r="F100" s="118" t="s">
        <v>1046</v>
      </c>
      <c r="G100" s="25">
        <v>10594</v>
      </c>
      <c r="H100" s="118"/>
      <c r="I100" s="118"/>
      <c r="J100" s="118"/>
      <c r="K100" s="147" t="s">
        <v>768</v>
      </c>
      <c r="L100" s="67">
        <v>45915.666666666664</v>
      </c>
      <c r="M100" s="145">
        <v>0.57430555555555551</v>
      </c>
      <c r="N100" s="118">
        <v>4</v>
      </c>
      <c r="O100" s="118" t="s">
        <v>8</v>
      </c>
      <c r="P100" s="118"/>
      <c r="Q100" s="118" t="s">
        <v>11</v>
      </c>
      <c r="R100" s="146" t="s">
        <v>1524</v>
      </c>
      <c r="S100" s="146">
        <v>0.4</v>
      </c>
      <c r="T100" s="118" t="s">
        <v>768</v>
      </c>
      <c r="U100" s="118" t="s">
        <v>768</v>
      </c>
      <c r="V100" s="118" t="s">
        <v>1525</v>
      </c>
      <c r="W100" s="146" t="s">
        <v>1526</v>
      </c>
      <c r="X100" s="146" t="s">
        <v>1527</v>
      </c>
      <c r="Y100" s="146" t="s">
        <v>1638</v>
      </c>
      <c r="Z100" s="118" t="s">
        <v>1528</v>
      </c>
      <c r="AA100" s="118">
        <v>-85.866717362691404</v>
      </c>
      <c r="AB100" s="118">
        <v>40.663219887201102</v>
      </c>
    </row>
    <row r="101" spans="1:28" ht="23.25" customHeight="1" x14ac:dyDescent="0.25">
      <c r="A101" s="118">
        <v>319</v>
      </c>
      <c r="B101" s="118" t="s">
        <v>1529</v>
      </c>
      <c r="C101" s="67">
        <v>45915.795706018522</v>
      </c>
      <c r="D101" s="118" t="s">
        <v>1046</v>
      </c>
      <c r="E101" s="67">
        <v>45915.795706018522</v>
      </c>
      <c r="F101" s="118" t="s">
        <v>1046</v>
      </c>
      <c r="G101" s="25">
        <v>10595</v>
      </c>
      <c r="H101" s="118"/>
      <c r="I101" s="118"/>
      <c r="J101" s="118"/>
      <c r="K101" s="147" t="s">
        <v>769</v>
      </c>
      <c r="L101" s="67">
        <v>45915.666666666664</v>
      </c>
      <c r="M101" s="145">
        <v>0.59513888888888888</v>
      </c>
      <c r="N101" s="118">
        <v>5</v>
      </c>
      <c r="O101" s="118" t="s">
        <v>8</v>
      </c>
      <c r="P101" s="118"/>
      <c r="Q101" s="118" t="s">
        <v>11</v>
      </c>
      <c r="R101" s="146" t="s">
        <v>1530</v>
      </c>
      <c r="S101" s="146">
        <v>0.3</v>
      </c>
      <c r="T101" s="118" t="s">
        <v>769</v>
      </c>
      <c r="U101" s="118" t="s">
        <v>769</v>
      </c>
      <c r="V101" s="118" t="s">
        <v>1531</v>
      </c>
      <c r="W101" s="146" t="s">
        <v>1532</v>
      </c>
      <c r="X101" s="146" t="s">
        <v>1533</v>
      </c>
      <c r="Y101" s="146" t="s">
        <v>1639</v>
      </c>
      <c r="Z101" s="118" t="s">
        <v>1534</v>
      </c>
      <c r="AA101" s="118">
        <v>-85.847892967811902</v>
      </c>
      <c r="AB101" s="118">
        <v>40.668402288920198</v>
      </c>
    </row>
    <row r="102" spans="1:28" ht="23.25" customHeight="1" x14ac:dyDescent="0.25">
      <c r="A102">
        <v>321</v>
      </c>
      <c r="B102" t="s">
        <v>1541</v>
      </c>
      <c r="C102" s="67">
        <v>45915.795787037037</v>
      </c>
      <c r="D102" t="s">
        <v>1046</v>
      </c>
      <c r="E102" s="67">
        <v>45915.795787037037</v>
      </c>
      <c r="F102" t="s">
        <v>1046</v>
      </c>
      <c r="G102" s="25">
        <v>10596</v>
      </c>
      <c r="K102" s="131" t="s">
        <v>770</v>
      </c>
      <c r="L102" s="67">
        <v>45915.666666666664</v>
      </c>
      <c r="M102" s="145">
        <v>0.62083333333333335</v>
      </c>
      <c r="N102" s="118">
        <v>6</v>
      </c>
      <c r="O102" t="s">
        <v>8</v>
      </c>
      <c r="Q102" s="118" t="s">
        <v>11</v>
      </c>
      <c r="R102" s="146" t="s">
        <v>1536</v>
      </c>
      <c r="S102" s="146">
        <v>0.3</v>
      </c>
      <c r="T102" t="s">
        <v>770</v>
      </c>
      <c r="U102" t="s">
        <v>770</v>
      </c>
      <c r="V102" t="s">
        <v>1542</v>
      </c>
      <c r="W102" s="146" t="s">
        <v>1543</v>
      </c>
      <c r="X102" s="146" t="s">
        <v>1544</v>
      </c>
      <c r="Y102" s="146" t="s">
        <v>1641</v>
      </c>
      <c r="Z102" t="s">
        <v>1545</v>
      </c>
      <c r="AA102">
        <v>-85.831880626110504</v>
      </c>
      <c r="AB102">
        <v>40.673569150821599</v>
      </c>
    </row>
    <row r="103" spans="1:28" ht="23.25" customHeight="1" x14ac:dyDescent="0.25">
      <c r="A103">
        <v>309</v>
      </c>
      <c r="B103" t="s">
        <v>1473</v>
      </c>
      <c r="C103" s="67">
        <v>45915.582048611112</v>
      </c>
      <c r="D103" t="s">
        <v>1046</v>
      </c>
      <c r="E103" s="67">
        <v>45915.582048611112</v>
      </c>
      <c r="F103" t="s">
        <v>1046</v>
      </c>
      <c r="G103" s="25">
        <v>10597</v>
      </c>
      <c r="K103" s="119" t="s">
        <v>771</v>
      </c>
      <c r="L103" s="67">
        <v>45915.666666666664</v>
      </c>
      <c r="M103" s="145">
        <v>0.39583333333333331</v>
      </c>
      <c r="N103" s="118">
        <v>7</v>
      </c>
      <c r="O103" s="118" t="s">
        <v>8</v>
      </c>
      <c r="Q103" s="118" t="s">
        <v>11</v>
      </c>
      <c r="R103" s="146" t="s">
        <v>1474</v>
      </c>
      <c r="S103" s="146">
        <v>1</v>
      </c>
      <c r="T103" t="s">
        <v>771</v>
      </c>
      <c r="U103" t="s">
        <v>771</v>
      </c>
      <c r="V103" t="s">
        <v>1475</v>
      </c>
      <c r="W103" s="146" t="s">
        <v>1476</v>
      </c>
      <c r="X103" s="146" t="s">
        <v>1477</v>
      </c>
      <c r="Y103" s="146" t="s">
        <v>1630</v>
      </c>
      <c r="Z103" t="s">
        <v>1478</v>
      </c>
      <c r="AA103">
        <v>-85.896577595730903</v>
      </c>
      <c r="AB103">
        <v>40.687801629573599</v>
      </c>
    </row>
    <row r="104" spans="1:28" ht="23.25" customHeight="1" x14ac:dyDescent="0.25">
      <c r="A104">
        <v>310</v>
      </c>
      <c r="B104" t="s">
        <v>1479</v>
      </c>
      <c r="C104" s="67">
        <v>45915.596805555557</v>
      </c>
      <c r="D104" t="s">
        <v>1046</v>
      </c>
      <c r="E104" s="67">
        <v>45915.596805555557</v>
      </c>
      <c r="F104" t="s">
        <v>1046</v>
      </c>
      <c r="G104" s="25">
        <v>10598</v>
      </c>
      <c r="K104" s="119" t="s">
        <v>772</v>
      </c>
      <c r="L104" s="67">
        <v>45915.666666666664</v>
      </c>
      <c r="M104" s="145">
        <v>0.41875000000000001</v>
      </c>
      <c r="N104" s="118">
        <v>8</v>
      </c>
      <c r="O104" s="118" t="s">
        <v>8</v>
      </c>
      <c r="Q104" s="118" t="s">
        <v>11</v>
      </c>
      <c r="R104" s="146" t="s">
        <v>1480</v>
      </c>
      <c r="S104" s="146">
        <v>0.8</v>
      </c>
      <c r="T104" t="s">
        <v>772</v>
      </c>
      <c r="U104" t="s">
        <v>772</v>
      </c>
      <c r="V104" s="146" t="s">
        <v>1481</v>
      </c>
      <c r="W104" s="146" t="s">
        <v>1482</v>
      </c>
      <c r="X104" s="146" t="s">
        <v>1483</v>
      </c>
      <c r="Y104" s="146" t="s">
        <v>1631</v>
      </c>
      <c r="Z104" t="s">
        <v>1484</v>
      </c>
      <c r="AA104">
        <v>-85.908350687222807</v>
      </c>
      <c r="AB104">
        <v>40.691624107125598</v>
      </c>
    </row>
    <row r="105" spans="1:28" ht="23.25" customHeight="1" x14ac:dyDescent="0.25">
      <c r="A105">
        <v>312</v>
      </c>
      <c r="B105" t="s">
        <v>1490</v>
      </c>
      <c r="C105" s="67">
        <v>45915.681759259256</v>
      </c>
      <c r="D105" t="s">
        <v>1046</v>
      </c>
      <c r="E105" s="67">
        <v>45915.681759259256</v>
      </c>
      <c r="F105" t="s">
        <v>1046</v>
      </c>
      <c r="G105" s="25">
        <v>10599</v>
      </c>
      <c r="K105" s="119" t="s">
        <v>773</v>
      </c>
      <c r="L105" s="67">
        <v>45915.666666666664</v>
      </c>
      <c r="M105" s="145">
        <v>0.44930555555555557</v>
      </c>
      <c r="N105" s="118">
        <v>9</v>
      </c>
      <c r="O105" s="118" t="s">
        <v>8</v>
      </c>
      <c r="Q105" s="118" t="s">
        <v>11</v>
      </c>
      <c r="R105" s="146" t="s">
        <v>1474</v>
      </c>
      <c r="S105" s="146">
        <v>1</v>
      </c>
      <c r="T105" t="s">
        <v>773</v>
      </c>
      <c r="U105" t="s">
        <v>773</v>
      </c>
      <c r="V105" s="146" t="s">
        <v>1491</v>
      </c>
      <c r="W105" s="146" t="s">
        <v>1492</v>
      </c>
      <c r="X105" s="146" t="s">
        <v>1493</v>
      </c>
      <c r="Y105" s="146" t="s">
        <v>1633</v>
      </c>
      <c r="Z105" t="s">
        <v>1494</v>
      </c>
      <c r="AA105">
        <v>-85.930015128579598</v>
      </c>
      <c r="AB105">
        <v>40.704149145676197</v>
      </c>
    </row>
    <row r="106" spans="1:28" ht="23.25" customHeight="1" x14ac:dyDescent="0.25">
      <c r="A106">
        <v>311</v>
      </c>
      <c r="B106" t="s">
        <v>1485</v>
      </c>
      <c r="C106" s="67">
        <v>45915.613634259258</v>
      </c>
      <c r="D106" t="s">
        <v>1046</v>
      </c>
      <c r="E106" s="67">
        <v>45915.613634259258</v>
      </c>
      <c r="F106" t="s">
        <v>1046</v>
      </c>
      <c r="G106" s="25">
        <v>10600</v>
      </c>
      <c r="K106" s="119" t="s">
        <v>774</v>
      </c>
      <c r="L106" s="67">
        <v>45915.666666666664</v>
      </c>
      <c r="M106" s="145">
        <v>0.43333333333333335</v>
      </c>
      <c r="N106" s="118">
        <v>10</v>
      </c>
      <c r="O106" s="118" t="s">
        <v>8</v>
      </c>
      <c r="Q106" s="118" t="s">
        <v>11</v>
      </c>
      <c r="R106" s="146" t="s">
        <v>1486</v>
      </c>
      <c r="S106" s="146">
        <v>0.9</v>
      </c>
      <c r="T106" t="s">
        <v>774</v>
      </c>
      <c r="U106" t="s">
        <v>774</v>
      </c>
      <c r="V106" t="s">
        <v>1292</v>
      </c>
      <c r="W106" s="146" t="s">
        <v>1487</v>
      </c>
      <c r="X106" s="146" t="s">
        <v>1488</v>
      </c>
      <c r="Y106" s="146" t="s">
        <v>1632</v>
      </c>
      <c r="Z106" t="s">
        <v>1489</v>
      </c>
      <c r="AA106">
        <v>-85.920376846965894</v>
      </c>
      <c r="AB106">
        <v>40.693342215129498</v>
      </c>
    </row>
    <row r="107" spans="1:28" ht="23.25" customHeight="1" x14ac:dyDescent="0.25">
      <c r="A107">
        <v>313</v>
      </c>
      <c r="B107" t="s">
        <v>1495</v>
      </c>
      <c r="C107" s="67">
        <v>45915.682118055556</v>
      </c>
      <c r="D107" t="s">
        <v>1046</v>
      </c>
      <c r="E107" s="67">
        <v>45915.682118055556</v>
      </c>
      <c r="F107" t="s">
        <v>1046</v>
      </c>
      <c r="G107" s="25">
        <v>10601</v>
      </c>
      <c r="K107" s="119" t="s">
        <v>775</v>
      </c>
      <c r="L107" s="67">
        <v>45915.666666666664</v>
      </c>
      <c r="M107" s="145">
        <v>0.46180555555555558</v>
      </c>
      <c r="N107" s="118">
        <v>11</v>
      </c>
      <c r="O107" s="118" t="s">
        <v>8</v>
      </c>
      <c r="Q107" s="118" t="s">
        <v>11</v>
      </c>
      <c r="R107" s="146" t="s">
        <v>1474</v>
      </c>
      <c r="S107" s="146">
        <v>1</v>
      </c>
      <c r="T107" t="s">
        <v>775</v>
      </c>
      <c r="U107" t="s">
        <v>775</v>
      </c>
      <c r="V107" t="s">
        <v>1496</v>
      </c>
      <c r="W107" s="146" t="s">
        <v>1497</v>
      </c>
      <c r="X107" s="146" t="s">
        <v>1498</v>
      </c>
      <c r="Y107" s="146" t="s">
        <v>1634</v>
      </c>
      <c r="Z107" t="s">
        <v>1499</v>
      </c>
      <c r="AA107">
        <v>-85.938752057903798</v>
      </c>
      <c r="AB107">
        <v>40.7109940238565</v>
      </c>
    </row>
    <row r="108" spans="1:28" ht="23.25" customHeight="1" x14ac:dyDescent="0.25">
      <c r="A108">
        <v>314</v>
      </c>
      <c r="B108" t="s">
        <v>1500</v>
      </c>
      <c r="C108" s="67">
        <v>45915.682673611111</v>
      </c>
      <c r="D108" t="s">
        <v>1046</v>
      </c>
      <c r="E108" s="67">
        <v>45915.682673611111</v>
      </c>
      <c r="F108" t="s">
        <v>1046</v>
      </c>
      <c r="G108" s="25">
        <v>10602</v>
      </c>
      <c r="K108" s="119" t="s">
        <v>776</v>
      </c>
      <c r="L108" s="67">
        <v>45915.666666666664</v>
      </c>
      <c r="M108" s="145">
        <v>0.49722222222222223</v>
      </c>
      <c r="N108" s="118">
        <v>12</v>
      </c>
      <c r="O108" s="118" t="s">
        <v>8</v>
      </c>
      <c r="Q108" s="118" t="s">
        <v>11</v>
      </c>
      <c r="R108" s="146" t="s">
        <v>1501</v>
      </c>
      <c r="S108" s="146">
        <v>0.75</v>
      </c>
      <c r="T108" t="s">
        <v>776</v>
      </c>
      <c r="U108" t="s">
        <v>776</v>
      </c>
      <c r="V108" t="s">
        <v>1311</v>
      </c>
      <c r="W108" s="146" t="s">
        <v>1502</v>
      </c>
      <c r="X108" s="146" t="s">
        <v>1503</v>
      </c>
      <c r="Y108" s="146" t="s">
        <v>1634</v>
      </c>
      <c r="Z108" s="146" t="s">
        <v>1504</v>
      </c>
      <c r="AA108">
        <v>-85.951316433096494</v>
      </c>
      <c r="AB108">
        <v>40.711676957477103</v>
      </c>
    </row>
    <row r="109" spans="1:28" ht="23.25" customHeight="1" x14ac:dyDescent="0.25">
      <c r="A109">
        <v>320</v>
      </c>
      <c r="B109" t="s">
        <v>1535</v>
      </c>
      <c r="C109" s="67">
        <v>45915.795740740738</v>
      </c>
      <c r="D109" t="s">
        <v>1046</v>
      </c>
      <c r="E109" s="67">
        <v>45915.795740740738</v>
      </c>
      <c r="F109" t="s">
        <v>1046</v>
      </c>
      <c r="G109" s="25">
        <v>10603</v>
      </c>
      <c r="K109" s="119" t="s">
        <v>777</v>
      </c>
      <c r="L109" s="67">
        <v>45915.666666666664</v>
      </c>
      <c r="M109" s="145">
        <v>0.60902777777777772</v>
      </c>
      <c r="N109" s="118">
        <v>13</v>
      </c>
      <c r="O109" s="118" t="s">
        <v>8</v>
      </c>
      <c r="Q109" s="118" t="s">
        <v>11</v>
      </c>
      <c r="R109" s="146" t="s">
        <v>1536</v>
      </c>
      <c r="S109" s="146">
        <v>0.3</v>
      </c>
      <c r="T109" t="s">
        <v>777</v>
      </c>
      <c r="U109" t="s">
        <v>777</v>
      </c>
      <c r="V109" t="s">
        <v>1537</v>
      </c>
      <c r="W109" s="146" t="s">
        <v>1538</v>
      </c>
      <c r="X109" s="146" t="s">
        <v>1539</v>
      </c>
      <c r="Y109" s="146" t="s">
        <v>1640</v>
      </c>
      <c r="Z109" t="s">
        <v>1540</v>
      </c>
      <c r="AA109">
        <v>-85.841582328131494</v>
      </c>
      <c r="AB109">
        <v>40.672530476725299</v>
      </c>
    </row>
    <row r="110" spans="1:28" ht="23.25" customHeight="1" x14ac:dyDescent="0.25">
      <c r="A110">
        <v>239</v>
      </c>
      <c r="B110" s="144" t="s">
        <v>1045</v>
      </c>
      <c r="C110" s="67">
        <v>45846.493958333333</v>
      </c>
      <c r="D110" t="s">
        <v>1046</v>
      </c>
      <c r="E110" s="67">
        <v>45846.493958333333</v>
      </c>
      <c r="F110" t="s">
        <v>1046</v>
      </c>
      <c r="G110" s="118"/>
      <c r="K110" s="150"/>
      <c r="L110" s="67">
        <v>45832.666666666664</v>
      </c>
      <c r="M110" s="145">
        <v>0.56874999999999998</v>
      </c>
      <c r="N110" s="118">
        <v>1000</v>
      </c>
      <c r="O110" s="118" t="s">
        <v>1047</v>
      </c>
      <c r="P110" t="s">
        <v>1048</v>
      </c>
      <c r="Q110" s="118" t="s">
        <v>4</v>
      </c>
      <c r="R110" s="146" t="s">
        <v>1049</v>
      </c>
      <c r="S110" s="146"/>
      <c r="T110" t="s">
        <v>1050</v>
      </c>
      <c r="U110" t="s">
        <v>1051</v>
      </c>
      <c r="V110" s="146" t="s">
        <v>1052</v>
      </c>
      <c r="AA110">
        <v>-86.995263276613301</v>
      </c>
      <c r="AB110">
        <v>40.470506016021702</v>
      </c>
    </row>
    <row r="111" spans="1:28" ht="23.25" customHeight="1" x14ac:dyDescent="0.25">
      <c r="A111">
        <v>290</v>
      </c>
      <c r="B111" t="s">
        <v>1355</v>
      </c>
      <c r="C111" s="67">
        <v>45875.897488425922</v>
      </c>
      <c r="D111" t="s">
        <v>1046</v>
      </c>
      <c r="E111" s="67">
        <v>45875.897488425922</v>
      </c>
      <c r="F111" t="s">
        <v>1046</v>
      </c>
      <c r="G111" s="118"/>
      <c r="K111" s="150"/>
      <c r="L111" s="67">
        <v>45875.666666666664</v>
      </c>
      <c r="M111" s="145">
        <v>0.63402777777777775</v>
      </c>
      <c r="N111" s="118">
        <v>1001</v>
      </c>
      <c r="O111" s="118" t="s">
        <v>8</v>
      </c>
      <c r="Q111" s="118" t="s">
        <v>11</v>
      </c>
      <c r="R111" s="146" t="s">
        <v>1356</v>
      </c>
      <c r="S111" s="146"/>
      <c r="T111" t="s">
        <v>1357</v>
      </c>
      <c r="U111" t="s">
        <v>1357</v>
      </c>
      <c r="V111" t="s">
        <v>1358</v>
      </c>
      <c r="X111" s="146" t="s">
        <v>1359</v>
      </c>
      <c r="Y111" s="146" t="s">
        <v>1624</v>
      </c>
      <c r="Z111" t="s">
        <v>1360</v>
      </c>
      <c r="AA111">
        <v>-85.848757387218299</v>
      </c>
      <c r="AB111">
        <v>40.668425449452798</v>
      </c>
    </row>
    <row r="112" spans="1:28" ht="23.25" customHeight="1" x14ac:dyDescent="0.25">
      <c r="A112">
        <v>295</v>
      </c>
      <c r="B112" t="s">
        <v>1387</v>
      </c>
      <c r="C112" s="67">
        <v>45889.601875</v>
      </c>
      <c r="D112" t="s">
        <v>1046</v>
      </c>
      <c r="E112" s="67">
        <v>45889.601875</v>
      </c>
      <c r="F112" t="s">
        <v>1046</v>
      </c>
      <c r="G112" s="118"/>
      <c r="K112" s="150"/>
      <c r="L112" s="67">
        <v>45875.666666666664</v>
      </c>
      <c r="M112" s="145">
        <v>0.71180555555555558</v>
      </c>
      <c r="N112" s="118">
        <v>1002</v>
      </c>
      <c r="O112" s="118" t="s">
        <v>8</v>
      </c>
      <c r="Q112" s="118" t="s">
        <v>11</v>
      </c>
      <c r="R112" s="118"/>
      <c r="T112" t="s">
        <v>1388</v>
      </c>
      <c r="U112" t="s">
        <v>1388</v>
      </c>
      <c r="V112" s="146" t="s">
        <v>1389</v>
      </c>
      <c r="Y112" s="146" t="s">
        <v>115</v>
      </c>
      <c r="AA112">
        <v>-85.868903291234204</v>
      </c>
      <c r="AB112">
        <v>40.667430225220301</v>
      </c>
    </row>
    <row r="113" spans="1:28" ht="23.25" customHeight="1" x14ac:dyDescent="0.25">
      <c r="A113">
        <v>337</v>
      </c>
      <c r="B113" t="s">
        <v>1579</v>
      </c>
      <c r="C113" s="67">
        <v>45933.739027777781</v>
      </c>
      <c r="D113" t="s">
        <v>1046</v>
      </c>
      <c r="E113" s="67">
        <v>45933.739027777781</v>
      </c>
      <c r="F113" t="s">
        <v>1046</v>
      </c>
      <c r="G113" s="118"/>
      <c r="K113" s="150"/>
      <c r="L113" s="67">
        <v>45933.666666666664</v>
      </c>
      <c r="M113" s="145">
        <v>0.4909722222222222</v>
      </c>
      <c r="N113" s="118">
        <v>1</v>
      </c>
      <c r="O113" s="118" t="s">
        <v>8</v>
      </c>
      <c r="Q113" s="118" t="s">
        <v>4</v>
      </c>
      <c r="R113" s="146" t="s">
        <v>1580</v>
      </c>
      <c r="S113" s="146"/>
      <c r="T113" t="s">
        <v>1581</v>
      </c>
      <c r="V113" s="146" t="s">
        <v>1582</v>
      </c>
      <c r="X113" t="s">
        <v>1583</v>
      </c>
      <c r="Y113" s="146" t="s">
        <v>115</v>
      </c>
      <c r="AA113">
        <v>-86.995274086325097</v>
      </c>
      <c r="AB113">
        <v>40.470448632593197</v>
      </c>
    </row>
    <row r="114" spans="1:28" ht="23.25" customHeight="1" x14ac:dyDescent="0.25">
      <c r="A114">
        <v>338</v>
      </c>
      <c r="B114" t="s">
        <v>1584</v>
      </c>
      <c r="C114" s="67">
        <v>45933.739374999997</v>
      </c>
      <c r="D114" t="s">
        <v>1046</v>
      </c>
      <c r="E114" s="67">
        <v>45933.739374999997</v>
      </c>
      <c r="F114" t="s">
        <v>1046</v>
      </c>
      <c r="G114" s="118"/>
      <c r="K114" s="150"/>
      <c r="L114" s="67">
        <v>45933.666666666664</v>
      </c>
      <c r="M114" s="145">
        <v>0.56944444444444442</v>
      </c>
      <c r="N114" s="118">
        <v>1</v>
      </c>
      <c r="O114" s="118" t="s">
        <v>9</v>
      </c>
      <c r="Q114" s="118" t="s">
        <v>4</v>
      </c>
      <c r="R114" s="118" t="s">
        <v>1585</v>
      </c>
      <c r="T114" t="s">
        <v>1581</v>
      </c>
      <c r="U114">
        <v>1</v>
      </c>
      <c r="V114" s="146" t="s">
        <v>1586</v>
      </c>
      <c r="Y114" s="146" t="s">
        <v>115</v>
      </c>
      <c r="AA114">
        <v>-86.995280358492394</v>
      </c>
      <c r="AB114">
        <v>40.4704848739852</v>
      </c>
    </row>
  </sheetData>
  <sortState xmlns:xlrd2="http://schemas.microsoft.com/office/spreadsheetml/2017/richdata2" ref="A2:AB114">
    <sortCondition ref="G2:G114"/>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Code</vt:lpstr>
      <vt:lpstr>Samples Taken 2024</vt:lpstr>
      <vt:lpstr>Full List of Data</vt:lpstr>
      <vt:lpstr>Distance</vt:lpstr>
      <vt:lpstr>FLIR</vt:lpstr>
      <vt:lpstr>Surface2025YSI</vt:lpstr>
      <vt:lpstr>Sheet1</vt:lpstr>
      <vt:lpstr>MICrocystin</vt:lpstr>
      <vt:lpstr>Sheet3</vt:lpstr>
      <vt:lpstr>TP</vt:lpstr>
      <vt:lpstr>Investigative TP</vt:lpstr>
      <vt:lpstr>NH4,PO4,NOX</vt:lpstr>
      <vt:lpstr>2025_field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Isaac Henry Bradford</dc:creator>
  <cp:lastModifiedBy>Isaac Henry Bradford</cp:lastModifiedBy>
  <cp:lastPrinted>2025-10-01T19:54:22Z</cp:lastPrinted>
  <dcterms:created xsi:type="dcterms:W3CDTF">2024-06-10T14:59:44Z</dcterms:created>
  <dcterms:modified xsi:type="dcterms:W3CDTF">2025-10-20T22:44:30Z</dcterms:modified>
</cp:coreProperties>
</file>